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Instructions" sheetId="1" r:id="rId4"/>
    <sheet state="visible" name="Legend" sheetId="2" r:id="rId5"/>
    <sheet state="visible" name="Dept Cat Subcat Taxonomy" sheetId="3" r:id="rId6"/>
    <sheet state="visible" name="Size Taxonomy" sheetId="4" r:id="rId7"/>
    <sheet state="visible" name="Examples" sheetId="5" r:id="rId8"/>
    <sheet state="visible" name="Listing Details" sheetId="6" r:id="rId9"/>
    <sheet state="hidden" name="Color Mapping" sheetId="7" r:id="rId10"/>
    <sheet state="visible" name="Category" sheetId="8" r:id="rId11"/>
    <sheet state="hidden" name="Subcat" sheetId="9" r:id="rId12"/>
    <sheet state="hidden" name="Size Lookup" sheetId="10" r:id="rId13"/>
    <sheet state="hidden" name="Sheet2" sheetId="11" r:id="rId14"/>
    <sheet state="hidden" name="Options" sheetId="12" r:id="rId15"/>
    <sheet state="hidden" name="Size Options" sheetId="13" r:id="rId16"/>
    <sheet state="hidden" name="New Options with Global Cat" sheetId="14" r:id="rId17"/>
    <sheet state="hidden" name="Sheet3" sheetId="15" r:id="rId18"/>
    <sheet state="hidden" name="TimeFormat" sheetId="16" r:id="rId19"/>
  </sheets>
  <definedNames>
    <definedName name="DATA">Table_1[]</definedName>
    <definedName name="Category">'Size Options'!$C$2:$C$4389</definedName>
    <definedName name="Size">'Size Options'!$B$2:$B$4408</definedName>
    <definedName name="Categ">#REF!</definedName>
    <definedName name="Category_v">'Size Options'!$A$2:$A$4408</definedName>
    <definedName name="Sizes">'Size Options'!$A$2:$B$4408</definedName>
    <definedName name="Sub_Cat">#REF!</definedName>
    <definedName name="Colors">'Color Mapping'!$A$1:$A$15</definedName>
    <definedName hidden="1" localSheetId="14" name="_xlnm._FilterDatabase">Sheet3!$A$1:$C$154</definedName>
    <definedName hidden="1" localSheetId="11" name="Z_951D2792_6892_475E_AF8F_8DBD6C0C9323_.wvu.FilterData">Options!$A$1:$D$701</definedName>
    <definedName hidden="1" localSheetId="12" name="Z_E260FBA5_1148_48BC_96F1_0F63125E9F7B_.wvu.FilterData">'Size Options'!$A$1:$B$4408</definedName>
  </definedNames>
  <calcPr/>
  <customWorkbookViews>
    <customWorkbookView activeSheetId="0" maximized="1" windowHeight="0" windowWidth="0" guid="{951D2792-6892-475E-AF8F-8DBD6C0C9323}" name="Table_1 filter view"/>
    <customWorkbookView activeSheetId="0" maximized="1" windowHeight="0" windowWidth="0" guid="{E260FBA5-1148-48BC-96F1-0F63125E9F7B}" name="Table2 filter view"/>
  </customWorkbookViews>
  <extLst>
    <ext uri="GoogleSheetsCustomDataVersion2">
      <go:sheetsCustomData xmlns:go="http://customooxmlschemas.google.com/" r:id="rId20" roundtripDataChecksum="XL+9YZVsNuWE7rF42OA9auyy+WaCWitdehu6yJEU25Y="/>
    </ext>
  </extLst>
</workbook>
</file>

<file path=xl/sharedStrings.xml><?xml version="1.0" encoding="utf-8"?>
<sst xmlns="http://schemas.openxmlformats.org/spreadsheetml/2006/main" count="47249" uniqueCount="3960">
  <si>
    <t>GETTING STARTED</t>
  </si>
  <si>
    <t>Bulk Upload is an advanced listing management tool that allows you to create and manage listings in bulk on Poshmark faster and more efficiently than ever before.</t>
  </si>
  <si>
    <t>If this is your first time, begin by using this spreadsheet to create a couple of Draft listings to begin, and review the listing details to ensure they’re appearing as desired. </t>
  </si>
  <si>
    <r>
      <rPr>
        <rFont val="Arial"/>
        <b/>
        <color rgb="FF000000"/>
        <sz val="11.0"/>
        <u/>
      </rPr>
      <t>List More:</t>
    </r>
    <r>
      <rPr>
        <rFont val="Arial"/>
        <b val="0"/>
        <color rgb="FF000000"/>
        <sz val="11.0"/>
        <u/>
      </rPr>
      <t xml:space="preserve"> Inventory sitting around that you haven’t gotten around to listing? With Bulk Upload, you can list more inventory utilizing spreadsheets to create multiple listings at once.</t>
    </r>
  </si>
  <si>
    <t>s</t>
  </si>
  <si>
    <r>
      <rPr>
        <rFont val="Arial"/>
        <b/>
        <color rgb="FF000000"/>
        <sz val="11.0"/>
        <u/>
      </rPr>
      <t>List Faster:</t>
    </r>
    <r>
      <rPr>
        <rFont val="Arial"/>
        <b val="0"/>
        <color rgb="FF000000"/>
        <sz val="11.0"/>
        <u/>
      </rPr>
      <t xml:space="preserve"> You no longer have to copy and paste your listing details into our Single Listing Creation form. With Bulk Upload, you can quickly copy your listing details into our spreadsheet templates.</t>
    </r>
  </si>
  <si>
    <t>If you’re creating multiple listings with similar listing details, replicate the listing details in multiple cells easily using Excel’s copy and drag features.</t>
  </si>
  <si>
    <r>
      <rPr>
        <rFont val="Arial"/>
        <b/>
        <color rgb="FF000000"/>
        <sz val="11.0"/>
        <u/>
      </rPr>
      <t>Inventory Management:</t>
    </r>
    <r>
      <rPr>
        <rFont val="Arial"/>
        <b val="0"/>
        <color rgb="FF000000"/>
        <sz val="11.0"/>
        <u/>
      </rPr>
      <t xml:space="preserve"> You can use the same file to action listings by simply adding new listings into your existing file. Listings that already exist in your closet will not be duplicated.</t>
    </r>
  </si>
  <si>
    <t>This way, your file can act as a spreadsheet version of your closet, used to manage and track all your listings.</t>
  </si>
  <si>
    <t>GUIDELINES</t>
  </si>
  <si>
    <r>
      <rPr>
        <rFont val="Arial"/>
        <color rgb="FF000000"/>
        <sz val="11.0"/>
      </rPr>
      <t xml:space="preserve">1. When creating new listings or editing existing ones, all columns in </t>
    </r>
    <r>
      <rPr>
        <rFont val="Arial"/>
        <b/>
        <color rgb="FFD57D77"/>
        <sz val="11.0"/>
      </rPr>
      <t>red</t>
    </r>
    <r>
      <rPr>
        <rFont val="Arial"/>
        <color rgb="FF000000"/>
        <sz val="11.0"/>
      </rPr>
      <t xml:space="preserve"> are required. Required fields indicate the baseline values needed to create or edit listings.</t>
    </r>
  </si>
  <si>
    <t>Tip: Download My Inventory Report to quickly populate many of the listing details for existing listings in your closet.</t>
  </si>
  <si>
    <t>2. Some fields will have dropdown menus to select from and some fields will be free form text. For the fields with free form text, please take note of character and symbol limitations noted on the legend below.</t>
  </si>
  <si>
    <t>3. Each row of the spreadsheet equates to one size of the listing.</t>
  </si>
  <si>
    <t>4. We determine whether you are intending to Create new listings or Edit existing ones based on the SKU value in column A.</t>
  </si>
  <si>
    <t>4a. If the SKU does not exist in your closet, we will create a new listing with the given listing details.</t>
  </si>
  <si>
    <t>4b. If the SKU input matches the SKU of an existing listing in your closet, we will edit that listing to match to new listing details provided in your most recent file upload.</t>
  </si>
  <si>
    <t>Note: Each listing in your closet should have a unique SKU. Duplicate SKUs will result in an error and we will be unable to process your file. SKUs must be unique across all listings in your closet and all sizes within each listing.</t>
  </si>
  <si>
    <t>5. Creating Listings</t>
  </si>
  <si>
    <t>5a. To create a new listing, simply input a SKU in Column A that does not currently exist in your closet.</t>
  </si>
  <si>
    <t>6. Editing Listings</t>
  </si>
  <si>
    <t>6a. Listings must have an existing SKU in order to Edit them using Bulk Upload. Please add a SKU to existing listings in our Single Listing Creation form on app or web using the 'Listing Sku' field for single item listings or the 'Item Sku' field for multi-item listings.</t>
  </si>
  <si>
    <t>6b. You can edit listing details, the SKU itself, or the quantity of individual sizes within a listing (see how to upload variants below for multi-item listings). Simply update the listing detail fields you would like to change with your new data for each listing.</t>
  </si>
  <si>
    <t>6c. When editing listings, any Optional columns left blank will result in the deletion of that field from your listing.</t>
  </si>
  <si>
    <t>6d. When editing multi-item listings, the Parent variant and all existing Child variants must be included. For example, if an existing listing includes S, M, L, all sizes and corresponding listing details will need to be input into the file in addition to the desired new sizes.</t>
  </si>
  <si>
    <t>BULK UPLOAD INSTRUCTIONS</t>
  </si>
  <si>
    <t>1. Save a copy of this file to your computer to begin. You can use this template to create new listings or update details for existing listings.</t>
  </si>
  <si>
    <t>2. Once you have filled out the Listing Details tab, go to File &gt; Save As, name your completed file, and save it as a .csv.</t>
  </si>
  <si>
    <t>3. Return to https://www.poshmark.com/bulk-upload-create on your computer to upload your saved file and action your listings.</t>
  </si>
  <si>
    <t>4. You will receive an email notification once the template has completed processing. Once processed, you can visit your Manage Listings page to reference and fix any error messages as needed.</t>
  </si>
  <si>
    <t>5. If applicable, download your Error Report to view corrections needed for unssuccessful listings. Correct the errors directly in your saved file, then re-upload the file to submit any error corrections.</t>
  </si>
  <si>
    <t>Additional resources are available in our Support Center.</t>
  </si>
  <si>
    <t>See How to Use Bulk Upload for a full guide or How to Use Bulk Upload Templates for a step-by-step guide.</t>
  </si>
  <si>
    <t>HOW TO UPLOAD PHOTOS</t>
  </si>
  <si>
    <t>Photos in an Online Cloud</t>
  </si>
  <si>
    <t>This template is used if your listing photos are stored in an online cloud. To add photos in this format, take the following actions:</t>
  </si>
  <si>
    <t>1. Input the images publicly accessible URL (beginning with https://) into the specified spreadsheet column.</t>
  </si>
  <si>
    <t>2. Save and upload this completed file in the Upload Files section of Bulk Upload.</t>
  </si>
  <si>
    <t>Photo requirements:</t>
  </si>
  <si>
    <t>Public URL only</t>
  </si>
  <si>
    <t>The photo URL needs to start with the hypertext https:// and end with a file extension like .jpg or .png.</t>
  </si>
  <si>
    <t>URL must point to a downloadable image (vs. image folder location)</t>
  </si>
  <si>
    <t>Additional Option: Photos to Draft Only</t>
  </si>
  <si>
    <t>If you prefer uploading images individually or from your phone, take these actions:</t>
  </si>
  <si>
    <r>
      <rPr>
        <rFont val="Arial"/>
        <color rgb="FF000000"/>
        <sz val="11.0"/>
      </rPr>
      <t>1.</t>
    </r>
    <r>
      <rPr>
        <rFont val="Arial"/>
        <b/>
        <color rgb="FF000000"/>
        <sz val="11.0"/>
      </rPr>
      <t xml:space="preserve"> </t>
    </r>
    <r>
      <rPr>
        <rFont val="Arial"/>
        <color rgb="FF000000"/>
        <sz val="11.0"/>
      </rPr>
      <t xml:space="preserve">Input all listing details (excluding Primary Image) then select the item Availability as </t>
    </r>
    <r>
      <rPr>
        <rFont val="Arial"/>
        <i/>
        <color rgb="FF000000"/>
        <sz val="11.0"/>
      </rPr>
      <t>Draft.</t>
    </r>
  </si>
  <si>
    <r>
      <rPr>
        <rFont val="Arial"/>
        <b/>
        <color rgb="FF000000"/>
        <sz val="11.0"/>
      </rPr>
      <t>Note:</t>
    </r>
    <r>
      <rPr>
        <rFont val="Arial"/>
        <color rgb="FF000000"/>
        <sz val="11.0"/>
      </rPr>
      <t xml:space="preserve"> SKU, Department, Category, Size, and Quantity are the only Required columns if Draft is selected</t>
    </r>
  </si>
  <si>
    <t>3. Once the file has completed processing, Drafts can be actioned individually via Bulk Upload or from Single Listing Creation on any preferred device.</t>
  </si>
  <si>
    <r>
      <rPr>
        <rFont val="Arial"/>
        <b/>
        <color rgb="FF000000"/>
        <sz val="11.0"/>
      </rPr>
      <t>Note:</t>
    </r>
    <r>
      <rPr>
        <rFont val="Arial"/>
        <color rgb="FF000000"/>
        <sz val="11.0"/>
      </rPr>
      <t xml:space="preserve"> Remember to delete the default placeholder image we've put in your Drafts and replace with your photo’s Covershot and Alt Images</t>
    </r>
  </si>
  <si>
    <t>HOW TO UPLOAD VARIANTS</t>
  </si>
  <si>
    <t>When you want to list items with multiple sizes, you can create listings that include these size variations by using Variant Groups. A Variant Group houses like-listings on the same listing detail page.</t>
  </si>
  <si>
    <t>To add additional sizes or update quantities of an existing Variant Group, you must provide all existing child item SKUs and listing details, in addition to the new sizes you'd like to create</t>
  </si>
  <si>
    <t>Variants will need three different inputs from you:</t>
  </si>
  <si>
    <r>
      <rPr>
        <rFont val="Arial"/>
        <b/>
        <color rgb="FF000000"/>
        <sz val="11.0"/>
      </rPr>
      <t xml:space="preserve">VariantGroupID: </t>
    </r>
    <r>
      <rPr>
        <rFont val="Arial"/>
        <b val="0"/>
        <color rgb="FF000000"/>
        <sz val="11.0"/>
      </rPr>
      <t xml:space="preserve">A Variant Group ID is the individual identifier for the group of items that are part of the same variant family. This is similar to a </t>
    </r>
    <r>
      <rPr>
        <rFont val="Arial"/>
        <b val="0"/>
        <i/>
        <color rgb="FF000000"/>
        <sz val="11.0"/>
      </rPr>
      <t>SKU</t>
    </r>
    <r>
      <rPr>
        <rFont val="Arial"/>
        <b val="0"/>
        <color rgb="FF000000"/>
        <sz val="11.0"/>
      </rPr>
      <t>, but applies to all the variations in the listing, and tells Poshmark what items should be grouped on the same detail page.</t>
    </r>
  </si>
  <si>
    <t>In the Single Listing creation form, this is called Listing Sku</t>
  </si>
  <si>
    <r>
      <rPr>
        <rFont val="Arial"/>
        <b/>
        <color rgb="FF000000"/>
        <sz val="11.0"/>
      </rPr>
      <t>VariantType:</t>
    </r>
    <r>
      <rPr>
        <rFont val="Arial"/>
        <color rgb="FF000000"/>
        <sz val="11.0"/>
      </rPr>
      <t xml:space="preserve"> A Variant Type is a differentiator between a Parent listing and a Child listing. All Parent and Child rows to be grouped into a single listing should contain the same VariantGroupID.</t>
    </r>
  </si>
  <si>
    <r>
      <rPr>
        <rFont val="Arial"/>
        <color rgb="FF000000"/>
        <sz val="11.0"/>
        <u/>
      </rPr>
      <t>Parent Row:</t>
    </r>
    <r>
      <rPr>
        <rFont val="Arial"/>
        <color rgb="FF000000"/>
        <sz val="11.0"/>
      </rPr>
      <t xml:space="preserve"> Indicate the first desired size of the listing as Parent, and the remaining sizes as Child. The Parent row contains listing details that apply to all size variations in the listing (e.g., Title, Description, Listing Price, etc). Do not add any of this information to your child rows.</t>
    </r>
  </si>
  <si>
    <r>
      <rPr>
        <rFont val="Arial"/>
        <color rgb="FF000000"/>
        <sz val="11.0"/>
        <u/>
      </rPr>
      <t>Child Rows:</t>
    </r>
    <r>
      <rPr>
        <rFont val="Arial"/>
        <color rgb="FF000000"/>
        <sz val="11.0"/>
      </rPr>
      <t xml:space="preserve"> Child rows must begin directly underneath each Parent row. Child rows house attributes specific to that size only (i.e., Size, Quantity, SKU).</t>
    </r>
  </si>
  <si>
    <r>
      <rPr>
        <rFont val="Arial"/>
        <b/>
        <color rgb="FF000000"/>
        <sz val="11.0"/>
      </rPr>
      <t xml:space="preserve">VariantAttribute: </t>
    </r>
    <r>
      <rPr>
        <rFont val="Arial"/>
        <b val="0"/>
        <color rgb="FF000000"/>
        <sz val="11.0"/>
      </rPr>
      <t>Enter "Size" In VariantAttribute for the Parent listing. Size is the only option currently available at this time. Leave this field blank for all Child rows.</t>
    </r>
  </si>
  <si>
    <r>
      <rPr>
        <rFont val="Arial"/>
        <b/>
        <color rgb="FF000000"/>
        <sz val="11.0"/>
      </rPr>
      <t>See Table 1.1</t>
    </r>
    <r>
      <rPr>
        <rFont val="Arial"/>
        <color rgb="FF000000"/>
        <sz val="11.0"/>
      </rPr>
      <t xml:space="preserve"> for an example of how to properly set up multi-sized listings.</t>
    </r>
  </si>
  <si>
    <t>Table 1.1</t>
  </si>
  <si>
    <t>SKU</t>
  </si>
  <si>
    <t>Title</t>
  </si>
  <si>
    <t>Quantity </t>
  </si>
  <si>
    <t>Size</t>
  </si>
  <si>
    <t>VariantGroupID</t>
  </si>
  <si>
    <t>VariantType</t>
  </si>
  <si>
    <t>VariantAttribute</t>
  </si>
  <si>
    <r>
      <rPr>
        <rFont val="Arial"/>
        <i/>
        <color theme="1"/>
        <sz val="10.0"/>
      </rPr>
      <t>(Required)</t>
    </r>
    <r>
      <rPr>
        <rFont val="Arial"/>
        <color theme="1"/>
        <sz val="10.0"/>
      </rPr>
      <t xml:space="preserve">
Unique SKU per size
(you create this!)</t>
    </r>
  </si>
  <si>
    <r>
      <rPr>
        <rFont val="Arial"/>
        <i/>
        <color theme="1"/>
        <sz val="10.0"/>
      </rPr>
      <t>(Required)</t>
    </r>
    <r>
      <rPr>
        <rFont val="Arial"/>
        <color theme="1"/>
        <sz val="10.0"/>
      </rPr>
      <t xml:space="preserve">
What are you selling? </t>
    </r>
  </si>
  <si>
    <r>
      <rPr>
        <rFont val="Arial"/>
        <i/>
        <color theme="1"/>
        <sz val="10.0"/>
      </rPr>
      <t>(Required)</t>
    </r>
    <r>
      <rPr>
        <rFont val="Arial"/>
        <color theme="1"/>
        <sz val="10.0"/>
      </rPr>
      <t xml:space="preserve">
How many? Specific to the size listed</t>
    </r>
  </si>
  <si>
    <r>
      <rPr>
        <rFont val="Arial"/>
        <i/>
        <color theme="1"/>
        <sz val="10.0"/>
      </rPr>
      <t xml:space="preserve">(Required)
</t>
    </r>
    <r>
      <rPr>
        <rFont val="Arial"/>
        <color theme="1"/>
        <sz val="10.0"/>
      </rPr>
      <t>Select from dropdown
Item sizing? Each row is a unique size</t>
    </r>
  </si>
  <si>
    <t>Required for multi-item listings
Also known as Listing SKU, is consistent across Variant</t>
  </si>
  <si>
    <t>Required for multi-item listings
Select from dropdown</t>
  </si>
  <si>
    <t>Use for multi-item listings
Select from dropdown</t>
  </si>
  <si>
    <t>BLUEPANT00S</t>
  </si>
  <si>
    <t>High Waisted Relaxed Fit Jean</t>
  </si>
  <si>
    <t>S</t>
  </si>
  <si>
    <t>BLUPNT001</t>
  </si>
  <si>
    <t>Parent</t>
  </si>
  <si>
    <t>BLUEPANT00M</t>
  </si>
  <si>
    <t>M</t>
  </si>
  <si>
    <t>Child</t>
  </si>
  <si>
    <t>BLUEPANT00L</t>
  </si>
  <si>
    <t>L</t>
  </si>
  <si>
    <t>BLUEPANT00XL</t>
  </si>
  <si>
    <t>XL</t>
  </si>
  <si>
    <t>LEGEND</t>
  </si>
  <si>
    <t>Attribute</t>
  </si>
  <si>
    <t>Possible values</t>
  </si>
  <si>
    <t>Description</t>
  </si>
  <si>
    <r>
      <rPr>
        <rFont val="Arial"/>
        <b/>
        <color theme="1"/>
        <sz val="12.0"/>
      </rPr>
      <t xml:space="preserve">SKU
</t>
    </r>
    <r>
      <rPr>
        <rFont val="Arial"/>
        <b/>
        <i/>
        <color theme="1"/>
        <sz val="12.0"/>
      </rPr>
      <t>Required</t>
    </r>
    <r>
      <rPr>
        <rFont val="Arial"/>
        <b/>
        <color theme="1"/>
        <sz val="12.0"/>
      </rPr>
      <t xml:space="preserve">
</t>
    </r>
    <r>
      <rPr>
        <rFont val="Arial"/>
        <b val="0"/>
        <color theme="1"/>
        <sz val="12.0"/>
      </rPr>
      <t>500 Character Limit Max
4 Character Limit Min</t>
    </r>
  </si>
  <si>
    <t xml:space="preserve">TTL-0004-3333
BLUEPANT012
</t>
  </si>
  <si>
    <t>A stock-keeping unit (SKU) is a product identifier for a specific item. SKUs have to be unique to each item.</t>
  </si>
  <si>
    <r>
      <rPr>
        <rFont val="Arial"/>
        <b/>
        <color theme="1"/>
        <sz val="12.0"/>
      </rPr>
      <t xml:space="preserve">ProductID
</t>
    </r>
    <r>
      <rPr>
        <rFont val="Arial"/>
        <b val="0"/>
        <color theme="1"/>
        <sz val="12.0"/>
      </rPr>
      <t>14 Character Limit Max</t>
    </r>
  </si>
  <si>
    <t>194610749753
00614141000012</t>
  </si>
  <si>
    <t>UPCs and GTINs are found on the item tag and are created by original manufacturer. Either a UPC or a GTIN can be provided.</t>
  </si>
  <si>
    <r>
      <rPr>
        <rFont val="Arial"/>
        <b/>
        <color theme="1"/>
        <sz val="12.0"/>
      </rPr>
      <t xml:space="preserve">Title
</t>
    </r>
    <r>
      <rPr>
        <rFont val="Arial"/>
        <b/>
        <i/>
        <color theme="1"/>
        <sz val="12.0"/>
      </rPr>
      <t>Required</t>
    </r>
    <r>
      <rPr>
        <rFont val="Arial"/>
        <b/>
        <color theme="1"/>
        <sz val="12.0"/>
      </rPr>
      <t xml:space="preserve">
</t>
    </r>
    <r>
      <rPr>
        <rFont val="Arial"/>
        <b val="0"/>
        <color theme="1"/>
        <sz val="12.0"/>
      </rPr>
      <t xml:space="preserve">
80 Character Limit Max</t>
    </r>
  </si>
  <si>
    <t>Poshmark Fashion Gold Beaded Cocktail Dress (S)</t>
  </si>
  <si>
    <t>Share key details about what you're selling like Brand, Size, and Color.</t>
  </si>
  <si>
    <r>
      <rPr>
        <rFont val="Arial"/>
        <b/>
        <color theme="1"/>
        <sz val="12.0"/>
      </rPr>
      <t xml:space="preserve">Description
</t>
    </r>
    <r>
      <rPr>
        <rFont val="Arial"/>
        <b/>
        <i/>
        <color theme="1"/>
        <sz val="12.0"/>
      </rPr>
      <t>Required</t>
    </r>
    <r>
      <rPr>
        <rFont val="Arial"/>
        <b/>
        <color theme="1"/>
        <sz val="12.0"/>
      </rPr>
      <t xml:space="preserve">
</t>
    </r>
    <r>
      <rPr>
        <rFont val="Arial"/>
        <b val="0"/>
        <color theme="1"/>
        <sz val="12.0"/>
      </rPr>
      <t>1500 Character Limit Max</t>
    </r>
    <r>
      <rPr>
        <rFont val="Arial"/>
        <b/>
        <color theme="1"/>
        <sz val="12.0"/>
      </rPr>
      <t xml:space="preserve">
</t>
    </r>
  </si>
  <si>
    <t>This little number is so stunning in person. It will be a great piece to have once party season picks up again! 
There are some stains in the lining, it is hardly noticeable. Please refer to photos, price adjusted accordingly.</t>
  </si>
  <si>
    <t xml:space="preserve">Tell shoppers about your listing by describing the Brand, Size, Color, Condition, Material, and any other noteworthy details.
To create a blank line, you must enter a newline directly into the cell. No special characters or html accepted. See possible values for example.
</t>
  </si>
  <si>
    <r>
      <rPr>
        <rFont val="Arial"/>
        <b/>
        <color theme="1"/>
        <sz val="12.0"/>
      </rPr>
      <t xml:space="preserve">Department
</t>
    </r>
    <r>
      <rPr>
        <rFont val="Arial"/>
        <b/>
        <i/>
        <color theme="1"/>
        <sz val="12.0"/>
      </rPr>
      <t>Required</t>
    </r>
  </si>
  <si>
    <t>Women
Men</t>
  </si>
  <si>
    <t>Add the department that your item falls into.</t>
  </si>
  <si>
    <r>
      <rPr>
        <rFont val="Arial"/>
        <b/>
        <color theme="1"/>
        <sz val="12.0"/>
      </rPr>
      <t xml:space="preserve">Category
</t>
    </r>
    <r>
      <rPr>
        <rFont val="Arial"/>
        <b/>
        <i/>
        <color theme="1"/>
        <sz val="12.0"/>
      </rPr>
      <t>Required</t>
    </r>
  </si>
  <si>
    <t>Women Accessories
Men Shoes</t>
  </si>
  <si>
    <t>Add details about what your item is to help your buyers find your item quickly.</t>
  </si>
  <si>
    <t>Sub-Category</t>
  </si>
  <si>
    <t>Womens Accessories Hats
Mens Shoes Boots</t>
  </si>
  <si>
    <t xml:space="preserve">Add further details about the type of sub-category that your item best fits in. </t>
  </si>
  <si>
    <r>
      <rPr>
        <rFont val="Arial"/>
        <b/>
        <color theme="1"/>
        <sz val="12.0"/>
      </rPr>
      <t xml:space="preserve">Quantity
</t>
    </r>
    <r>
      <rPr>
        <rFont val="Arial"/>
        <b/>
        <i/>
        <color theme="1"/>
        <sz val="12.0"/>
      </rPr>
      <t>Required</t>
    </r>
  </si>
  <si>
    <t>Share how many units of the item that you have available. The quantity is specific to the size listed and each row should equate to one size. If you have 3 of the exact same skirts in the same size, then this number would be 3.</t>
  </si>
  <si>
    <r>
      <rPr>
        <rFont val="Arial"/>
        <b/>
        <color theme="1"/>
        <sz val="12.0"/>
      </rPr>
      <t xml:space="preserve">Size
</t>
    </r>
    <r>
      <rPr>
        <rFont val="Arial"/>
        <b/>
        <i/>
        <color theme="1"/>
        <sz val="12.0"/>
      </rPr>
      <t>Required</t>
    </r>
    <r>
      <rPr>
        <rFont val="Arial"/>
        <b/>
        <color theme="1"/>
        <sz val="12.0"/>
      </rPr>
      <t xml:space="preserve">
</t>
    </r>
  </si>
  <si>
    <t xml:space="preserve">S
M
L
</t>
  </si>
  <si>
    <r>
      <rPr>
        <rFont val="Arial"/>
        <color theme="1"/>
        <sz val="12.0"/>
      </rPr>
      <t xml:space="preserve">Select sizes appropriate for your products' market, category, and sub-category from the size dropdown on the </t>
    </r>
    <r>
      <rPr>
        <rFont val="Arial"/>
        <color rgb="FF1155CC"/>
        <sz val="12.0"/>
        <u/>
      </rPr>
      <t>create listing</t>
    </r>
    <r>
      <rPr>
        <rFont val="Arial"/>
        <color theme="1"/>
        <sz val="12.0"/>
      </rPr>
      <t xml:space="preserve"> page and enter the corresponding value in this spreadsheet.
Custom sizes can be entered but should only be used sparingly.</t>
    </r>
  </si>
  <si>
    <r>
      <rPr>
        <rFont val="Arial"/>
        <b/>
        <color theme="1"/>
        <sz val="12.0"/>
      </rPr>
      <t xml:space="preserve">Condition
</t>
    </r>
    <r>
      <rPr>
        <rFont val="Arial"/>
        <b/>
        <i/>
        <color theme="1"/>
        <sz val="12.0"/>
      </rPr>
      <t>Required</t>
    </r>
  </si>
  <si>
    <t>NWT
Like New
Good 
Fair</t>
  </si>
  <si>
    <t xml:space="preserve">Condition signifies the state of the item at the time of listing creation.
New With Tags (NWT): Brand new with original tags or packaging
Like New: New without tags or like new
Good: Gently used with minimal signs of wear, to note in description or photos
Fair: Clearly used with visible wear, to note in description or photos
</t>
  </si>
  <si>
    <t>Brand</t>
  </si>
  <si>
    <t>Poshmark Fashion</t>
  </si>
  <si>
    <t>Add details about who produced the item to help your buyers find your item quickly.</t>
  </si>
  <si>
    <t>Color (1-2)</t>
  </si>
  <si>
    <t>Blue
Red</t>
  </si>
  <si>
    <t>Select up to two colors via the dropdown. One color per column.</t>
  </si>
  <si>
    <r>
      <rPr>
        <rFont val="Arial"/>
        <b/>
        <color theme="1"/>
        <sz val="12.0"/>
      </rPr>
      <t xml:space="preserve">VariantGroupID
</t>
    </r>
    <r>
      <rPr>
        <rFont val="Arial"/>
        <b val="0"/>
        <i/>
        <color theme="1"/>
        <sz val="12.0"/>
      </rPr>
      <t xml:space="preserve">50 Character Limit Max
</t>
    </r>
    <r>
      <rPr>
        <rFont val="Arial"/>
        <b/>
        <color theme="1"/>
        <sz val="12.0"/>
      </rPr>
      <t xml:space="preserve">
VariantType
VariantAttribute</t>
    </r>
  </si>
  <si>
    <t>VariantGroupID: RedDressGR1
VariantType: Parent
VariantAttribute: Size
VariantGroupID: RedDressGR1
VariantType: Child</t>
  </si>
  <si>
    <t>For creating a listing with multiple size variations, there will be a parent-child relationship for the following fields:
VariantGroupID
VariantType
VariantAttribute
See specific directions above in the HOW TO UPLOAD VARIANTS section and examples in Table 1.1</t>
  </si>
  <si>
    <r>
      <rPr>
        <rFont val="Arial"/>
        <b/>
        <color theme="1"/>
        <sz val="12.0"/>
      </rPr>
      <t xml:space="preserve">Style Tag (1-3)
</t>
    </r>
    <r>
      <rPr>
        <rFont val="Arial"/>
        <b val="0"/>
        <i/>
        <color theme="1"/>
        <sz val="12.0"/>
      </rPr>
      <t>25 Character Limit Max</t>
    </r>
  </si>
  <si>
    <t>90's
A-Line
Abstract
Acrylic
Animal Print
Art Deco</t>
  </si>
  <si>
    <t xml:space="preserve">Make it easy for buyers to find your listings by selecting or creating up to 3 tags to describe your item (aesthetic, material, style, etc.). Buyers will be able to search and browse our catalog using style tags.
Style tags are alphanumeric text strings that can include the following special characters: 
'    apostrophe
-    Dash (Hyphen-Minus)
&amp;   Ampersand
     Space
</t>
  </si>
  <si>
    <r>
      <rPr>
        <rFont val="Arial"/>
        <b/>
        <color theme="1"/>
        <sz val="12.0"/>
      </rPr>
      <t xml:space="preserve">Original Price
</t>
    </r>
    <r>
      <rPr>
        <rFont val="Arial"/>
        <b/>
        <i/>
        <color theme="1"/>
        <sz val="12.0"/>
      </rPr>
      <t>Required</t>
    </r>
  </si>
  <si>
    <t>The original price of the item when first purchased. Please round pricing to whole dollar amounts (no decimals), i.e. whole USD</t>
  </si>
  <si>
    <r>
      <rPr>
        <rFont val="Arial"/>
        <b/>
        <color theme="1"/>
        <sz val="12.0"/>
      </rPr>
      <t xml:space="preserve">Listing Price
</t>
    </r>
    <r>
      <rPr>
        <rFont val="Arial"/>
        <b/>
        <i/>
        <color theme="1"/>
        <sz val="12.0"/>
      </rPr>
      <t>Required</t>
    </r>
    <r>
      <rPr>
        <rFont val="Arial"/>
        <b/>
        <color theme="1"/>
        <sz val="12.0"/>
      </rPr>
      <t xml:space="preserve">
</t>
    </r>
  </si>
  <si>
    <r>
      <rPr>
        <rFont val="Arial"/>
        <color rgb="FF000000"/>
        <sz val="12.0"/>
      </rPr>
      <t xml:space="preserve">The price you want to list the item at. Please round pricing to whole amounts, i.e. </t>
    </r>
    <r>
      <rPr>
        <rFont val="Arial"/>
        <i/>
        <color rgb="FF000000"/>
        <sz val="12.0"/>
      </rPr>
      <t>whole USD</t>
    </r>
  </si>
  <si>
    <t>Shipping Discount</t>
  </si>
  <si>
    <t>&lt;blank&gt;
4.99
FREE</t>
  </si>
  <si>
    <t xml:space="preserve">PoshPost allows for items to be shipped with a prepaid label via USPS. Buyers pay a flat fee for shipping. Sellers have the option to include discounted shipping. Standard shipping rate applies if this column is left blank. </t>
  </si>
  <si>
    <r>
      <rPr>
        <rFont val="Arial"/>
        <b/>
        <color theme="1"/>
        <sz val="12.0"/>
      </rPr>
      <t xml:space="preserve">Availability
</t>
    </r>
    <r>
      <rPr>
        <rFont val="Arial"/>
        <b/>
        <i/>
        <color theme="1"/>
        <sz val="12.0"/>
      </rPr>
      <t>Required</t>
    </r>
    <r>
      <rPr>
        <rFont val="Arial"/>
        <b/>
        <color theme="1"/>
        <sz val="12.0"/>
      </rPr>
      <t xml:space="preserve">
</t>
    </r>
  </si>
  <si>
    <t>For Sale 
Not for Sale 
Drops 
Draft</t>
  </si>
  <si>
    <r>
      <rPr>
        <rFont val="Arial"/>
        <color theme="1"/>
        <sz val="12.0"/>
      </rPr>
      <t xml:space="preserve">Select the availabilty of the listing that you would like at the time of publish. 
If "For Sale", "Not for Sale", or "Drops" is selected, items will immediately appear in your closet if no errors occur during item setup.
If "Drops" is selected, "Drop time" becomes a required attribute and indicated the time that the item should become available for purchase. 
If "Draft" is selected, items will be setup as "Draft" listings. Selecting Draft allows you to review your new listings before manually publishing them to your closet. You can find your draft folder on the </t>
    </r>
    <r>
      <rPr>
        <rFont val="Arial"/>
        <color rgb="FF1155CC"/>
        <sz val="12.0"/>
        <u/>
      </rPr>
      <t>create listing</t>
    </r>
    <r>
      <rPr>
        <rFont val="Arial"/>
        <color theme="1"/>
        <sz val="12.0"/>
      </rPr>
      <t xml:space="preserve"> page. 
Please note that if you prefer to upload images from mobile or at a later time, you would choose "Draft" as the availability. Once saved and uploaded to drafts, you can upload individually from your device. 
</t>
    </r>
  </si>
  <si>
    <r>
      <rPr>
        <rFont val="Arial"/>
        <b/>
        <color theme="1"/>
        <sz val="12.0"/>
      </rPr>
      <t xml:space="preserve">Drop time
</t>
    </r>
    <r>
      <rPr>
        <rFont val="Arial"/>
        <b/>
        <i/>
        <color theme="1"/>
        <sz val="12.0"/>
      </rPr>
      <t>Required when Drops selected for Availability</t>
    </r>
  </si>
  <si>
    <t>02/08/21 12 PM
02/08/21 12:30 PM</t>
  </si>
  <si>
    <t xml:space="preserve">If "Drops" is selected, enter the drop time for a "drops soon" listing to indicate the time that the item should become available for purchase. Drop time must be within 7 days from initial file upload.
MM/DD/YY HH:MM AM/PM (available in 30min increments only)
</t>
  </si>
  <si>
    <r>
      <rPr>
        <rFont val="Arial"/>
        <b/>
        <color theme="1"/>
        <sz val="12.0"/>
      </rPr>
      <t xml:space="preserve">Other Info
</t>
    </r>
    <r>
      <rPr>
        <rFont val="Arial"/>
        <b val="0"/>
        <i/>
        <color theme="1"/>
        <sz val="12.0"/>
      </rPr>
      <t xml:space="preserve">500 Character Limit Max </t>
    </r>
  </si>
  <si>
    <t xml:space="preserve">This is an opportunity to write yourself private notes about a specific item. This field is only visible to you on "edit listing" page.
Cells support plain text only, no bulleted list or text formatting. 
</t>
  </si>
  <si>
    <t xml:space="preserve">Copy Listing? </t>
  </si>
  <si>
    <t>Y
N</t>
  </si>
  <si>
    <t xml:space="preserve">Are you cloning or copying an existing listing? If copying, mark Y for yes or N for no. </t>
  </si>
  <si>
    <t>Update Existing SKU?</t>
  </si>
  <si>
    <t>Y</t>
  </si>
  <si>
    <t>Are you updating the SKU of an existing listing? Mark Y for yes.</t>
  </si>
  <si>
    <r>
      <rPr>
        <rFont val="Arial"/>
        <b/>
        <color theme="1"/>
        <sz val="12.0"/>
      </rPr>
      <t xml:space="preserve">New SKU
</t>
    </r>
    <r>
      <rPr>
        <rFont val="Arial"/>
        <b/>
        <i/>
        <color theme="1"/>
        <sz val="12.0"/>
      </rPr>
      <t>Required when Update Existing SKU is marked Y</t>
    </r>
    <r>
      <rPr>
        <rFont val="Arial"/>
        <b/>
        <color theme="1"/>
        <sz val="12.0"/>
      </rPr>
      <t xml:space="preserve">
</t>
    </r>
    <r>
      <rPr>
        <rFont val="Arial"/>
        <b val="0"/>
        <i/>
        <color theme="1"/>
        <sz val="12.0"/>
      </rPr>
      <t xml:space="preserve">500 Character Limit Max </t>
    </r>
  </si>
  <si>
    <t xml:space="preserve">Enter the new SKU you would like to update the existing listing to. As a reminder, a stock-keeping unit (SKU) is a product identifier for a specific item. SKUs have to be unique to each item. SKUs can contain only the following special characters:
-  Dash
</t>
  </si>
  <si>
    <r>
      <rPr>
        <rFont val="Arial"/>
        <b/>
        <color theme="1"/>
        <sz val="12.0"/>
      </rPr>
      <t xml:space="preserve">Primary Image 
</t>
    </r>
    <r>
      <rPr>
        <rFont val="Arial"/>
        <b/>
        <i/>
        <color theme="1"/>
        <sz val="12.0"/>
      </rPr>
      <t>Required when Availability is marked For Sale, Not for Sale, or Drops</t>
    </r>
    <r>
      <rPr>
        <rFont val="Arial"/>
        <b/>
        <color theme="1"/>
        <sz val="12.0"/>
      </rPr>
      <t xml:space="preserve">
</t>
    </r>
    <r>
      <rPr>
        <rFont val="Arial"/>
        <b val="0"/>
        <i/>
        <color theme="1"/>
        <sz val="12.0"/>
      </rPr>
      <t>400 Character Limit Max</t>
    </r>
  </si>
  <si>
    <t>https://di2ponv0v5otw.cloudfront.net/posts/2019/09/03/5d6ea243b146cc18281e18f6/m_5d6ea2627a81732d756feffc.jpg</t>
  </si>
  <si>
    <t>The Primary image is the Covershot for the listing.
DO have a clear view of the main product being sold
DO accurately display the entire product.
DO use a solid white or transparent background color.
DON’T use props that cover the product.
DON’T use a generic image, graphic, or illustration.
DON’T use an image with a border or watermark.
See image specific directions above in the HOW TO UPLOAD PHOTOS section.</t>
  </si>
  <si>
    <r>
      <rPr>
        <rFont val="Arial"/>
        <b/>
        <color theme="1"/>
        <sz val="12.0"/>
      </rPr>
      <t xml:space="preserve">Alt Image 1-15
</t>
    </r>
    <r>
      <rPr>
        <rFont val="Arial"/>
        <b val="0"/>
        <i/>
        <color theme="1"/>
        <sz val="12.0"/>
      </rPr>
      <t xml:space="preserve">400 Character Limit Max </t>
    </r>
  </si>
  <si>
    <t>https://di2ponv0v5otw.cloudfront.net/posts/2019/09/03/5d6ea243b146cc18281e18f6/m_5d6ea264248f7a5a12051247.jpg</t>
  </si>
  <si>
    <t>Option to add up to 15 alt images for each listing. Alt images should be supplemental to main images and should show different elements or details of the product. Alt image examples are the back, sides, and tags of the item. 
See image specific directions above in the HOW TO UPLOAD PHOTOS section.</t>
  </si>
  <si>
    <t>Department</t>
  </si>
  <si>
    <t>Category</t>
  </si>
  <si>
    <t>Subcategory</t>
  </si>
  <si>
    <t>Women</t>
  </si>
  <si>
    <t>Dresses</t>
  </si>
  <si>
    <t>Asymmetrical</t>
  </si>
  <si>
    <t>Backless</t>
  </si>
  <si>
    <t>High Low</t>
  </si>
  <si>
    <t>Long Sleeve</t>
  </si>
  <si>
    <t>Maxi</t>
  </si>
  <si>
    <t>Midi</t>
  </si>
  <si>
    <t>Mini</t>
  </si>
  <si>
    <t>One Shoulder</t>
  </si>
  <si>
    <t>Prom</t>
  </si>
  <si>
    <t>Strapless</t>
  </si>
  <si>
    <t>Wedding</t>
  </si>
  <si>
    <t>Skirts</t>
  </si>
  <si>
    <t>A-Line or Full</t>
  </si>
  <si>
    <t>Circle &amp; Skater</t>
  </si>
  <si>
    <t>Pencil</t>
  </si>
  <si>
    <t>Skirt Sets</t>
  </si>
  <si>
    <t>Jackets &amp; Coats</t>
  </si>
  <si>
    <t>Blazers &amp; Suit Jackets</t>
  </si>
  <si>
    <t>Bomber Jackets</t>
  </si>
  <si>
    <t>Capes</t>
  </si>
  <si>
    <t>Jean Jackets</t>
  </si>
  <si>
    <t>Leather Jackets</t>
  </si>
  <si>
    <t>Pea Coats</t>
  </si>
  <si>
    <t>Puffers</t>
  </si>
  <si>
    <t>Ski &amp; Snow Jackets</t>
  </si>
  <si>
    <t>Teddy Jackets</t>
  </si>
  <si>
    <t>Trench Coats</t>
  </si>
  <si>
    <t>Utility Jackets</t>
  </si>
  <si>
    <t>Varsity Jackets</t>
  </si>
  <si>
    <t>Vests</t>
  </si>
  <si>
    <t>Sweaters</t>
  </si>
  <si>
    <t>Cardigans</t>
  </si>
  <si>
    <t>Cowl &amp; Turtlenecks</t>
  </si>
  <si>
    <t>Crew &amp; Scoop Necks</t>
  </si>
  <si>
    <t>Off-the-Shoulder Sweaters</t>
  </si>
  <si>
    <t>Shrugs &amp; Ponchos</t>
  </si>
  <si>
    <t>V-Necks</t>
  </si>
  <si>
    <t>Tops</t>
  </si>
  <si>
    <t>Blouses</t>
  </si>
  <si>
    <t>Bodysuits</t>
  </si>
  <si>
    <t>Button Down Shirts</t>
  </si>
  <si>
    <t>Camisoles</t>
  </si>
  <si>
    <t>Crop Tops</t>
  </si>
  <si>
    <t>Jerseys</t>
  </si>
  <si>
    <t>Muscle Tees</t>
  </si>
  <si>
    <t>Sweatshirts &amp; Hoodies</t>
  </si>
  <si>
    <t>Tank Tops</t>
  </si>
  <si>
    <t>Tees - Long Sleeve</t>
  </si>
  <si>
    <t>Tees - Short Sleeve</t>
  </si>
  <si>
    <t>Tunics</t>
  </si>
  <si>
    <t>Jeans</t>
  </si>
  <si>
    <t>Ankle &amp; Cropped</t>
  </si>
  <si>
    <t>Boot Cut</t>
  </si>
  <si>
    <t>Boyfriend</t>
  </si>
  <si>
    <t>Flare &amp; Wide Leg</t>
  </si>
  <si>
    <t>High Rise</t>
  </si>
  <si>
    <t>Jeggings</t>
  </si>
  <si>
    <t>Overalls</t>
  </si>
  <si>
    <t>Skinny</t>
  </si>
  <si>
    <t>Straight Leg</t>
  </si>
  <si>
    <t>Pants &amp; Jumpsuits</t>
  </si>
  <si>
    <t>Boot Cut &amp; Flare</t>
  </si>
  <si>
    <t>Capris</t>
  </si>
  <si>
    <t>Jumpsuits &amp; Rompers</t>
  </si>
  <si>
    <t>Leggings</t>
  </si>
  <si>
    <t>Pantsuits</t>
  </si>
  <si>
    <t>Track Pants &amp; Joggers</t>
  </si>
  <si>
    <t>Trousers</t>
  </si>
  <si>
    <t>Wide Leg</t>
  </si>
  <si>
    <t>Shorts</t>
  </si>
  <si>
    <t>Athletic Shorts</t>
  </si>
  <si>
    <t>Bermudas</t>
  </si>
  <si>
    <t>Bike Shorts</t>
  </si>
  <si>
    <t>Cargos</t>
  </si>
  <si>
    <t>High Waist</t>
  </si>
  <si>
    <t>Jean Shorts</t>
  </si>
  <si>
    <t>Skorts</t>
  </si>
  <si>
    <t>Intimates &amp; Sleepwear</t>
  </si>
  <si>
    <t>Bandeaus</t>
  </si>
  <si>
    <t>Bras</t>
  </si>
  <si>
    <t>Chemises &amp; Slips</t>
  </si>
  <si>
    <t>Pajamas</t>
  </si>
  <si>
    <t>Panties</t>
  </si>
  <si>
    <t>Robes</t>
  </si>
  <si>
    <t>Shapewear</t>
  </si>
  <si>
    <t>Sports Bras</t>
  </si>
  <si>
    <t>Swim</t>
  </si>
  <si>
    <t>Bikinis</t>
  </si>
  <si>
    <t>Coverups</t>
  </si>
  <si>
    <t>One Pieces</t>
  </si>
  <si>
    <t>Sarongs</t>
  </si>
  <si>
    <t>Bags</t>
  </si>
  <si>
    <t>Baby Bags</t>
  </si>
  <si>
    <t>Backpacks</t>
  </si>
  <si>
    <t>Clutches &amp; Wristlets</t>
  </si>
  <si>
    <t>Cosmetic Bags &amp; Cases</t>
  </si>
  <si>
    <t>Crossbody Bags</t>
  </si>
  <si>
    <t>Hobos</t>
  </si>
  <si>
    <t>Laptop Bags</t>
  </si>
  <si>
    <t>Mini Bags</t>
  </si>
  <si>
    <t>Satchels</t>
  </si>
  <si>
    <t>Shoulder Bags</t>
  </si>
  <si>
    <t>Totes</t>
  </si>
  <si>
    <t>Travel Bags</t>
  </si>
  <si>
    <t>Wallets</t>
  </si>
  <si>
    <t>Shoes</t>
  </si>
  <si>
    <t>Ankle Boots &amp; Booties</t>
  </si>
  <si>
    <t>Athletic Shoes</t>
  </si>
  <si>
    <t>Combat &amp; Moto Boots</t>
  </si>
  <si>
    <t>Espadrilles</t>
  </si>
  <si>
    <t>Flats &amp; Loafers</t>
  </si>
  <si>
    <t>Heeled Boots</t>
  </si>
  <si>
    <t>Heels</t>
  </si>
  <si>
    <t>Lace Up Boots</t>
  </si>
  <si>
    <t>Moccasins</t>
  </si>
  <si>
    <t>Mules &amp; Clogs</t>
  </si>
  <si>
    <t>Over the Knee Boots</t>
  </si>
  <si>
    <t>Platforms</t>
  </si>
  <si>
    <t>Sandals</t>
  </si>
  <si>
    <t>Slippers</t>
  </si>
  <si>
    <t>Sneakers</t>
  </si>
  <si>
    <t>Wedges</t>
  </si>
  <si>
    <t>Winter &amp; Rain Boots</t>
  </si>
  <si>
    <t>Jewelry</t>
  </si>
  <si>
    <t>Bracelets</t>
  </si>
  <si>
    <t>Brooches</t>
  </si>
  <si>
    <t>Earrings</t>
  </si>
  <si>
    <t>Necklaces</t>
  </si>
  <si>
    <t>Rings</t>
  </si>
  <si>
    <t>Accessories</t>
  </si>
  <si>
    <t>Belts</t>
  </si>
  <si>
    <t>Face Masks</t>
  </si>
  <si>
    <t>Glasses</t>
  </si>
  <si>
    <t>Gloves &amp; Mittens</t>
  </si>
  <si>
    <t>Hair Accessories</t>
  </si>
  <si>
    <t>Hats</t>
  </si>
  <si>
    <t>Hosiery &amp; Socks</t>
  </si>
  <si>
    <t>Key &amp; Card Holders</t>
  </si>
  <si>
    <t>Laptop Cases</t>
  </si>
  <si>
    <t>Phone Cases</t>
  </si>
  <si>
    <t>Scarves &amp; Wraps</t>
  </si>
  <si>
    <t>Sunglasses</t>
  </si>
  <si>
    <t>Tablet Cases</t>
  </si>
  <si>
    <t>Umbrellas</t>
  </si>
  <si>
    <t>Watches</t>
  </si>
  <si>
    <t>Makeup</t>
  </si>
  <si>
    <t>Blush</t>
  </si>
  <si>
    <t>Bronzer &amp; Contour</t>
  </si>
  <si>
    <t>Brows</t>
  </si>
  <si>
    <t>Brushes &amp; Tools</t>
  </si>
  <si>
    <t>Concealer</t>
  </si>
  <si>
    <t>Eye Primer</t>
  </si>
  <si>
    <t>Eyeliner</t>
  </si>
  <si>
    <t>Eyeshadow</t>
  </si>
  <si>
    <t>Foundation</t>
  </si>
  <si>
    <t>Highlighter</t>
  </si>
  <si>
    <t>Lashes</t>
  </si>
  <si>
    <t>Lip Balm &amp; Gloss</t>
  </si>
  <si>
    <t>Lip Liner</t>
  </si>
  <si>
    <t>Lipstick</t>
  </si>
  <si>
    <t>Mascara</t>
  </si>
  <si>
    <t>Nail Tools</t>
  </si>
  <si>
    <t>Press-On Nails</t>
  </si>
  <si>
    <t>Primer</t>
  </si>
  <si>
    <t>Setting Powder &amp; Spray</t>
  </si>
  <si>
    <t>Skincare</t>
  </si>
  <si>
    <t>Acne &amp; Blemish</t>
  </si>
  <si>
    <t>Cleanser &amp; Exfoliant</t>
  </si>
  <si>
    <t>Eye Cream</t>
  </si>
  <si>
    <t>Makeup Remover</t>
  </si>
  <si>
    <t>Mask</t>
  </si>
  <si>
    <t>Moisturizer</t>
  </si>
  <si>
    <t>Peel</t>
  </si>
  <si>
    <t>Serum &amp; Face Oil</t>
  </si>
  <si>
    <t>Suncare</t>
  </si>
  <si>
    <t>Toner</t>
  </si>
  <si>
    <t>Tools</t>
  </si>
  <si>
    <t>Hair</t>
  </si>
  <si>
    <t>Color</t>
  </si>
  <si>
    <t>Conditioner</t>
  </si>
  <si>
    <t>Hairspray</t>
  </si>
  <si>
    <t>Heat Protectant</t>
  </si>
  <si>
    <t>Shampoo</t>
  </si>
  <si>
    <t>Styling</t>
  </si>
  <si>
    <t>Treatment &amp; Mask</t>
  </si>
  <si>
    <t>Wigs &amp; Extensions</t>
  </si>
  <si>
    <t>Bath &amp; Body</t>
  </si>
  <si>
    <t>Bath Soak &amp; Bubbles</t>
  </si>
  <si>
    <t>Body Wash</t>
  </si>
  <si>
    <t>Exfoliant &amp; Scrub</t>
  </si>
  <si>
    <t>Hair Removal</t>
  </si>
  <si>
    <t>Hand &amp; Foot Care</t>
  </si>
  <si>
    <t>Hand Soap</t>
  </si>
  <si>
    <t>Moisturizer &amp; Body Oil</t>
  </si>
  <si>
    <t>Suncare &amp; Tanning</t>
  </si>
  <si>
    <t>Men</t>
  </si>
  <si>
    <t>Cuff Links</t>
  </si>
  <si>
    <t>Gloves</t>
  </si>
  <si>
    <t>Money Clips</t>
  </si>
  <si>
    <t>Pocket Squares</t>
  </si>
  <si>
    <t>Scarves</t>
  </si>
  <si>
    <t>Suspenders</t>
  </si>
  <si>
    <t>Ties</t>
  </si>
  <si>
    <t>Belt Bags</t>
  </si>
  <si>
    <t>Briefcases</t>
  </si>
  <si>
    <t>Duffel Bags</t>
  </si>
  <si>
    <t>Luggage &amp; Travel Bags</t>
  </si>
  <si>
    <t>Messenger Bags</t>
  </si>
  <si>
    <t>Toiletry Bags</t>
  </si>
  <si>
    <t>Bomber &amp; Varsity</t>
  </si>
  <si>
    <t>Lightweight &amp; Shirt Jackets</t>
  </si>
  <si>
    <t>Military &amp; Field</t>
  </si>
  <si>
    <t>Performance Jackets</t>
  </si>
  <si>
    <t>Raincoats</t>
  </si>
  <si>
    <t>Ski &amp; Snowboard</t>
  </si>
  <si>
    <t>Windbreakers</t>
  </si>
  <si>
    <t>Bootcut</t>
  </si>
  <si>
    <t>Relaxed</t>
  </si>
  <si>
    <t>Slim</t>
  </si>
  <si>
    <t>Slim Straight</t>
  </si>
  <si>
    <t>Straight</t>
  </si>
  <si>
    <t>Pants</t>
  </si>
  <si>
    <t>Cargo</t>
  </si>
  <si>
    <t>Chinos &amp; Khakis</t>
  </si>
  <si>
    <t>Corduroy</t>
  </si>
  <si>
    <t>Dress</t>
  </si>
  <si>
    <t>Sweatpants &amp; Joggers</t>
  </si>
  <si>
    <t>Shirts</t>
  </si>
  <si>
    <t>Casual Button Down Shirts</t>
  </si>
  <si>
    <t>Dress Shirts</t>
  </si>
  <si>
    <t>Polos</t>
  </si>
  <si>
    <t>Boat Shoes</t>
  </si>
  <si>
    <t>Boots</t>
  </si>
  <si>
    <t>Chukka Boots</t>
  </si>
  <si>
    <t>Cowboy &amp; Western Boots</t>
  </si>
  <si>
    <t>Loafers &amp; Slip-Ons</t>
  </si>
  <si>
    <t>Oxfords &amp; Derbys</t>
  </si>
  <si>
    <t>Rain &amp; Snow Boots</t>
  </si>
  <si>
    <t>Sandals &amp; Flip-Flops</t>
  </si>
  <si>
    <t>Athletic</t>
  </si>
  <si>
    <t>Flat Front</t>
  </si>
  <si>
    <t>Hybrids</t>
  </si>
  <si>
    <t>Suits &amp; Blazers</t>
  </si>
  <si>
    <t>Sport Coats &amp; Blazers</t>
  </si>
  <si>
    <t>Suits</t>
  </si>
  <si>
    <t>Tuxedos</t>
  </si>
  <si>
    <t>Cardigan</t>
  </si>
  <si>
    <t>Crewneck</t>
  </si>
  <si>
    <t>Turtleneck</t>
  </si>
  <si>
    <t>V-Neck</t>
  </si>
  <si>
    <t>Zip Up</t>
  </si>
  <si>
    <t>Board Shorts</t>
  </si>
  <si>
    <t>Rash Guards</t>
  </si>
  <si>
    <t>Swim Trunks</t>
  </si>
  <si>
    <t>Underwear &amp; Socks</t>
  </si>
  <si>
    <t>Athletic Socks</t>
  </si>
  <si>
    <t>Boxer Briefs</t>
  </si>
  <si>
    <t>Boxers</t>
  </si>
  <si>
    <t>Briefs</t>
  </si>
  <si>
    <t>Casual Socks</t>
  </si>
  <si>
    <t>Dress Socks</t>
  </si>
  <si>
    <t>Undershirts</t>
  </si>
  <si>
    <t>Grooming</t>
  </si>
  <si>
    <t>Cleanser</t>
  </si>
  <si>
    <t>Grooming Tools</t>
  </si>
  <si>
    <t>Hair Care</t>
  </si>
  <si>
    <t>Shaving</t>
  </si>
  <si>
    <t>Treatments</t>
  </si>
  <si>
    <t>Kids</t>
  </si>
  <si>
    <t>Bibs</t>
  </si>
  <si>
    <t>Diaper Covers</t>
  </si>
  <si>
    <t>Mittens</t>
  </si>
  <si>
    <t>Socks &amp; Tights</t>
  </si>
  <si>
    <t>Underwear</t>
  </si>
  <si>
    <t>Bottoms</t>
  </si>
  <si>
    <t>Casual</t>
  </si>
  <si>
    <t>Formal</t>
  </si>
  <si>
    <t>Blazers</t>
  </si>
  <si>
    <t>Footies</t>
  </si>
  <si>
    <t>Nightgowns</t>
  </si>
  <si>
    <t>Pajama Bottoms</t>
  </si>
  <si>
    <t>Pajama Sets</t>
  </si>
  <si>
    <t>Pajama Tops</t>
  </si>
  <si>
    <t>Sleep Sacks</t>
  </si>
  <si>
    <t>Shirts &amp; Tops</t>
  </si>
  <si>
    <t>Baby &amp; Walker</t>
  </si>
  <si>
    <t>Dress Shoes</t>
  </si>
  <si>
    <t>Sandals &amp; Flip Flops</t>
  </si>
  <si>
    <t>Water Shoes</t>
  </si>
  <si>
    <t>One Piece</t>
  </si>
  <si>
    <t>Rashguards</t>
  </si>
  <si>
    <t>Costumes</t>
  </si>
  <si>
    <t>Dance</t>
  </si>
  <si>
    <t>Halloween</t>
  </si>
  <si>
    <t>Seasonal</t>
  </si>
  <si>
    <t>Superhero</t>
  </si>
  <si>
    <t>Theater</t>
  </si>
  <si>
    <t>Bath, Skin &amp; Hair</t>
  </si>
  <si>
    <t>Toys</t>
  </si>
  <si>
    <t>Action Figures &amp; Playsets</t>
  </si>
  <si>
    <t>Building Sets &amp; Blocks</t>
  </si>
  <si>
    <t>Cars &amp; Vehicles</t>
  </si>
  <si>
    <t>Dolls &amp; Accessories</t>
  </si>
  <si>
    <t>Learning Toys</t>
  </si>
  <si>
    <t>Puzzles &amp; Games</t>
  </si>
  <si>
    <t>Stuffed Animals</t>
  </si>
  <si>
    <t>Trading Cards</t>
  </si>
  <si>
    <t>Home</t>
  </si>
  <si>
    <t>Accents</t>
  </si>
  <si>
    <t>Accent Pillows</t>
  </si>
  <si>
    <t>Baskets &amp; Bins</t>
  </si>
  <si>
    <t>Candles &amp; Holders</t>
  </si>
  <si>
    <t>Coffee Table Books</t>
  </si>
  <si>
    <t>Curtains &amp; Drapes</t>
  </si>
  <si>
    <t>Decor</t>
  </si>
  <si>
    <t>Door Mats</t>
  </si>
  <si>
    <t>Faux Florals</t>
  </si>
  <si>
    <t>Furniture Covers</t>
  </si>
  <si>
    <t>Lanterns</t>
  </si>
  <si>
    <t>Picture Frames</t>
  </si>
  <si>
    <t>Vases</t>
  </si>
  <si>
    <t>Art</t>
  </si>
  <si>
    <t>Ceramics</t>
  </si>
  <si>
    <t>Drawing &amp; Illustrations</t>
  </si>
  <si>
    <t>Fiber Arts</t>
  </si>
  <si>
    <t>Glass Art</t>
  </si>
  <si>
    <t>Mixed Media</t>
  </si>
  <si>
    <t>Painting</t>
  </si>
  <si>
    <t>Photography</t>
  </si>
  <si>
    <t>Posters</t>
  </si>
  <si>
    <t>Prints</t>
  </si>
  <si>
    <t>Sculpture</t>
  </si>
  <si>
    <t>Bath</t>
  </si>
  <si>
    <t>Bath Accessories</t>
  </si>
  <si>
    <t>Bath Storage</t>
  </si>
  <si>
    <t>Bath Towels</t>
  </si>
  <si>
    <t>Beach Towels</t>
  </si>
  <si>
    <t>Hand Towels</t>
  </si>
  <si>
    <t>Mats</t>
  </si>
  <si>
    <t>Shower Curtains</t>
  </si>
  <si>
    <t>Vanity Mirrors</t>
  </si>
  <si>
    <t>Vanity Trays</t>
  </si>
  <si>
    <t>Wash Cloths</t>
  </si>
  <si>
    <t>Bedding</t>
  </si>
  <si>
    <t>Blankets &amp; Throws</t>
  </si>
  <si>
    <t>Comforters</t>
  </si>
  <si>
    <t>Duvet Covers</t>
  </si>
  <si>
    <t>Mattress Covers</t>
  </si>
  <si>
    <t>Pillows</t>
  </si>
  <si>
    <t>Quilts</t>
  </si>
  <si>
    <t>Sheets</t>
  </si>
  <si>
    <t>Design</t>
  </si>
  <si>
    <t>Birthday Cards</t>
  </si>
  <si>
    <t>Business Cards</t>
  </si>
  <si>
    <t>Planners</t>
  </si>
  <si>
    <t>Stamps</t>
  </si>
  <si>
    <t>Stickers</t>
  </si>
  <si>
    <t>Thank You Cards</t>
  </si>
  <si>
    <t>Dining</t>
  </si>
  <si>
    <t>Bar Accessories</t>
  </si>
  <si>
    <t>Dinnerware</t>
  </si>
  <si>
    <t>Drinkware</t>
  </si>
  <si>
    <t>Flatware</t>
  </si>
  <si>
    <t>Mugs</t>
  </si>
  <si>
    <t>Serveware</t>
  </si>
  <si>
    <t>Serving Utensils</t>
  </si>
  <si>
    <t>Table Linens</t>
  </si>
  <si>
    <t>Water Bottles &amp; Thermoses</t>
  </si>
  <si>
    <t>Games</t>
  </si>
  <si>
    <t>Board Games</t>
  </si>
  <si>
    <t>Card Games</t>
  </si>
  <si>
    <t>Outdoor Games</t>
  </si>
  <si>
    <t>Puzzles</t>
  </si>
  <si>
    <t>Holiday</t>
  </si>
  <si>
    <t>Garland</t>
  </si>
  <si>
    <t>Holiday Blankets &amp; Throws</t>
  </si>
  <si>
    <t>Holiday Decor</t>
  </si>
  <si>
    <t>Holiday Pillows</t>
  </si>
  <si>
    <t>Ornaments</t>
  </si>
  <si>
    <t>String Lights</t>
  </si>
  <si>
    <t>Wreaths</t>
  </si>
  <si>
    <t>Kitchen</t>
  </si>
  <si>
    <t>BBQ &amp; Grilling Tools</t>
  </si>
  <si>
    <t>Bakeware</t>
  </si>
  <si>
    <t>Coffee &amp; Tea Accessories</t>
  </si>
  <si>
    <t>Cookbooks</t>
  </si>
  <si>
    <t>Cooking Utensils</t>
  </si>
  <si>
    <t>Cookware</t>
  </si>
  <si>
    <t>Food Storage</t>
  </si>
  <si>
    <t>Kitchen Linens</t>
  </si>
  <si>
    <t>Kitchen Tools</t>
  </si>
  <si>
    <t>Knives &amp; Cutlery</t>
  </si>
  <si>
    <t>Office</t>
  </si>
  <si>
    <t>Arts &amp; Crafts</t>
  </si>
  <si>
    <t>Binders &amp; Folders</t>
  </si>
  <si>
    <t>Calendars</t>
  </si>
  <si>
    <t>Labels &amp; Label Makers</t>
  </si>
  <si>
    <t>Notebooks &amp; Journals</t>
  </si>
  <si>
    <t>Pencil Cases</t>
  </si>
  <si>
    <t>Shipping Supplies</t>
  </si>
  <si>
    <t>Stationery</t>
  </si>
  <si>
    <t>Party Supplies</t>
  </si>
  <si>
    <t>Cake Candles</t>
  </si>
  <si>
    <t>Cake Toppers</t>
  </si>
  <si>
    <t>Cards &amp; Invitations</t>
  </si>
  <si>
    <t>Decorations</t>
  </si>
  <si>
    <t>Disposable Tableware</t>
  </si>
  <si>
    <t>Favors</t>
  </si>
  <si>
    <t>Gift Wrap</t>
  </si>
  <si>
    <t>Party Lights</t>
  </si>
  <si>
    <t>Storage &amp; Organization</t>
  </si>
  <si>
    <t>Closet Accessories</t>
  </si>
  <si>
    <t>Drawer Liners</t>
  </si>
  <si>
    <t>Garment Bags</t>
  </si>
  <si>
    <t>Jewelry Organizers</t>
  </si>
  <si>
    <t>Makeup Organizers</t>
  </si>
  <si>
    <t>Storage</t>
  </si>
  <si>
    <t>Wall Decor</t>
  </si>
  <si>
    <t>Art &amp; Decals</t>
  </si>
  <si>
    <t>Clocks</t>
  </si>
  <si>
    <t>Display Shelves</t>
  </si>
  <si>
    <t>Hooks</t>
  </si>
  <si>
    <t>Mirrors</t>
  </si>
  <si>
    <t>Tapestries</t>
  </si>
  <si>
    <t>Wallpaper</t>
  </si>
  <si>
    <t>Pets</t>
  </si>
  <si>
    <t>Dog</t>
  </si>
  <si>
    <t>Bedding &amp; Blankets</t>
  </si>
  <si>
    <t>Bowls &amp; Feeders</t>
  </si>
  <si>
    <t>Carriers &amp; Travel</t>
  </si>
  <si>
    <t>Clothing &amp; Accessories</t>
  </si>
  <si>
    <t>Collars, Leashes &amp; Harnesses</t>
  </si>
  <si>
    <t>Housebreaking</t>
  </si>
  <si>
    <t>Cat</t>
  </si>
  <si>
    <t>Beds</t>
  </si>
  <si>
    <t>Collars, Leashes  &amp; Harnesses</t>
  </si>
  <si>
    <t>Scratchers</t>
  </si>
  <si>
    <t>Bird</t>
  </si>
  <si>
    <t>Cages &amp; Covers</t>
  </si>
  <si>
    <t>Feeders &amp; Waterers</t>
  </si>
  <si>
    <t>Perches &amp; Swings</t>
  </si>
  <si>
    <t>Fish</t>
  </si>
  <si>
    <t>Aquarium Kits</t>
  </si>
  <si>
    <t>Cleaning &amp; Maintenance</t>
  </si>
  <si>
    <t>Decor &amp; Accessories</t>
  </si>
  <si>
    <t>Reptile</t>
  </si>
  <si>
    <t>Habitats</t>
  </si>
  <si>
    <t>Habitat Accessories</t>
  </si>
  <si>
    <t>Heating &amp; Lights</t>
  </si>
  <si>
    <t>Small Pets</t>
  </si>
  <si>
    <t>Cages &amp; Habitats</t>
  </si>
  <si>
    <t>Carriers</t>
  </si>
  <si>
    <t>Electronics</t>
  </si>
  <si>
    <t>Cameras, Photo &amp; Video</t>
  </si>
  <si>
    <t>Digital Cameras</t>
  </si>
  <si>
    <t>Bags &amp; Cases</t>
  </si>
  <si>
    <t>Binoculars &amp; Scopes</t>
  </si>
  <si>
    <t>Film Photography</t>
  </si>
  <si>
    <t>Flashes</t>
  </si>
  <si>
    <t>Lenses</t>
  </si>
  <si>
    <t>Memory Cards</t>
  </si>
  <si>
    <t>Simulated Cameras</t>
  </si>
  <si>
    <t>Tripods &amp; Monopods</t>
  </si>
  <si>
    <t>Underwater Photography</t>
  </si>
  <si>
    <t>Video</t>
  </si>
  <si>
    <t>Camera Straps</t>
  </si>
  <si>
    <t>Computers, Laptops &amp; Parts</t>
  </si>
  <si>
    <t>Laptops</t>
  </si>
  <si>
    <t>Cables &amp; Interconnects</t>
  </si>
  <si>
    <t>Camera Privacy Covers</t>
  </si>
  <si>
    <t>Computer Cable Adapters</t>
  </si>
  <si>
    <t>Computer Headsets</t>
  </si>
  <si>
    <t>Computer Microphones</t>
  </si>
  <si>
    <t>External Components</t>
  </si>
  <si>
    <t>Graphics Cards</t>
  </si>
  <si>
    <t>Internal Components</t>
  </si>
  <si>
    <t>Keyboards</t>
  </si>
  <si>
    <t>Memory Card Readers</t>
  </si>
  <si>
    <t>Mice</t>
  </si>
  <si>
    <t>Mounts &amp; Stands</t>
  </si>
  <si>
    <t>Surge Protectors</t>
  </si>
  <si>
    <t>Single Board Computers</t>
  </si>
  <si>
    <t>USB Hubs</t>
  </si>
  <si>
    <t>Webcams</t>
  </si>
  <si>
    <t>Cell Phones &amp; Accessories</t>
  </si>
  <si>
    <t>Cell Phones</t>
  </si>
  <si>
    <t>Holsters &amp; Clips</t>
  </si>
  <si>
    <t>Headsets</t>
  </si>
  <si>
    <t>Screen Protectors</t>
  </si>
  <si>
    <t>Cases</t>
  </si>
  <si>
    <t>Covers</t>
  </si>
  <si>
    <t>Skins &amp; Bumpers</t>
  </si>
  <si>
    <t>Chargers</t>
  </si>
  <si>
    <t>Adapters</t>
  </si>
  <si>
    <t>Cables</t>
  </si>
  <si>
    <t>Car Audio, Video &amp; GPS</t>
  </si>
  <si>
    <t>GPS &amp; Navigation</t>
  </si>
  <si>
    <t>Amplifiers</t>
  </si>
  <si>
    <t>Car Stereo Receivers</t>
  </si>
  <si>
    <t>Changers</t>
  </si>
  <si>
    <t>Digital Media Receivers</t>
  </si>
  <si>
    <t>Equalizers</t>
  </si>
  <si>
    <t>Satellite Radio</t>
  </si>
  <si>
    <t>Car Headphones</t>
  </si>
  <si>
    <t>In-Mirror Video</t>
  </si>
  <si>
    <t>In-Visor Video</t>
  </si>
  <si>
    <t>On-Dash Cameras</t>
  </si>
  <si>
    <t>Overhead Video</t>
  </si>
  <si>
    <t>Surround Processors</t>
  </si>
  <si>
    <t>TV Tuners</t>
  </si>
  <si>
    <t>Vehicle Backup Cameras</t>
  </si>
  <si>
    <t>Wearables</t>
  </si>
  <si>
    <t>Smartwatches</t>
  </si>
  <si>
    <t>Body Mounted Cameras</t>
  </si>
  <si>
    <t>Clips, Arm &amp; Wristbands</t>
  </si>
  <si>
    <t>Smartwatch Cases</t>
  </si>
  <si>
    <t>Wearables Chargers</t>
  </si>
  <si>
    <t>Tablets &amp; Accessories</t>
  </si>
  <si>
    <t>Tablets</t>
  </si>
  <si>
    <t>eBook Readers</t>
  </si>
  <si>
    <t>Power Adapters</t>
  </si>
  <si>
    <t>Power Cables</t>
  </si>
  <si>
    <t>Reading Lights</t>
  </si>
  <si>
    <t>Skins</t>
  </si>
  <si>
    <t>Sleeves</t>
  </si>
  <si>
    <t>Stands</t>
  </si>
  <si>
    <t>Tablet Keyboards</t>
  </si>
  <si>
    <t>Video Games &amp; Consoles</t>
  </si>
  <si>
    <t>Consoles</t>
  </si>
  <si>
    <t>Handheld Consoles</t>
  </si>
  <si>
    <t>Batteries &amp; Chargers</t>
  </si>
  <si>
    <t>Controllers</t>
  </si>
  <si>
    <t>Gaming Guides</t>
  </si>
  <si>
    <t>Digital Games</t>
  </si>
  <si>
    <t>PC Games</t>
  </si>
  <si>
    <t>Video Games</t>
  </si>
  <si>
    <t>VR, AR &amp; Accessories</t>
  </si>
  <si>
    <t>PC &amp; Console VR Headsets</t>
  </si>
  <si>
    <t>Smartphone VR Headsets</t>
  </si>
  <si>
    <t>Standalone VR Headsets</t>
  </si>
  <si>
    <t>Cases, Covers &amp; Skins</t>
  </si>
  <si>
    <t>Controllers &amp; Sensors</t>
  </si>
  <si>
    <t>Parts</t>
  </si>
  <si>
    <t>Media</t>
  </si>
  <si>
    <t>Blank Media</t>
  </si>
  <si>
    <t>CDs</t>
  </si>
  <si>
    <t>DVDs &amp; Blu-ray Discs</t>
  </si>
  <si>
    <t>Media Streamers</t>
  </si>
  <si>
    <t>Media Cases &amp; Organization</t>
  </si>
  <si>
    <t>Vinyl Records</t>
  </si>
  <si>
    <t>Networking</t>
  </si>
  <si>
    <t>Boosters &amp; Antennas</t>
  </si>
  <si>
    <t>Mobile Broadband Devices</t>
  </si>
  <si>
    <t>Modems</t>
  </si>
  <si>
    <t>Modem-Router Combos</t>
  </si>
  <si>
    <t>Powerline Networking</t>
  </si>
  <si>
    <t>USB Bluetooth Adapters</t>
  </si>
  <si>
    <t>USB Wi-Fi Adapters</t>
  </si>
  <si>
    <t>VoIP Home Phones</t>
  </si>
  <si>
    <t>VoIP Phone Adapters</t>
  </si>
  <si>
    <t>Wired Routers</t>
  </si>
  <si>
    <t>Wireless Access Points</t>
  </si>
  <si>
    <t>Wireless Routers</t>
  </si>
  <si>
    <t>Headphones</t>
  </si>
  <si>
    <t>Earbud Headphones</t>
  </si>
  <si>
    <t>On-Ear Headphones</t>
  </si>
  <si>
    <t>Over-Ear Headphones</t>
  </si>
  <si>
    <t>Portable Audio &amp; Video</t>
  </si>
  <si>
    <t>Boomboxes</t>
  </si>
  <si>
    <t>CB &amp; Two-Way Radios</t>
  </si>
  <si>
    <t>Cassette Players</t>
  </si>
  <si>
    <t>Digital Voice Recorders</t>
  </si>
  <si>
    <t>MP3 &amp; MP4 Players</t>
  </si>
  <si>
    <t>Microcassette Recorders</t>
  </si>
  <si>
    <t>Minidisc Players</t>
  </si>
  <si>
    <t>Portable &amp; Handheld TVs</t>
  </si>
  <si>
    <t>Portable CD Players</t>
  </si>
  <si>
    <t>Portable DVD Players</t>
  </si>
  <si>
    <t>Portable Speakers</t>
  </si>
  <si>
    <t>Radios</t>
  </si>
  <si>
    <t>OS</t>
  </si>
  <si>
    <t>OSEU</t>
  </si>
  <si>
    <t>OSAU</t>
  </si>
  <si>
    <t>OSUK</t>
  </si>
  <si>
    <t>Other</t>
  </si>
  <si>
    <t>34.5EU</t>
  </si>
  <si>
    <t>35EU</t>
  </si>
  <si>
    <t>35.5EU</t>
  </si>
  <si>
    <t>36EU</t>
  </si>
  <si>
    <t>36.5EU</t>
  </si>
  <si>
    <t>37EU</t>
  </si>
  <si>
    <t>37.5EU</t>
  </si>
  <si>
    <t>38EU</t>
  </si>
  <si>
    <t>38.5EU</t>
  </si>
  <si>
    <t>39EU</t>
  </si>
  <si>
    <t>39.5EU</t>
  </si>
  <si>
    <t>40EU</t>
  </si>
  <si>
    <t>40.5EU</t>
  </si>
  <si>
    <t>41EU</t>
  </si>
  <si>
    <t>41.5EU</t>
  </si>
  <si>
    <t>42EU</t>
  </si>
  <si>
    <t>42.5EU</t>
  </si>
  <si>
    <t>43EU</t>
  </si>
  <si>
    <t>4.5AU</t>
  </si>
  <si>
    <t>5AU</t>
  </si>
  <si>
    <t>5.5AU</t>
  </si>
  <si>
    <t>6AU</t>
  </si>
  <si>
    <t>6.5AU</t>
  </si>
  <si>
    <t>7AU</t>
  </si>
  <si>
    <t>7.5AU</t>
  </si>
  <si>
    <t>8AU</t>
  </si>
  <si>
    <t>8.5AU</t>
  </si>
  <si>
    <t>9AU</t>
  </si>
  <si>
    <t>9.5AU</t>
  </si>
  <si>
    <t>10AU</t>
  </si>
  <si>
    <t>10.5AU</t>
  </si>
  <si>
    <t>11AU</t>
  </si>
  <si>
    <t>11.5AU</t>
  </si>
  <si>
    <t>12AU</t>
  </si>
  <si>
    <t>12.5AU</t>
  </si>
  <si>
    <t>13AU</t>
  </si>
  <si>
    <t>3UK</t>
  </si>
  <si>
    <t>3.5UK</t>
  </si>
  <si>
    <t>4UK</t>
  </si>
  <si>
    <t>4.5UK</t>
  </si>
  <si>
    <t>5UK</t>
  </si>
  <si>
    <t>5.5UK</t>
  </si>
  <si>
    <t>6UK</t>
  </si>
  <si>
    <t>6.5UK</t>
  </si>
  <si>
    <t>7UK</t>
  </si>
  <si>
    <t>7.5UK</t>
  </si>
  <si>
    <t>8UK</t>
  </si>
  <si>
    <t>8.5UK</t>
  </si>
  <si>
    <t>9UK</t>
  </si>
  <si>
    <t>9.5UK</t>
  </si>
  <si>
    <t>10UK</t>
  </si>
  <si>
    <t>10.5UK</t>
  </si>
  <si>
    <t>11UK</t>
  </si>
  <si>
    <t>XXS</t>
  </si>
  <si>
    <t>XS</t>
  </si>
  <si>
    <t>30EU</t>
  </si>
  <si>
    <t>32EU</t>
  </si>
  <si>
    <t>34EU</t>
  </si>
  <si>
    <t>44EU</t>
  </si>
  <si>
    <t>XXSEU</t>
  </si>
  <si>
    <t>XSEU</t>
  </si>
  <si>
    <t>SEU</t>
  </si>
  <si>
    <t>MEU</t>
  </si>
  <si>
    <t>LEU</t>
  </si>
  <si>
    <t>XLEU</t>
  </si>
  <si>
    <t>2AU</t>
  </si>
  <si>
    <t>4AU</t>
  </si>
  <si>
    <t>14AU</t>
  </si>
  <si>
    <t>16AU</t>
  </si>
  <si>
    <t>XXSAU</t>
  </si>
  <si>
    <t>XSAU</t>
  </si>
  <si>
    <t>SAU</t>
  </si>
  <si>
    <t>MAU</t>
  </si>
  <si>
    <t>LAU</t>
  </si>
  <si>
    <t>XLAU</t>
  </si>
  <si>
    <t>2UK</t>
  </si>
  <si>
    <t>12UK</t>
  </si>
  <si>
    <t>14UK</t>
  </si>
  <si>
    <t>16UK</t>
  </si>
  <si>
    <t>XXSUK</t>
  </si>
  <si>
    <t>XSUK</t>
  </si>
  <si>
    <t>SUK</t>
  </si>
  <si>
    <t>MUK</t>
  </si>
  <si>
    <t>LUK</t>
  </si>
  <si>
    <t>XLUK</t>
  </si>
  <si>
    <t>14W</t>
  </si>
  <si>
    <t>16W</t>
  </si>
  <si>
    <t>18W</t>
  </si>
  <si>
    <t>20W</t>
  </si>
  <si>
    <t>22W</t>
  </si>
  <si>
    <t>24W</t>
  </si>
  <si>
    <t>26W</t>
  </si>
  <si>
    <t>28W</t>
  </si>
  <si>
    <t>30W</t>
  </si>
  <si>
    <t>32W</t>
  </si>
  <si>
    <t>XXL</t>
  </si>
  <si>
    <t>XXXL</t>
  </si>
  <si>
    <t>0X</t>
  </si>
  <si>
    <t>1X</t>
  </si>
  <si>
    <t>2X</t>
  </si>
  <si>
    <t>3X</t>
  </si>
  <si>
    <t>4X</t>
  </si>
  <si>
    <t>5X</t>
  </si>
  <si>
    <t>46EU</t>
  </si>
  <si>
    <t>48EU</t>
  </si>
  <si>
    <t>50EU</t>
  </si>
  <si>
    <t>52EU</t>
  </si>
  <si>
    <t>54EU</t>
  </si>
  <si>
    <t>56EU</t>
  </si>
  <si>
    <t>58EU</t>
  </si>
  <si>
    <t>60EU</t>
  </si>
  <si>
    <t>62EU</t>
  </si>
  <si>
    <t>XXLEU</t>
  </si>
  <si>
    <t>XXXLEU</t>
  </si>
  <si>
    <t>0XEU</t>
  </si>
  <si>
    <t>XEU 1.00</t>
  </si>
  <si>
    <t>XEU 2.00</t>
  </si>
  <si>
    <t>XEU 3.00</t>
  </si>
  <si>
    <t>XEU 4.00</t>
  </si>
  <si>
    <t>XEU 5.00</t>
  </si>
  <si>
    <t>18AU</t>
  </si>
  <si>
    <t>20AU</t>
  </si>
  <si>
    <t>22AU</t>
  </si>
  <si>
    <t>24AU</t>
  </si>
  <si>
    <t>26AU</t>
  </si>
  <si>
    <t>28AU</t>
  </si>
  <si>
    <t>30AU</t>
  </si>
  <si>
    <t>32AU</t>
  </si>
  <si>
    <t>34AU</t>
  </si>
  <si>
    <t>36AU</t>
  </si>
  <si>
    <t>38AU</t>
  </si>
  <si>
    <t>XXLAU</t>
  </si>
  <si>
    <t>XXXLAU</t>
  </si>
  <si>
    <t>0XAU</t>
  </si>
  <si>
    <t>XAU 1.00</t>
  </si>
  <si>
    <t>XAU 2.00</t>
  </si>
  <si>
    <t>XAU 3.00</t>
  </si>
  <si>
    <t>XAU 4.00</t>
  </si>
  <si>
    <t>XAU 5.00</t>
  </si>
  <si>
    <t>18UK</t>
  </si>
  <si>
    <t>20UK</t>
  </si>
  <si>
    <t>22UK</t>
  </si>
  <si>
    <t>24UK</t>
  </si>
  <si>
    <t>26UK</t>
  </si>
  <si>
    <t>28UK</t>
  </si>
  <si>
    <t>30UK</t>
  </si>
  <si>
    <t>32UK</t>
  </si>
  <si>
    <t>34UK</t>
  </si>
  <si>
    <t>36UK</t>
  </si>
  <si>
    <t>38UK</t>
  </si>
  <si>
    <t>XXLUK</t>
  </si>
  <si>
    <t>XXXLUK</t>
  </si>
  <si>
    <t>0XUK</t>
  </si>
  <si>
    <t>1XUK</t>
  </si>
  <si>
    <t>2XUK</t>
  </si>
  <si>
    <t>3XUK</t>
  </si>
  <si>
    <t>4XUK</t>
  </si>
  <si>
    <t>5XUK</t>
  </si>
  <si>
    <t>00P</t>
  </si>
  <si>
    <t>0P</t>
  </si>
  <si>
    <t>2P</t>
  </si>
  <si>
    <t>4P</t>
  </si>
  <si>
    <t>6P</t>
  </si>
  <si>
    <t>8P</t>
  </si>
  <si>
    <t>10P</t>
  </si>
  <si>
    <t>12P</t>
  </si>
  <si>
    <t>14P</t>
  </si>
  <si>
    <t>16P</t>
  </si>
  <si>
    <t>18P</t>
  </si>
  <si>
    <t>20P</t>
  </si>
  <si>
    <t>XXSP</t>
  </si>
  <si>
    <t>XSP</t>
  </si>
  <si>
    <t>SP</t>
  </si>
  <si>
    <t>MP</t>
  </si>
  <si>
    <t>LP</t>
  </si>
  <si>
    <t>XLP</t>
  </si>
  <si>
    <t>XXLP</t>
  </si>
  <si>
    <t>30PEU</t>
  </si>
  <si>
    <t>32PEU</t>
  </si>
  <si>
    <t>34PEU</t>
  </si>
  <si>
    <t>36PEU</t>
  </si>
  <si>
    <t>38PEU</t>
  </si>
  <si>
    <t>40PEU</t>
  </si>
  <si>
    <t>42PEU</t>
  </si>
  <si>
    <t>44PEU</t>
  </si>
  <si>
    <t>46PEU</t>
  </si>
  <si>
    <t>48PEU</t>
  </si>
  <si>
    <t>50PEU</t>
  </si>
  <si>
    <t>52PEU</t>
  </si>
  <si>
    <t>XXSPEU</t>
  </si>
  <si>
    <t>XSPEU</t>
  </si>
  <si>
    <t>SPEU</t>
  </si>
  <si>
    <t>MPEU</t>
  </si>
  <si>
    <t>LPEU</t>
  </si>
  <si>
    <t>XLPEU</t>
  </si>
  <si>
    <t>XXLPEU</t>
  </si>
  <si>
    <t>2PAU</t>
  </si>
  <si>
    <t>4PAU</t>
  </si>
  <si>
    <t>6PAU</t>
  </si>
  <si>
    <t>8PAU</t>
  </si>
  <si>
    <t>10PAU</t>
  </si>
  <si>
    <t>12PAU</t>
  </si>
  <si>
    <t>14PAU</t>
  </si>
  <si>
    <t>16PAU</t>
  </si>
  <si>
    <t>18PAU</t>
  </si>
  <si>
    <t>20PAU</t>
  </si>
  <si>
    <t>22PAU</t>
  </si>
  <si>
    <t>24PAU</t>
  </si>
  <si>
    <t>XXSPAU</t>
  </si>
  <si>
    <t>XSPAU</t>
  </si>
  <si>
    <t>SPAU</t>
  </si>
  <si>
    <t>MPAU</t>
  </si>
  <si>
    <t>LPAU</t>
  </si>
  <si>
    <t>XLPAU</t>
  </si>
  <si>
    <t>XXLPAU</t>
  </si>
  <si>
    <t>2PUK</t>
  </si>
  <si>
    <t>4PUK</t>
  </si>
  <si>
    <t>6PUK</t>
  </si>
  <si>
    <t>8PUK</t>
  </si>
  <si>
    <t>10PUK</t>
  </si>
  <si>
    <t>12PUK</t>
  </si>
  <si>
    <t>14PUK</t>
  </si>
  <si>
    <t>16PUK</t>
  </si>
  <si>
    <t>18PUK</t>
  </si>
  <si>
    <t>20PUK</t>
  </si>
  <si>
    <t>22PUK</t>
  </si>
  <si>
    <t>24PUK</t>
  </si>
  <si>
    <t>XXSPUK</t>
  </si>
  <si>
    <t>XSPUK</t>
  </si>
  <si>
    <t>SPUK</t>
  </si>
  <si>
    <t>MPUK</t>
  </si>
  <si>
    <t>LPUK</t>
  </si>
  <si>
    <t>XLPUK</t>
  </si>
  <si>
    <t>XXLPUK</t>
  </si>
  <si>
    <t>00J</t>
  </si>
  <si>
    <t>0J</t>
  </si>
  <si>
    <t>1J</t>
  </si>
  <si>
    <t>3J</t>
  </si>
  <si>
    <t>5J</t>
  </si>
  <si>
    <t>7J</t>
  </si>
  <si>
    <t>9J</t>
  </si>
  <si>
    <t>11J</t>
  </si>
  <si>
    <t>13J</t>
  </si>
  <si>
    <t>15J</t>
  </si>
  <si>
    <t>17J</t>
  </si>
  <si>
    <t>XXSJ</t>
  </si>
  <si>
    <t>XSJ</t>
  </si>
  <si>
    <t>SJ</t>
  </si>
  <si>
    <t>MJ</t>
  </si>
  <si>
    <t>LJ</t>
  </si>
  <si>
    <t>XLJ</t>
  </si>
  <si>
    <t>XXLJ</t>
  </si>
  <si>
    <t>30JEU</t>
  </si>
  <si>
    <t>32JEU</t>
  </si>
  <si>
    <t>34JEU</t>
  </si>
  <si>
    <t>36JEU</t>
  </si>
  <si>
    <t>38JEU</t>
  </si>
  <si>
    <t>40JEU</t>
  </si>
  <si>
    <t>42JEU</t>
  </si>
  <si>
    <t>44JEU</t>
  </si>
  <si>
    <t>46JEU</t>
  </si>
  <si>
    <t>XXSJEU</t>
  </si>
  <si>
    <t>XSJEU</t>
  </si>
  <si>
    <t>SJEU</t>
  </si>
  <si>
    <t>MJEU</t>
  </si>
  <si>
    <t>LJEU</t>
  </si>
  <si>
    <t>XLJEU</t>
  </si>
  <si>
    <t>XXLJEU</t>
  </si>
  <si>
    <t>4JAU</t>
  </si>
  <si>
    <t>6JAU</t>
  </si>
  <si>
    <t>8JAU</t>
  </si>
  <si>
    <t>10JAU</t>
  </si>
  <si>
    <t>11JAU</t>
  </si>
  <si>
    <t>12JAU</t>
  </si>
  <si>
    <t>14JAU</t>
  </si>
  <si>
    <t>16JAU</t>
  </si>
  <si>
    <t>18JAU</t>
  </si>
  <si>
    <t>20JAU</t>
  </si>
  <si>
    <t>22JAU</t>
  </si>
  <si>
    <t>XXSJAU</t>
  </si>
  <si>
    <t>XSJAU</t>
  </si>
  <si>
    <t>SJAU</t>
  </si>
  <si>
    <t>MJAU</t>
  </si>
  <si>
    <t>LJAU</t>
  </si>
  <si>
    <t>XLJAU</t>
  </si>
  <si>
    <t>XXLJAU</t>
  </si>
  <si>
    <t>4JUK</t>
  </si>
  <si>
    <t>6JUK</t>
  </si>
  <si>
    <t>8JUK</t>
  </si>
  <si>
    <t>10JUK</t>
  </si>
  <si>
    <t>11JUK</t>
  </si>
  <si>
    <t>12JUK</t>
  </si>
  <si>
    <t>14JUK</t>
  </si>
  <si>
    <t>16JUK</t>
  </si>
  <si>
    <t>18JUK</t>
  </si>
  <si>
    <t>20JUK</t>
  </si>
  <si>
    <t>22JUK</t>
  </si>
  <si>
    <t>XXSJUK</t>
  </si>
  <si>
    <t>XSJUK</t>
  </si>
  <si>
    <t>SJUK</t>
  </si>
  <si>
    <t>MJUK</t>
  </si>
  <si>
    <t>LJUK</t>
  </si>
  <si>
    <t>XLJUK</t>
  </si>
  <si>
    <t>XXLJUK</t>
  </si>
  <si>
    <t>00M</t>
  </si>
  <si>
    <t>0M</t>
  </si>
  <si>
    <t>2M</t>
  </si>
  <si>
    <t>4M</t>
  </si>
  <si>
    <t>6M</t>
  </si>
  <si>
    <t>8M</t>
  </si>
  <si>
    <t>10M</t>
  </si>
  <si>
    <t>12M</t>
  </si>
  <si>
    <t>XXSM</t>
  </si>
  <si>
    <t>XSM</t>
  </si>
  <si>
    <t>SM</t>
  </si>
  <si>
    <t>MM</t>
  </si>
  <si>
    <t>LM</t>
  </si>
  <si>
    <t>XLM</t>
  </si>
  <si>
    <t>14M</t>
  </si>
  <si>
    <t>14WM</t>
  </si>
  <si>
    <t>16M</t>
  </si>
  <si>
    <t>16WM</t>
  </si>
  <si>
    <t>18M</t>
  </si>
  <si>
    <t>18WM</t>
  </si>
  <si>
    <t>20M</t>
  </si>
  <si>
    <t>20WM</t>
  </si>
  <si>
    <t>22M</t>
  </si>
  <si>
    <t>22WM</t>
  </si>
  <si>
    <t>24M</t>
  </si>
  <si>
    <t>24WM</t>
  </si>
  <si>
    <t>26M</t>
  </si>
  <si>
    <t>26WM</t>
  </si>
  <si>
    <t>28M</t>
  </si>
  <si>
    <t>28WM</t>
  </si>
  <si>
    <t>30M</t>
  </si>
  <si>
    <t>30WM</t>
  </si>
  <si>
    <t>32M</t>
  </si>
  <si>
    <t>32WM</t>
  </si>
  <si>
    <t>XXLM</t>
  </si>
  <si>
    <t>XXXLM</t>
  </si>
  <si>
    <t>0XM</t>
  </si>
  <si>
    <t>1XM</t>
  </si>
  <si>
    <t>2XM</t>
  </si>
  <si>
    <t>3XM</t>
  </si>
  <si>
    <t>4XM</t>
  </si>
  <si>
    <t>5XM</t>
  </si>
  <si>
    <t>30MEU</t>
  </si>
  <si>
    <t>32MEU</t>
  </si>
  <si>
    <t>34MEU</t>
  </si>
  <si>
    <t>36MEU</t>
  </si>
  <si>
    <t>38MEU</t>
  </si>
  <si>
    <t>40MEU</t>
  </si>
  <si>
    <t>42MEU</t>
  </si>
  <si>
    <t>44MEU</t>
  </si>
  <si>
    <t>46MEU</t>
  </si>
  <si>
    <t>48MEU</t>
  </si>
  <si>
    <t>50MEU</t>
  </si>
  <si>
    <t>52MEU</t>
  </si>
  <si>
    <t>54MEU</t>
  </si>
  <si>
    <t>56MEU</t>
  </si>
  <si>
    <t>58MEU</t>
  </si>
  <si>
    <t>60MEU</t>
  </si>
  <si>
    <t>62MEU</t>
  </si>
  <si>
    <t>XXSMEU</t>
  </si>
  <si>
    <t>XSMEU</t>
  </si>
  <si>
    <t>SMEU</t>
  </si>
  <si>
    <t>MMEU</t>
  </si>
  <si>
    <t>LMEU</t>
  </si>
  <si>
    <t>XLMEU</t>
  </si>
  <si>
    <t>XXLMEU</t>
  </si>
  <si>
    <t>XXXLMEU</t>
  </si>
  <si>
    <t>0XMEU</t>
  </si>
  <si>
    <t>1XMEU</t>
  </si>
  <si>
    <t>2XMEU</t>
  </si>
  <si>
    <t>3XMEU</t>
  </si>
  <si>
    <t>4XMEU</t>
  </si>
  <si>
    <t>5XMEU</t>
  </si>
  <si>
    <t>2MAU</t>
  </si>
  <si>
    <t>4MAU</t>
  </si>
  <si>
    <t>6MAU</t>
  </si>
  <si>
    <t>8MAU</t>
  </si>
  <si>
    <t>10MAU</t>
  </si>
  <si>
    <t>12MAU</t>
  </si>
  <si>
    <t>14MAU</t>
  </si>
  <si>
    <t>16MAU</t>
  </si>
  <si>
    <t>18MAU</t>
  </si>
  <si>
    <t>20MAU</t>
  </si>
  <si>
    <t>22MAU</t>
  </si>
  <si>
    <t>24MAU</t>
  </si>
  <si>
    <t>26MAU</t>
  </si>
  <si>
    <t>28MAU</t>
  </si>
  <si>
    <t>30MAU</t>
  </si>
  <si>
    <t>32MAU</t>
  </si>
  <si>
    <t>34MAU</t>
  </si>
  <si>
    <t>36MAU</t>
  </si>
  <si>
    <t>38MAU</t>
  </si>
  <si>
    <t>XXSMAU</t>
  </si>
  <si>
    <t>XSMAU</t>
  </si>
  <si>
    <t>SMAU</t>
  </si>
  <si>
    <t>MMAU</t>
  </si>
  <si>
    <t>LMAU</t>
  </si>
  <si>
    <t>XLMAU</t>
  </si>
  <si>
    <t>XXLMAU</t>
  </si>
  <si>
    <t>XXXLMAU</t>
  </si>
  <si>
    <t>0XMAU</t>
  </si>
  <si>
    <t>1XMAU</t>
  </si>
  <si>
    <t>2XMAU</t>
  </si>
  <si>
    <t>3XMAU</t>
  </si>
  <si>
    <t>4XMAU</t>
  </si>
  <si>
    <t>5XMAU</t>
  </si>
  <si>
    <t>2MUK</t>
  </si>
  <si>
    <t>4MUK</t>
  </si>
  <si>
    <t>6MUK</t>
  </si>
  <si>
    <t>8MUK</t>
  </si>
  <si>
    <t>10MUK</t>
  </si>
  <si>
    <t>12MUK</t>
  </si>
  <si>
    <t>14MUK</t>
  </si>
  <si>
    <t>16MUK</t>
  </si>
  <si>
    <t>18MUK</t>
  </si>
  <si>
    <t>20MUK</t>
  </si>
  <si>
    <t>22MUK</t>
  </si>
  <si>
    <t>24MUK</t>
  </si>
  <si>
    <t>26MUK</t>
  </si>
  <si>
    <t>28MUK</t>
  </si>
  <si>
    <t>30MUK</t>
  </si>
  <si>
    <t>32MUK</t>
  </si>
  <si>
    <t>34MUK</t>
  </si>
  <si>
    <t>36MUK</t>
  </si>
  <si>
    <t>38MUK</t>
  </si>
  <si>
    <t>XXSMUK</t>
  </si>
  <si>
    <t>XSMUK</t>
  </si>
  <si>
    <t>SMUK</t>
  </si>
  <si>
    <t>MMUK</t>
  </si>
  <si>
    <t>LMUK</t>
  </si>
  <si>
    <t>XLMUK</t>
  </si>
  <si>
    <t>XXLMUK</t>
  </si>
  <si>
    <t>XXXLMUK</t>
  </si>
  <si>
    <t>0XMUK</t>
  </si>
  <si>
    <t>1XMUK</t>
  </si>
  <si>
    <t>2XMUK</t>
  </si>
  <si>
    <t>3XMUK</t>
  </si>
  <si>
    <t>4XMUK</t>
  </si>
  <si>
    <t>5XMUK</t>
  </si>
  <si>
    <t>23EU</t>
  </si>
  <si>
    <t>24EU</t>
  </si>
  <si>
    <t>25EU</t>
  </si>
  <si>
    <t>26EU</t>
  </si>
  <si>
    <t>27EU</t>
  </si>
  <si>
    <t>28EU</t>
  </si>
  <si>
    <t>29EU</t>
  </si>
  <si>
    <t>31EU</t>
  </si>
  <si>
    <t>0AU</t>
  </si>
  <si>
    <t>23AU</t>
  </si>
  <si>
    <t>25AU</t>
  </si>
  <si>
    <t>27AU</t>
  </si>
  <si>
    <t>29AU</t>
  </si>
  <si>
    <t>31AU</t>
  </si>
  <si>
    <t>0UK</t>
  </si>
  <si>
    <t>23UK</t>
  </si>
  <si>
    <t>25UK</t>
  </si>
  <si>
    <t>27UK</t>
  </si>
  <si>
    <t>29UK</t>
  </si>
  <si>
    <t>31UK</t>
  </si>
  <si>
    <t>24Plus</t>
  </si>
  <si>
    <t>26Plus</t>
  </si>
  <si>
    <t>28Plus</t>
  </si>
  <si>
    <t>30Plus</t>
  </si>
  <si>
    <t>32Plus</t>
  </si>
  <si>
    <t>32PlusEU</t>
  </si>
  <si>
    <t>33EU</t>
  </si>
  <si>
    <t>34PlusEU</t>
  </si>
  <si>
    <t>56PlusEU</t>
  </si>
  <si>
    <t>58PlusEU</t>
  </si>
  <si>
    <t>60PlusEU</t>
  </si>
  <si>
    <t>62PlusEU</t>
  </si>
  <si>
    <t>24PlusAU</t>
  </si>
  <si>
    <t>26PlusAU</t>
  </si>
  <si>
    <t>28PlusAU</t>
  </si>
  <si>
    <t>30PlusAU</t>
  </si>
  <si>
    <t>32PlusAU</t>
  </si>
  <si>
    <t>33AU</t>
  </si>
  <si>
    <t>34PlusAU</t>
  </si>
  <si>
    <t>36PlusAU</t>
  </si>
  <si>
    <t>38PlusAU</t>
  </si>
  <si>
    <t>24PlusUK</t>
  </si>
  <si>
    <t>26PlusUK</t>
  </si>
  <si>
    <t>28PlusUK</t>
  </si>
  <si>
    <t>30PlusUK</t>
  </si>
  <si>
    <t>32PlusUK</t>
  </si>
  <si>
    <t>33UK</t>
  </si>
  <si>
    <t>34PlusUK</t>
  </si>
  <si>
    <t>36PlusUK</t>
  </si>
  <si>
    <t>38PlusUK</t>
  </si>
  <si>
    <t>23P</t>
  </si>
  <si>
    <t>24P</t>
  </si>
  <si>
    <t>25P</t>
  </si>
  <si>
    <t>26P</t>
  </si>
  <si>
    <t>27P</t>
  </si>
  <si>
    <t>28P</t>
  </si>
  <si>
    <t>29P</t>
  </si>
  <si>
    <t>30P</t>
  </si>
  <si>
    <t>31P</t>
  </si>
  <si>
    <t>32P</t>
  </si>
  <si>
    <t>33P</t>
  </si>
  <si>
    <t>34P</t>
  </si>
  <si>
    <t>23PEU</t>
  </si>
  <si>
    <t>24PEU</t>
  </si>
  <si>
    <t>25PEU</t>
  </si>
  <si>
    <t>26PEU</t>
  </si>
  <si>
    <t>27PEU</t>
  </si>
  <si>
    <t>28PEU</t>
  </si>
  <si>
    <t>29PEU</t>
  </si>
  <si>
    <t>31PEU</t>
  </si>
  <si>
    <t>33PEU</t>
  </si>
  <si>
    <t>0PAU</t>
  </si>
  <si>
    <t>23PAU</t>
  </si>
  <si>
    <t>25PAU</t>
  </si>
  <si>
    <t>26PAU</t>
  </si>
  <si>
    <t>27PAU</t>
  </si>
  <si>
    <t>28PAU</t>
  </si>
  <si>
    <t>29PAU</t>
  </si>
  <si>
    <t>30PAU</t>
  </si>
  <si>
    <t>31PAU</t>
  </si>
  <si>
    <t>32PAU</t>
  </si>
  <si>
    <t>33PAU</t>
  </si>
  <si>
    <t>34PAU</t>
  </si>
  <si>
    <t>0PUK</t>
  </si>
  <si>
    <t>23PUK</t>
  </si>
  <si>
    <t>25PUK</t>
  </si>
  <si>
    <t>26PUK</t>
  </si>
  <si>
    <t>27PUK</t>
  </si>
  <si>
    <t>28PUK</t>
  </si>
  <si>
    <t>29PUK</t>
  </si>
  <si>
    <t>30PUK</t>
  </si>
  <si>
    <t>31PUK</t>
  </si>
  <si>
    <t>32PUK</t>
  </si>
  <si>
    <t>33PUK</t>
  </si>
  <si>
    <t>34PUK</t>
  </si>
  <si>
    <t>48JEU</t>
  </si>
  <si>
    <t>50JEU</t>
  </si>
  <si>
    <t>23M</t>
  </si>
  <si>
    <t>25M</t>
  </si>
  <si>
    <t>27M</t>
  </si>
  <si>
    <t>29M</t>
  </si>
  <si>
    <t>31M</t>
  </si>
  <si>
    <t>33M</t>
  </si>
  <si>
    <t>34M</t>
  </si>
  <si>
    <t>24PlusM</t>
  </si>
  <si>
    <t>26PlusM</t>
  </si>
  <si>
    <t>28PlusM</t>
  </si>
  <si>
    <t>30PlusM</t>
  </si>
  <si>
    <t>32PlusM</t>
  </si>
  <si>
    <t>23MEU</t>
  </si>
  <si>
    <t>24MEU</t>
  </si>
  <si>
    <t>25MEU</t>
  </si>
  <si>
    <t>26MEU</t>
  </si>
  <si>
    <t>27MEU</t>
  </si>
  <si>
    <t>28MEU</t>
  </si>
  <si>
    <t>29MEU</t>
  </si>
  <si>
    <t>31MEU</t>
  </si>
  <si>
    <t>33MEU</t>
  </si>
  <si>
    <t>24PlusMEU</t>
  </si>
  <si>
    <t>26PlusMEU</t>
  </si>
  <si>
    <t>28PlusMEU</t>
  </si>
  <si>
    <t>30PlusMEU</t>
  </si>
  <si>
    <t>32PlusMEU</t>
  </si>
  <si>
    <t>34PlusMEU</t>
  </si>
  <si>
    <t>38PlusMEU</t>
  </si>
  <si>
    <t>42PlusMEU</t>
  </si>
  <si>
    <t>46PlusMEU</t>
  </si>
  <si>
    <t>0MAU</t>
  </si>
  <si>
    <t>23MAU</t>
  </si>
  <si>
    <t>25MAU</t>
  </si>
  <si>
    <t>27MAU</t>
  </si>
  <si>
    <t>29MAU</t>
  </si>
  <si>
    <t>31MAU</t>
  </si>
  <si>
    <t>33MAU</t>
  </si>
  <si>
    <t>2PlusMAU</t>
  </si>
  <si>
    <t>6PlusMAU</t>
  </si>
  <si>
    <t>10PlusMAU</t>
  </si>
  <si>
    <t>14PlusMAU</t>
  </si>
  <si>
    <t>18PlusMAU</t>
  </si>
  <si>
    <t>24PlusMAU</t>
  </si>
  <si>
    <t>26PlusMAU</t>
  </si>
  <si>
    <t>28PlusMAU</t>
  </si>
  <si>
    <t>30PlusMAU</t>
  </si>
  <si>
    <t>32PlusMAU</t>
  </si>
  <si>
    <t>2PlusMUK</t>
  </si>
  <si>
    <t>6PlusMUK</t>
  </si>
  <si>
    <t>10PlusMUK</t>
  </si>
  <si>
    <t>14PlusMUK</t>
  </si>
  <si>
    <t>18PlusMUK</t>
  </si>
  <si>
    <t>24PlusMUK</t>
  </si>
  <si>
    <t>26PlusMUK</t>
  </si>
  <si>
    <t>28PlusMUK</t>
  </si>
  <si>
    <t>30PlusMUK</t>
  </si>
  <si>
    <t>32PlusMUK</t>
  </si>
  <si>
    <t>0MUK</t>
  </si>
  <si>
    <t>23MUK</t>
  </si>
  <si>
    <t>25MUK</t>
  </si>
  <si>
    <t>27MUK</t>
  </si>
  <si>
    <t>29MUK</t>
  </si>
  <si>
    <t>31MUK</t>
  </si>
  <si>
    <t>33MUK</t>
  </si>
  <si>
    <t>18PlusAU</t>
  </si>
  <si>
    <t>18PlusUK</t>
  </si>
  <si>
    <t>30A</t>
  </si>
  <si>
    <t>30B</t>
  </si>
  <si>
    <t>32AA</t>
  </si>
  <si>
    <t>32A</t>
  </si>
  <si>
    <t>32B</t>
  </si>
  <si>
    <t>32C</t>
  </si>
  <si>
    <t>32D</t>
  </si>
  <si>
    <t>32E (DD)</t>
  </si>
  <si>
    <t>32F (3D)</t>
  </si>
  <si>
    <t>32G (4D)</t>
  </si>
  <si>
    <t>32H (5D)</t>
  </si>
  <si>
    <t>34AA</t>
  </si>
  <si>
    <t>34A</t>
  </si>
  <si>
    <t>34B</t>
  </si>
  <si>
    <t>34C</t>
  </si>
  <si>
    <t>34D</t>
  </si>
  <si>
    <t>34E (DD)</t>
  </si>
  <si>
    <t>34F (3D)</t>
  </si>
  <si>
    <t>34G (4D)</t>
  </si>
  <si>
    <t>34H (5D)</t>
  </si>
  <si>
    <t>36AA</t>
  </si>
  <si>
    <t>36A</t>
  </si>
  <si>
    <t>36B</t>
  </si>
  <si>
    <t>36C</t>
  </si>
  <si>
    <t>36D</t>
  </si>
  <si>
    <t>36E (DD)</t>
  </si>
  <si>
    <t>36F (3D)</t>
  </si>
  <si>
    <t>36G (4D)</t>
  </si>
  <si>
    <t>36H (5D)</t>
  </si>
  <si>
    <t>65BEU</t>
  </si>
  <si>
    <t>65CEU</t>
  </si>
  <si>
    <t>70AEU</t>
  </si>
  <si>
    <t>70BEU</t>
  </si>
  <si>
    <t>70CEU</t>
  </si>
  <si>
    <t>70DEU</t>
  </si>
  <si>
    <t>70EEU</t>
  </si>
  <si>
    <t>70FEU</t>
  </si>
  <si>
    <t>70GEU</t>
  </si>
  <si>
    <t>70H (4D)EU</t>
  </si>
  <si>
    <t>70I (5D)EU</t>
  </si>
  <si>
    <t>75AEU</t>
  </si>
  <si>
    <t>75BEU</t>
  </si>
  <si>
    <t>75CEU</t>
  </si>
  <si>
    <t>75DEU</t>
  </si>
  <si>
    <t>75EEU</t>
  </si>
  <si>
    <t>75FEU</t>
  </si>
  <si>
    <t>75GEU</t>
  </si>
  <si>
    <t>75H (D)EU</t>
  </si>
  <si>
    <t>75I (5D)EU</t>
  </si>
  <si>
    <t>80AEU</t>
  </si>
  <si>
    <t>80BEU</t>
  </si>
  <si>
    <t>80CEU</t>
  </si>
  <si>
    <t>80DEU</t>
  </si>
  <si>
    <t>80EEU</t>
  </si>
  <si>
    <t>80FEU</t>
  </si>
  <si>
    <t>80GEU</t>
  </si>
  <si>
    <t>80H (4D)EU</t>
  </si>
  <si>
    <t>80I (5D)EU</t>
  </si>
  <si>
    <t>8AAU</t>
  </si>
  <si>
    <t>8BAU</t>
  </si>
  <si>
    <t>10AAAU</t>
  </si>
  <si>
    <t>10AAU</t>
  </si>
  <si>
    <t>10BAU</t>
  </si>
  <si>
    <t>10CAU</t>
  </si>
  <si>
    <t>10DAU</t>
  </si>
  <si>
    <t>10EAU</t>
  </si>
  <si>
    <t>10F(DDD)AU</t>
  </si>
  <si>
    <t>10G (4D)AU</t>
  </si>
  <si>
    <t>10H (5D)AU</t>
  </si>
  <si>
    <t>12AAAU</t>
  </si>
  <si>
    <t>12AAU</t>
  </si>
  <si>
    <t>12BAU</t>
  </si>
  <si>
    <t>12CAU</t>
  </si>
  <si>
    <t>12DAU</t>
  </si>
  <si>
    <t>12EAU</t>
  </si>
  <si>
    <t>12FAU</t>
  </si>
  <si>
    <t>12G (D)AU</t>
  </si>
  <si>
    <t>12H (5D)AU</t>
  </si>
  <si>
    <t>14AAAU</t>
  </si>
  <si>
    <t>14AAU</t>
  </si>
  <si>
    <t>14BAU</t>
  </si>
  <si>
    <t>14CAU</t>
  </si>
  <si>
    <t>14DAU</t>
  </si>
  <si>
    <t>14EAU</t>
  </si>
  <si>
    <t>14FAU</t>
  </si>
  <si>
    <t>14G (4D)AU</t>
  </si>
  <si>
    <t>14H (5D)AU</t>
  </si>
  <si>
    <t>30AUK</t>
  </si>
  <si>
    <t>BUK 30.00</t>
  </si>
  <si>
    <t>32AAUK</t>
  </si>
  <si>
    <t>32AUK</t>
  </si>
  <si>
    <t>BUK 32.00</t>
  </si>
  <si>
    <t>32CUK</t>
  </si>
  <si>
    <t>32DUK</t>
  </si>
  <si>
    <t>32E (DD)UK</t>
  </si>
  <si>
    <t>32F (3D)UK</t>
  </si>
  <si>
    <t>32G (4D)UK</t>
  </si>
  <si>
    <t>32H (5D)UK</t>
  </si>
  <si>
    <t>34AAUK</t>
  </si>
  <si>
    <t>34AUK</t>
  </si>
  <si>
    <t>BUK 34.00</t>
  </si>
  <si>
    <t>34CUK</t>
  </si>
  <si>
    <t>34DUK</t>
  </si>
  <si>
    <t>34E (DD)UK</t>
  </si>
  <si>
    <t>34F (3D)UK</t>
  </si>
  <si>
    <t>34G (4D)UK</t>
  </si>
  <si>
    <t>34H (5D)UK</t>
  </si>
  <si>
    <t>36AAUK</t>
  </si>
  <si>
    <t>36AUK</t>
  </si>
  <si>
    <t>BUK 36.00</t>
  </si>
  <si>
    <t>36CUK</t>
  </si>
  <si>
    <t>36DUK</t>
  </si>
  <si>
    <t>36E (DD)UK</t>
  </si>
  <si>
    <t>36F (3D)UK</t>
  </si>
  <si>
    <t>36G (4D)UK</t>
  </si>
  <si>
    <t>36H (5D)UK</t>
  </si>
  <si>
    <t>38A</t>
  </si>
  <si>
    <t>38B</t>
  </si>
  <si>
    <t>38C</t>
  </si>
  <si>
    <t>38D</t>
  </si>
  <si>
    <t>38E (DD)</t>
  </si>
  <si>
    <t>38F (3D)</t>
  </si>
  <si>
    <t>38G (4D)</t>
  </si>
  <si>
    <t>38H (5D)</t>
  </si>
  <si>
    <t>40A</t>
  </si>
  <si>
    <t>40B</t>
  </si>
  <si>
    <t>40C</t>
  </si>
  <si>
    <t>40D</t>
  </si>
  <si>
    <t>40E (DD)</t>
  </si>
  <si>
    <t>40F (3D)</t>
  </si>
  <si>
    <t>40G (4D)</t>
  </si>
  <si>
    <t>40H (5D)</t>
  </si>
  <si>
    <t>42A</t>
  </si>
  <si>
    <t>42B</t>
  </si>
  <si>
    <t>42C</t>
  </si>
  <si>
    <t>42D</t>
  </si>
  <si>
    <t>42E (DD)</t>
  </si>
  <si>
    <t>42F (3D)</t>
  </si>
  <si>
    <t>42G (4D)</t>
  </si>
  <si>
    <t>42H (5D)</t>
  </si>
  <si>
    <t>44A</t>
  </si>
  <si>
    <t>44B</t>
  </si>
  <si>
    <t>44C</t>
  </si>
  <si>
    <t>44D</t>
  </si>
  <si>
    <t>44E (DD)</t>
  </si>
  <si>
    <t>44F (3D)</t>
  </si>
  <si>
    <t>44G (4D)</t>
  </si>
  <si>
    <t>44H (5D)</t>
  </si>
  <si>
    <t>46A</t>
  </si>
  <si>
    <t>46B</t>
  </si>
  <si>
    <t>46C</t>
  </si>
  <si>
    <t>46D</t>
  </si>
  <si>
    <t>46DD</t>
  </si>
  <si>
    <t>46F (3D)</t>
  </si>
  <si>
    <t>46G (4D)</t>
  </si>
  <si>
    <t>46H (5D)</t>
  </si>
  <si>
    <t>48A</t>
  </si>
  <si>
    <t>48B</t>
  </si>
  <si>
    <t>48C</t>
  </si>
  <si>
    <t>48D</t>
  </si>
  <si>
    <t>48DD</t>
  </si>
  <si>
    <t>48F</t>
  </si>
  <si>
    <t>48G</t>
  </si>
  <si>
    <t>48H (5D)</t>
  </si>
  <si>
    <t>85BEU</t>
  </si>
  <si>
    <t>85CEU</t>
  </si>
  <si>
    <t>85DEU</t>
  </si>
  <si>
    <t>85EEU</t>
  </si>
  <si>
    <t>85FEU</t>
  </si>
  <si>
    <t>85GEU</t>
  </si>
  <si>
    <t>85H (4D)EU</t>
  </si>
  <si>
    <t>85I (5D)EU</t>
  </si>
  <si>
    <t>90BEU</t>
  </si>
  <si>
    <t>90CEU</t>
  </si>
  <si>
    <t>90DEU</t>
  </si>
  <si>
    <t>90EEU</t>
  </si>
  <si>
    <t>90FEU</t>
  </si>
  <si>
    <t>90GEU</t>
  </si>
  <si>
    <t>90H (D)EU</t>
  </si>
  <si>
    <t>90I (5D)EU</t>
  </si>
  <si>
    <t>95CEU</t>
  </si>
  <si>
    <t>95DEU</t>
  </si>
  <si>
    <t>95EEU</t>
  </si>
  <si>
    <t>95FEU</t>
  </si>
  <si>
    <t>95GEU</t>
  </si>
  <si>
    <t>95H (D)EU</t>
  </si>
  <si>
    <t>95I (5D)EU</t>
  </si>
  <si>
    <t>100CEU</t>
  </si>
  <si>
    <t>100DEU</t>
  </si>
  <si>
    <t>100EEU</t>
  </si>
  <si>
    <t>100FEU</t>
  </si>
  <si>
    <t>100GEU</t>
  </si>
  <si>
    <t>100H (D)EU</t>
  </si>
  <si>
    <t>100I (5D)EU</t>
  </si>
  <si>
    <t>105CEU</t>
  </si>
  <si>
    <t>105DEU</t>
  </si>
  <si>
    <t>105EEU</t>
  </si>
  <si>
    <t>105FEU</t>
  </si>
  <si>
    <t>105GEU</t>
  </si>
  <si>
    <t>105H (D)EU</t>
  </si>
  <si>
    <t>110CEU</t>
  </si>
  <si>
    <t>110DEU</t>
  </si>
  <si>
    <t>110EEU</t>
  </si>
  <si>
    <t>110FEU</t>
  </si>
  <si>
    <t>110GEU</t>
  </si>
  <si>
    <t>110HEU</t>
  </si>
  <si>
    <t>16AAU</t>
  </si>
  <si>
    <t>16BAU</t>
  </si>
  <si>
    <t>16CAU</t>
  </si>
  <si>
    <t>16DAU</t>
  </si>
  <si>
    <t>16EAU</t>
  </si>
  <si>
    <t>16FAU</t>
  </si>
  <si>
    <t>16G (4D)AU</t>
  </si>
  <si>
    <t>16H (5D)AU</t>
  </si>
  <si>
    <t>18AAU</t>
  </si>
  <si>
    <t>18BAU</t>
  </si>
  <si>
    <t>18CAU</t>
  </si>
  <si>
    <t>18DAU</t>
  </si>
  <si>
    <t>18EAU</t>
  </si>
  <si>
    <t>18FAU</t>
  </si>
  <si>
    <t>18G (D)AU</t>
  </si>
  <si>
    <t>18H (5D)AU</t>
  </si>
  <si>
    <t>20BAU</t>
  </si>
  <si>
    <t>20CAU</t>
  </si>
  <si>
    <t>20DAU</t>
  </si>
  <si>
    <t>20EAU</t>
  </si>
  <si>
    <t>20FAU</t>
  </si>
  <si>
    <t>20G (D)AU</t>
  </si>
  <si>
    <t>20H (5D)AU</t>
  </si>
  <si>
    <t>22BAU</t>
  </si>
  <si>
    <t>22CAU</t>
  </si>
  <si>
    <t>22DAU</t>
  </si>
  <si>
    <t>22EAU</t>
  </si>
  <si>
    <t>22FAU</t>
  </si>
  <si>
    <t>22G (D)AU</t>
  </si>
  <si>
    <t>22H (5D)AU</t>
  </si>
  <si>
    <t>24BAU</t>
  </si>
  <si>
    <t>24CAU</t>
  </si>
  <si>
    <t>24DAU</t>
  </si>
  <si>
    <t>24DDAU</t>
  </si>
  <si>
    <t>24FAU</t>
  </si>
  <si>
    <t>24G (D)AU</t>
  </si>
  <si>
    <t>26BAU</t>
  </si>
  <si>
    <t>26CAU</t>
  </si>
  <si>
    <t>26DAU</t>
  </si>
  <si>
    <t>26DDAU</t>
  </si>
  <si>
    <t>26FAU</t>
  </si>
  <si>
    <t>26GAU</t>
  </si>
  <si>
    <t>38AUK</t>
  </si>
  <si>
    <t>BUK 38.00</t>
  </si>
  <si>
    <t>38CUK</t>
  </si>
  <si>
    <t>38DUK</t>
  </si>
  <si>
    <t>38E (DD)UK</t>
  </si>
  <si>
    <t>38F (3D)UK</t>
  </si>
  <si>
    <t>38G (4D)UK</t>
  </si>
  <si>
    <t>38H (5D)UK</t>
  </si>
  <si>
    <t>40AUK</t>
  </si>
  <si>
    <t>BUK 40.00</t>
  </si>
  <si>
    <t>40CUK</t>
  </si>
  <si>
    <t>40DUK</t>
  </si>
  <si>
    <t>40E (DD)UK</t>
  </si>
  <si>
    <t>40F (3D)UK</t>
  </si>
  <si>
    <t>40G (4D)UK</t>
  </si>
  <si>
    <t>40H (5D)UK</t>
  </si>
  <si>
    <t>42AUK</t>
  </si>
  <si>
    <t>BUK 42.00</t>
  </si>
  <si>
    <t>42CUK</t>
  </si>
  <si>
    <t>42DUK</t>
  </si>
  <si>
    <t>42E (DD)UK</t>
  </si>
  <si>
    <t>42F (3D)UK</t>
  </si>
  <si>
    <t>42G (4D)UK</t>
  </si>
  <si>
    <t>42H (5D)UK</t>
  </si>
  <si>
    <t>44AUK</t>
  </si>
  <si>
    <t>BUK 44.00</t>
  </si>
  <si>
    <t>44CUK</t>
  </si>
  <si>
    <t>44DUK</t>
  </si>
  <si>
    <t>44E (DD)UK</t>
  </si>
  <si>
    <t>44F (3D)UK</t>
  </si>
  <si>
    <t>44G (4D)UK</t>
  </si>
  <si>
    <t>44H (5D)UK</t>
  </si>
  <si>
    <t>46AUK</t>
  </si>
  <si>
    <t>BUK 46.00</t>
  </si>
  <si>
    <t>46CUK</t>
  </si>
  <si>
    <t>46DUK</t>
  </si>
  <si>
    <t>46DDUK</t>
  </si>
  <si>
    <t>46F (3D)UK</t>
  </si>
  <si>
    <t>46G (4D)UK</t>
  </si>
  <si>
    <t>46H (5D)UK</t>
  </si>
  <si>
    <t>48AUK</t>
  </si>
  <si>
    <t>BUK 48.00</t>
  </si>
  <si>
    <t>48CUK</t>
  </si>
  <si>
    <t>48DUK</t>
  </si>
  <si>
    <t>48DDUK</t>
  </si>
  <si>
    <t>48FUK</t>
  </si>
  <si>
    <t>48GUK</t>
  </si>
  <si>
    <t>48H (5D)UK</t>
  </si>
  <si>
    <t>OSM</t>
  </si>
  <si>
    <t>30AM</t>
  </si>
  <si>
    <t>30BM</t>
  </si>
  <si>
    <t>32AAM</t>
  </si>
  <si>
    <t>32AM</t>
  </si>
  <si>
    <t>32BM</t>
  </si>
  <si>
    <t>32CM</t>
  </si>
  <si>
    <t>32DM</t>
  </si>
  <si>
    <t>32E (DD)M</t>
  </si>
  <si>
    <t>32F (3D)M</t>
  </si>
  <si>
    <t>32G (4D)M</t>
  </si>
  <si>
    <t>32H (5D)M</t>
  </si>
  <si>
    <t>34AAM</t>
  </si>
  <si>
    <t>34AM</t>
  </si>
  <si>
    <t>34BM</t>
  </si>
  <si>
    <t>34CM</t>
  </si>
  <si>
    <t>34DM</t>
  </si>
  <si>
    <t>34E (DD)M</t>
  </si>
  <si>
    <t>34F (3D)M</t>
  </si>
  <si>
    <t>34G (4D)M</t>
  </si>
  <si>
    <t>34H (5D)M</t>
  </si>
  <si>
    <t>36AAM</t>
  </si>
  <si>
    <t>36AM</t>
  </si>
  <si>
    <t>36BM</t>
  </si>
  <si>
    <t>36CM</t>
  </si>
  <si>
    <t>36DM</t>
  </si>
  <si>
    <t>36E (DD)M</t>
  </si>
  <si>
    <t>36F (3D)M</t>
  </si>
  <si>
    <t>36G (4D)M</t>
  </si>
  <si>
    <t>36H (5D)M</t>
  </si>
  <si>
    <t>38AM</t>
  </si>
  <si>
    <t>38BM</t>
  </si>
  <si>
    <t>38CM</t>
  </si>
  <si>
    <t>38DM</t>
  </si>
  <si>
    <t>38E (DD)M</t>
  </si>
  <si>
    <t>38F (3D)M</t>
  </si>
  <si>
    <t>38G (4D)M</t>
  </si>
  <si>
    <t>38H (5D)M</t>
  </si>
  <si>
    <t>40AM</t>
  </si>
  <si>
    <t>40BM</t>
  </si>
  <si>
    <t>40CM</t>
  </si>
  <si>
    <t>40DM</t>
  </si>
  <si>
    <t>40E (DD)M</t>
  </si>
  <si>
    <t>40F (3D)M</t>
  </si>
  <si>
    <t>40G (4D)M</t>
  </si>
  <si>
    <t>40H (5D)M</t>
  </si>
  <si>
    <t>42AM</t>
  </si>
  <si>
    <t>42BM</t>
  </si>
  <si>
    <t>42CM</t>
  </si>
  <si>
    <t>42DM</t>
  </si>
  <si>
    <t>42E (DD)M</t>
  </si>
  <si>
    <t>42F (3D)M</t>
  </si>
  <si>
    <t>42G (4D)M</t>
  </si>
  <si>
    <t>42H (5D)M</t>
  </si>
  <si>
    <t>44AM</t>
  </si>
  <si>
    <t>44BM</t>
  </si>
  <si>
    <t>44CM</t>
  </si>
  <si>
    <t>44DM</t>
  </si>
  <si>
    <t>44E (DD)M</t>
  </si>
  <si>
    <t>44F (3D)M</t>
  </si>
  <si>
    <t>44G (4D)M</t>
  </si>
  <si>
    <t>44H (5D)M</t>
  </si>
  <si>
    <t>46AM</t>
  </si>
  <si>
    <t>46BM</t>
  </si>
  <si>
    <t>46CM</t>
  </si>
  <si>
    <t>46DM</t>
  </si>
  <si>
    <t>DDM 46.00</t>
  </si>
  <si>
    <t>46F (3D)M</t>
  </si>
  <si>
    <t>46G (4D)M</t>
  </si>
  <si>
    <t>46H (5D)M</t>
  </si>
  <si>
    <t>48AM</t>
  </si>
  <si>
    <t>48BM</t>
  </si>
  <si>
    <t>48CM</t>
  </si>
  <si>
    <t>48DM</t>
  </si>
  <si>
    <t>DDM 48.00</t>
  </si>
  <si>
    <t>48FM</t>
  </si>
  <si>
    <t>48GM</t>
  </si>
  <si>
    <t>48H (5D)M</t>
  </si>
  <si>
    <t>OSMEU</t>
  </si>
  <si>
    <t>65BMEU</t>
  </si>
  <si>
    <t>65CMEU</t>
  </si>
  <si>
    <t>70AMEU</t>
  </si>
  <si>
    <t>70BMEU</t>
  </si>
  <si>
    <t>70CMEU</t>
  </si>
  <si>
    <t>70DMEU</t>
  </si>
  <si>
    <t>70EMEU</t>
  </si>
  <si>
    <t>70FMEU</t>
  </si>
  <si>
    <t>70GMEU</t>
  </si>
  <si>
    <t>70H (4D)MEU</t>
  </si>
  <si>
    <t>70I (5D)MEU</t>
  </si>
  <si>
    <t>75AMEU</t>
  </si>
  <si>
    <t>75BMEU</t>
  </si>
  <si>
    <t>75CMEU</t>
  </si>
  <si>
    <t>75DMEU</t>
  </si>
  <si>
    <t>75EMEU</t>
  </si>
  <si>
    <t>75FMEU</t>
  </si>
  <si>
    <t>75GMEU</t>
  </si>
  <si>
    <t>75H (D)MEU</t>
  </si>
  <si>
    <t>75I (5D)MEU</t>
  </si>
  <si>
    <t>80AMEU</t>
  </si>
  <si>
    <t>80BMEU</t>
  </si>
  <si>
    <t>80CMEU</t>
  </si>
  <si>
    <t>80DMEU</t>
  </si>
  <si>
    <t>80EMEU</t>
  </si>
  <si>
    <t>80FMEU</t>
  </si>
  <si>
    <t>80GMEU</t>
  </si>
  <si>
    <t>80H (4D)MEU</t>
  </si>
  <si>
    <t>80I (5D)MEU</t>
  </si>
  <si>
    <t>85BMEU</t>
  </si>
  <si>
    <t>85CMEU</t>
  </si>
  <si>
    <t>85DMEU</t>
  </si>
  <si>
    <t>85EMEU</t>
  </si>
  <si>
    <t>85FMEU</t>
  </si>
  <si>
    <t>85GMEU</t>
  </si>
  <si>
    <t>85H (4D)MEU</t>
  </si>
  <si>
    <t>85I (5D)MEU</t>
  </si>
  <si>
    <t>90BMEU</t>
  </si>
  <si>
    <t>90CMEU</t>
  </si>
  <si>
    <t>90DMEU</t>
  </si>
  <si>
    <t>90EMEU</t>
  </si>
  <si>
    <t>90FMEU</t>
  </si>
  <si>
    <t>90GMEU</t>
  </si>
  <si>
    <t>90H (D)MEU</t>
  </si>
  <si>
    <t>90I (5D)MEU</t>
  </si>
  <si>
    <t>95CMEU</t>
  </si>
  <si>
    <t>95DMEU</t>
  </si>
  <si>
    <t>95EMEU</t>
  </si>
  <si>
    <t>95FMEU</t>
  </si>
  <si>
    <t>95GMEU</t>
  </si>
  <si>
    <t>95H (D)MEU</t>
  </si>
  <si>
    <t>95I (5D)MEU</t>
  </si>
  <si>
    <t>100CMEU</t>
  </si>
  <si>
    <t>100DMEU</t>
  </si>
  <si>
    <t>100EMEU</t>
  </si>
  <si>
    <t>100FMEU</t>
  </si>
  <si>
    <t>100GMEU</t>
  </si>
  <si>
    <t>100H (D)MEU</t>
  </si>
  <si>
    <t>100I (5D)MEU</t>
  </si>
  <si>
    <t>105CMEU</t>
  </si>
  <si>
    <t>105DMEU</t>
  </si>
  <si>
    <t>105EMEU</t>
  </si>
  <si>
    <t>105FMEU</t>
  </si>
  <si>
    <t>105GMEU</t>
  </si>
  <si>
    <t>105H (D)MEU</t>
  </si>
  <si>
    <t>110CMEU</t>
  </si>
  <si>
    <t>110DMEU</t>
  </si>
  <si>
    <t>110EMEU</t>
  </si>
  <si>
    <t>110FMEU</t>
  </si>
  <si>
    <t>110GMEU</t>
  </si>
  <si>
    <t>110HMEU</t>
  </si>
  <si>
    <t>OSMAU</t>
  </si>
  <si>
    <t>8BMAU</t>
  </si>
  <si>
    <t>8AMAU</t>
  </si>
  <si>
    <t>10AAMAU</t>
  </si>
  <si>
    <t>10AMAU</t>
  </si>
  <si>
    <t>10BMAU</t>
  </si>
  <si>
    <t>10CMAU</t>
  </si>
  <si>
    <t>10DMAU</t>
  </si>
  <si>
    <t>10EMAU</t>
  </si>
  <si>
    <t>10F(DDD)MAU</t>
  </si>
  <si>
    <t>10G (4D)MAU</t>
  </si>
  <si>
    <t>10H (5D)MAU</t>
  </si>
  <si>
    <t>12AAMAU</t>
  </si>
  <si>
    <t>12AMAU</t>
  </si>
  <si>
    <t>12BMAU</t>
  </si>
  <si>
    <t>12CMAU</t>
  </si>
  <si>
    <t>12DMAU</t>
  </si>
  <si>
    <t>12EMAU</t>
  </si>
  <si>
    <t>12FMAU</t>
  </si>
  <si>
    <t>12G (D)MAU</t>
  </si>
  <si>
    <t>12H (5D)MAU</t>
  </si>
  <si>
    <t>14AAMAU</t>
  </si>
  <si>
    <t>14AMAU</t>
  </si>
  <si>
    <t>14BMAU</t>
  </si>
  <si>
    <t>14CMAU</t>
  </si>
  <si>
    <t>14DMAU</t>
  </si>
  <si>
    <t>14EMAU</t>
  </si>
  <si>
    <t>14FMAU</t>
  </si>
  <si>
    <t>14G (4D)MAU</t>
  </si>
  <si>
    <t>14H (5D)MAU</t>
  </si>
  <si>
    <t>16AMAU</t>
  </si>
  <si>
    <t>16BMAU</t>
  </si>
  <si>
    <t>16CMAU</t>
  </si>
  <si>
    <t>16DMAU</t>
  </si>
  <si>
    <t>16EMAU</t>
  </si>
  <si>
    <t>16FMAU</t>
  </si>
  <si>
    <t>16G (4D)MAU</t>
  </si>
  <si>
    <t>16H (5D)MAU</t>
  </si>
  <si>
    <t>18AMAU</t>
  </si>
  <si>
    <t>18BMAU</t>
  </si>
  <si>
    <t>18CMAU</t>
  </si>
  <si>
    <t>18DMAU</t>
  </si>
  <si>
    <t>18EMAU</t>
  </si>
  <si>
    <t>18FMAU</t>
  </si>
  <si>
    <t>18G (D)MAU</t>
  </si>
  <si>
    <t>18H (5D)MAU</t>
  </si>
  <si>
    <t>20BMAU</t>
  </si>
  <si>
    <t>20CMAU</t>
  </si>
  <si>
    <t>20DMAU</t>
  </si>
  <si>
    <t>20EMAU</t>
  </si>
  <si>
    <t>20FMAU</t>
  </si>
  <si>
    <t>20G (D)MAU</t>
  </si>
  <si>
    <t>20H (5D)MAU</t>
  </si>
  <si>
    <t>22BMAU</t>
  </si>
  <si>
    <t>22CMAU</t>
  </si>
  <si>
    <t>22DMAU</t>
  </si>
  <si>
    <t>22EMAU</t>
  </si>
  <si>
    <t>22FMAU</t>
  </si>
  <si>
    <t>22G (D)MAU</t>
  </si>
  <si>
    <t>22H (5D)MAU</t>
  </si>
  <si>
    <t>24BMAU</t>
  </si>
  <si>
    <t>24CMAU</t>
  </si>
  <si>
    <t>24DMAU</t>
  </si>
  <si>
    <t>24EMAU</t>
  </si>
  <si>
    <t>24FMAU</t>
  </si>
  <si>
    <t>24G (D)MAU</t>
  </si>
  <si>
    <t>26BMAU</t>
  </si>
  <si>
    <t>26CMAU</t>
  </si>
  <si>
    <t>26DMAU</t>
  </si>
  <si>
    <t>26EMAU</t>
  </si>
  <si>
    <t>26FMAU</t>
  </si>
  <si>
    <t>26GMAU</t>
  </si>
  <si>
    <t>OSMUK</t>
  </si>
  <si>
    <t>30AMUK</t>
  </si>
  <si>
    <t>30BMUK</t>
  </si>
  <si>
    <t>32AAMUK</t>
  </si>
  <si>
    <t>32AMUK</t>
  </si>
  <si>
    <t>32BMUK</t>
  </si>
  <si>
    <t>32CMUK</t>
  </si>
  <si>
    <t>32DMUK</t>
  </si>
  <si>
    <t>32E (DD)MUK</t>
  </si>
  <si>
    <t>32F (3D)MUK</t>
  </si>
  <si>
    <t>32G (4D)MUK</t>
  </si>
  <si>
    <t>32H (5D)MUK</t>
  </si>
  <si>
    <t>34AAMUK</t>
  </si>
  <si>
    <t>34AMUK</t>
  </si>
  <si>
    <t>34BMUK</t>
  </si>
  <si>
    <t>34CMUK</t>
  </si>
  <si>
    <t>34DMUK</t>
  </si>
  <si>
    <t>34E (DD)MUK</t>
  </si>
  <si>
    <t>34F (3D)MUK</t>
  </si>
  <si>
    <t>34G (4D)MUK</t>
  </si>
  <si>
    <t>34H (5D)MUK</t>
  </si>
  <si>
    <t>36AAMUK</t>
  </si>
  <si>
    <t>36AMUK</t>
  </si>
  <si>
    <t>36BMUK</t>
  </si>
  <si>
    <t>36CMUK</t>
  </si>
  <si>
    <t>36DMUK</t>
  </si>
  <si>
    <t>36E (DD)MUK</t>
  </si>
  <si>
    <t>36F (3D)MUK</t>
  </si>
  <si>
    <t>36G (4D)MUK</t>
  </si>
  <si>
    <t>36H (5D)MUK</t>
  </si>
  <si>
    <t>38AMUK</t>
  </si>
  <si>
    <t>38BMUK</t>
  </si>
  <si>
    <t>38CMUK</t>
  </si>
  <si>
    <t>38DMUK</t>
  </si>
  <si>
    <t>38E (DD)MUK</t>
  </si>
  <si>
    <t>38F (3D)MUK</t>
  </si>
  <si>
    <t>38G (4D)MUK</t>
  </si>
  <si>
    <t>38H (5D)MUK</t>
  </si>
  <si>
    <t>40AMUK</t>
  </si>
  <si>
    <t>40BMUK</t>
  </si>
  <si>
    <t>40CMUK</t>
  </si>
  <si>
    <t>40DMUK</t>
  </si>
  <si>
    <t>40E (DD)MUK</t>
  </si>
  <si>
    <t>40F (3D)MUK</t>
  </si>
  <si>
    <t>40G (4D)MUK</t>
  </si>
  <si>
    <t>40H (5D)MUK</t>
  </si>
  <si>
    <t>42AMUK</t>
  </si>
  <si>
    <t>42BMUK</t>
  </si>
  <si>
    <t>42CMUK</t>
  </si>
  <si>
    <t>42DMUK</t>
  </si>
  <si>
    <t>42E (DD)MUK</t>
  </si>
  <si>
    <t>42F (3D)MUK</t>
  </si>
  <si>
    <t>42G (4D)MUK</t>
  </si>
  <si>
    <t>42H (5D)MUK</t>
  </si>
  <si>
    <t>44AMUK</t>
  </si>
  <si>
    <t>44BMUK</t>
  </si>
  <si>
    <t>44CMUK</t>
  </si>
  <si>
    <t>44DMUK</t>
  </si>
  <si>
    <t>44E (DD)MUK</t>
  </si>
  <si>
    <t>44F (3D)MUK</t>
  </si>
  <si>
    <t>44G (4D)MUK</t>
  </si>
  <si>
    <t>44H (5D)MUK</t>
  </si>
  <si>
    <t>46AMUK</t>
  </si>
  <si>
    <t>46BMUK</t>
  </si>
  <si>
    <t>46CMUK</t>
  </si>
  <si>
    <t>46DMUK</t>
  </si>
  <si>
    <t>46DDMUK</t>
  </si>
  <si>
    <t>46F (3D)MUK</t>
  </si>
  <si>
    <t>46G (4D)MUK</t>
  </si>
  <si>
    <t>46H (5D)MUK</t>
  </si>
  <si>
    <t>48AMUK</t>
  </si>
  <si>
    <t>48BMUK</t>
  </si>
  <si>
    <t>48CMUK</t>
  </si>
  <si>
    <t>48DMUK</t>
  </si>
  <si>
    <t>48DDMUK</t>
  </si>
  <si>
    <t>48FMUK</t>
  </si>
  <si>
    <t>48GMUK</t>
  </si>
  <si>
    <t>48H (5D)MUK</t>
  </si>
  <si>
    <t>71.12EU</t>
  </si>
  <si>
    <t>73.66EU</t>
  </si>
  <si>
    <t>76.2EU</t>
  </si>
  <si>
    <t>78.8EU</t>
  </si>
  <si>
    <t>81.3EU</t>
  </si>
  <si>
    <t>83.8EU</t>
  </si>
  <si>
    <t>86.4EU</t>
  </si>
  <si>
    <t>88.9EU</t>
  </si>
  <si>
    <t>91.4EU</t>
  </si>
  <si>
    <t>94EU</t>
  </si>
  <si>
    <t>96.5EU</t>
  </si>
  <si>
    <t>99.1EU</t>
  </si>
  <si>
    <t>101.6EU</t>
  </si>
  <si>
    <t>104.1EU</t>
  </si>
  <si>
    <t>35AU</t>
  </si>
  <si>
    <t>37AU</t>
  </si>
  <si>
    <t>39AU</t>
  </si>
  <si>
    <t>40AU</t>
  </si>
  <si>
    <t>41AU</t>
  </si>
  <si>
    <t>35UK</t>
  </si>
  <si>
    <t>37UK</t>
  </si>
  <si>
    <t>39UK</t>
  </si>
  <si>
    <t>40UK</t>
  </si>
  <si>
    <t>41UK</t>
  </si>
  <si>
    <t>36.9EU</t>
  </si>
  <si>
    <t>38.1EU</t>
  </si>
  <si>
    <t>39.4EU</t>
  </si>
  <si>
    <t>40.6EU</t>
  </si>
  <si>
    <t>41.9EU</t>
  </si>
  <si>
    <t>43.2EU</t>
  </si>
  <si>
    <t>44.5EU</t>
  </si>
  <si>
    <t>45.8EU</t>
  </si>
  <si>
    <t>36.9AU</t>
  </si>
  <si>
    <t>38.1AU</t>
  </si>
  <si>
    <t>39.4AU</t>
  </si>
  <si>
    <t>40.6AU</t>
  </si>
  <si>
    <t>41.9AU</t>
  </si>
  <si>
    <t>43.2AU</t>
  </si>
  <si>
    <t>44.5AU</t>
  </si>
  <si>
    <t>45.8AU</t>
  </si>
  <si>
    <t>14.5UK</t>
  </si>
  <si>
    <t>15UK</t>
  </si>
  <si>
    <t>15.5UK</t>
  </si>
  <si>
    <t>16.5UK</t>
  </si>
  <si>
    <t>17UK</t>
  </si>
  <si>
    <t>17.5UK</t>
  </si>
  <si>
    <t>34S</t>
  </si>
  <si>
    <t>34R</t>
  </si>
  <si>
    <t>34L</t>
  </si>
  <si>
    <t>35S</t>
  </si>
  <si>
    <t>35R</t>
  </si>
  <si>
    <t>35L</t>
  </si>
  <si>
    <t>36S</t>
  </si>
  <si>
    <t>36R</t>
  </si>
  <si>
    <t>36L</t>
  </si>
  <si>
    <t>37S</t>
  </si>
  <si>
    <t>37R</t>
  </si>
  <si>
    <t>37L</t>
  </si>
  <si>
    <t>38S</t>
  </si>
  <si>
    <t>38R</t>
  </si>
  <si>
    <t>38L</t>
  </si>
  <si>
    <t>39S</t>
  </si>
  <si>
    <t>39R</t>
  </si>
  <si>
    <t>39L</t>
  </si>
  <si>
    <t>40S</t>
  </si>
  <si>
    <t>40R</t>
  </si>
  <si>
    <t>40L</t>
  </si>
  <si>
    <t>41S</t>
  </si>
  <si>
    <t>41R</t>
  </si>
  <si>
    <t>41L</t>
  </si>
  <si>
    <t>42S</t>
  </si>
  <si>
    <t>42R</t>
  </si>
  <si>
    <t>42L</t>
  </si>
  <si>
    <t>43S</t>
  </si>
  <si>
    <t>43R</t>
  </si>
  <si>
    <t>43L</t>
  </si>
  <si>
    <t>44S</t>
  </si>
  <si>
    <t>44R</t>
  </si>
  <si>
    <t>44L</t>
  </si>
  <si>
    <t>45S</t>
  </si>
  <si>
    <t>45R</t>
  </si>
  <si>
    <t>45L</t>
  </si>
  <si>
    <t>46S</t>
  </si>
  <si>
    <t>46R</t>
  </si>
  <si>
    <t>46L</t>
  </si>
  <si>
    <t>47S</t>
  </si>
  <si>
    <t>47R</t>
  </si>
  <si>
    <t>47L</t>
  </si>
  <si>
    <t>48S</t>
  </si>
  <si>
    <t>48R</t>
  </si>
  <si>
    <t>48L</t>
  </si>
  <si>
    <t>49S</t>
  </si>
  <si>
    <t>49R</t>
  </si>
  <si>
    <t>49L</t>
  </si>
  <si>
    <t>50S</t>
  </si>
  <si>
    <t>50R</t>
  </si>
  <si>
    <t>50L</t>
  </si>
  <si>
    <t>51S</t>
  </si>
  <si>
    <t>51R</t>
  </si>
  <si>
    <t>51L</t>
  </si>
  <si>
    <t>52S</t>
  </si>
  <si>
    <t>52R</t>
  </si>
  <si>
    <t>52L</t>
  </si>
  <si>
    <t>53S</t>
  </si>
  <si>
    <t>53R</t>
  </si>
  <si>
    <t>53L</t>
  </si>
  <si>
    <t>54S</t>
  </si>
  <si>
    <t>54R</t>
  </si>
  <si>
    <t>54L</t>
  </si>
  <si>
    <t>55S</t>
  </si>
  <si>
    <t>55R</t>
  </si>
  <si>
    <t>55L</t>
  </si>
  <si>
    <t>56S</t>
  </si>
  <si>
    <t>56R</t>
  </si>
  <si>
    <t>56L</t>
  </si>
  <si>
    <t>44REU</t>
  </si>
  <si>
    <t>44SEU</t>
  </si>
  <si>
    <t>44LEU</t>
  </si>
  <si>
    <t>45REU</t>
  </si>
  <si>
    <t>45SEU</t>
  </si>
  <si>
    <t>45LEU</t>
  </si>
  <si>
    <t>46REU</t>
  </si>
  <si>
    <t>46SEU</t>
  </si>
  <si>
    <t>46LEU</t>
  </si>
  <si>
    <t>47REU</t>
  </si>
  <si>
    <t>47SEU</t>
  </si>
  <si>
    <t>47LEU</t>
  </si>
  <si>
    <t>48REU</t>
  </si>
  <si>
    <t>48SEU</t>
  </si>
  <si>
    <t>48LEU</t>
  </si>
  <si>
    <t>49REU</t>
  </si>
  <si>
    <t>49SEU</t>
  </si>
  <si>
    <t>49LEU</t>
  </si>
  <si>
    <t>50REU</t>
  </si>
  <si>
    <t>50SEU</t>
  </si>
  <si>
    <t>50LEU</t>
  </si>
  <si>
    <t>51REU</t>
  </si>
  <si>
    <t>51SEU</t>
  </si>
  <si>
    <t>51LEU</t>
  </si>
  <si>
    <t>52REU</t>
  </si>
  <si>
    <t>52SEU</t>
  </si>
  <si>
    <t>52LEU</t>
  </si>
  <si>
    <t>53REU</t>
  </si>
  <si>
    <t>53SEU</t>
  </si>
  <si>
    <t>53LEU</t>
  </si>
  <si>
    <t>54REU</t>
  </si>
  <si>
    <t>54SEU</t>
  </si>
  <si>
    <t>54LEU</t>
  </si>
  <si>
    <t>55REU</t>
  </si>
  <si>
    <t>55SEU</t>
  </si>
  <si>
    <t>55LEU</t>
  </si>
  <si>
    <t>56REU</t>
  </si>
  <si>
    <t>56SEU</t>
  </si>
  <si>
    <t>56LEU</t>
  </si>
  <si>
    <t>57REU</t>
  </si>
  <si>
    <t>57SEU</t>
  </si>
  <si>
    <t>57LEU</t>
  </si>
  <si>
    <t>58REU</t>
  </si>
  <si>
    <t>58SEU</t>
  </si>
  <si>
    <t>58LEU</t>
  </si>
  <si>
    <t>59REU</t>
  </si>
  <si>
    <t>59SEU</t>
  </si>
  <si>
    <t>59LEU</t>
  </si>
  <si>
    <t>60REU</t>
  </si>
  <si>
    <t>60SEU</t>
  </si>
  <si>
    <t>60LEU</t>
  </si>
  <si>
    <t>61REU</t>
  </si>
  <si>
    <t>61SEU</t>
  </si>
  <si>
    <t>61LEU</t>
  </si>
  <si>
    <t>62REU</t>
  </si>
  <si>
    <t>62SEU</t>
  </si>
  <si>
    <t>62LEU</t>
  </si>
  <si>
    <t>63REU</t>
  </si>
  <si>
    <t>63SEU</t>
  </si>
  <si>
    <t>63LEU</t>
  </si>
  <si>
    <t>64REU</t>
  </si>
  <si>
    <t>64SEU</t>
  </si>
  <si>
    <t>64LEU</t>
  </si>
  <si>
    <t>65REU</t>
  </si>
  <si>
    <t>65SEU</t>
  </si>
  <si>
    <t>65LEU</t>
  </si>
  <si>
    <t>66REU</t>
  </si>
  <si>
    <t>66SEU</t>
  </si>
  <si>
    <t>66LEU</t>
  </si>
  <si>
    <t>34RAU</t>
  </si>
  <si>
    <t>34SAU</t>
  </si>
  <si>
    <t>34LAU</t>
  </si>
  <si>
    <t>35RAU</t>
  </si>
  <si>
    <t>35SAU</t>
  </si>
  <si>
    <t>35LAU</t>
  </si>
  <si>
    <t>36RAU</t>
  </si>
  <si>
    <t>36SAU</t>
  </si>
  <si>
    <t>36LAU</t>
  </si>
  <si>
    <t>37RAU</t>
  </si>
  <si>
    <t>37SAU</t>
  </si>
  <si>
    <t>37LAU</t>
  </si>
  <si>
    <t>38RAU</t>
  </si>
  <si>
    <t>38SAU</t>
  </si>
  <si>
    <t>38LAU</t>
  </si>
  <si>
    <t>39RAU</t>
  </si>
  <si>
    <t>39SAU</t>
  </si>
  <si>
    <t>39LAU</t>
  </si>
  <si>
    <t>40RAU</t>
  </si>
  <si>
    <t>40SAU</t>
  </si>
  <si>
    <t>40LAU</t>
  </si>
  <si>
    <t>41RAU</t>
  </si>
  <si>
    <t>41SAU</t>
  </si>
  <si>
    <t>41LAU</t>
  </si>
  <si>
    <t>42RAU</t>
  </si>
  <si>
    <t>42SAU</t>
  </si>
  <si>
    <t>42LAU</t>
  </si>
  <si>
    <t>43RAU</t>
  </si>
  <si>
    <t>43SAU</t>
  </si>
  <si>
    <t>43LAU</t>
  </si>
  <si>
    <t>44RAU</t>
  </si>
  <si>
    <t>44SAU</t>
  </si>
  <si>
    <t>44LAU</t>
  </si>
  <si>
    <t>45RAU</t>
  </si>
  <si>
    <t>45SAU</t>
  </si>
  <si>
    <t>45LAU</t>
  </si>
  <si>
    <t>46RAU</t>
  </si>
  <si>
    <t>46SAU</t>
  </si>
  <si>
    <t>46LAU</t>
  </si>
  <si>
    <t>47RAU</t>
  </si>
  <si>
    <t>47SAU</t>
  </si>
  <si>
    <t>47LAU</t>
  </si>
  <si>
    <t>48RAU</t>
  </si>
  <si>
    <t>48SAU</t>
  </si>
  <si>
    <t>48LAU</t>
  </si>
  <si>
    <t>49RAU</t>
  </si>
  <si>
    <t>49SAU</t>
  </si>
  <si>
    <t>49LAU</t>
  </si>
  <si>
    <t>50RAU</t>
  </si>
  <si>
    <t>50SAU</t>
  </si>
  <si>
    <t>50LAU</t>
  </si>
  <si>
    <t>51RAU</t>
  </si>
  <si>
    <t>51SAU</t>
  </si>
  <si>
    <t>51LAU</t>
  </si>
  <si>
    <t>52RAU</t>
  </si>
  <si>
    <t>52SAU</t>
  </si>
  <si>
    <t>52LAU</t>
  </si>
  <si>
    <t>53RAU</t>
  </si>
  <si>
    <t>53SAU</t>
  </si>
  <si>
    <t>53LAU</t>
  </si>
  <si>
    <t>54RAU</t>
  </si>
  <si>
    <t>54SAU</t>
  </si>
  <si>
    <t>54LAU</t>
  </si>
  <si>
    <t>55RAU</t>
  </si>
  <si>
    <t>55SAU</t>
  </si>
  <si>
    <t>55LAU</t>
  </si>
  <si>
    <t>56RAU</t>
  </si>
  <si>
    <t>56SAU</t>
  </si>
  <si>
    <t>56LAU</t>
  </si>
  <si>
    <t>34RUK</t>
  </si>
  <si>
    <t>34SUK</t>
  </si>
  <si>
    <t>34LUK</t>
  </si>
  <si>
    <t>35RUK</t>
  </si>
  <si>
    <t>35SUK</t>
  </si>
  <si>
    <t>35LUK</t>
  </si>
  <si>
    <t>36RUK</t>
  </si>
  <si>
    <t>36SUK</t>
  </si>
  <si>
    <t>36LUK</t>
  </si>
  <si>
    <t>37RUK</t>
  </si>
  <si>
    <t>37SUK</t>
  </si>
  <si>
    <t>37LUK</t>
  </si>
  <si>
    <t>38RUK</t>
  </si>
  <si>
    <t>38SUK</t>
  </si>
  <si>
    <t>38LUK</t>
  </si>
  <si>
    <t>39RUK</t>
  </si>
  <si>
    <t>39SUK</t>
  </si>
  <si>
    <t>39LUK</t>
  </si>
  <si>
    <t>40RUK</t>
  </si>
  <si>
    <t>40SUK</t>
  </si>
  <si>
    <t>40LUK</t>
  </si>
  <si>
    <t>41RUK</t>
  </si>
  <si>
    <t>41SUK</t>
  </si>
  <si>
    <t>41LUK</t>
  </si>
  <si>
    <t>42RUK</t>
  </si>
  <si>
    <t>42SUK</t>
  </si>
  <si>
    <t>42LUK</t>
  </si>
  <si>
    <t>43RUK</t>
  </si>
  <si>
    <t>43SUK</t>
  </si>
  <si>
    <t>43LUK</t>
  </si>
  <si>
    <t>44RUK</t>
  </si>
  <si>
    <t>44SUK</t>
  </si>
  <si>
    <t>44LUK</t>
  </si>
  <si>
    <t>45RUK</t>
  </si>
  <si>
    <t>45SUK</t>
  </si>
  <si>
    <t>45LUK</t>
  </si>
  <si>
    <t>46RUK</t>
  </si>
  <si>
    <t>46SUK</t>
  </si>
  <si>
    <t>46LUK</t>
  </si>
  <si>
    <t>47RUK</t>
  </si>
  <si>
    <t>47SUK</t>
  </si>
  <si>
    <t>47LUK</t>
  </si>
  <si>
    <t>48RUK</t>
  </si>
  <si>
    <t>48SUK</t>
  </si>
  <si>
    <t>48LUK</t>
  </si>
  <si>
    <t>49RUK</t>
  </si>
  <si>
    <t>49SUK</t>
  </si>
  <si>
    <t>49LUK</t>
  </si>
  <si>
    <t>50RUK</t>
  </si>
  <si>
    <t>50SUK</t>
  </si>
  <si>
    <t>50LUK</t>
  </si>
  <si>
    <t>51RUK</t>
  </si>
  <si>
    <t>51SUK</t>
  </si>
  <si>
    <t>51LUK</t>
  </si>
  <si>
    <t>52RUK</t>
  </si>
  <si>
    <t>52SUK</t>
  </si>
  <si>
    <t>52LUK</t>
  </si>
  <si>
    <t>53RUK</t>
  </si>
  <si>
    <t>53SUK</t>
  </si>
  <si>
    <t>53LUK</t>
  </si>
  <si>
    <t>54RUK</t>
  </si>
  <si>
    <t>54SUK</t>
  </si>
  <si>
    <t>54LUK</t>
  </si>
  <si>
    <t>55RUK</t>
  </si>
  <si>
    <t>55SUK</t>
  </si>
  <si>
    <t>55LUK</t>
  </si>
  <si>
    <t>56RUK</t>
  </si>
  <si>
    <t>56SUK</t>
  </si>
  <si>
    <t>56LUK</t>
  </si>
  <si>
    <t>43.5EU</t>
  </si>
  <si>
    <t>45EU</t>
  </si>
  <si>
    <t>45.5EU</t>
  </si>
  <si>
    <t>46.5EU</t>
  </si>
  <si>
    <t>47EU</t>
  </si>
  <si>
    <t>47.5EU</t>
  </si>
  <si>
    <t>48.5EU</t>
  </si>
  <si>
    <t>49EU</t>
  </si>
  <si>
    <t>3AU</t>
  </si>
  <si>
    <t>3.5AU</t>
  </si>
  <si>
    <t>13.5AU</t>
  </si>
  <si>
    <t>14.5AU</t>
  </si>
  <si>
    <t>15AU</t>
  </si>
  <si>
    <t>11.5UK</t>
  </si>
  <si>
    <t>12.5UK</t>
  </si>
  <si>
    <t>13UK</t>
  </si>
  <si>
    <t>13.5UK</t>
  </si>
  <si>
    <t>3XL</t>
  </si>
  <si>
    <t>4XL</t>
  </si>
  <si>
    <t>5XL</t>
  </si>
  <si>
    <t>6XL</t>
  </si>
  <si>
    <t>LT</t>
  </si>
  <si>
    <t>XLT</t>
  </si>
  <si>
    <t>2XLT</t>
  </si>
  <si>
    <t>3XLT</t>
  </si>
  <si>
    <t>4XLT</t>
  </si>
  <si>
    <t>5XLT</t>
  </si>
  <si>
    <t>6XLT</t>
  </si>
  <si>
    <t>3XLEU</t>
  </si>
  <si>
    <t>4XLEU</t>
  </si>
  <si>
    <t>5XLEU</t>
  </si>
  <si>
    <t>6XLEU</t>
  </si>
  <si>
    <t>LTEU</t>
  </si>
  <si>
    <t>XLTEU</t>
  </si>
  <si>
    <t>2XLTEU</t>
  </si>
  <si>
    <t>3XLTEU</t>
  </si>
  <si>
    <t>4XLTEU</t>
  </si>
  <si>
    <t>5XLTEU</t>
  </si>
  <si>
    <t>6XLTEU</t>
  </si>
  <si>
    <t>3XLAU</t>
  </si>
  <si>
    <t>4XLAU</t>
  </si>
  <si>
    <t>5XLAU</t>
  </si>
  <si>
    <t>6XLAU</t>
  </si>
  <si>
    <t>LTAU</t>
  </si>
  <si>
    <t>XLTAU</t>
  </si>
  <si>
    <t>2XLTAU</t>
  </si>
  <si>
    <t>3XLTAU</t>
  </si>
  <si>
    <t>4XLTAU</t>
  </si>
  <si>
    <t>5XLTAU</t>
  </si>
  <si>
    <t>6XLTAU</t>
  </si>
  <si>
    <t>3XLUK</t>
  </si>
  <si>
    <t>4XLUK</t>
  </si>
  <si>
    <t>5XLUK</t>
  </si>
  <si>
    <t>6XLUK</t>
  </si>
  <si>
    <t>LTUK</t>
  </si>
  <si>
    <t>XLTUK</t>
  </si>
  <si>
    <t>2XLTUK</t>
  </si>
  <si>
    <t>3XLTUK</t>
  </si>
  <si>
    <t>4XLTUK</t>
  </si>
  <si>
    <t>5XLTUK</t>
  </si>
  <si>
    <t>6XLTUK</t>
  </si>
  <si>
    <t>36BT</t>
  </si>
  <si>
    <t>37BT</t>
  </si>
  <si>
    <t>38BT</t>
  </si>
  <si>
    <t>39BT</t>
  </si>
  <si>
    <t>40BT</t>
  </si>
  <si>
    <t>41BT</t>
  </si>
  <si>
    <t>91.4BTEU</t>
  </si>
  <si>
    <t>94BTEU</t>
  </si>
  <si>
    <t>96.5BTEU</t>
  </si>
  <si>
    <t>99.1BTEU</t>
  </si>
  <si>
    <t>101.6BTEU</t>
  </si>
  <si>
    <t>104.1BTEU</t>
  </si>
  <si>
    <t>106.7EU</t>
  </si>
  <si>
    <t>109.2EU</t>
  </si>
  <si>
    <t>111.8EU</t>
  </si>
  <si>
    <t>116.8EU</t>
  </si>
  <si>
    <t>121.9EU</t>
  </si>
  <si>
    <t>127.0EU</t>
  </si>
  <si>
    <t>132.1EU</t>
  </si>
  <si>
    <t>137.2EU</t>
  </si>
  <si>
    <t>142.2EU</t>
  </si>
  <si>
    <t>147.3EU</t>
  </si>
  <si>
    <t>152.4EU</t>
  </si>
  <si>
    <t>36BTAU</t>
  </si>
  <si>
    <t>37BTAU</t>
  </si>
  <si>
    <t>38BTAU</t>
  </si>
  <si>
    <t>39BTAU</t>
  </si>
  <si>
    <t>40BTAU</t>
  </si>
  <si>
    <t>41BTAU</t>
  </si>
  <si>
    <t>42AU</t>
  </si>
  <si>
    <t>43AU</t>
  </si>
  <si>
    <t>44AU</t>
  </si>
  <si>
    <t>46AU</t>
  </si>
  <si>
    <t>48AU</t>
  </si>
  <si>
    <t>50AU</t>
  </si>
  <si>
    <t>52AU</t>
  </si>
  <si>
    <t>54AU</t>
  </si>
  <si>
    <t>56AU</t>
  </si>
  <si>
    <t>58AU</t>
  </si>
  <si>
    <t>60AU</t>
  </si>
  <si>
    <t>36BTUK</t>
  </si>
  <si>
    <t>37BTUK</t>
  </si>
  <si>
    <t>38BTUK</t>
  </si>
  <si>
    <t>39BTUK</t>
  </si>
  <si>
    <t>40BTUK</t>
  </si>
  <si>
    <t>41BTUK</t>
  </si>
  <si>
    <t>42UK</t>
  </si>
  <si>
    <t>43UK</t>
  </si>
  <si>
    <t>44UK</t>
  </si>
  <si>
    <t>46UK</t>
  </si>
  <si>
    <t>48UK</t>
  </si>
  <si>
    <t>50UK</t>
  </si>
  <si>
    <t>52UK</t>
  </si>
  <si>
    <t>54UK</t>
  </si>
  <si>
    <t>56UK</t>
  </si>
  <si>
    <t>58UK</t>
  </si>
  <si>
    <t>60UK</t>
  </si>
  <si>
    <t>16.5BT</t>
  </si>
  <si>
    <t>17BT</t>
  </si>
  <si>
    <t>17.5BT</t>
  </si>
  <si>
    <t>18BT</t>
  </si>
  <si>
    <t>41.9BTEU</t>
  </si>
  <si>
    <t>43.2BTEU</t>
  </si>
  <si>
    <t>44.5BTEU</t>
  </si>
  <si>
    <t>45.8BTEU</t>
  </si>
  <si>
    <t>48.3EU</t>
  </si>
  <si>
    <t>49.5EU</t>
  </si>
  <si>
    <t>50.8EU</t>
  </si>
  <si>
    <t>52.1EU</t>
  </si>
  <si>
    <t>53.3EU</t>
  </si>
  <si>
    <t>54.6EU</t>
  </si>
  <si>
    <t>55.9EU</t>
  </si>
  <si>
    <t>57.2EU</t>
  </si>
  <si>
    <t>41.9BTAU</t>
  </si>
  <si>
    <t>43.2BTAU</t>
  </si>
  <si>
    <t>44.5BTAU</t>
  </si>
  <si>
    <t>45.8BTAU</t>
  </si>
  <si>
    <t>47AU</t>
  </si>
  <si>
    <t>48.3AU</t>
  </si>
  <si>
    <t>49.5AU</t>
  </si>
  <si>
    <t>50.8AU</t>
  </si>
  <si>
    <t>52.1AU</t>
  </si>
  <si>
    <t>53.3AU</t>
  </si>
  <si>
    <t>54.6AU</t>
  </si>
  <si>
    <t>55.9AU</t>
  </si>
  <si>
    <t>57.2AU</t>
  </si>
  <si>
    <t>16.5BTUK</t>
  </si>
  <si>
    <t>17BTUK</t>
  </si>
  <si>
    <t>17.5BTUK</t>
  </si>
  <si>
    <t>18BTUK</t>
  </si>
  <si>
    <t>18.5UK</t>
  </si>
  <si>
    <t>19UK</t>
  </si>
  <si>
    <t>19.5UK</t>
  </si>
  <si>
    <t>20.5UK</t>
  </si>
  <si>
    <t>21UK</t>
  </si>
  <si>
    <t>21.5UK</t>
  </si>
  <si>
    <t>22.5UK</t>
  </si>
  <si>
    <t>58S</t>
  </si>
  <si>
    <t>58R</t>
  </si>
  <si>
    <t>58L</t>
  </si>
  <si>
    <t>60S</t>
  </si>
  <si>
    <t>60R</t>
  </si>
  <si>
    <t>60L</t>
  </si>
  <si>
    <t>68EU</t>
  </si>
  <si>
    <t>70EU</t>
  </si>
  <si>
    <t>58SAU</t>
  </si>
  <si>
    <t>58RAU</t>
  </si>
  <si>
    <t>58LAU</t>
  </si>
  <si>
    <t>60SAU</t>
  </si>
  <si>
    <t>60RAU</t>
  </si>
  <si>
    <t>60LAU</t>
  </si>
  <si>
    <t>58SUK</t>
  </si>
  <si>
    <t>58RUK</t>
  </si>
  <si>
    <t>58LUK</t>
  </si>
  <si>
    <t>60SUK</t>
  </si>
  <si>
    <t>60RUK</t>
  </si>
  <si>
    <t>60LUK</t>
  </si>
  <si>
    <t>OSBB</t>
  </si>
  <si>
    <t>Preemie </t>
  </si>
  <si>
    <t>Newborn</t>
  </si>
  <si>
    <t>0-3MB</t>
  </si>
  <si>
    <t>3-6MB</t>
  </si>
  <si>
    <t>6-9MB</t>
  </si>
  <si>
    <t>9-12MB</t>
  </si>
  <si>
    <t>12-18MB</t>
  </si>
  <si>
    <t>18-24MB</t>
  </si>
  <si>
    <t>3MB</t>
  </si>
  <si>
    <t>6MB</t>
  </si>
  <si>
    <t>9MB</t>
  </si>
  <si>
    <t>12MB</t>
  </si>
  <si>
    <t>18MB</t>
  </si>
  <si>
    <t>24MB</t>
  </si>
  <si>
    <t>OSBBEU</t>
  </si>
  <si>
    <t>PreemieEU</t>
  </si>
  <si>
    <t>NewbornEU</t>
  </si>
  <si>
    <t>0-3MBEU</t>
  </si>
  <si>
    <t>3-6MBEU</t>
  </si>
  <si>
    <t>6-9MBEU</t>
  </si>
  <si>
    <t>9-12MBEU</t>
  </si>
  <si>
    <t>12-18MBEU</t>
  </si>
  <si>
    <t>18-24MBEU</t>
  </si>
  <si>
    <t>3MBEU</t>
  </si>
  <si>
    <t>6MBEU</t>
  </si>
  <si>
    <t>9MBEU</t>
  </si>
  <si>
    <t>12MBEU</t>
  </si>
  <si>
    <t>18MBEU</t>
  </si>
  <si>
    <t>24MBEU</t>
  </si>
  <si>
    <t>OSBBAU</t>
  </si>
  <si>
    <t>00000MBAU</t>
  </si>
  <si>
    <t>0000MBAU</t>
  </si>
  <si>
    <t>000MBAU</t>
  </si>
  <si>
    <t>00MBAU</t>
  </si>
  <si>
    <t>0MBAU</t>
  </si>
  <si>
    <t>1MBAU</t>
  </si>
  <si>
    <t>2MBAU</t>
  </si>
  <si>
    <t>OSBBUK</t>
  </si>
  <si>
    <t>PreemieUK</t>
  </si>
  <si>
    <t>NewbornUK</t>
  </si>
  <si>
    <t>0-3MBUK</t>
  </si>
  <si>
    <t>3-6MBUK</t>
  </si>
  <si>
    <t>6-9MBUK</t>
  </si>
  <si>
    <t>9-12MBUK</t>
  </si>
  <si>
    <t>12-18MBUK</t>
  </si>
  <si>
    <t>18-24MBUK</t>
  </si>
  <si>
    <t>3MBUK</t>
  </si>
  <si>
    <t>6MBUK</t>
  </si>
  <si>
    <t>9MBUK</t>
  </si>
  <si>
    <t>12MBUK</t>
  </si>
  <si>
    <t>18MBUK</t>
  </si>
  <si>
    <t>24MBUK</t>
  </si>
  <si>
    <t>Newborn </t>
  </si>
  <si>
    <t>2TG</t>
  </si>
  <si>
    <t>3TG</t>
  </si>
  <si>
    <t>4TG</t>
  </si>
  <si>
    <t>5TG</t>
  </si>
  <si>
    <t>4G</t>
  </si>
  <si>
    <t>5G</t>
  </si>
  <si>
    <t>6G</t>
  </si>
  <si>
    <t>6XG</t>
  </si>
  <si>
    <t>7G</t>
  </si>
  <si>
    <t>8G</t>
  </si>
  <si>
    <t>10G</t>
  </si>
  <si>
    <t>12G</t>
  </si>
  <si>
    <t>14G</t>
  </si>
  <si>
    <t>16G</t>
  </si>
  <si>
    <t>XSG</t>
  </si>
  <si>
    <t>SG</t>
  </si>
  <si>
    <t>MG</t>
  </si>
  <si>
    <t>LG</t>
  </si>
  <si>
    <t>XLG</t>
  </si>
  <si>
    <t>XXLG</t>
  </si>
  <si>
    <t>2AGEU</t>
  </si>
  <si>
    <t>3AGEU</t>
  </si>
  <si>
    <t>4AGEU</t>
  </si>
  <si>
    <t>4GEU</t>
  </si>
  <si>
    <t>5AGEU</t>
  </si>
  <si>
    <t>5GEU</t>
  </si>
  <si>
    <t>6XGEU</t>
  </si>
  <si>
    <t>6GEU</t>
  </si>
  <si>
    <t>7GEU</t>
  </si>
  <si>
    <t>8GEU</t>
  </si>
  <si>
    <t>10GEU</t>
  </si>
  <si>
    <t>12GEU</t>
  </si>
  <si>
    <t>14GEU</t>
  </si>
  <si>
    <t>16GEU</t>
  </si>
  <si>
    <t>XSGEU</t>
  </si>
  <si>
    <t>SGEU</t>
  </si>
  <si>
    <t>MGEU</t>
  </si>
  <si>
    <t>LGEU</t>
  </si>
  <si>
    <t>XLGEU</t>
  </si>
  <si>
    <t>XXLGEU</t>
  </si>
  <si>
    <t>3GAU</t>
  </si>
  <si>
    <t>4GAU</t>
  </si>
  <si>
    <t>5GAU</t>
  </si>
  <si>
    <t>6GAU</t>
  </si>
  <si>
    <t>7GAU</t>
  </si>
  <si>
    <t>8GAU</t>
  </si>
  <si>
    <t>10GAU</t>
  </si>
  <si>
    <t>12GAU</t>
  </si>
  <si>
    <t>14GAU</t>
  </si>
  <si>
    <t>16GAU</t>
  </si>
  <si>
    <t>XSGAU</t>
  </si>
  <si>
    <t>SGAU</t>
  </si>
  <si>
    <t>MGAU</t>
  </si>
  <si>
    <t>LGAU</t>
  </si>
  <si>
    <t>XLGAU</t>
  </si>
  <si>
    <t>XXLGAU</t>
  </si>
  <si>
    <t>3GUK</t>
  </si>
  <si>
    <t>4GUK</t>
  </si>
  <si>
    <t>5GUK</t>
  </si>
  <si>
    <t>6GUK</t>
  </si>
  <si>
    <t>7GUK</t>
  </si>
  <si>
    <t>8GUK</t>
  </si>
  <si>
    <t>10GUK</t>
  </si>
  <si>
    <t>12GUK</t>
  </si>
  <si>
    <t>14GUK</t>
  </si>
  <si>
    <t>16GUK</t>
  </si>
  <si>
    <t>XSGUK</t>
  </si>
  <si>
    <t>SGUK</t>
  </si>
  <si>
    <t>MGUK</t>
  </si>
  <si>
    <t>LGUK</t>
  </si>
  <si>
    <t>XLGUK</t>
  </si>
  <si>
    <t>XXLGUK</t>
  </si>
  <si>
    <t>2TB</t>
  </si>
  <si>
    <t>3TB</t>
  </si>
  <si>
    <t>4TB</t>
  </si>
  <si>
    <t>5TB</t>
  </si>
  <si>
    <t>4B</t>
  </si>
  <si>
    <t>5B</t>
  </si>
  <si>
    <t>6B</t>
  </si>
  <si>
    <t>7B</t>
  </si>
  <si>
    <t>7XB</t>
  </si>
  <si>
    <t>8B</t>
  </si>
  <si>
    <t>10B</t>
  </si>
  <si>
    <t>12B</t>
  </si>
  <si>
    <t>14B</t>
  </si>
  <si>
    <t>16B</t>
  </si>
  <si>
    <t>18B</t>
  </si>
  <si>
    <t>20B</t>
  </si>
  <si>
    <t>XSB</t>
  </si>
  <si>
    <t>SB</t>
  </si>
  <si>
    <t>MB</t>
  </si>
  <si>
    <t>LB</t>
  </si>
  <si>
    <t>XLB</t>
  </si>
  <si>
    <t>XXLB</t>
  </si>
  <si>
    <t>2ABEU</t>
  </si>
  <si>
    <t>3ABEU</t>
  </si>
  <si>
    <t>4ABEU</t>
  </si>
  <si>
    <t>4BEU</t>
  </si>
  <si>
    <t>5ABEU</t>
  </si>
  <si>
    <t>5BEU</t>
  </si>
  <si>
    <t>6BEU</t>
  </si>
  <si>
    <t>7XBEU</t>
  </si>
  <si>
    <t>7BEU</t>
  </si>
  <si>
    <t>8BEU</t>
  </si>
  <si>
    <t>10BEU</t>
  </si>
  <si>
    <t>12BEU</t>
  </si>
  <si>
    <t>14BEU</t>
  </si>
  <si>
    <t>16BEU</t>
  </si>
  <si>
    <t>18BEU</t>
  </si>
  <si>
    <t>20BEU</t>
  </si>
  <si>
    <t>XSBEU</t>
  </si>
  <si>
    <t>SBEU</t>
  </si>
  <si>
    <t>MBEU</t>
  </si>
  <si>
    <t>LBEU</t>
  </si>
  <si>
    <t>XLBEU</t>
  </si>
  <si>
    <t>XXLBEU</t>
  </si>
  <si>
    <t>3BAU</t>
  </si>
  <si>
    <t>4BAU</t>
  </si>
  <si>
    <t>5BAU</t>
  </si>
  <si>
    <t>6BAU</t>
  </si>
  <si>
    <t>7BAU</t>
  </si>
  <si>
    <t>XSBAU</t>
  </si>
  <si>
    <t>SBAU</t>
  </si>
  <si>
    <t>MBAU</t>
  </si>
  <si>
    <t>LBAU</t>
  </si>
  <si>
    <t>XLBAU</t>
  </si>
  <si>
    <t>XXLBAU</t>
  </si>
  <si>
    <t>BUK 3.00</t>
  </si>
  <si>
    <t>BUK 4.00</t>
  </si>
  <si>
    <t>BUK 5.00</t>
  </si>
  <si>
    <t>BUK 6.00</t>
  </si>
  <si>
    <t>BUK 7.00</t>
  </si>
  <si>
    <t>BUK 8.00</t>
  </si>
  <si>
    <t>BUK 10.00</t>
  </si>
  <si>
    <t>BUK 12.00</t>
  </si>
  <si>
    <t>BUK 14.00</t>
  </si>
  <si>
    <t>BUK 16.00</t>
  </si>
  <si>
    <t>BUK 18.00</t>
  </si>
  <si>
    <t>BUK 20.00</t>
  </si>
  <si>
    <t>XSBUK</t>
  </si>
  <si>
    <t>SBUK</t>
  </si>
  <si>
    <t>MBUK</t>
  </si>
  <si>
    <t>LBUK</t>
  </si>
  <si>
    <t>XLBUK</t>
  </si>
  <si>
    <t>XXLBUK</t>
  </si>
  <si>
    <t>0BB</t>
  </si>
  <si>
    <t>0.5BB</t>
  </si>
  <si>
    <t>1BB</t>
  </si>
  <si>
    <t>1.5BB</t>
  </si>
  <si>
    <t>2BB</t>
  </si>
  <si>
    <t>2.5BB</t>
  </si>
  <si>
    <t>3BB</t>
  </si>
  <si>
    <t>3.5BB</t>
  </si>
  <si>
    <t>4BB</t>
  </si>
  <si>
    <t>4.5BB</t>
  </si>
  <si>
    <t>5BB</t>
  </si>
  <si>
    <t>5.5BB</t>
  </si>
  <si>
    <t>6BB</t>
  </si>
  <si>
    <t>6.5BB</t>
  </si>
  <si>
    <t>7BB</t>
  </si>
  <si>
    <t>16BBEU</t>
  </si>
  <si>
    <t>17BBEU</t>
  </si>
  <si>
    <t>18BBEU</t>
  </si>
  <si>
    <t>19BBEU</t>
  </si>
  <si>
    <t>20BBEU</t>
  </si>
  <si>
    <t>21BBEU</t>
  </si>
  <si>
    <t>22BBEU</t>
  </si>
  <si>
    <t>23BBEU</t>
  </si>
  <si>
    <t>0BBAU</t>
  </si>
  <si>
    <t>0.5BBAU</t>
  </si>
  <si>
    <t>1BBAU</t>
  </si>
  <si>
    <t>1.5BBAU</t>
  </si>
  <si>
    <t>2BBAU</t>
  </si>
  <si>
    <t>2.5BBAU</t>
  </si>
  <si>
    <t>3BBAU</t>
  </si>
  <si>
    <t>3.5BBAU</t>
  </si>
  <si>
    <t>4BBAU</t>
  </si>
  <si>
    <t>4.5BBAU</t>
  </si>
  <si>
    <t>5BBAU</t>
  </si>
  <si>
    <t>5.5BBAU</t>
  </si>
  <si>
    <t>6BBAU</t>
  </si>
  <si>
    <t>0.5BBUK</t>
  </si>
  <si>
    <t>1BBUK</t>
  </si>
  <si>
    <t>1.5BBUK</t>
  </si>
  <si>
    <t>2BBUK</t>
  </si>
  <si>
    <t>2.5BBUK</t>
  </si>
  <si>
    <t>3BBUK</t>
  </si>
  <si>
    <t>3.5BBUK</t>
  </si>
  <si>
    <t>4.5BBUK</t>
  </si>
  <si>
    <t>5BBUK</t>
  </si>
  <si>
    <t>5.5BBUK</t>
  </si>
  <si>
    <t>6BBUK</t>
  </si>
  <si>
    <t>7.5G</t>
  </si>
  <si>
    <t>8.5G</t>
  </si>
  <si>
    <t>9G</t>
  </si>
  <si>
    <t>9.5G</t>
  </si>
  <si>
    <t>10.5G</t>
  </si>
  <si>
    <t>11G</t>
  </si>
  <si>
    <t>11.5G</t>
  </si>
  <si>
    <t>12.5G</t>
  </si>
  <si>
    <t>13G</t>
  </si>
  <si>
    <t>13.5G</t>
  </si>
  <si>
    <t>1G</t>
  </si>
  <si>
    <t>1.5G</t>
  </si>
  <si>
    <t>2G</t>
  </si>
  <si>
    <t>2.5G</t>
  </si>
  <si>
    <t>3G</t>
  </si>
  <si>
    <t>3.5G</t>
  </si>
  <si>
    <t>4.5G</t>
  </si>
  <si>
    <t>5.5G</t>
  </si>
  <si>
    <t>6.5G</t>
  </si>
  <si>
    <t>23GEU</t>
  </si>
  <si>
    <t>24GEU</t>
  </si>
  <si>
    <t>25GEU</t>
  </si>
  <si>
    <t>26GEU</t>
  </si>
  <si>
    <t>27GEU</t>
  </si>
  <si>
    <t>28GEU</t>
  </si>
  <si>
    <t>29GEU</t>
  </si>
  <si>
    <t>30GEU</t>
  </si>
  <si>
    <t>31GEU</t>
  </si>
  <si>
    <t>32GEU</t>
  </si>
  <si>
    <t>33GEU</t>
  </si>
  <si>
    <t>34GEU</t>
  </si>
  <si>
    <t>35GEU</t>
  </si>
  <si>
    <t>36GEU</t>
  </si>
  <si>
    <t>37GEU</t>
  </si>
  <si>
    <t>38GEU</t>
  </si>
  <si>
    <t>39GEU</t>
  </si>
  <si>
    <t>1GAU</t>
  </si>
  <si>
    <t>1.5GAU</t>
  </si>
  <si>
    <t>2GAU</t>
  </si>
  <si>
    <t>2.5GAU</t>
  </si>
  <si>
    <t>3.5GAU</t>
  </si>
  <si>
    <t>4.5GAU</t>
  </si>
  <si>
    <t>5.5GAU</t>
  </si>
  <si>
    <t>6.5GAU</t>
  </si>
  <si>
    <t>7.5GAU</t>
  </si>
  <si>
    <t>8.5GAU</t>
  </si>
  <si>
    <t>9GAU</t>
  </si>
  <si>
    <t>9.5GAU</t>
  </si>
  <si>
    <t>10.5GAU</t>
  </si>
  <si>
    <t>11GAU</t>
  </si>
  <si>
    <t>11.5GAU</t>
  </si>
  <si>
    <t>12.5GAU</t>
  </si>
  <si>
    <t>13GAU</t>
  </si>
  <si>
    <t>1GUK</t>
  </si>
  <si>
    <t>1.5GUK</t>
  </si>
  <si>
    <t>2.5GUK</t>
  </si>
  <si>
    <t>3.5GUK</t>
  </si>
  <si>
    <t>4.5GUK</t>
  </si>
  <si>
    <t>5.5GUK</t>
  </si>
  <si>
    <t>7.5GUK</t>
  </si>
  <si>
    <t>8.5GUK</t>
  </si>
  <si>
    <t>9GUK</t>
  </si>
  <si>
    <t>9.5GUK</t>
  </si>
  <si>
    <t>11GUK</t>
  </si>
  <si>
    <t>11.5GUK</t>
  </si>
  <si>
    <t>12.5GUK</t>
  </si>
  <si>
    <t>13GUK</t>
  </si>
  <si>
    <t>7.5B</t>
  </si>
  <si>
    <t>8.5B</t>
  </si>
  <si>
    <t>9B</t>
  </si>
  <si>
    <t>9.5B</t>
  </si>
  <si>
    <t>10.5B</t>
  </si>
  <si>
    <t>11B</t>
  </si>
  <si>
    <t>11.5B</t>
  </si>
  <si>
    <t>12.5B</t>
  </si>
  <si>
    <t>13B</t>
  </si>
  <si>
    <t>13.5B</t>
  </si>
  <si>
    <t>1B</t>
  </si>
  <si>
    <t>1.5B</t>
  </si>
  <si>
    <t>2B</t>
  </si>
  <si>
    <t>2.5B</t>
  </si>
  <si>
    <t>3B</t>
  </si>
  <si>
    <t>3.5B</t>
  </si>
  <si>
    <t>4.5B</t>
  </si>
  <si>
    <t>5.5B</t>
  </si>
  <si>
    <t>6.5B</t>
  </si>
  <si>
    <t>23BEU</t>
  </si>
  <si>
    <t>24BEU</t>
  </si>
  <si>
    <t>25BEU</t>
  </si>
  <si>
    <t>26BEU</t>
  </si>
  <si>
    <t>27BEU</t>
  </si>
  <si>
    <t>28BEU</t>
  </si>
  <si>
    <t>29BEU</t>
  </si>
  <si>
    <t>30BEU</t>
  </si>
  <si>
    <t>31BEU</t>
  </si>
  <si>
    <t>32BEU</t>
  </si>
  <si>
    <t>33BEU</t>
  </si>
  <si>
    <t>34BEU</t>
  </si>
  <si>
    <t>35BEU</t>
  </si>
  <si>
    <t>36BEU</t>
  </si>
  <si>
    <t>37BEU</t>
  </si>
  <si>
    <t>38BEU</t>
  </si>
  <si>
    <t>39BEU</t>
  </si>
  <si>
    <t>1BAU</t>
  </si>
  <si>
    <t>1.5BAU</t>
  </si>
  <si>
    <t>2BAU</t>
  </si>
  <si>
    <t>2.5BAU</t>
  </si>
  <si>
    <t>3.5BAU</t>
  </si>
  <si>
    <t>4.5BAU</t>
  </si>
  <si>
    <t>5.5BAU</t>
  </si>
  <si>
    <t>6.5BAU</t>
  </si>
  <si>
    <t>7.5BAU</t>
  </si>
  <si>
    <t>8.5BAU</t>
  </si>
  <si>
    <t>9BAU</t>
  </si>
  <si>
    <t>9.5BAU</t>
  </si>
  <si>
    <t>10.5BAU</t>
  </si>
  <si>
    <t>11BAU</t>
  </si>
  <si>
    <t>11.5BAU</t>
  </si>
  <si>
    <t>12.5BAU</t>
  </si>
  <si>
    <t>13BAU</t>
  </si>
  <si>
    <t>BUK 1.00</t>
  </si>
  <si>
    <t>BUK 1.50</t>
  </si>
  <si>
    <t>BUK 2.50</t>
  </si>
  <si>
    <t>BUK 3.50</t>
  </si>
  <si>
    <t>BUK 4.50</t>
  </si>
  <si>
    <t>BUK 5.50</t>
  </si>
  <si>
    <t>BUK 7.50</t>
  </si>
  <si>
    <t>BUK 8.50</t>
  </si>
  <si>
    <t>BUK 9.00</t>
  </si>
  <si>
    <t>BUK 9.50</t>
  </si>
  <si>
    <t>BUK 11.00</t>
  </si>
  <si>
    <t>BUK 11.50</t>
  </si>
  <si>
    <t>BUK 12.50</t>
  </si>
  <si>
    <t>BUK 13.00</t>
  </si>
  <si>
    <t>2GUK</t>
  </si>
  <si>
    <t>BUK 2.00</t>
  </si>
  <si>
    <t>Matching Sets</t>
  </si>
  <si>
    <t>OSB</t>
  </si>
  <si>
    <t>OSBEU</t>
  </si>
  <si>
    <t>OSBAU</t>
  </si>
  <si>
    <t>OSBUK</t>
  </si>
  <si>
    <t>OSG</t>
  </si>
  <si>
    <t>OSGEU</t>
  </si>
  <si>
    <t>OSGAU</t>
  </si>
  <si>
    <t>OSGUK</t>
  </si>
  <si>
    <t>TWIN</t>
  </si>
  <si>
    <t>TWINXL</t>
  </si>
  <si>
    <t>FULL</t>
  </si>
  <si>
    <t>QUEEN</t>
  </si>
  <si>
    <t>KING</t>
  </si>
  <si>
    <t>CALKING</t>
  </si>
  <si>
    <t>TWINEU</t>
  </si>
  <si>
    <t>TWINXLEU</t>
  </si>
  <si>
    <t>FULLEU</t>
  </si>
  <si>
    <t>QUEENEU</t>
  </si>
  <si>
    <t>KINGEU</t>
  </si>
  <si>
    <t>CALKINGEU</t>
  </si>
  <si>
    <t>TWINAU</t>
  </si>
  <si>
    <t>TWINXLAU</t>
  </si>
  <si>
    <t>FULLAU</t>
  </si>
  <si>
    <t>QUEENAU</t>
  </si>
  <si>
    <t>KINGAU</t>
  </si>
  <si>
    <t>CALKINGAU</t>
  </si>
  <si>
    <t>TWINUK</t>
  </si>
  <si>
    <t>TWINXLUK</t>
  </si>
  <si>
    <t>FULLUK</t>
  </si>
  <si>
    <t>QUEENUK</t>
  </si>
  <si>
    <t>KINGUK</t>
  </si>
  <si>
    <t>CALKINGUK</t>
  </si>
  <si>
    <t>Dupattas &amp; Stoles</t>
  </si>
  <si>
    <t>Harem Pants</t>
  </si>
  <si>
    <t>Kurtas</t>
  </si>
  <si>
    <t>Kurta Bottoms</t>
  </si>
  <si>
    <t>Lehengas</t>
  </si>
  <si>
    <t>Palazzo Pants</t>
  </si>
  <si>
    <t>Patiala Pants</t>
  </si>
  <si>
    <t>Salwars</t>
  </si>
  <si>
    <t>Saree Blouses</t>
  </si>
  <si>
    <t>Sarees</t>
  </si>
  <si>
    <t>Treggings</t>
  </si>
  <si>
    <t>Ao Dais</t>
  </si>
  <si>
    <t>Cheongsams &amp; Qipaos</t>
  </si>
  <si>
    <t>Hanboks</t>
  </si>
  <si>
    <t>Dirndls</t>
  </si>
  <si>
    <t>Huipils</t>
  </si>
  <si>
    <t>Kaftans</t>
  </si>
  <si>
    <t>Kimonos &amp; Yukatas</t>
  </si>
  <si>
    <t>Hijabs</t>
  </si>
  <si>
    <t>Kilts</t>
  </si>
  <si>
    <t>Lederhosen</t>
  </si>
  <si>
    <t>Nehru Jackets</t>
  </si>
  <si>
    <t>Sherwanis</t>
  </si>
  <si>
    <t>Agbadas &amp; Dashikis</t>
  </si>
  <si>
    <t>Changshans</t>
  </si>
  <si>
    <t>Ponchos &amp; Serapes</t>
  </si>
  <si>
    <t>Keffiyehs</t>
  </si>
  <si>
    <t>ProductID (GTIN)</t>
  </si>
  <si>
    <t xml:space="preserve">Description </t>
  </si>
  <si>
    <t>Sub-category</t>
  </si>
  <si>
    <t xml:space="preserve">Quantity </t>
  </si>
  <si>
    <t>Condition</t>
  </si>
  <si>
    <t>Color1</t>
  </si>
  <si>
    <t>Color2</t>
  </si>
  <si>
    <t>Style Tag1</t>
  </si>
  <si>
    <t>Style Tag2</t>
  </si>
  <si>
    <t>Style Tag3</t>
  </si>
  <si>
    <t xml:space="preserve">Orig price </t>
  </si>
  <si>
    <t>Listing price</t>
  </si>
  <si>
    <t>Price Floor Percent</t>
  </si>
  <si>
    <t>Minimum Price</t>
  </si>
  <si>
    <t>Availability</t>
  </si>
  <si>
    <t>Drop time</t>
  </si>
  <si>
    <t>Other info</t>
  </si>
  <si>
    <t>Copy Listing?</t>
  </si>
  <si>
    <t>NEW SKU</t>
  </si>
  <si>
    <t>Primary image</t>
  </si>
  <si>
    <t>Alt image 1</t>
  </si>
  <si>
    <t>Alt image 2</t>
  </si>
  <si>
    <t>Alt image 3</t>
  </si>
  <si>
    <t>Alt image 4</t>
  </si>
  <si>
    <t>Alt image 5</t>
  </si>
  <si>
    <t>Alt image 6</t>
  </si>
  <si>
    <t>Alt image 7</t>
  </si>
  <si>
    <t>Alt image 8</t>
  </si>
  <si>
    <t>Alt image 9</t>
  </si>
  <si>
    <t>Alt image 10</t>
  </si>
  <si>
    <t>Alt image 11</t>
  </si>
  <si>
    <t>Alt image 12</t>
  </si>
  <si>
    <t>Alt image 13</t>
  </si>
  <si>
    <t>Alt image 14</t>
  </si>
  <si>
    <t>Alt image 15</t>
  </si>
  <si>
    <r>
      <rPr>
        <rFont val="Arial"/>
        <i/>
        <color theme="1"/>
        <sz val="10.0"/>
      </rPr>
      <t>(Required)</t>
    </r>
    <r>
      <rPr>
        <rFont val="Arial"/>
        <color theme="1"/>
        <sz val="10.0"/>
      </rPr>
      <t xml:space="preserve">
Unique SKU per size
(you create this!)</t>
    </r>
  </si>
  <si>
    <t>UPC / GTIN</t>
  </si>
  <si>
    <r>
      <rPr>
        <rFont val="Arial"/>
        <i/>
        <color theme="1"/>
        <sz val="10.0"/>
      </rPr>
      <t>(Required)</t>
    </r>
    <r>
      <rPr>
        <rFont val="Arial"/>
        <color theme="1"/>
        <sz val="10.0"/>
      </rPr>
      <t xml:space="preserve">
What are you selling? </t>
    </r>
  </si>
  <si>
    <r>
      <rPr>
        <rFont val="Arial"/>
        <i/>
        <color theme="1"/>
        <sz val="10.0"/>
      </rPr>
      <t>(Required)</t>
    </r>
    <r>
      <rPr>
        <rFont val="Arial"/>
        <color theme="1"/>
        <sz val="10.0"/>
      </rPr>
      <t xml:space="preserve">
Plain text only
No bulleted lists
No text formatting
Newline characters accepted</t>
    </r>
  </si>
  <si>
    <r>
      <rPr>
        <rFont val="Arial"/>
        <i/>
        <color theme="1"/>
        <sz val="10.0"/>
      </rPr>
      <t xml:space="preserve">(Required)
</t>
    </r>
    <r>
      <rPr>
        <rFont val="Arial"/>
        <color theme="1"/>
        <sz val="10.0"/>
      </rPr>
      <t>Select from dropdown</t>
    </r>
  </si>
  <si>
    <r>
      <rPr>
        <rFont val="Arial"/>
        <i/>
        <color theme="1"/>
        <sz val="10.0"/>
      </rPr>
      <t>(Required)</t>
    </r>
    <r>
      <rPr>
        <rFont val="Arial"/>
        <color theme="1"/>
        <sz val="10.0"/>
      </rPr>
      <t xml:space="preserve">
Select from dropdown</t>
    </r>
  </si>
  <si>
    <t>Select from dropdown</t>
  </si>
  <si>
    <r>
      <rPr>
        <rFont val="Arial"/>
        <i/>
        <color theme="1"/>
        <sz val="10.0"/>
      </rPr>
      <t>(Required)</t>
    </r>
    <r>
      <rPr>
        <rFont val="Arial"/>
        <color theme="1"/>
        <sz val="10.0"/>
      </rPr>
      <t xml:space="preserve">
How many? Specific to the size listed</t>
    </r>
  </si>
  <si>
    <r>
      <rPr>
        <rFont val="Arial"/>
        <i/>
        <color theme="1"/>
        <sz val="10.0"/>
      </rPr>
      <t xml:space="preserve">(Required)
</t>
    </r>
    <r>
      <rPr>
        <rFont val="Arial"/>
        <color theme="1"/>
        <sz val="10.0"/>
      </rPr>
      <t>Select from dropdown
Item sizing? Each row is a unique size</t>
    </r>
  </si>
  <si>
    <t>NWT
Like New
Good
Fair</t>
  </si>
  <si>
    <t>Brand or designer</t>
  </si>
  <si>
    <t>Describe the aesthetic, style, etc</t>
  </si>
  <si>
    <r>
      <rPr>
        <rFont val="Arial"/>
        <i/>
        <color theme="1"/>
        <sz val="10.0"/>
      </rPr>
      <t>(Required)</t>
    </r>
    <r>
      <rPr>
        <rFont val="Arial"/>
        <color theme="1"/>
        <sz val="10.0"/>
      </rPr>
      <t xml:space="preserve">
Original price of item</t>
    </r>
  </si>
  <si>
    <r>
      <rPr>
        <rFont val="Arial"/>
        <i/>
        <color theme="1"/>
        <sz val="10.0"/>
      </rPr>
      <t>(Required)</t>
    </r>
    <r>
      <rPr>
        <rFont val="Arial"/>
        <color theme="1"/>
        <sz val="10.0"/>
      </rPr>
      <t xml:space="preserve">
Your item price</t>
    </r>
  </si>
  <si>
    <r>
      <rPr>
        <rFont val="Arial"/>
        <b val="0"/>
        <color theme="1"/>
        <sz val="10.0"/>
      </rPr>
      <t xml:space="preserve">Select from Dropdown
</t>
    </r>
    <r>
      <rPr>
        <rFont val="Arial"/>
        <b/>
        <color theme="1"/>
        <sz val="10.0"/>
      </rPr>
      <t xml:space="preserve">
</t>
    </r>
    <r>
      <rPr>
        <rFont val="Arial"/>
        <b val="0"/>
        <color theme="1"/>
        <sz val="10.0"/>
      </rPr>
      <t>Leave blank for No Shipping Discount.</t>
    </r>
  </si>
  <si>
    <t xml:space="preserve">Turns on Smart Sell, a tool that automates sending, countering, and accepting offers based on your price floor percent.
Enter a whole number representing the largest percent off the Listing Price (no % sign) that you are willing to accept.
Fill in either this field or Minimum Price, not both. 
Leave blank to keep Smart Sell off. </t>
  </si>
  <si>
    <t xml:space="preserve">Turns on Smart Sell, a tool that automates sending, countering, and accepting offers based on your minimum price.
Enter the minimum acceptable price as a number (no $ symbol).
Fill in either this field or Price Floor Percent, not both. 
Leave blank to keep Smart Sell off. </t>
  </si>
  <si>
    <r>
      <rPr>
        <rFont val="Arial"/>
        <i/>
        <color theme="1"/>
        <sz val="10.0"/>
      </rPr>
      <t>(Required)</t>
    </r>
    <r>
      <rPr>
        <rFont val="Arial"/>
        <color theme="1"/>
        <sz val="10.0"/>
      </rPr>
      <t xml:space="preserve">
For Sale, Not for Sale, Draft, or Drops</t>
    </r>
  </si>
  <si>
    <t>Date and Time for Drops Soon listing</t>
  </si>
  <si>
    <t>Private notes about the item</t>
  </si>
  <si>
    <t>Are you Copying an existing listing vs creating it for the first time?</t>
  </si>
  <si>
    <t xml:space="preserve">Are you updating an existing sku? </t>
  </si>
  <si>
    <r>
      <rPr>
        <rFont val="Arial"/>
        <i/>
        <color theme="1"/>
        <sz val="10.0"/>
      </rPr>
      <t>(Required if updating)</t>
    </r>
    <r>
      <rPr>
        <rFont val="Arial"/>
        <color theme="1"/>
        <sz val="10.0"/>
      </rPr>
      <t xml:space="preserve">
</t>
    </r>
  </si>
  <si>
    <r>
      <rPr>
        <rFont val="Arial"/>
        <i/>
        <color theme="1"/>
        <sz val="10.0"/>
      </rPr>
      <t>(Required for all availability types except Drafts)</t>
    </r>
    <r>
      <rPr>
        <rFont val="Arial"/>
        <color theme="1"/>
        <sz val="10.0"/>
      </rPr>
      <t xml:space="preserve">
URL to image from online cloud
</t>
    </r>
  </si>
  <si>
    <t xml:space="preserve">URL to image
</t>
  </si>
  <si>
    <t>REDDRESS001</t>
  </si>
  <si>
    <t>SINGLE ITEM LISTING EXAMPLE</t>
  </si>
  <si>
    <t>This little number is so stunning in person. It will be a great piece to have once party season picks up again! There are some stains in the lining, it is hardly noticeable. Please refer to photos, price adjusted accordingly.
MEASUREMENTS:
Length (Shoulder to hem): 33", Bust: 19", Waist: 20"</t>
  </si>
  <si>
    <t>Red</t>
  </si>
  <si>
    <t>Black</t>
  </si>
  <si>
    <t>Bohemian</t>
  </si>
  <si>
    <t>Silk</t>
  </si>
  <si>
    <t>For Sale</t>
  </si>
  <si>
    <t>Bin123</t>
  </si>
  <si>
    <t>https://di2ponv0v5otw.cloudfront.net/posts/2019/09/03/5d6ea243b146cc18281e18f6/m_5d6ea266afade89d82a4cd84.jpg</t>
  </si>
  <si>
    <t>BLUEPANT000</t>
  </si>
  <si>
    <t>194610749753</t>
  </si>
  <si>
    <t>MULTI ITEM LISTING EXAMPLE</t>
  </si>
  <si>
    <t xml:space="preserve">You deserve to live in comfort so start from the bottom in these soft elastic waist wide-leg pants. Style with your favorite loose-fit graphic t-shirt. 48% Rayon 48% Polyester 4% Spandex. Please note that we are unable to negotiate the listing price at this time therefore the listing price is firm. We ask that you please do not send in any offers at the time. Thank you for your understanding! </t>
  </si>
  <si>
    <t>NWT</t>
  </si>
  <si>
    <t>Blue</t>
  </si>
  <si>
    <t>Luxury</t>
  </si>
  <si>
    <t>Bin124</t>
  </si>
  <si>
    <t>BLUEPANT002</t>
  </si>
  <si>
    <t>194610749746</t>
  </si>
  <si>
    <t>BLUEPANT004</t>
  </si>
  <si>
    <t>194610749739</t>
  </si>
  <si>
    <t>BLUEPANT006</t>
  </si>
  <si>
    <t>194610749760</t>
  </si>
  <si>
    <t>BLUEPANT008</t>
  </si>
  <si>
    <t>194610749722</t>
  </si>
  <si>
    <t>BLUEPANT010</t>
  </si>
  <si>
    <t>194610749777</t>
  </si>
  <si>
    <t>BLUEPANT012</t>
  </si>
  <si>
    <t>194610749814</t>
  </si>
  <si>
    <r>
      <rPr>
        <rFont val="Arial"/>
        <i/>
        <color theme="1"/>
        <sz val="10.0"/>
      </rPr>
      <t>(Required)</t>
    </r>
    <r>
      <rPr>
        <rFont val="Arial"/>
        <color theme="1"/>
        <sz val="10.0"/>
      </rPr>
      <t xml:space="preserve">
Unique SKU per size
(you create this!)</t>
    </r>
  </si>
  <si>
    <r>
      <rPr>
        <rFont val="Arial"/>
        <i/>
        <color theme="1"/>
        <sz val="10.0"/>
      </rPr>
      <t>(Required)</t>
    </r>
    <r>
      <rPr>
        <rFont val="Arial"/>
        <color theme="1"/>
        <sz val="10.0"/>
      </rPr>
      <t xml:space="preserve">
What are you selling? </t>
    </r>
  </si>
  <si>
    <r>
      <rPr>
        <rFont val="Arial"/>
        <i/>
        <color theme="1"/>
        <sz val="10.0"/>
      </rPr>
      <t>(Required)</t>
    </r>
    <r>
      <rPr>
        <rFont val="Arial"/>
        <color theme="1"/>
        <sz val="10.0"/>
      </rPr>
      <t xml:space="preserve">
Plain text only
No bulleted lists
No text formatting
Newline characters accepted</t>
    </r>
  </si>
  <si>
    <r>
      <rPr>
        <rFont val="Arial"/>
        <i/>
        <color theme="1"/>
        <sz val="10.0"/>
      </rPr>
      <t xml:space="preserve">(Required)
</t>
    </r>
    <r>
      <rPr>
        <rFont val="Arial"/>
        <color theme="1"/>
        <sz val="10.0"/>
      </rPr>
      <t>Select from dropdown</t>
    </r>
  </si>
  <si>
    <r>
      <rPr>
        <rFont val="Arial"/>
        <i/>
        <color theme="1"/>
        <sz val="10.0"/>
      </rPr>
      <t>(Required)</t>
    </r>
    <r>
      <rPr>
        <rFont val="Arial"/>
        <color theme="1"/>
        <sz val="10.0"/>
      </rPr>
      <t xml:space="preserve">
Select from dropdown or copy from Taxonomy tab</t>
    </r>
  </si>
  <si>
    <t>Select from dropdown or copy from Taxonomy tab</t>
  </si>
  <si>
    <r>
      <rPr>
        <rFont val="Arial"/>
        <i/>
        <color theme="1"/>
        <sz val="10.0"/>
      </rPr>
      <t>(Required)</t>
    </r>
    <r>
      <rPr>
        <rFont val="Arial"/>
        <color theme="1"/>
        <sz val="10.0"/>
      </rPr>
      <t xml:space="preserve">
How many? Specific to the size listed</t>
    </r>
  </si>
  <si>
    <r>
      <rPr>
        <rFont val="Arial"/>
        <i/>
        <color theme="1"/>
        <sz val="10.0"/>
      </rPr>
      <t xml:space="preserve">(Required)
</t>
    </r>
    <r>
      <rPr>
        <rFont val="Arial"/>
        <color theme="1"/>
        <sz val="10.0"/>
      </rPr>
      <t>Select from dropdown or copy from Taxonomy tab.
Item sizing? Each row is a unique size</t>
    </r>
  </si>
  <si>
    <r>
      <rPr>
        <rFont val="Arial"/>
        <i/>
        <color theme="1"/>
        <sz val="10.0"/>
      </rPr>
      <t>(Required)</t>
    </r>
    <r>
      <rPr>
        <rFont val="Arial"/>
        <color theme="1"/>
        <sz val="10.0"/>
      </rPr>
      <t xml:space="preserve">
Original price of item</t>
    </r>
  </si>
  <si>
    <r>
      <rPr>
        <rFont val="Arial"/>
        <i/>
        <color theme="1"/>
        <sz val="10.0"/>
      </rPr>
      <t>(Required)</t>
    </r>
    <r>
      <rPr>
        <rFont val="Arial"/>
        <color theme="1"/>
        <sz val="10.0"/>
      </rPr>
      <t xml:space="preserve">
Your item price</t>
    </r>
  </si>
  <si>
    <r>
      <rPr>
        <rFont val="Arial"/>
        <b val="0"/>
        <color theme="1"/>
        <sz val="10.0"/>
      </rPr>
      <t xml:space="preserve">Select from Dropdown
</t>
    </r>
    <r>
      <rPr>
        <rFont val="Arial"/>
        <b/>
        <color theme="1"/>
        <sz val="10.0"/>
      </rPr>
      <t xml:space="preserve">
</t>
    </r>
    <r>
      <rPr>
        <rFont val="Arial"/>
        <b val="0"/>
        <color theme="1"/>
        <sz val="10.0"/>
      </rPr>
      <t>Leave blank for No Shipping Discount.</t>
    </r>
  </si>
  <si>
    <r>
      <rPr>
        <rFont val="Arial"/>
        <i/>
        <color theme="1"/>
        <sz val="10.0"/>
      </rPr>
      <t>(Required)</t>
    </r>
    <r>
      <rPr>
        <rFont val="Arial"/>
        <color theme="1"/>
        <sz val="10.0"/>
      </rPr>
      <t xml:space="preserve">
For Sale, Not for Sale, Draft, or Drops</t>
    </r>
  </si>
  <si>
    <r>
      <rPr>
        <rFont val="Arial"/>
        <i/>
        <color theme="1"/>
        <sz val="10.0"/>
      </rPr>
      <t>(Required if updating)</t>
    </r>
    <r>
      <rPr>
        <rFont val="Arial"/>
        <color theme="1"/>
        <sz val="10.0"/>
      </rPr>
      <t xml:space="preserve">
</t>
    </r>
  </si>
  <si>
    <r>
      <rPr>
        <rFont val="Arial"/>
        <i/>
        <color theme="1"/>
        <sz val="10.0"/>
      </rPr>
      <t>(Required for all availability types except Drafts)</t>
    </r>
    <r>
      <rPr>
        <rFont val="Arial"/>
        <color theme="1"/>
        <sz val="10.0"/>
      </rPr>
      <t xml:space="preserve">
URL to image from online cloud
</t>
    </r>
  </si>
  <si>
    <t>FP001</t>
  </si>
  <si>
    <t>NWT Free People Carpe Diem Shorts - Black - S</t>
  </si>
  <si>
    <t>NWT Free People Carpe Diem Shorts - Black - S
Perfect for your next run or workout, these FP Movement shorts feature a high-rise, stretch-knit waistband and a relaxed fit. Crafted from durable, water-resistant fabric, they include built-in briefs for extra coverage and a convenient interior waistband pocket for small essentials. The effortless pull-on design ensures maximum comfort and support through every movement.
Brand new with tags and the original retail price of $40.00</t>
  </si>
  <si>
    <t>Free People</t>
  </si>
  <si>
    <t>Activewear</t>
  </si>
  <si>
    <t>Not For Sale</t>
  </si>
  <si>
    <t>https://images.urbndata.com/is/image/FreePeople/88138201_001_g/?$a15-pdp-detail-shot$&amp;fit=constrain&amp;fmt=webp&amp;qlt=80&amp;wid=1314</t>
  </si>
  <si>
    <t>FP003</t>
  </si>
  <si>
    <t>NWT Free People Carpe Diem Short - Blueberry - S</t>
  </si>
  <si>
    <t>NWT Free People Carpe Diem Short - Blueberry - S
The Carpe Diem shorts from FP Movement feature a relaxed, high-waisted fit designed for both performance and lounging. Crafted from durable, water-resistant fabric, these shorts include built-in briefs for added coverage and a comfortable stretch-knit waistband with a hidden interior pocket.
Brand new with tags and the original retail price of $40.00</t>
  </si>
  <si>
    <t>https://images.urbndata.com/is/image/FreePeople/88138201_048_b/?$a15-pdp-detail-shot$&amp;fit=constrain&amp;fmt=webp&amp;qlt=80&amp;wid=1314</t>
  </si>
  <si>
    <t>FP005</t>
  </si>
  <si>
    <t>NWT Free People Carpe Diem Short - Pink/Rose</t>
  </si>
  <si>
    <t>NWT Free People Carpe Diem Short - Pink/Rose
The Carpe Diem shorts from FP Movement feature a relaxed, high-waisted fit designed for both performance and lounging. Crafted from durable, water-resistant fabric, these shorts include built-in briefs for added coverage and a comfortable stretch-knit waistband with a hidden interior pocket.
Brand new with tags and the original retail price of $40.00</t>
  </si>
  <si>
    <t>Pink</t>
  </si>
  <si>
    <t>FPCPPINK1</t>
  </si>
  <si>
    <t>https://images.urbndata.com/is/image/FreePeople/88138201_066_e/?$redesign-zoom-5x$</t>
  </si>
  <si>
    <t>FP006</t>
  </si>
  <si>
    <t>FP007</t>
  </si>
  <si>
    <t>FP008</t>
  </si>
  <si>
    <t>NWT Free People Carpe Diem Short - Red - M</t>
  </si>
  <si>
    <t>NWT Free People Carpe Diem Short - Red
The Carpe Diem shorts from FP Movement feature a relaxed, high-waisted fit designed for both performance and lounging. Crafted from durable, water-resistant fabric, these shorts include built-in briefs for added coverage and a comfortable stretch-knit waistband with a hidden interior pocket.
Brand new with tags and the original retail price of $40.00</t>
  </si>
  <si>
    <t>FPCPRED1</t>
  </si>
  <si>
    <t>https://images.urbndata.com/is/image/FreePeople/88138201_060_b/?$a15-pdp-detail-shot$&amp;fit=constrain&amp;fmt=webp&amp;qlt=80&amp;wid=1314</t>
  </si>
  <si>
    <t>FP009</t>
  </si>
  <si>
    <t>NWT Free People Carpe Diem Short - Red - S</t>
  </si>
  <si>
    <t>FP010</t>
  </si>
  <si>
    <t>NWT Free People Carpe Diem Short - White - S</t>
  </si>
  <si>
    <t>NWT Free People Carpe Diem Short - White - S
The Carpe Diem shorts from FP Movement feature a relaxed, high-waisted fit designed for both performance and lounging. Crafted from durable, water-resistant fabric, these shorts include built-in briefs for added coverage and a comfortable stretch-knit waistband with a hidden interior pocket.
Brand new with tags and the original retail price of $40.00</t>
  </si>
  <si>
    <t>White</t>
  </si>
  <si>
    <t>https://images.urbndata.com/is/image/FreePeople/88138201_010_d/?$a15-pdp-detail-shot$&amp;fit=constrain&amp;fmt=webp&amp;qlt=80&amp;wid=1314</t>
  </si>
  <si>
    <t>FP011</t>
  </si>
  <si>
    <t>NWT Free People Carpe Diem Short - Yellow - M</t>
  </si>
  <si>
    <t>NWT Free People Carpe Diem Short - Yellow - M
The Carpe Diem shorts from FP Movement feature a relaxed, high-waisted fit designed for both performance and lounging. Crafted from durable, water-resistant fabric, these shorts include built-in briefs for added coverage and a comfortable stretch-knit waistband with a hidden interior pocket.
Brand new with tags and the original retail price of $40.00</t>
  </si>
  <si>
    <t>Yellow</t>
  </si>
  <si>
    <t>https://images.urbndata.com/is/image/FreePeople/88138201_072_d/?$a15-pdp-detail-shot$&amp;fit=constrain&amp;fmt=webp&amp;qlt=80&amp;wid=1314</t>
  </si>
  <si>
    <t>https://images.urbndata.com/is/image/FreePeople/88138201_072_f/?$a15-pdp-detail-shot$&amp;fit=constrain&amp;fmt=webp&amp;qlt=80&amp;wid=1314</t>
  </si>
  <si>
    <t>FP012</t>
  </si>
  <si>
    <t>NWT Free People Power Play Cami - Bittersweet - XL</t>
  </si>
  <si>
    <t>NWT Free People Power Play Cami - Bittersweet - XL
The Free People Power Play Cami features sheer lace shoulders and a delicate lace-trimmed neckline paired with a comfortable ribbed jersey bodice. This sleeveless top is crafted from midweight fabric, making it a versatile piece for layering or wearing on its own.
Brand new with tags. Original retail price: $58.</t>
  </si>
  <si>
    <t>Brown</t>
  </si>
  <si>
    <t>Lace</t>
  </si>
  <si>
    <t>Boudoir</t>
  </si>
  <si>
    <t>https://images.urbndata.com/is/image/FreePeople/66211806_021_c/?$a15-pdp-detail-shot$&amp;fit=constrain&amp;fmt=webp&amp;qlt=80&amp;wid=1314</t>
  </si>
  <si>
    <t>FP013</t>
  </si>
  <si>
    <t>NWT Free People Power Play Cami - Black - M</t>
  </si>
  <si>
    <t>NWT Free People Power Play Cami - Black - M
The Free People Power Play Cami features sheer lace shoulders and a delicate lace-trimmed neckline paired with a comfortable ribbed jersey bodice. This sleeveless top is crafted from midweight fabric, making it a versatile piece for layering or wearing on its own.
Brand new with tags. Original retail price: $58.</t>
  </si>
  <si>
    <t>https://is4.revolveassets.com/images/p4/n/z/FREE-WS5364_V1.jpg</t>
  </si>
  <si>
    <t>FP014</t>
  </si>
  <si>
    <t>NWT Free People Still Here Halter Cami - Black - M</t>
  </si>
  <si>
    <t>NWT Free People Still Here Halter Cami - Black - M
Sweet, seamless fabrication defines this comfy halter cami from Intimately. This soft and stretchy top features a fitted, cropped silhouette with a classic halter neckline and thoughtful seam details. Perfect for layering or wearing on its own, it pairs effortlessly with your favorite denim for an easy, everyday look.
Brand new with tags and the original retail price of $38.00</t>
  </si>
  <si>
    <t>Basics</t>
  </si>
  <si>
    <t>https://images.urbndata.com/is/image/FreePeople/96303847_001_oi/?$a15-pdp-detail-shot$&amp;fit=constrain&amp;qlt=80&amp;wid=640</t>
  </si>
  <si>
    <t>FP015</t>
  </si>
  <si>
    <t>NWT Free People Still Here Halter Cami - Dusted Blue - M</t>
  </si>
  <si>
    <t>NWT Free People Still Here Halter Cami - Dusted Blue - M
Sweet, seamless fabrication defines this comfy halter cami from Intimately. Designed in a fitted, cropped silhouette, this top features soft, stretchy fabric, a flattering halter neckline, and seam details throughout. Pair with your favorite denim for easy, everyday outfitting.
Brand new with tags
Original retail price: $38</t>
  </si>
  <si>
    <t>https://encrypted-tbn1.gstatic.com/shopping?q=tbn:ANd9GcQs1WNwqrvYxZNAmz-lT8aTwA3MRsURkaL7zp2gJETtPxZJMAmI9SuZaP9ZHuQXH3SjBKDTBrQiA_IJUe5tkwWQDajABdQW</t>
  </si>
  <si>
    <t>FP016</t>
  </si>
  <si>
    <t>NWT Free People Still Here Halter Cami - Red - XS</t>
  </si>
  <si>
    <t>NWT Free People Still Here Halter Cami - Red - XS
Make everyday easy in this sleek halter cami designed with a soft, seamless fabrication. This comfy top features a slim-fitting, cropped silhouette with a plunging neckline and a bold open back for a spirit of femininity and creativity. Finished with fixed straps and seam detailing at the bust, it is the perfect lightweight piece to pair with your favorite denim.
Brand new with tags
Original retail price: $38</t>
  </si>
  <si>
    <t>https://media-photos.depop.com/b1/489150921/3719651887_fa165a7e3ffa420e8b7fc34b3b238e81/P0.jpg</t>
  </si>
  <si>
    <t>FP018</t>
  </si>
  <si>
    <t>NWT Free People Still Here Halter Cami - White - S</t>
  </si>
  <si>
    <t>NWT Free People Still Here Halter Cami - White - S
Sweet and seamless, this comfy halter cami from Intimately Free People is an essential base layer. It features a soft, stretchy fabrication in a fitted, cropped silhouette with a flattering plunge halter neckline and seam details throughout. Perfect for pairing with denim for an easy, effortless look.
Brand new with tags and the original retail price of $38.</t>
  </si>
  <si>
    <t>https://editorialist.com/thumbnails/600/2025/3/034/791/995/34791995~ivory_1741336167738_0.webp</t>
  </si>
  <si>
    <t>FP021</t>
  </si>
  <si>
    <t>NWT Free People Sweet On You Bias Half Slip - Clean Ivory - XS</t>
  </si>
  <si>
    <t>NWT Free People Sweet On You Bias Half Slip - Clean Ivory - XS
Forever femme, this delicate slip skirt features an all-over dotted jacquard pattern and bias-cut for a draped, flowy look. It is designed with a relaxed, high-rise silhouette and a maxi length that moves beautifully. Perfect for layering or wearing on its own, this versatile piece adds a romantic touch to any outfit.
Brand new with tags. Original retail price $50.00.</t>
  </si>
  <si>
    <t>Festival</t>
  </si>
  <si>
    <t>Dainty</t>
  </si>
  <si>
    <t>https://images.urbndata.com/is/image/FreePeople/97448310_010_j/?$a15-pdp-detail-shot$&amp;fit=constrain&amp;fmt=webp&amp;qlt=80&amp;wid=1314</t>
  </si>
  <si>
    <t>FP022</t>
  </si>
  <si>
    <t>NWT Free People Tank Only You - Black - XS</t>
  </si>
  <si>
    <t>NWT Free People Tank Only You - Black - XS
So simple with sweet details, this classic tank is featured in a sheer ribbed cotton knit with ribbon-adorned lace trim. It features a form-fitting, full-length silhouette with a scoop neckline and lace straps with ribbon detailing. Crafted from a lightweight polyester and cotton blend, this semi-sheer top is perfect for layering or wearing on its own.
Brand new with tags and the original retail price of $38.00.</t>
  </si>
  <si>
    <t>Ribbed</t>
  </si>
  <si>
    <t>https://content.backcountry.com/images/items/1200/FRP/FRPE0ZE/BLA.jpg</t>
  </si>
  <si>
    <t>FP023</t>
  </si>
  <si>
    <t>NWT Free People Tank Only You - Heather Grey - M</t>
  </si>
  <si>
    <t>NWT Free People Tank Only You - Heather Grey - M
So simple with sweet details, this classic form-fitting tank is featured in a semi-sheer ribbed cotton knit with lace straps and ribbon-adorned trim. Designed with a flattering scoop neckline and full length, it is the perfect base layer for any look.  - 65% Polyester, 35% Cotton
  - 23.5 inch length
  - Machine wash coldBrand new with tags and the original retail price of $38.00</t>
  </si>
  <si>
    <t>Gray</t>
  </si>
  <si>
    <t>https://sundiego.com/cdn/shop/files/unnamed_24c017c4-2f8d-4e34-beb6-416113a7e4a5.webp?v=1757048035</t>
  </si>
  <si>
    <t>UO002</t>
  </si>
  <si>
    <t>Urban Outfitters Ashleigh Blue Halter Top - M</t>
  </si>
  <si>
    <t>Urban Outfitters Ashleigh Blue Halter Top
A romantic and whimsical addition to your wardrobe, this fitted halter vest top features a plunging v-neckline and a chic split-front bodice. Crafted from a breathable linen blend in a solid light blue, it is designed with a seamed silhouette that hugs your curves. The open upper back and adjustable two-button halter closure offer a customizable fit, making it perfect for pairing with your favorite denim or flowing skirts for a festival-ready look.
Brand new with tags $49.00</t>
  </si>
  <si>
    <t>Urban Outfitters</t>
  </si>
  <si>
    <t>UOTOP2</t>
  </si>
  <si>
    <t>Y2K</t>
  </si>
  <si>
    <t>https://di2ponv0v5otw.cloudfront.net/posts/2026/02/17/699480fcc4c837638fc16ed5/l_wp_699480fd14937706d8ff80b6.webp</t>
  </si>
  <si>
    <t>UO003</t>
  </si>
  <si>
    <t>Urban Outfitters Ashleigh Blue Halter Top - S</t>
  </si>
  <si>
    <t>UO004</t>
  </si>
  <si>
    <t>BDG Bradley Tiki Geo Top - L</t>
  </si>
  <si>
    <t>BDG Bradley Tiki Geo Top - L
Channel effortless retro vibes with this BDG Bradley Tiki Geo Top. Featuring a bold geometric print inspired by vintage tiki aesthetics, this top offers a relaxed fit and a vibrant color palette perfect for sun-drenched days. The lightweight fabric and classic silhouette make it a versatile addition to your free-spirited wardrobe, whether paired with denim cutoffs or a flowing midi skirt.
Brand new with tags
Original retail price: $49.00</t>
  </si>
  <si>
    <t>BDG</t>
  </si>
  <si>
    <t>Vacation</t>
  </si>
  <si>
    <t>Animal Print</t>
  </si>
  <si>
    <t>African</t>
  </si>
  <si>
    <t>https://images.urbndata.com/is/image/UrbanOutfitters/99180069_020_b5?$xlarge$&amp;fit=constrain&amp;qlt=80&amp;wid=640</t>
  </si>
  <si>
    <t>UO006</t>
  </si>
  <si>
    <t>Urban Outfitters Sleeveless Collared Top - Into the Gap (Light Blue) - M</t>
  </si>
  <si>
    <t>Urban Outfitters Sleeveless Collared Top - Into the Gap (Light Blue) - M
Effortlessly cool and perfectly tailored, this sleeveless button-down top from Urban Outfitters is a versatile staple for your warm-weather wardrobe. Featuring a crisp collared neckline and a structured vest-inspired silhouette, it is crafted from a comfortable stretch-cotton blend in a chic light blue hue. Design details include a full button-front closure, princess seaming for a flattering slim fit, and a racerback design that adds a modern, athletic edge. Whether tucked into your favorite high-waisted denim or layered under a blazer, this top offers a sophisticated yet laid-back vibe for any occasion.
Brand new with tags and the original retail price of $45.</t>
  </si>
  <si>
    <t>Collared</t>
  </si>
  <si>
    <t>https://media-photos.depop.com/b1/52731319/3653232764_c30f6024e9c6472abd070638bbbeaa0d/P0.jpg</t>
  </si>
  <si>
    <t>UO007</t>
  </si>
  <si>
    <t>Urban Outfitters Sleeveless Collared Top - Into the Gap (Light Blue) - S</t>
  </si>
  <si>
    <t>Urban Outfitters Sleeveless Collared Top - Into the Gap (Light Blue) - S
Effortless and airy, this sleeveless collared top features a light blue wash that perfectly blends nostalgia with a modern silhouette. Designed with a structured collar and a relaxed, breezy fit, it is an ideal staple for layering or wearing on its own during sunny days. This versatile piece captures a creative spirit and individual style, making it a must-have addition to any boho-inspired wardrobe.
Brand new with tags and the original retail price</t>
  </si>
  <si>
    <t>UO008</t>
  </si>
  <si>
    <t>Urban Outfitters Sleeveless Collared Top - Jet Black - M</t>
  </si>
  <si>
    <t>Urban Outfitters Sleeveless Collared Top - Jet Black - M
Effortlessly chic and endlessly versatile, this sleeveless top from Urban Outfitters is a wardrobe essential. Crafted in a sleek jet black hue, it features a classic collared neckline and a streamlined silhouette that makes it perfect for layering or wearing solo. The soft, breathable fabric ensures all-day comfort, while the tailored fit adds a touch of sophistication to any ensemble. Pair it with your favorite high-waisted denim for a casual daytime look or tuck it into a midi skirt for an elevated evening outfit.
Brand new with tags and the original retail price of $45.00</t>
  </si>
  <si>
    <t>https://encrypted-tbn0.gstatic.com/shopping?q=tbn:ANd9GcR2VXOLpmbqQv_XhQjofejfy53wOfDRHP39g-MMSM-Khz7e4hRW0wgckog2FhY5Z98yMK0nZ3eyCj0SIA4sA0Z5j3k-lkn5w3wzQjsOfzNg</t>
  </si>
  <si>
    <t>UO009</t>
  </si>
  <si>
    <t>Urban Outfitters Sleeveless Collared Top - Jet Black - S</t>
  </si>
  <si>
    <t>Urban Outfitters Sleeveless Collared Top - Jet Black - S
A versatile and stylish addition to your wardrobe, this sleeveless collared top is designed in a lightweight cotton-blend woven fabric for a trending vibe. It features a tailored slim fit with a button-down bodice and cutaway shoulders, making it perfect for layering or wearing solo. The classic collared neckline and regular length ensure a sophisticated look that transitions easily from casual outings to nights out.
Brand new with tags and the original retail price $45</t>
  </si>
  <si>
    <t>UO010</t>
  </si>
  <si>
    <t>Urban Outfitters Sleeveless Collared Top - Party Girl Striped - M</t>
  </si>
  <si>
    <t>Urban Outfitters Sleeveless Collared Top - Party Girl Striped
This breezy sleeveless top from Urban Outfitters features a classic collared neckline and a playful party girl striped pattern. Designed with a lightweight fabric and a relaxed fit, it is the perfect versatile piece for layering or wearing on its own during warm weather adventures.
Brand new with tags and the original retail price</t>
  </si>
  <si>
    <t>UOTOP1</t>
  </si>
  <si>
    <t>https://s7d2.scene7.com/is/image/nu/98947823_066_b?$pdp-regular$</t>
  </si>
  <si>
    <t>UO011</t>
  </si>
  <si>
    <t>Urban Outfitters Sleeveless Collared Top - Party Girl Striped - XL</t>
  </si>
  <si>
    <t>Orange</t>
  </si>
  <si>
    <t>Green</t>
  </si>
  <si>
    <t>Purple</t>
  </si>
  <si>
    <t>Gold</t>
  </si>
  <si>
    <t>Silver</t>
  </si>
  <si>
    <t>Cream</t>
  </si>
  <si>
    <t>Tan</t>
  </si>
  <si>
    <t xml:space="preserve">Subcategory </t>
  </si>
  <si>
    <t>Color1/Color2</t>
  </si>
  <si>
    <t>Camera, Photo &amp; Video</t>
  </si>
  <si>
    <t>Lighting &amp; Studio</t>
  </si>
  <si>
    <t>Car audio, video &amp; GPS</t>
  </si>
  <si>
    <t>Computers, Laptops &amp; Accessories</t>
  </si>
  <si>
    <t>Graphic Cards</t>
  </si>
  <si>
    <t>Drones</t>
  </si>
  <si>
    <t>Home Audio</t>
  </si>
  <si>
    <t>Media Cases &amp; Storage Solutions</t>
  </si>
  <si>
    <t>Musical instruments</t>
  </si>
  <si>
    <t>Electronic Drums</t>
  </si>
  <si>
    <t>Electronic Keyboards</t>
  </si>
  <si>
    <t>Musical Instruments Wholesale Lots</t>
  </si>
  <si>
    <t>Other Guitar Effects Pedals</t>
  </si>
  <si>
    <t>Other Musical Instruments</t>
  </si>
  <si>
    <t>Other Pro Audio Equipment</t>
  </si>
  <si>
    <t>Pro Audio Microphones &amp; Wireless Systems</t>
  </si>
  <si>
    <t>Boosters, Extenders &amp; Antennas</t>
  </si>
  <si>
    <t>USB Bluetooth Adapters/Dongles</t>
  </si>
  <si>
    <t>USB Wi-Fi Adapters/Dongles</t>
  </si>
  <si>
    <t>Cassette Players &amp; Recorders</t>
  </si>
  <si>
    <t>Portable Speakers &amp; Docks</t>
  </si>
  <si>
    <t>Print, Copy, Scan &amp; Fax</t>
  </si>
  <si>
    <t>Cable Organizer Bags &amp; Cases</t>
  </si>
  <si>
    <t>Calculators</t>
  </si>
  <si>
    <t>Copiers</t>
  </si>
  <si>
    <t>Document Cameras</t>
  </si>
  <si>
    <t>Electronic Dictionaries, Thesauri &amp; Translators</t>
  </si>
  <si>
    <t>Fax Machines</t>
  </si>
  <si>
    <t>Other Office Equipment</t>
  </si>
  <si>
    <t>PDAs &amp; Handhelds</t>
  </si>
  <si>
    <t>Point-of-Sale (POS) Equipment</t>
  </si>
  <si>
    <t>Presentation Products</t>
  </si>
  <si>
    <t>Printers &amp; Accessories</t>
  </si>
  <si>
    <t>Scanners &amp; Accessories</t>
  </si>
  <si>
    <t>Telephones &amp; Accessories</t>
  </si>
  <si>
    <t>Video Projectors &amp; Accessories</t>
  </si>
  <si>
    <t>Smart Home &amp; Security</t>
  </si>
  <si>
    <t>Tablets, E-Readers &amp; Accessories</t>
  </si>
  <si>
    <t>TV &amp; Video</t>
  </si>
  <si>
    <t>Controllers &amp; Motion Sensors</t>
  </si>
  <si>
    <t>46DDM</t>
  </si>
  <si>
    <t>48DDM</t>
  </si>
  <si>
    <t>Preemie</t>
  </si>
  <si>
    <t>Dept</t>
  </si>
  <si>
    <t>Categories</t>
  </si>
  <si>
    <t>SubCat</t>
  </si>
  <si>
    <t>Women &lt;000e8975d97b4e80ef00a955&gt;</t>
  </si>
  <si>
    <t>Dresses &lt;00108975d97b4e80ef00a955&gt;</t>
  </si>
  <si>
    <t>Asymmetrical &lt;00449287d97b4e80ef00a955&gt;</t>
  </si>
  <si>
    <t>Accessories &lt;002a8975d97b4e80ef00a955&gt;</t>
  </si>
  <si>
    <t>Backless &lt;004c9287d97b4e80ef00a955&gt;</t>
  </si>
  <si>
    <t>Ao Dais &lt;9ab476dc402403bf28a2606b&gt;</t>
  </si>
  <si>
    <t>High Low &lt;00429287d97b4e80ef00a955&gt;</t>
  </si>
  <si>
    <t>Bags &lt;00248975d97b4e80ef00a955&gt;</t>
  </si>
  <si>
    <t>Long Sleeve &lt;00469287d97b4e80ef00a955&gt;</t>
  </si>
  <si>
    <t>Cheongsams &amp; Qipaos &lt;9bb476dc402403bf28a2606b&gt;</t>
  </si>
  <si>
    <t>Maxi &lt;00409287d97b4e80ef00a955&gt;</t>
  </si>
  <si>
    <t>Dirndls &lt;9db476dc402403bf28a2606b&gt;</t>
  </si>
  <si>
    <t>Midi &lt;003e9287d97b4e80ef00a955&gt;</t>
  </si>
  <si>
    <t>Mini &lt;003c9287d97b4e80ef00a955&gt;</t>
  </si>
  <si>
    <t>Dupattas &amp; Stoles &lt;a2b476dd402403bf28a2606b&gt;</t>
  </si>
  <si>
    <t>One Shoulder &lt;00489287d97b4e80ef00a955&gt;</t>
  </si>
  <si>
    <t>Hanboks &lt;9cb476dc402403bf28a2606b&gt;</t>
  </si>
  <si>
    <t>Prom &lt;010082cfd97b4ecc3f0056aa&gt;</t>
  </si>
  <si>
    <t>Harem Pants &lt;a3b476dd402403bf28a2606b&gt;</t>
  </si>
  <si>
    <t>Strapless &lt;004a9287d97b4e80ef00a955&gt;</t>
  </si>
  <si>
    <t>Hijabs &lt;9eb476dc402403bf28a2606b&gt;</t>
  </si>
  <si>
    <t>Wedding &lt;020082d1d97b4ecc3f0056aa&gt;</t>
  </si>
  <si>
    <t>Huipils &lt;9fb476dd402403bf28a2606b&gt;</t>
  </si>
  <si>
    <t>Skirts &lt;00128975d97b4e80ef00a955&gt;</t>
  </si>
  <si>
    <t>A-Line or Full &lt;00589287d97b4e80ef00a955&gt;</t>
  </si>
  <si>
    <t>Intimates &amp; Sleepwear &lt;00208975d97b4e80ef00a955&gt;</t>
  </si>
  <si>
    <t>Asymmetrical &lt;00569287d97b4e80ef00a955&gt;</t>
  </si>
  <si>
    <t>Jackets &amp; Coats &lt;00148975d97b4e80ef00a955&gt;</t>
  </si>
  <si>
    <t>Circle &amp; Skater &lt;005a9287d97b4e80ef00a955&gt;</t>
  </si>
  <si>
    <t>Jeans &lt;001a8975d97b4e80ef00a955&gt;</t>
  </si>
  <si>
    <t>High Low &lt;00549287d97b4e80ef00a955&gt;</t>
  </si>
  <si>
    <t>Jewelry &lt;00288975d97b4e80ef00a955&gt;</t>
  </si>
  <si>
    <t>Maxi &lt;00529287d97b4e80ef00a955&gt;</t>
  </si>
  <si>
    <t>Kaftans &lt;a0b476dd402403bf28a2606b&gt;</t>
  </si>
  <si>
    <t>Midi &lt;00509287d97b4e80ef00a955&gt;</t>
  </si>
  <si>
    <t>Kimonos &amp; Yukatas &lt;a1b476dd402403bf28a2606b&gt;</t>
  </si>
  <si>
    <t>Mini &lt;004e9287d97b4e80ef00a955&gt;</t>
  </si>
  <si>
    <t>Kurta Bottoms &lt;a4b476dd402403bf28a2606b&gt;</t>
  </si>
  <si>
    <t>Pencil &lt;005c9287d97b4e80ef00a955&gt;</t>
  </si>
  <si>
    <t>Kurtas &lt;a5b476dd402403bf28a2606b&gt;</t>
  </si>
  <si>
    <t>Skirt Sets &lt;005e9287d97b4e80ef00a955&gt;</t>
  </si>
  <si>
    <t>Lehengas &lt;a6b476dd402403bf28a2606b&gt;</t>
  </si>
  <si>
    <t>Blazers &amp; Suit Jackets &lt;00609287d97b4e80ef00a955&gt;</t>
  </si>
  <si>
    <t>Makeup &lt;002c8975d97b4e80ef00a955&gt;</t>
  </si>
  <si>
    <t>Bomber Jackets &lt;797df9aaaabb083120f45ec2&gt;</t>
  </si>
  <si>
    <t>Palazzo Pants &lt;a7b476dd402403bf28a2606b&gt;</t>
  </si>
  <si>
    <t>Capes &lt;00629287d97b4e80ef00a955&gt;</t>
  </si>
  <si>
    <t>Pants &amp; Jumpsuits &lt;001c8975d97b4e80ef00a955&gt;</t>
  </si>
  <si>
    <t>Jean Jackets &lt;00649287d97b4e80ef00a955&gt;</t>
  </si>
  <si>
    <t>Patiala Pants &lt;a8b476dd402403bf28a2606b&gt;</t>
  </si>
  <si>
    <t>Leather Jackets &lt;787df9aaaabb083120f45ec2&gt;</t>
  </si>
  <si>
    <t>Salwars &lt;a9b476dd402403bf28a2606b&gt;</t>
  </si>
  <si>
    <t>Pea Coats &lt;00669287d97b4e80ef00a955&gt;</t>
  </si>
  <si>
    <t>Saree Blouses &lt;aab476dd402403bf28a2606b&gt;</t>
  </si>
  <si>
    <t>Puffers &lt;00689287d97b4e80ef00a955&gt;</t>
  </si>
  <si>
    <t>Sarees &lt;abb476dd402403bf28a2606b&gt;</t>
  </si>
  <si>
    <t>Ski &amp; Snow Jackets &lt;7b7df9aaaabb083120f45ec2&gt;</t>
  </si>
  <si>
    <t>Shoes &lt;00268975d97b4e80ef00a955&gt;</t>
  </si>
  <si>
    <t>Teddy Jackets &lt;7a7df9aaaabb083120f45ec2&gt;</t>
  </si>
  <si>
    <t>Shorts &lt;001e8975d97b4e80ef00a955&gt;</t>
  </si>
  <si>
    <t>Trench Coats &lt;006a9287d97b4e80ef00a955&gt;</t>
  </si>
  <si>
    <t>Utility Jackets &lt;006c9287d97b4e80ef00a955&gt;</t>
  </si>
  <si>
    <t>Sweaters &lt;00168975d97b4e80ef00a955&gt;</t>
  </si>
  <si>
    <t>Varsity Jackets &lt;7c7df9aaaabb083120f45ec2&gt;</t>
  </si>
  <si>
    <t>Swim &lt;00228975d97b4e80ef00a955&gt;</t>
  </si>
  <si>
    <t>Vests &lt;006e9287d97b4e80ef00a955&gt;</t>
  </si>
  <si>
    <t>Tops &lt;00188975d97b4e80ef00a955&gt;</t>
  </si>
  <si>
    <t>Cardigans &lt;00709287d97b4e80ef00a955&gt;</t>
  </si>
  <si>
    <t>Treggings &lt;acb476dd402403bf28a2606b&gt;</t>
  </si>
  <si>
    <t>Cowl &amp; Turtlenecks &lt;00769287d97b4e80ef00a955&gt;</t>
  </si>
  <si>
    <t>Skincare &lt;6e7df9aaaabb083120f45ec2&gt;</t>
  </si>
  <si>
    <t>Crew &amp; Scoop Necks &lt;00729287d97b4e80ef00a955&gt;</t>
  </si>
  <si>
    <t>Hair &lt;6f7df9aaaabb083120f45ec2&gt;</t>
  </si>
  <si>
    <t>Off-the-Shoulder Sweaters &lt;7d7df9aaaabb083120f45ec2&gt;</t>
  </si>
  <si>
    <t>Bath &amp; Body &lt;707df9aaaabb083120f45ec2&gt;</t>
  </si>
  <si>
    <t>Shrugs &amp; Ponchos &lt;00749287d97b4e80ef00a955&gt;</t>
  </si>
  <si>
    <t>Other &lt;002e8975d97b4e80ef00a955&gt;</t>
  </si>
  <si>
    <t>V-Necks &lt;00789287d97b4e80ef00a955&gt;</t>
  </si>
  <si>
    <t>Accessories &lt;02008c10d97b4e1245005764&gt;</t>
  </si>
  <si>
    <t>Men &lt;01008c10d97b4e1245005764&gt;</t>
  </si>
  <si>
    <t>Blouses &lt;007a9287d97b4e80ef00a955&gt;</t>
  </si>
  <si>
    <t>Agbadas &amp; Dashikis &lt;b2b476dd402403bf28a2606b&gt;</t>
  </si>
  <si>
    <t>Bodysuits &lt;7e7df9aaaabb083120f45ec2&gt;</t>
  </si>
  <si>
    <t>Ao Dais &lt;b3b476dd402403bf28a2606b&gt;</t>
  </si>
  <si>
    <t>Button Down Shirts &lt;007c9287d97b4e80ef00a955&gt;</t>
  </si>
  <si>
    <t>Bags &lt;03008c10d97b4e1245005764&gt;</t>
  </si>
  <si>
    <t>Camisoles &lt;007e9287d97b4e80ef00a955&gt;</t>
  </si>
  <si>
    <t>Changshans &lt;b4b476dd402403bf28a2606b&gt;</t>
  </si>
  <si>
    <t>Crop Tops &lt;00809287d97b4e80ef00a955&gt;</t>
  </si>
  <si>
    <t>Hanboks &lt;b5b476dd402403bf28a2606b&gt;</t>
  </si>
  <si>
    <t>Jerseys &lt;7f7df9aaaabb083120f45ec2&gt;</t>
  </si>
  <si>
    <t>Jackets &amp; Coats &lt;04008c10d97b4e1245005764&gt;</t>
  </si>
  <si>
    <t>Muscle Tees &lt;00829287d97b4e80ef00a955&gt;</t>
  </si>
  <si>
    <t>Jeans &lt;05008c10d97b4e1245005764&gt;</t>
  </si>
  <si>
    <t>Sweatshirts &amp; Hoodies &lt;00849287d97b4e80ef00a955&gt;</t>
  </si>
  <si>
    <t>Kaftans &lt;b6b476dd402403bf28a2606b&gt;</t>
  </si>
  <si>
    <t>Tank Tops &lt;00869287d97b4e80ef00a955&gt;</t>
  </si>
  <si>
    <t>Keffiyehs &lt;b7b476dd402403bf28a2606b&gt;</t>
  </si>
  <si>
    <t>Tees - Long Sleeve &lt;00889287d97b4e80ef00a955&gt;</t>
  </si>
  <si>
    <t>Kilts &lt;b8b476dd402403bf28a2606b&gt;</t>
  </si>
  <si>
    <t>Tees - Short Sleeve &lt;008a9287d97b4e80ef00a955&gt;</t>
  </si>
  <si>
    <t>Kimonos &amp; Yukatas &lt;b9b476dd402403bf28a2606b&gt;</t>
  </si>
  <si>
    <t>Tunics &lt;008c9287d97b4e80ef00a955&gt;</t>
  </si>
  <si>
    <t>Kurta Bottoms &lt;aeb476dd402403bf28a2606b&gt;</t>
  </si>
  <si>
    <t>Ankle &amp; Cropped &lt;008e9287d97b4e80ef00a955&gt;</t>
  </si>
  <si>
    <t>Kurtas &lt;afb476dd402403bf28a2606b&gt;</t>
  </si>
  <si>
    <t>Boot Cut &lt;00909287d97b4e80ef00a955&gt;</t>
  </si>
  <si>
    <t>Lederhosen &lt;bab476dd402403bf28a2606b&gt;</t>
  </si>
  <si>
    <t>Boyfriend &lt;00929287d97b4e80ef00a955&gt;</t>
  </si>
  <si>
    <t>Nehru Jackets &lt;b0b476dd402403bf28a2606b&gt;</t>
  </si>
  <si>
    <t>Flare &amp; Wide Leg &lt;00949287d97b4e80ef00a955&gt;</t>
  </si>
  <si>
    <t>Pants &lt;06008c10d97b4e1245005764&gt;</t>
  </si>
  <si>
    <t>High Rise &lt;807df9aaaabb083120f45ec2&gt;</t>
  </si>
  <si>
    <t>Ponchos &amp; Serapes &lt;bbb476dd402403bf28a2606b&gt;</t>
  </si>
  <si>
    <t>Jeggings &lt;817df9aaaabb083120f45ec2&gt;</t>
  </si>
  <si>
    <t>Sherwanis &lt;b1b476dd402403bf28a2606b&gt;</t>
  </si>
  <si>
    <t>Overalls &lt;00969287d97b4e80ef00a955&gt;</t>
  </si>
  <si>
    <t>Shirts &lt;07008c10d97b4e1245005764&gt;</t>
  </si>
  <si>
    <t>Skinny &lt;00989287d97b4e80ef00a955&gt;</t>
  </si>
  <si>
    <t>Shoes &lt;08008c10d97b4e1245005764&gt;</t>
  </si>
  <si>
    <t>Straight Leg &lt;009a9287d97b4e80ef00a955&gt;</t>
  </si>
  <si>
    <t>Shorts &lt;09008c10d97b4e1245005764&gt;</t>
  </si>
  <si>
    <t>Ankle &amp; Cropped &lt;00a69287d97b4e80ef00a955&gt;</t>
  </si>
  <si>
    <t>Suits &amp; Blazers &lt;0a008c10d97b4e1245005764&gt;</t>
  </si>
  <si>
    <t>Boot Cut &amp; Flare &lt;00a89287d97b4e80ef00a955&gt;</t>
  </si>
  <si>
    <t>Sweaters &lt;0b008c10d97b4e1245005764&gt;</t>
  </si>
  <si>
    <t>Capris &lt;00aa9287d97b4e80ef00a955&gt;</t>
  </si>
  <si>
    <t>Swim &lt;0d008c10d97b4e1245005764&gt;</t>
  </si>
  <si>
    <t>Jumpsuits &amp; Rompers &lt;00ae9287d97b4e80ef00a955&gt;</t>
  </si>
  <si>
    <t>Underwear &amp; Socks &lt;0e008c10d97b4e1245005764&gt;</t>
  </si>
  <si>
    <t>Leggings &lt;00b09287d97b4e80ef00a955&gt;</t>
  </si>
  <si>
    <t>Grooming &lt;717df9aaaabb083120f45ec2&gt;</t>
  </si>
  <si>
    <t>Pantsuits &lt;827df9aaaabb083120f45ec2&gt;</t>
  </si>
  <si>
    <t>Other &lt;10008c10d97b4e1245005764&gt;</t>
  </si>
  <si>
    <t>Skinny &lt;00b29287d97b4e80ef00a955&gt;</t>
  </si>
  <si>
    <t>Accessories &lt;21008c10d97b4e1245005764&gt;</t>
  </si>
  <si>
    <t>Kids &lt;20008c10d97b4e1245005764&gt;</t>
  </si>
  <si>
    <t>Straight Leg &lt;00b49287d97b4e80ef00a955&gt;</t>
  </si>
  <si>
    <t>Bottoms &lt;24002b34d97b4efb71005784&gt;</t>
  </si>
  <si>
    <t>Track Pants &amp; Joggers &lt;00ac9287d97b4e80ef00a955&gt;</t>
  </si>
  <si>
    <t>Dresses &lt;22008c10d97b4e1245005764&gt;</t>
  </si>
  <si>
    <t>Trousers &lt;00b69287d97b4e80ef00a955&gt;</t>
  </si>
  <si>
    <t>Jackets &amp; Coats &lt;23008c10d97b4e1245005764&gt;</t>
  </si>
  <si>
    <t>Wide Leg &lt;00b89287d97b4e80ef00a955&gt;</t>
  </si>
  <si>
    <t>Matching Sets &lt;26008c10d97b4e1245005764&gt;</t>
  </si>
  <si>
    <t>Athletic Shorts &lt;837df9aaaabb083120f45ec2&gt;</t>
  </si>
  <si>
    <t>One Pieces &lt;25008c10d97b4e1245005764&gt;</t>
  </si>
  <si>
    <t>Bermudas &lt;00be9287d97b4e80ef00a955&gt;</t>
  </si>
  <si>
    <t>Pajamas &lt;27008c10d97b4e1245005764&gt;</t>
  </si>
  <si>
    <t>Bike Shorts &lt;847df9aaaabb083120f45ec2&gt;</t>
  </si>
  <si>
    <t>Shirts &amp; Tops &lt;2e008c10d97b4e1245005764&gt;</t>
  </si>
  <si>
    <t>Cargos &lt;00c09287d97b4e80ef00a955&gt;</t>
  </si>
  <si>
    <t>Shoes &lt;29008c10d97b4e1245005764&gt;</t>
  </si>
  <si>
    <t>High Waist &lt;857df9aaaabb083120f45ec2&gt;</t>
  </si>
  <si>
    <t>Swim &lt;2d008c10d97b4e1245005764&gt;</t>
  </si>
  <si>
    <t>Jean Shorts &lt;00bc9287d97b4e80ef00a955&gt;</t>
  </si>
  <si>
    <t>Costumes &lt;30008c10d97b4e1245005764&gt;</t>
  </si>
  <si>
    <t>Skorts &lt;00ba9287d97b4e80ef00a955&gt;</t>
  </si>
  <si>
    <t>Bath, Skin &amp; Hair &lt;727df9aaaabb083120f45ec2&gt;</t>
  </si>
  <si>
    <t>Bandeaus &lt;00c49287d97b4e80ef00a955&gt;</t>
  </si>
  <si>
    <t>Toys &lt;737df9aaaabb083120f45ec2&gt;</t>
  </si>
  <si>
    <t>Bras &lt;00c29287d97b4e80ef00a955&gt;</t>
  </si>
  <si>
    <t>Other &lt;31008c10d97b4e1245005764&gt;</t>
  </si>
  <si>
    <t>Chemises &amp; Slips &lt;00ce9287d97b4e80ef00a955&gt;</t>
  </si>
  <si>
    <t>Accents &lt;5c3b13d30640fd0aeb9c5cb6&gt;</t>
  </si>
  <si>
    <t>Home &lt;5b3b13d30640fd0aeb9c5cb6&gt;</t>
  </si>
  <si>
    <t>Pajamas &lt;00ca9287d97b4e80ef00a955&gt;</t>
  </si>
  <si>
    <t>Art &lt;c66f798f402403a7f0016033&gt;</t>
  </si>
  <si>
    <t>Panties &lt;00c69287d97b4e80ef00a955&gt;</t>
  </si>
  <si>
    <t>Bath &lt;5d3b13d30640fd0aeb9c5cb6&gt;</t>
  </si>
  <si>
    <t>Robes &lt;00cc9287d97b4e80ef00a955&gt;</t>
  </si>
  <si>
    <t>Bedding &lt;5e3b13d30640fd0aeb9c5cb6&gt;</t>
  </si>
  <si>
    <t>Shapewear &lt;00c89287d97b4e80ef00a955&gt;</t>
  </si>
  <si>
    <t>Design &lt;c76f798f402403a7f0016033&gt;</t>
  </si>
  <si>
    <t>Sports Bras &lt;867df9aaaabb083120f45ec2&gt;</t>
  </si>
  <si>
    <t>Dining &lt;bc5eb22d0640fd1ab51c5d0b&gt;</t>
  </si>
  <si>
    <t>Bikinis &lt;00d09287d97b4e80ef00a955&gt;</t>
  </si>
  <si>
    <t>Games &lt;747df9aaaabb083120f45ec2&gt;</t>
  </si>
  <si>
    <t>Coverups &lt;00d49287d97b4e80ef00a955&gt;</t>
  </si>
  <si>
    <t>Holiday &lt;5f3b13d30640fd0aeb9c5cb6&gt;</t>
  </si>
  <si>
    <t>One Pieces &lt;00d29287d97b4e80ef00a955&gt;</t>
  </si>
  <si>
    <t>Kitchen &lt;bb5eb22d0640fd1ab51c5d0b&gt;</t>
  </si>
  <si>
    <t>Sarongs &lt;00d69287d97b4e80ef00a955&gt;</t>
  </si>
  <si>
    <t>Office &lt;603b13d30640fd0aeb9c5cb6&gt;</t>
  </si>
  <si>
    <t>Baby Bags &lt;00d89287d97b4e80ef00a955&gt;</t>
  </si>
  <si>
    <t>Party Supplies &lt;613b13d30640fd0aeb9c5cb6&gt;</t>
  </si>
  <si>
    <t>Backpacks &lt;00da9287d97b4e80ef00a955&gt;</t>
  </si>
  <si>
    <t>Storage &amp; Organization &lt;623b13d30640fd0aeb9c5cb6&gt;</t>
  </si>
  <si>
    <t>Clutches &amp; Wristlets &lt;00ee9287d97b4e80ef00a955&gt;</t>
  </si>
  <si>
    <t>Wall Decor &lt;633b13d30640fd0aeb9c5cb6&gt;</t>
  </si>
  <si>
    <t>Cosmetic Bags &amp; Cases &lt;00dc9287d97b4e80ef00a955&gt;</t>
  </si>
  <si>
    <t>Other &lt;a93b13d30640fd0aeb9c5cb6&gt;</t>
  </si>
  <si>
    <t>Crossbody Bags &lt;00de9287d97b4e80ef00a955&gt;</t>
  </si>
  <si>
    <t>Dog &lt;b008bf914024037d7a7b5fad&gt;</t>
  </si>
  <si>
    <t>Pets &lt;af08bf904024037d7a7b5fad&gt;</t>
  </si>
  <si>
    <t>Hobos &lt;00e09287d97b4e80ef00a955&gt;</t>
  </si>
  <si>
    <t>Cat &lt;b108bf914024037d7a7b5fad&gt;</t>
  </si>
  <si>
    <t>Laptop Bags &lt;00e29287d97b4e80ef00a955&gt;</t>
  </si>
  <si>
    <t>Bird &lt;b208bf914024037d7a7b5fad&gt;</t>
  </si>
  <si>
    <t>Mini Bags &lt;00e49287d97b4e80ef00a955&gt;</t>
  </si>
  <si>
    <t>Fish &lt;b308bf914024037d7a7b5fad&gt;</t>
  </si>
  <si>
    <t>Satchels &lt;00e69287d97b4e80ef00a955&gt;</t>
  </si>
  <si>
    <t>Reptile &lt;b408bf914024037d7a7b5fad&gt;</t>
  </si>
  <si>
    <t>Shoulder Bags &lt;00e89287d97b4e80ef00a955&gt;</t>
  </si>
  <si>
    <t>Small Pets &lt;b508bf914024037d7a7b5fad&gt;</t>
  </si>
  <si>
    <t>Totes &lt;00ea9287d97b4e80ef00a955&gt;</t>
  </si>
  <si>
    <t>Other &lt;b608bf914024037d7a7b5fad&gt;</t>
  </si>
  <si>
    <t>Travel Bags &lt;00ec9287d97b4e80ef00a955&gt;</t>
  </si>
  <si>
    <t>Camera, Photo &amp; Video &lt;428e4884402403bc7f6c6157&gt;</t>
  </si>
  <si>
    <t>Electronics &lt;583c7d134024035188906153&gt;</t>
  </si>
  <si>
    <t>Wallets &lt;00f09287d97b4e80ef00a955&gt;</t>
  </si>
  <si>
    <t>Computers, Laptops &amp; Accessories &lt;438e4884402403bc7f6c6157&gt;</t>
  </si>
  <si>
    <t>Ankle Boots &amp; Booties &lt;00f29287d97b4e80ef00a955&gt;</t>
  </si>
  <si>
    <t>Cell Phones &amp; Accessories &lt;448e4884402403bc7f6c6157&gt;</t>
  </si>
  <si>
    <t>Athletic Shoes &lt;00fe9287d97b4e80ef00a955&gt;</t>
  </si>
  <si>
    <t>TV &amp; Video &lt;458e4884402403bc7f6c6157&gt;</t>
  </si>
  <si>
    <t>Combat &amp; Moto Boots &lt;00f69287d97b4e80ef00a955&gt;</t>
  </si>
  <si>
    <t>Video Games &amp; Consoles &lt;468e4884402403bc7f6c6157&gt;</t>
  </si>
  <si>
    <t>Espadrilles &lt;01009287d97b4e80ef00a955&gt;</t>
  </si>
  <si>
    <t>Car audio, video &amp; GPS &lt;478e4884402403bc7f6c6157&gt;</t>
  </si>
  <si>
    <t>Flats &amp; Loafers &lt;01029287d97b4e80ef00a955&gt;</t>
  </si>
  <si>
    <t>Media &lt;488e4884402403bc7f6c6157&gt;</t>
  </si>
  <si>
    <t>Heeled Boots &lt;00fa9287d97b4e80ef00a955&gt;</t>
  </si>
  <si>
    <t>Wearables &lt;498e4884402403bc7f6c6157&gt;</t>
  </si>
  <si>
    <t>Heels &lt;010a9287d97b4e80ef00a955&gt;</t>
  </si>
  <si>
    <t>Smart Home &amp; Security &lt;4a8e4884402403bc7f6c6157&gt;</t>
  </si>
  <si>
    <t>Lace Up Boots &lt;00fc9287d97b4e80ef00a955&gt;</t>
  </si>
  <si>
    <t>Home Audio &lt;4b8e4884402403bc7f6c6157&gt;</t>
  </si>
  <si>
    <t>Moccasins &lt;01049287d97b4e80ef00a955&gt;</t>
  </si>
  <si>
    <t>Headphones &lt;4c8e4884402403bc7f6c6157&gt;</t>
  </si>
  <si>
    <t>Mules &amp; Clogs &lt;01069287d97b4e80ef00a955&gt;</t>
  </si>
  <si>
    <t>Portable Audio &amp; Video &lt;4d8e4884402403bc7f6c6157&gt;</t>
  </si>
  <si>
    <t>Over the Knee Boots &lt;00f89287d97b4e80ef00a955&gt;</t>
  </si>
  <si>
    <t>Tablets, E-Readers &amp; Accessories &lt;4e8e4884402403bc7f6c6157&gt;</t>
  </si>
  <si>
    <t>Platforms &lt;01089287d97b4e80ef00a955&gt;</t>
  </si>
  <si>
    <t>Drones &lt;4f8e4884402403bc7f6c6157&gt;</t>
  </si>
  <si>
    <t>Sandals &lt;010c9287d97b4e80ef00a955&gt;</t>
  </si>
  <si>
    <t>VR, AR &amp; Accessories &lt;508e4884402403bc7f6c6157&gt;</t>
  </si>
  <si>
    <t>Slippers &lt;010e9287d97b4e80ef00a955&gt;</t>
  </si>
  <si>
    <t>Networking &lt;518e4884402403bc7f6c6157&gt;</t>
  </si>
  <si>
    <t>Sneakers &lt;01109287d97b4e80ef00a955&gt;</t>
  </si>
  <si>
    <t>Print, Copy, Scan &amp; Fax &lt;528e4884402403bc7f6c6157&gt;</t>
  </si>
  <si>
    <t>Wedges &lt;01129287d97b4e80ef00a955&gt;</t>
  </si>
  <si>
    <t>Musical instruments &lt;538e4884402403bc7f6c6157&gt;</t>
  </si>
  <si>
    <t>Winter &amp; Rain Boots &lt;00f49287d97b4e80ef00a955&gt;</t>
  </si>
  <si>
    <t>Other &lt;548e4884402403bc7f6c6157&gt;</t>
  </si>
  <si>
    <t>Bracelets &lt;01149287d97b4e80ef00a955&gt;</t>
  </si>
  <si>
    <t>Brooches &lt;011c9287d97b4e80ef00a955&gt;</t>
  </si>
  <si>
    <t>Earrings &lt;01169287d97b4e80ef00a955&gt;</t>
  </si>
  <si>
    <t>Necklaces &lt;01189287d97b4e80ef00a955&gt;</t>
  </si>
  <si>
    <t>Rings &lt;011a9287d97b4e80ef00a955&gt;</t>
  </si>
  <si>
    <t>Belts &lt;011e9287d97b4e80ef00a955&gt;</t>
  </si>
  <si>
    <t>Face Masks &lt;877df9aaaabb083120f45ec2&gt;</t>
  </si>
  <si>
    <t>Glasses &lt;01209287d97b4e80ef00a955&gt;</t>
  </si>
  <si>
    <t>Gloves &amp; Mittens &lt;01229287d97b4e80ef00a955&gt;</t>
  </si>
  <si>
    <t>Hair Accessories &lt;01249287d97b4e80ef00a955&gt;</t>
  </si>
  <si>
    <t>Hats &lt;01269287d97b4e80ef00a955&gt;</t>
  </si>
  <si>
    <t>Hosiery &amp; Socks &lt;01289287d97b4e80ef00a955&gt;</t>
  </si>
  <si>
    <t>Key &amp; Card Holders &lt;012a9287d97b4e80ef00a955&gt;</t>
  </si>
  <si>
    <t>Laptop Cases &lt;012c9287d97b4e80ef00a955&gt;</t>
  </si>
  <si>
    <t>Phone Cases &lt;012e9287d97b4e80ef00a955&gt;</t>
  </si>
  <si>
    <t>Scarves &amp; Wraps &lt;01309287d97b4e80ef00a955&gt;</t>
  </si>
  <si>
    <t>Sunglasses &lt;01329287d97b4e80ef00a955&gt;</t>
  </si>
  <si>
    <t>Tablet Cases &lt;01349287d97b4e80ef00a955&gt;</t>
  </si>
  <si>
    <t>Umbrellas &lt;01369287d97b4e80ef00a955&gt;</t>
  </si>
  <si>
    <t>Watches &lt;01389287d97b4e80ef00a955&gt;</t>
  </si>
  <si>
    <t>Blush &lt;013a9287d97b4e80ef00a955&gt;</t>
  </si>
  <si>
    <t>Bronzer &amp; Contour &lt;013c9287d97b4e80ef00a955&gt;</t>
  </si>
  <si>
    <t>Brows &lt;01429287d97b4e80ef00a955&gt;</t>
  </si>
  <si>
    <t>Brushes &amp; Tools &lt;015a9287d97b4e80ef00a955&gt;</t>
  </si>
  <si>
    <t>Concealer &lt;013e9287d97b4e80ef00a955&gt;</t>
  </si>
  <si>
    <t>Eye Primer &lt;01409287d97b4e80ef00a955&gt;</t>
  </si>
  <si>
    <t>Eyeliner &lt;01449287d97b4e80ef00a955&gt;</t>
  </si>
  <si>
    <t>Eyeshadow &lt;01469287d97b4e80ef00a955&gt;</t>
  </si>
  <si>
    <t>Foundation &lt;014e9287d97b4e80ef00a955&gt;</t>
  </si>
  <si>
    <t>Highlighter &lt;01569287d97b4e80ef00a955&gt;</t>
  </si>
  <si>
    <t>Lashes &lt;014c9287d97b4e80ef00a955&gt;</t>
  </si>
  <si>
    <t>Lip Balm &amp; Gloss &lt;01509287d97b4e80ef00a955&gt;</t>
  </si>
  <si>
    <t>Lip Liner &lt;01529287d97b4e80ef00a955&gt;</t>
  </si>
  <si>
    <t>Lipstick &lt;01549287d97b4e80ef00a955&gt;</t>
  </si>
  <si>
    <t>Mascara &lt;01589287d97b4e80ef00a955&gt;</t>
  </si>
  <si>
    <t>Nail Tools &lt;897df9aaaabb083120f45ec2&gt;</t>
  </si>
  <si>
    <t>Press-On Nails &lt;887df9aaaabb083120f45ec2&gt;</t>
  </si>
  <si>
    <t>Primer &lt;014a9287d97b4e80ef00a955&gt;</t>
  </si>
  <si>
    <t>Setting Powder &amp; Spray &lt;01489287d97b4e80ef00a955&gt;</t>
  </si>
  <si>
    <t>Acne &amp; Blemish &lt;8a7df9aaaabb083120f45ec2&gt;</t>
  </si>
  <si>
    <t>Cleanser &amp; Exfoliant &lt;8b7df9aaaabb083120f45ec2&gt;</t>
  </si>
  <si>
    <t>Eye Cream &lt;8c7df9aaaabb083120f45ec2&gt;</t>
  </si>
  <si>
    <t>Makeup Remover &lt;957df9aaaabb083120f45ec2&gt;</t>
  </si>
  <si>
    <t>Mask &lt;8d7df9aaaabb083120f45ec2&gt;</t>
  </si>
  <si>
    <t>Moisturizer &lt;8e7df9aaaabb083120f45ec2&gt;</t>
  </si>
  <si>
    <t>Peel &lt;8f7df9aaaabb083120f45ec2&gt;</t>
  </si>
  <si>
    <t>Serum &amp; Face Oil &lt;907df9aaaabb083120f45ec2&gt;</t>
  </si>
  <si>
    <t>Suncare &lt;927df9aaaabb083120f45ec2&gt;</t>
  </si>
  <si>
    <t>Toner &lt;937df9aaaabb083120f45ec2&gt;</t>
  </si>
  <si>
    <t>Tools &lt;947df9aaaabb083120f45ec2&gt;</t>
  </si>
  <si>
    <t>Color &lt;967df9aaaabb083120f45ec2&gt;</t>
  </si>
  <si>
    <t>Conditioner &lt;977df9aaaabb083120f45ec2&gt;</t>
  </si>
  <si>
    <t>Hairspray &lt;987df9aaaabb083120f45ec2&gt;</t>
  </si>
  <si>
    <t>Heat Protectant &lt;997df9aaaabb083120f45ec2&gt;</t>
  </si>
  <si>
    <t>Shampoo &lt;9a7df9aaaabb083120f45ec2&gt;</t>
  </si>
  <si>
    <t>Styling &lt;9d7df9aaaabb083120f45ec2&gt;</t>
  </si>
  <si>
    <t>Tools &lt;9b7df9aaaabb083120f45ec2&gt;</t>
  </si>
  <si>
    <t>Treatment &amp; Mask &lt;9c7df9aaaabb083120f45ec2&gt;</t>
  </si>
  <si>
    <t>Wigs &amp; Extensions &lt;9e7df9aaaabb083120f45ec2&gt;</t>
  </si>
  <si>
    <t>Bath Soak &amp; Bubbles &lt;9f7df9aaaabb083120f45ec2&gt;</t>
  </si>
  <si>
    <t>Body Wash &lt;a17df9aaaabb083120f45ec2&gt;</t>
  </si>
  <si>
    <t>Exfoliant &amp; Scrub &lt;a27df9aaaabb083120f45ec2&gt;</t>
  </si>
  <si>
    <t>Hair Removal &lt;a37df9aaaabb083120f45ec2&gt;</t>
  </si>
  <si>
    <t>Hand &amp; Foot Care &lt;a47df9aaaabb083120f45ec2&gt;</t>
  </si>
  <si>
    <t>Hand Soap &lt;a77df9aaaabb083120f45ec2&gt;</t>
  </si>
  <si>
    <t>Moisturizer &amp; Body Oil &lt;a07df9aaaabb083120f45ec2&gt;</t>
  </si>
  <si>
    <t>Suncare &amp; Tanning &lt;a57df9aaaabb083120f45ec2&gt;</t>
  </si>
  <si>
    <t>Tools &lt;a67df9aaaabb083120f45ec2&gt;</t>
  </si>
  <si>
    <t>Belts &lt;01009813d97b4e3995005764&gt;</t>
  </si>
  <si>
    <t>Cuff Links &lt;03009813d97b4e3995005764&gt;</t>
  </si>
  <si>
    <t>Face Masks &lt;a87df9aaaabb083120f45ec2&gt;</t>
  </si>
  <si>
    <t>Glasses &lt;01002f3cd97b4edf70005784&gt;</t>
  </si>
  <si>
    <t>Gloves &lt;04009813d97b4e3995005764&gt;</t>
  </si>
  <si>
    <t>Hats &lt;05009813d97b4e3995005764&gt;</t>
  </si>
  <si>
    <t>Jewelry &lt;06009813d97b4e3995005764&gt;</t>
  </si>
  <si>
    <t>Key &amp; Card Holders &lt;0f00d070d97b4eaedd005776&gt;</t>
  </si>
  <si>
    <t>Money Clips &lt;1100d070d97b4eaedd005776&gt;</t>
  </si>
  <si>
    <t>Phone Cases &lt;08009813d97b4e3995005764&gt;</t>
  </si>
  <si>
    <t>Pocket Squares &lt;09009813d97b4e3995005764&gt;</t>
  </si>
  <si>
    <t>Scarves &lt;0a009813d97b4e3995005764&gt;</t>
  </si>
  <si>
    <t>Sunglasses &lt;0b009813d97b4e3995005764&gt;</t>
  </si>
  <si>
    <t>Suspenders &lt;0c009813d97b4e3995005764&gt;</t>
  </si>
  <si>
    <t>Ties &lt;0d009813d97b4e3995005764&gt;</t>
  </si>
  <si>
    <t>Watches &lt;0e009813d97b4e3995005764&gt;</t>
  </si>
  <si>
    <t>Backpacks &lt;0f009813d97b4e3995005764&gt;</t>
  </si>
  <si>
    <t>Belt Bags &lt;a97df9aaaabb083120f45ec2&gt;</t>
  </si>
  <si>
    <t>Briefcases &lt;10009813d97b4e3995005764&gt;</t>
  </si>
  <si>
    <t>Duffel Bags &lt;11009813d97b4e3995005764&gt;</t>
  </si>
  <si>
    <t>Laptop Bags &lt;12009813d97b4e3995005764&gt;</t>
  </si>
  <si>
    <t>Luggage &amp; Travel Bags &lt;13009813d97b4e3995005764&gt;</t>
  </si>
  <si>
    <t>Messenger Bags &lt;14009813d97b4e3995005764&gt;</t>
  </si>
  <si>
    <t>Toiletry Bags &lt;ab7df9aaaabb083120f45ec2&gt;</t>
  </si>
  <si>
    <t>Wallets &lt;16009813d97b4e3995005764&gt;</t>
  </si>
  <si>
    <t>Bomber &amp; Varsity &lt;18009813d97b4e3995005764&gt;</t>
  </si>
  <si>
    <t>Lightweight &amp; Shirt Jackets &lt;19009813d97b4e3995005764&gt;</t>
  </si>
  <si>
    <t>Military &amp; Field &lt;1a009813d97b4e3995005764&gt;</t>
  </si>
  <si>
    <t>Pea Coats &lt;1c009813d97b4e3995005764&gt;</t>
  </si>
  <si>
    <t>Performance Jackets &lt;1d009813d97b4e3995005764&gt;</t>
  </si>
  <si>
    <t>Puffers &lt;1e009813d97b4e3995005764&gt;</t>
  </si>
  <si>
    <t>Raincoats &lt;1f009813d97b4e3995005764&gt;</t>
  </si>
  <si>
    <t>Ski &amp; Snowboard &lt;20009813d97b4e3995005764&gt;</t>
  </si>
  <si>
    <t>Trench Coats &lt;21009813d97b4e3995005764&gt;</t>
  </si>
  <si>
    <t>Vests &lt;23009813d97b4e3995005764&gt;</t>
  </si>
  <si>
    <t>Windbreakers &lt;22009813d97b4e3995005764&gt;</t>
  </si>
  <si>
    <t>Bootcut &lt;24009813d97b4e3995005764&gt;</t>
  </si>
  <si>
    <t>Relaxed &lt;25009813d97b4e3995005764&gt;</t>
  </si>
  <si>
    <t>Skinny &lt;29009813d97b4e3995005764&gt;</t>
  </si>
  <si>
    <t>Slim &lt;28009813d97b4e3995005764&gt;</t>
  </si>
  <si>
    <t>Slim Straight &lt;27009813d97b4e3995005764&gt;</t>
  </si>
  <si>
    <t>Straight &lt;26009813d97b4e3995005764&gt;</t>
  </si>
  <si>
    <t>Cargo &lt;2b009813d97b4e3995005764&gt;</t>
  </si>
  <si>
    <t>Chinos &amp; Khakis &lt;2a009813d97b4e3995005764&gt;</t>
  </si>
  <si>
    <t>Corduroy &lt;2c009813d97b4e3995005764&gt;</t>
  </si>
  <si>
    <t>Dress &lt;2d009813d97b4e3995005764&gt;</t>
  </si>
  <si>
    <t>Sweatpants &amp; Joggers &lt;2f009813d97b4e3995005764&gt;</t>
  </si>
  <si>
    <t>Casual Button Down Shirts &lt;30009813d97b4e3995005764&gt;</t>
  </si>
  <si>
    <t>Dress Shirts &lt;31009813d97b4e3995005764&gt;</t>
  </si>
  <si>
    <t>Jerseys &lt;ac7df9aaaabb083120f45ec2&gt;</t>
  </si>
  <si>
    <t>Polos &lt;32009813d97b4e3995005764&gt;</t>
  </si>
  <si>
    <t>Sweatshirts &amp; Hoodies &lt;02002f3cd97b4edf70005784&gt;</t>
  </si>
  <si>
    <t>Tank Tops &lt;3400d070d97b4eaedd005776&gt;</t>
  </si>
  <si>
    <t>Tees - Long Sleeve &lt;03002f3cd97b4edf70005784&gt;</t>
  </si>
  <si>
    <t>Tees - Short Sleeve &lt;33009813d97b4e3995005764&gt;</t>
  </si>
  <si>
    <t>Athletic Shoes &lt;38009813d97b4e3995005764&gt;</t>
  </si>
  <si>
    <t>Boat Shoes &lt;39009813d97b4e3995005764&gt;</t>
  </si>
  <si>
    <t>Boots &lt;04002f3cd97b4edf70005784&gt;</t>
  </si>
  <si>
    <t>Chukka Boots &lt;34009813d97b4e3995005764&gt;</t>
  </si>
  <si>
    <t>Cowboy &amp; Western Boots &lt;36009813d97b4e3995005764&gt;</t>
  </si>
  <si>
    <t>Loafers &amp; Slip-Ons &lt;3a009813d97b4e3995005764&gt;</t>
  </si>
  <si>
    <t>Oxfords &amp; Derbys &lt;3b009813d97b4e3995005764&gt;</t>
  </si>
  <si>
    <t>Rain &amp; Snow Boots &lt;37009813d97b4e3995005764&gt;</t>
  </si>
  <si>
    <t>Sandals &amp; Flip-Flops &lt;3c009813d97b4e3995005764&gt;</t>
  </si>
  <si>
    <t>Sneakers &lt;3d009813d97b4e3995005764&gt;</t>
  </si>
  <si>
    <t>Athletic &lt;3e009813d97b4e3995005764&gt;</t>
  </si>
  <si>
    <t>Cargo &lt;3f009813d97b4e3995005764&gt;</t>
  </si>
  <si>
    <t>Flat Front &lt;40009813d97b4e3995005764&gt;</t>
  </si>
  <si>
    <t>Hybrids &lt;41009813d97b4e3995005764&gt;</t>
  </si>
  <si>
    <t>Jean Shorts &lt;05002f3cd97b4edf70005784&gt;</t>
  </si>
  <si>
    <t>Sport Coats &amp; Blazers &lt;44009813d97b4e3995005764&gt;</t>
  </si>
  <si>
    <t>Suits &lt;43009813d97b4e3995005764&gt;</t>
  </si>
  <si>
    <t>Tuxedos &lt;45009813d97b4e3995005764&gt;</t>
  </si>
  <si>
    <t>Vests &lt;46009813d97b4e3995005764&gt;</t>
  </si>
  <si>
    <t>Cardigan &lt;49009813d97b4e3995005764&gt;</t>
  </si>
  <si>
    <t>Crewneck &lt;4a009813d97b4e3995005764&gt;</t>
  </si>
  <si>
    <t>Turtleneck &lt;4c009813d97b4e3995005764&gt;</t>
  </si>
  <si>
    <t>V-Neck &lt;4d009813d97b4e3995005764&gt;</t>
  </si>
  <si>
    <t>Zip Up &lt;4f009813d97b4e3995005764&gt;</t>
  </si>
  <si>
    <t>Board Shorts &lt;54009813d97b4e3995005764&gt;</t>
  </si>
  <si>
    <t>Hybrids &lt;56009813d97b4e3995005764&gt;</t>
  </si>
  <si>
    <t>Rash Guards &lt;57009813d97b4e3995005764&gt;</t>
  </si>
  <si>
    <t>Swim Trunks &lt;55009813d97b4e3995005764&gt;</t>
  </si>
  <si>
    <t>Athletic Socks &lt;62009813d97b4e3995005764&gt;</t>
  </si>
  <si>
    <t>Boxer Briefs &lt;59009813d97b4e3995005764&gt;</t>
  </si>
  <si>
    <t>Boxers &lt;5a009813d97b4e3995005764&gt;</t>
  </si>
  <si>
    <t>Briefs &lt;5b009813d97b4e3995005764&gt;</t>
  </si>
  <si>
    <t>Casual Socks &lt;61009813d97b4e3995005764&gt;</t>
  </si>
  <si>
    <t>Dress Socks &lt;60009813d97b4e3995005764&gt;</t>
  </si>
  <si>
    <t>Undershirts &lt;5e009813d97b4e3995005764&gt;</t>
  </si>
  <si>
    <t>Cleanser &lt;ad7df9aaaabb083120f45ec2&gt;</t>
  </si>
  <si>
    <t>Grooming Tools &lt;b17df9aaaabb083120f45ec2&gt;</t>
  </si>
  <si>
    <t>Hair Care &lt;ae7df9aaaabb083120f45ec2&gt;</t>
  </si>
  <si>
    <t>Moisturizer &lt;af7df9aaaabb083120f45ec2&gt;</t>
  </si>
  <si>
    <t>Shaving &lt;b07df9aaaabb083120f45ec2&gt;</t>
  </si>
  <si>
    <t>Suncare &lt;b37df9aaaabb083120f45ec2&gt;</t>
  </si>
  <si>
    <t>Treatments &lt;b27df9aaaabb083120f45ec2&gt;</t>
  </si>
  <si>
    <t>Bags &lt;6b009813d97b4e3995005764&gt;</t>
  </si>
  <si>
    <t>Belts &lt;06002f3cd97b4edf70005784&gt;</t>
  </si>
  <si>
    <t>Bibs &lt;07002f3cd97b4edf70005784&gt;</t>
  </si>
  <si>
    <t>Diaper Covers &lt;08002f3cd97b4edf70005784&gt;</t>
  </si>
  <si>
    <t>Face Masks &lt;b67df9aaaabb083120f45ec2&gt;</t>
  </si>
  <si>
    <t>Hair Accessories &lt;6e009813d97b4e3995005764&gt;</t>
  </si>
  <si>
    <t>Hats &lt;09002f3cd97b4edf70005784&gt;</t>
  </si>
  <si>
    <t>Jewelry &lt;6d009813d97b4e3995005764&gt;</t>
  </si>
  <si>
    <t>Mittens &lt;0a002f3cd97b4edf70005784&gt;</t>
  </si>
  <si>
    <t>Socks &amp; Tights &lt;0b002f3cd97b4edf70005784&gt;</t>
  </si>
  <si>
    <t>Sunglasses &lt;0c002f3cd97b4edf70005784&gt;</t>
  </si>
  <si>
    <t>Suspenders &lt;0d002f3cd97b4edf70005784&gt;</t>
  </si>
  <si>
    <t>Ties &lt;0e002f3cd97b4edf70005784&gt;</t>
  </si>
  <si>
    <t>Underwear &lt;0f002f3cd97b4edf70005784&gt;</t>
  </si>
  <si>
    <t>Watches &lt;6c009813d97b4e3995005764&gt;</t>
  </si>
  <si>
    <t>Casual &lt;10002f3cd97b4edf70005784&gt;</t>
  </si>
  <si>
    <t>Formal &lt;11002f3cd97b4edf70005784&gt;</t>
  </si>
  <si>
    <t>Jeans &lt;12002f3cd97b4edf70005784&gt;</t>
  </si>
  <si>
    <t>Jumpsuits &amp; Rompers &lt;84009813d97b4e3995005764&gt;</t>
  </si>
  <si>
    <t>Leggings &lt;85009813d97b4e3995005764&gt;</t>
  </si>
  <si>
    <t>Overalls &lt;13002f3cd97b4edf70005784&gt;</t>
  </si>
  <si>
    <t>Shorts &lt;14002f3cd97b4edf70005784&gt;</t>
  </si>
  <si>
    <t>Skirts &lt;93009813d97b4e3995005764&gt;</t>
  </si>
  <si>
    <t>Skorts &lt;94009813d97b4e3995005764&gt;</t>
  </si>
  <si>
    <t>Sweatpants &amp; Joggers &lt;86009813d97b4e3995005764&gt;</t>
  </si>
  <si>
    <t>Casual &lt;70009813d97b4e3995005764&gt;</t>
  </si>
  <si>
    <t>Formal &lt;6f009813d97b4e3995005764&gt;</t>
  </si>
  <si>
    <t>Blazers &lt;71009813d97b4e3995005764&gt;</t>
  </si>
  <si>
    <t>Capes &lt;72009813d97b4e3995005764&gt;</t>
  </si>
  <si>
    <t>Jean Jackets &lt;73009813d97b4e3995005764&gt;</t>
  </si>
  <si>
    <t>Pea Coats &lt;75009813d97b4e3995005764&gt;</t>
  </si>
  <si>
    <t>Puffers &lt;76009813d97b4e3995005764&gt;</t>
  </si>
  <si>
    <t>Raincoats &lt;77009813d97b4e3995005764&gt;</t>
  </si>
  <si>
    <t>Vests &lt;78009813d97b4e3995005764&gt;</t>
  </si>
  <si>
    <t>Bodysuits &lt;15002f3cd97b4edf70005784&gt;</t>
  </si>
  <si>
    <t>Footies &lt;16002f3cd97b4edf70005784&gt;</t>
  </si>
  <si>
    <t>Nightgowns &lt;7d009813d97b4e3995005764&gt;</t>
  </si>
  <si>
    <t>Pajama Bottoms &lt;80009813d97b4e3995005764&gt;</t>
  </si>
  <si>
    <t>Pajama Sets &lt;18002f3cd97b4edf70005784&gt;</t>
  </si>
  <si>
    <t>Pajama Tops &lt;7f009813d97b4e3995005764&gt;</t>
  </si>
  <si>
    <t>Robes &lt;81009813d97b4e3995005764&gt;</t>
  </si>
  <si>
    <t>Sleep Sacks &lt;82009813d97b4e3995005764&gt;</t>
  </si>
  <si>
    <t>Blouses &lt;9f009813d97b4e3995005764&gt;</t>
  </si>
  <si>
    <t>Button Down Shirts &lt;a0009813d97b4e3995005764&gt;</t>
  </si>
  <si>
    <t>Camisoles &lt;a1009813d97b4e3995005764&gt;</t>
  </si>
  <si>
    <t>Jerseys &lt;b77df9aaaabb083120f45ec2&gt;</t>
  </si>
  <si>
    <t>Polos &lt;a2009813d97b4e3995005764&gt;</t>
  </si>
  <si>
    <t>Sweaters &lt;19002f3cd97b4edf70005784&gt;</t>
  </si>
  <si>
    <t>Sweatshirts &amp; Hoodies &lt;a3009813d97b4e3995005764&gt;</t>
  </si>
  <si>
    <t>Tank Tops &lt;a4009813d97b4e3995005764&gt;</t>
  </si>
  <si>
    <t>Tees - Long Sleeve &lt;a5009813d97b4e3995005764&gt;</t>
  </si>
  <si>
    <t>Tees - Short Sleeve &lt;a6009813d97b4e3995005764&gt;</t>
  </si>
  <si>
    <t>Baby &amp; Walker &lt;1a002f3cd97b4edf70005784&gt;</t>
  </si>
  <si>
    <t>Boots &lt;8e009813d97b4e3995005764&gt;</t>
  </si>
  <si>
    <t>Dress Shoes &lt;8d009813d97b4e3995005764&gt;</t>
  </si>
  <si>
    <t>Moccasins &lt;1b002f3cd97b4edf70005784&gt;</t>
  </si>
  <si>
    <t>Rain &amp; Snow Boots &lt;8f009813d97b4e3995005764&gt;</t>
  </si>
  <si>
    <t>Sandals &amp; Flip Flops &lt;1c002f3cd97b4edf70005784&gt;</t>
  </si>
  <si>
    <t>Slippers &lt;89009813d97b4e3995005764&gt;</t>
  </si>
  <si>
    <t>Sneakers &lt;8b009813d97b4e3995005764&gt;</t>
  </si>
  <si>
    <t>Water Shoes &lt;8a009813d97b4e3995005764&gt;</t>
  </si>
  <si>
    <t>Bikinis &lt;9b009813d97b4e3995005764&gt;</t>
  </si>
  <si>
    <t>Coverups &lt;9c009813d97b4e3995005764&gt;</t>
  </si>
  <si>
    <t>One Piece &lt;9a009813d97b4e3995005764&gt;</t>
  </si>
  <si>
    <t>Rashguards &lt;9d009813d97b4e3995005764&gt;</t>
  </si>
  <si>
    <t>Swim Trunks &lt;9e009813d97b4e3995005764&gt;</t>
  </si>
  <si>
    <t>Dance &lt;1d002f3cd97b4edf70005784&gt;</t>
  </si>
  <si>
    <t>Halloween &lt;1e002f3cd97b4edf70005784&gt;</t>
  </si>
  <si>
    <t>Seasonal &lt;21002f3cd97b4edf70005784&gt;</t>
  </si>
  <si>
    <t>Superhero &lt;20002f3cd97b4edf70005784&gt;</t>
  </si>
  <si>
    <t>Theater &lt;1f002f3cd97b4edf70005784&gt;</t>
  </si>
  <si>
    <t>Bath &amp; Body &lt;b87df9aaaabb083120f45ec2&gt;</t>
  </si>
  <si>
    <t>Hair Care &lt;b97df9aaaabb083120f45ec2&gt;</t>
  </si>
  <si>
    <t>Moisturizer &lt;ba7df9aaaabb083120f45ec2&gt;</t>
  </si>
  <si>
    <t>Suncare &lt;bb7df9aaaabb083120f45ec2&gt;</t>
  </si>
  <si>
    <t>Tools &lt;bc7df9aaaabb083120f45ec2&gt;</t>
  </si>
  <si>
    <t>Action Figures &amp; Playsets &lt;bd7df9aaaabb083120f45ec2&gt;</t>
  </si>
  <si>
    <t>Building Sets &amp; Blocks &lt;be7df9aaaabb083120f45ec2&gt;</t>
  </si>
  <si>
    <t>Cars &amp; Vehicles &lt;c37df9aaaabb083120f45ec2&gt;</t>
  </si>
  <si>
    <t>Dolls &amp; Accessories &lt;bf7df9aaaabb083120f45ec2&gt;</t>
  </si>
  <si>
    <t>Learning Toys &lt;c07df9aaaabb083120f45ec2&gt;</t>
  </si>
  <si>
    <t>Puzzles &amp; Games &lt;c47df9aaaabb083120f45ec2&gt;</t>
  </si>
  <si>
    <t>Stuffed Animals &lt;c17df9aaaabb083120f45ec2&gt;</t>
  </si>
  <si>
    <t>Trading Cards &lt;c27df9aaaabb083120f45ec2&gt;</t>
  </si>
  <si>
    <t>Accent Pillows &lt;643b13d30640fd0aeb9c5cb6&gt;</t>
  </si>
  <si>
    <t>Baskets &amp; Bins &lt;653b13d30640fd0aeb9c5cb6&gt;</t>
  </si>
  <si>
    <t>Candles &amp; Holders &lt;663b13d30640fd0aeb9c5cb6&gt;</t>
  </si>
  <si>
    <t>Coffee Table Books &lt;673b13d30640fd0aeb9c5cb6&gt;</t>
  </si>
  <si>
    <t>Curtains &amp; Drapes &lt;683b13d30640fd0aeb9c5cb6&gt;</t>
  </si>
  <si>
    <t>Decor &lt;693b13d30640fd0aeb9c5cb6&gt;</t>
  </si>
  <si>
    <t>Door Mats &lt;6a3b13d30640fd0aeb9c5cb6&gt;</t>
  </si>
  <si>
    <t>Faux Florals &lt;6b3b13d30640fd0aeb9c5cb6&gt;</t>
  </si>
  <si>
    <t>Furniture Covers &lt;6c3b13d30640fd0aeb9c5cb6&gt;</t>
  </si>
  <si>
    <t>Lanterns &lt;b65eb22d0640fd1ab51c5d0b&gt;</t>
  </si>
  <si>
    <t>Picture Frames &lt;6d3b13d30640fd0aeb9c5cb6&gt;</t>
  </si>
  <si>
    <t>Vases &lt;b55eb22d0640fd1ab51c5d0b&gt;</t>
  </si>
  <si>
    <t>Ceramics &lt;c86f798f402403a7f0016033&gt;</t>
  </si>
  <si>
    <t>Drawing &amp; Illustrations &lt;c96f798f402403a7f0016033&gt;</t>
  </si>
  <si>
    <t>Fiber Arts &lt;ca6f798f402403a7f0016033&gt;</t>
  </si>
  <si>
    <t>Glass Art &lt;cb6f7990402403a7f0016033&gt;</t>
  </si>
  <si>
    <t>Mixed Media &lt;cc6f7990402403a7f0016033&gt;</t>
  </si>
  <si>
    <t>Painting &lt;cd6f7990402403a7f0016033&gt;</t>
  </si>
  <si>
    <t>Photography &lt;ce6f7990402403a7f0016033&gt;</t>
  </si>
  <si>
    <t>Posters &lt;cf6f7990402403a7f0016033&gt;</t>
  </si>
  <si>
    <t>Prints &lt;d06f7990402403a7f0016033&gt;</t>
  </si>
  <si>
    <t>Sculpture &lt;d16f7990402403a7f0016033&gt;</t>
  </si>
  <si>
    <t>Bath Accessories &lt;b95eb22d0640fd1ab51c5d0b&gt;</t>
  </si>
  <si>
    <t>Bath Storage &lt;6e3b13d30640fd0aeb9c5cb6&gt;</t>
  </si>
  <si>
    <t>Bath Towels &lt;6f3b13d30640fd0aeb9c5cb6&gt;</t>
  </si>
  <si>
    <t>Beach Towels &lt;703b13d30640fd0aeb9c5cb6&gt;</t>
  </si>
  <si>
    <t>Hand Towels &lt;713b13d30640fd0aeb9c5cb6&gt;</t>
  </si>
  <si>
    <t>Mats &lt;723b13d30640fd0aeb9c5cb6&gt;</t>
  </si>
  <si>
    <t>Shower Curtains &lt;733b13d30640fd0aeb9c5cb6&gt;</t>
  </si>
  <si>
    <t>Vanity Mirrors &lt;ba5eb22d0640fd1ab51c5d0b&gt;</t>
  </si>
  <si>
    <t>Vanity Trays &lt;743b13d30640fd0aeb9c5cb6&gt;</t>
  </si>
  <si>
    <t>Wash Cloths &lt;753b13d30640fd0aeb9c5cb6&gt;</t>
  </si>
  <si>
    <t>Blankets &amp; Throws &lt;763b13d30640fd0aeb9c5cb6&gt;</t>
  </si>
  <si>
    <t>Comforters &lt;773b13d30640fd0aeb9c5cb6&gt;</t>
  </si>
  <si>
    <t>Duvet Covers &lt;783b13d30640fd0aeb9c5cb6&gt;</t>
  </si>
  <si>
    <t>Mattress Covers &lt;793b13d30640fd0aeb9c5cb6&gt;</t>
  </si>
  <si>
    <t>Pillows &lt;7a3b13d30640fd0aeb9c5cb6&gt;</t>
  </si>
  <si>
    <t>Quilts &lt;7b3b13d30640fd0aeb9c5cb6&gt;</t>
  </si>
  <si>
    <t>Sheets &lt;7c3b13d30640fd0aeb9c5cb6&gt;</t>
  </si>
  <si>
    <t>Birthday Cards &lt;d26f7990402403a7f0016033&gt;</t>
  </si>
  <si>
    <t>Business Cards &lt;d36f7990402403a7f0016033&gt;</t>
  </si>
  <si>
    <t>Planners &lt;d46f7990402403a7f0016033&gt;</t>
  </si>
  <si>
    <t>Stamps &lt;d56f7990402403a7f0016033&gt;</t>
  </si>
  <si>
    <t>Stickers &lt;d66f7990402403a7f0016033&gt;</t>
  </si>
  <si>
    <t>Thank You Cards &lt;d76f7990402403a7f0016033&gt;</t>
  </si>
  <si>
    <t>Bar Accessories &lt;bd5eb22d0640fd1ab51c5d0b&gt;</t>
  </si>
  <si>
    <t>Dinnerware &lt;be5eb22d0640fd1ab51c5d0b&gt;</t>
  </si>
  <si>
    <t>Drinkware &lt;bf5eb22d0640fd1ab51c5d0b&gt;</t>
  </si>
  <si>
    <t>Flatware &lt;c05eb22d0640fd1ab51c5d0b&gt;</t>
  </si>
  <si>
    <t>Mugs &lt;c67df9aaaabb083120f45ec2&gt;</t>
  </si>
  <si>
    <t>Serveware &lt;c15eb22d0640fd1ab51c5d0b&gt;</t>
  </si>
  <si>
    <t>Serving Utensils &lt;c25eb22d0640fd1ab51c5d0b&gt;</t>
  </si>
  <si>
    <t>Table Linens &lt;c35eb22d0640fd1ab51c5d0b&gt;</t>
  </si>
  <si>
    <t>Water Bottles &amp; Thermoses &lt;c77df9aaaabb083120f45ec2&gt;</t>
  </si>
  <si>
    <t>Board Games &lt;c87df9aaaabb083120f45ec2&gt;</t>
  </si>
  <si>
    <t>Card Games &lt;c97df9aaaabb083120f45ec2&gt;</t>
  </si>
  <si>
    <t>Outdoor Games &lt;cb7df9aaaabb083120f45ec2&gt;</t>
  </si>
  <si>
    <t>Puzzles &lt;ca7df9aaaabb083120f45ec2&gt;</t>
  </si>
  <si>
    <t>Garland &lt;7d3b13d30640fd0aeb9c5cb6&gt;</t>
  </si>
  <si>
    <t>Holiday Blankets &amp; Throws &lt;7e3b13d30640fd0aeb9c5cb6&gt;</t>
  </si>
  <si>
    <t>Holiday Decor &lt;7f3b13d30640fd0aeb9c5cb6&gt;</t>
  </si>
  <si>
    <t>Holiday Pillows &lt;803b13d30640fd0aeb9c5cb6&gt;</t>
  </si>
  <si>
    <t>Ornaments &lt;813b13d30640fd0aeb9c5cb6&gt;</t>
  </si>
  <si>
    <t>String Lights &lt;823b13d30640fd0aeb9c5cb6&gt;</t>
  </si>
  <si>
    <t>Wreaths &lt;833b13d30640fd0aeb9c5cb6&gt;</t>
  </si>
  <si>
    <t>BBQ &amp; Grilling Tools &lt;cc7df9aaaabb083120f45ec2&gt;</t>
  </si>
  <si>
    <t>Bakeware &lt;c45eb22d0640fd1ab51c5d0b&gt;</t>
  </si>
  <si>
    <t>Coffee &amp; Tea Accessories &lt;c65eb22d0640fd1ab51c5d0b&gt;</t>
  </si>
  <si>
    <t>Cookbooks &lt;c75eb22d0640fd1ab51c5d0b&gt;</t>
  </si>
  <si>
    <t>Cooking Utensils &lt;c85eb22d0640fd1ab51c5d0b&gt;</t>
  </si>
  <si>
    <t>Cookware &lt;c95eb22d0640fd1ab51c5d0b&gt;</t>
  </si>
  <si>
    <t>Food Storage &lt;c55eb22d0640fd1ab51c5d0b&gt;</t>
  </si>
  <si>
    <t>Kitchen Linens &lt;cb5eb22d0640fd1ab51c5d0b&gt;</t>
  </si>
  <si>
    <t>Kitchen Tools &lt;ca5eb22d0640fd1ab51c5d0b&gt;</t>
  </si>
  <si>
    <t>Knives &amp; Cutlery &lt;cc5eb22d0640fd1ab51c5d0b&gt;</t>
  </si>
  <si>
    <t>Arts &amp; Crafts &lt;843b13d30640fd0aeb9c5cb6&gt;</t>
  </si>
  <si>
    <t>Binders &amp; Folders &lt;853b13d30640fd0aeb9c5cb6&gt;</t>
  </si>
  <si>
    <t>Calendars &lt;863b13d30640fd0aeb9c5cb6&gt;</t>
  </si>
  <si>
    <t>Labels &amp; Label Makers &lt;873b13d30640fd0aeb9c5cb6&gt;</t>
  </si>
  <si>
    <t>Notebooks &amp; Journals &lt;883b13d30640fd0aeb9c5cb6&gt;</t>
  </si>
  <si>
    <t>Pencil Cases &lt;893b13d30640fd0aeb9c5cb6&gt;</t>
  </si>
  <si>
    <t>Planners &lt;8a3b13d30640fd0aeb9c5cb6&gt;</t>
  </si>
  <si>
    <t>Shipping Supplies &lt;8b3b13d30640fd0aeb9c5cb6&gt;</t>
  </si>
  <si>
    <t>Stationery &lt;8c3b13d30640fd0aeb9c5cb6&gt;</t>
  </si>
  <si>
    <t>Cake Candles &lt;8d3b13d30640fd0aeb9c5cb6&gt;</t>
  </si>
  <si>
    <t>Cake Toppers &lt;8e3b13d30640fd0aeb9c5cb6&gt;</t>
  </si>
  <si>
    <t>Cards &amp; Invitations &lt;8f3b13d30640fd0aeb9c5cb6&gt;</t>
  </si>
  <si>
    <t>Decorations &lt;903b13d30640fd0aeb9c5cb6&gt;</t>
  </si>
  <si>
    <t>Disposable Tableware &lt;953b13d30640fd0aeb9c5cb6&gt;</t>
  </si>
  <si>
    <t>Favors &lt;913b13d30640fd0aeb9c5cb6&gt;</t>
  </si>
  <si>
    <t>Gift Wrap &lt;923b13d30640fd0aeb9c5cb6&gt;</t>
  </si>
  <si>
    <t>Hats &lt;933b13d30640fd0aeb9c5cb6&gt;</t>
  </si>
  <si>
    <t>Party Lights &lt;943b13d30640fd0aeb9c5cb6&gt;</t>
  </si>
  <si>
    <t>Closet Accessories &lt;963b13d30640fd0aeb9c5cb6&gt;</t>
  </si>
  <si>
    <t>Drawer Liners &lt;973b13d30640fd0aeb9c5cb6&gt;</t>
  </si>
  <si>
    <t>Garment Bags &lt;983b13d30640fd0aeb9c5cb6&gt;</t>
  </si>
  <si>
    <t>Jewelry Organizers &lt;993b13d30640fd0aeb9c5cb6&gt;</t>
  </si>
  <si>
    <t>Makeup Organizers &lt;9a3b13d30640fd0aeb9c5cb6&gt;</t>
  </si>
  <si>
    <t>Storage &lt;9b3b13d30640fd0aeb9c5cb6&gt;</t>
  </si>
  <si>
    <t>Art &amp; Decals &lt;9c3b13d30640fd0aeb9c5cb6&gt;</t>
  </si>
  <si>
    <t>Clocks &lt;b75eb22d0640fd1ab51c5d0b&gt;</t>
  </si>
  <si>
    <t>Display Shelves &lt;9d3b13d30640fd0aeb9c5cb6&gt;</t>
  </si>
  <si>
    <t>Hooks &lt;9e3b13d30640fd0aeb9c5cb6&gt;</t>
  </si>
  <si>
    <t>Mirrors &lt;b85eb22d0640fd1ab51c5d0b&gt;</t>
  </si>
  <si>
    <t>Tapestries &lt;9f3b13d30640fd0aeb9c5cb6&gt;</t>
  </si>
  <si>
    <t>Wallpaper &lt;a03b13d30640fd0aeb9c5cb6&gt;</t>
  </si>
  <si>
    <t>Bedding &amp; Blankets &lt;b708bf914024037d7a7b5fad&gt;</t>
  </si>
  <si>
    <t>Bowls &amp; Feeders &lt;b808bf914024037d7a7b5fad&gt;</t>
  </si>
  <si>
    <t>Carriers &amp; Travel &lt;b908bf914024037d7a7b5fad&gt;</t>
  </si>
  <si>
    <t>Clothing &amp; Accessories &lt;ba08bf914024037d7a7b5fad&gt;</t>
  </si>
  <si>
    <t>Collars, Leashes &amp; Harnesses &lt;bb08bf914024037d7a7b5fad&gt;</t>
  </si>
  <si>
    <t>Grooming &lt;bc08bf914024037d7a7b5fad&gt;</t>
  </si>
  <si>
    <t>Housebreaking &lt;bd08bf914024037d7a7b5fad&gt;</t>
  </si>
  <si>
    <t>Toys &lt;be08bf914024037d7a7b5fad&gt;</t>
  </si>
  <si>
    <t>Beds &lt;bf08bf914024037d7a7b5fad&gt;</t>
  </si>
  <si>
    <t>Bowls &amp; Feeders &lt;c008bf914024037d7a7b5fad&gt;</t>
  </si>
  <si>
    <t>Carriers &amp; Travel &lt;c108bf914024037d7a7b5fad&gt;</t>
  </si>
  <si>
    <t>Clothing &amp; Accessories &lt;c208bf914024037d7a7b5fad&gt;</t>
  </si>
  <si>
    <t>Collars, Leashes &amp; Harnesses &lt;c308bf914024037d7a7b5fad&gt;</t>
  </si>
  <si>
    <t>Grooming &lt;c408bf914024037d7a7b5fad&gt;</t>
  </si>
  <si>
    <t>Scratchers &lt;c508bf914024037d7a7b5fad&gt;</t>
  </si>
  <si>
    <t>Toys &lt;c608bf914024037d7a7b5fad&gt;</t>
  </si>
  <si>
    <t>Cages &amp; Covers &lt;c708bf914024037d7a7b5fad&gt;</t>
  </si>
  <si>
    <t>Feeders &amp; Waterers &lt;c808bf914024037d7a7b5fad&gt;</t>
  </si>
  <si>
    <t>Perches &amp; Swings &lt;c908bf914024037d7a7b5fad&gt;</t>
  </si>
  <si>
    <t>Toys &lt;ca08bf914024037d7a7b5fad&gt;</t>
  </si>
  <si>
    <t>Aquarium Kits &lt;cb08bf914024037d7a7b5fad&gt;</t>
  </si>
  <si>
    <t>Cleaning &amp; Maintenance &lt;cc08bf914024037d7a7b5fad&gt;</t>
  </si>
  <si>
    <t>Decor &amp; Accessories &lt;cd08bf914024037d7a7b5fad&gt;</t>
  </si>
  <si>
    <t>Cleaning &amp; Maintenance &lt;ce08bf914024037d7a7b5fad&gt;</t>
  </si>
  <si>
    <t>Habitats &lt;cf08bf914024037d7a7b5fad&gt;</t>
  </si>
  <si>
    <t>Habitat Accessories &lt;d008bf914024037d7a7b5fad&gt;</t>
  </si>
  <si>
    <t>Heating &amp; Lights &lt;d108bf914024037d7a7b5fad&gt;</t>
  </si>
  <si>
    <t>Bedding &lt;d208bf914024037d7a7b5fad&gt;</t>
  </si>
  <si>
    <t>Bowls &amp; Feeders &lt;d308bf914024037d7a7b5fad&gt;</t>
  </si>
  <si>
    <t>Cages &amp; Habitats &lt;d408bf914024037d7a7b5fad&gt;</t>
  </si>
  <si>
    <t>Carriers &lt;d508bf914024037d7a7b5fad&gt;</t>
  </si>
  <si>
    <t>Grooming &lt;d608bf914024037d7a7b5fad&gt;</t>
  </si>
  <si>
    <t>Habitat Accessories &lt;d708bf914024037d7a7b5fad&gt;</t>
  </si>
  <si>
    <t>Toys &lt;d808bf914024037d7a7b5fad&gt;</t>
  </si>
  <si>
    <t>Digital Cameras &lt;85c8296f402403e02d3d615b&gt;</t>
  </si>
  <si>
    <t>Bags &amp; Cases &lt;86c8296f402403e02d3d615b&gt;</t>
  </si>
  <si>
    <t>Binoculars &amp; Scopes &lt;87c8296f402403e02d3d615b&gt;</t>
  </si>
  <si>
    <t>Film Photography &lt;88c8296f402403e02d3d615b&gt;</t>
  </si>
  <si>
    <t>Flashes &lt;89c8296f402403e02d3d615b&gt;</t>
  </si>
  <si>
    <t>Lenses &lt;8ac8296f402403e02d3d615b&gt;</t>
  </si>
  <si>
    <t>Lighting &amp; Studio &lt;8bc8296f402403e02d3d615b&gt;</t>
  </si>
  <si>
    <t>Memory Cards &lt;8cc8296f402403e02d3d615b&gt;</t>
  </si>
  <si>
    <t>Simulated Cameras &lt;8dc8296f402403e02d3d615b&gt;</t>
  </si>
  <si>
    <t>Tripods &amp; Monopods &lt;8ec8296f402403e02d3d615b&gt;</t>
  </si>
  <si>
    <t>Underwater Photography &lt;8fc8296f402403e02d3d615b&gt;</t>
  </si>
  <si>
    <t>Video &lt;90c8296f402403e02d3d615b&gt;</t>
  </si>
  <si>
    <t>Camera Straps &lt;91c8296f402403e02d3d615b&gt;</t>
  </si>
  <si>
    <t>Laptops &lt;92c8296f402403e02d3d615b&gt;</t>
  </si>
  <si>
    <t>Cables &amp; Interconnects &lt;93c8296f402403e02d3d615b&gt;</t>
  </si>
  <si>
    <t>Camera Privacy Covers &lt;94c8296f402403e02d3d615b&gt;</t>
  </si>
  <si>
    <t>Computer Cable Adapters &lt;95c8296f402403e02d3d615b&gt;</t>
  </si>
  <si>
    <t>Computer Headsets &lt;96c8296f402403e02d3d615b&gt;</t>
  </si>
  <si>
    <t>Computer Microphones &lt;97c8296f402403e02d3d615b&gt;</t>
  </si>
  <si>
    <t>External Components &lt;98c8296f402403e02d3d615b&gt;</t>
  </si>
  <si>
    <t>Graphic Cards &lt;99c8296f402403e02d3d615b&gt;</t>
  </si>
  <si>
    <t>Internal Components &lt;9ac8296f402403e02d3d615b&gt;</t>
  </si>
  <si>
    <t>Keyboards &lt;9bc8296f402403e02d3d615b&gt;</t>
  </si>
  <si>
    <t>Memory Card Readers &lt;9cc8296f402403e02d3d615b&gt;</t>
  </si>
  <si>
    <t>Mice &lt;9dc8296f402403e02d3d615b&gt;</t>
  </si>
  <si>
    <t>Mounts &amp; Stands &lt;9ec8296f402403e02d3d615b&gt;</t>
  </si>
  <si>
    <t>Surge Protectors &lt;9fc8296f402403e02d3d615b&gt;</t>
  </si>
  <si>
    <t>Single Board Computers &lt;a0c8296f402403e02d3d615b&gt;</t>
  </si>
  <si>
    <t>USB Hubs &lt;a1c8296f402403e02d3d615b&gt;</t>
  </si>
  <si>
    <t>Webcams &lt;a2c8296f402403e02d3d615b&gt;</t>
  </si>
  <si>
    <t>Cell Phones &lt;a3c8296f402403e02d3d615b&gt;</t>
  </si>
  <si>
    <t>Holsters &amp; Clips &lt;a4c8296f402403e02d3d615b&gt;</t>
  </si>
  <si>
    <t>Headsets &lt;a5c8296f402403e02d3d615b&gt;</t>
  </si>
  <si>
    <t>Screen Protectors &lt;a6c8296f402403e02d3d615b&gt;</t>
  </si>
  <si>
    <t>Cases &lt;a7c8296f402403e02d3d615b&gt;</t>
  </si>
  <si>
    <t>Covers &lt;a8c8296f402403e02d3d615b&gt;</t>
  </si>
  <si>
    <t>Skins &amp; Bumpers &lt;a9c8296f402403e02d3d615b&gt;</t>
  </si>
  <si>
    <t>Chargers &lt;aac8296f402403e02d3d615b&gt;</t>
  </si>
  <si>
    <t>Adapters &lt;abc8296f402403e02d3d615b&gt;</t>
  </si>
  <si>
    <t>Cables &lt;acc8296f402403e02d3d615b&gt;</t>
  </si>
  <si>
    <t>GPS &amp; Navigation &lt;adc8296f402403e02d3d615b&gt;</t>
  </si>
  <si>
    <t>Amplifiers &lt;aec8296f402403e02d3d615b&gt;</t>
  </si>
  <si>
    <t>Car Stereo Receivers &lt;afc8296f402403e02d3d615b&gt;</t>
  </si>
  <si>
    <t>Changers &lt;b0c8296f402403e02d3d615b&gt;</t>
  </si>
  <si>
    <t>Digital Media Receivers &lt;b1c8296f402403e02d3d615b&gt;</t>
  </si>
  <si>
    <t>Equalizers &lt;b2c8296f402403e02d3d615b&gt;</t>
  </si>
  <si>
    <t>Satellite Radio &lt;b3c8296f402403e02d3d615b&gt;</t>
  </si>
  <si>
    <t>Car Headphones &lt;b4c8296f402403e02d3d615b&gt;</t>
  </si>
  <si>
    <t>In-Mirror Video &lt;b5c8296f402403e02d3d615b&gt;</t>
  </si>
  <si>
    <t>In-Visor Video &lt;b6c8296f402403e02d3d615b&gt;</t>
  </si>
  <si>
    <t>On-Dash Cameras &lt;b7c8296f402403e02d3d615b&gt;</t>
  </si>
  <si>
    <t>Overhead Video &lt;b8c8296f402403e02d3d615b&gt;</t>
  </si>
  <si>
    <t>Surround Processors &lt;b9c8296f402403e02d3d615b&gt;</t>
  </si>
  <si>
    <t>TV Tuners &lt;bac8296f402403e02d3d615b&gt;</t>
  </si>
  <si>
    <t>Vehicle Backup Cameras &lt;bbc8296f402403e02d3d615b&gt;</t>
  </si>
  <si>
    <t>Smartwatches &lt;bcc8296f402403e02d3d615b&gt;</t>
  </si>
  <si>
    <t>Body Mounted Cameras &lt;bcc8296f402403e02d3d615b&gt;</t>
  </si>
  <si>
    <t>Clips, Arm &amp; Wristbands &lt;bdc8296f402403e02d3d615b&gt;</t>
  </si>
  <si>
    <t>Glasses &lt;bec8296f402403e02d3d615b&gt;</t>
  </si>
  <si>
    <t>Rings &lt;bfc8296f402403e02d3d615b&gt;</t>
  </si>
  <si>
    <t>Smartwatch Cases &lt;c0c8296f402403e02d3d615b&gt;</t>
  </si>
  <si>
    <t>Wearables Chargers &lt;c1c8296f402403e02d3d615b&gt;</t>
  </si>
  <si>
    <t>Tablets &lt;c2c8296f402403e02d3d615b&gt;</t>
  </si>
  <si>
    <t>eBook Readers &lt;c3c8296f402403e02d3d615b&gt;</t>
  </si>
  <si>
    <t>Cases &lt;c4c8296f402403e02d3d615b&gt;</t>
  </si>
  <si>
    <t>Chargers &lt;c5c8296f402403e02d3d615b&gt;</t>
  </si>
  <si>
    <t>Covers &lt;c6c8296f402403e02d3d615b&gt;</t>
  </si>
  <si>
    <t>Power Adapters &lt;c7c8296f402403e02d3d615b&gt;</t>
  </si>
  <si>
    <t>Power Cables &lt;c8c8296f402403e02d3d615b&gt;</t>
  </si>
  <si>
    <t>Reading Lights &lt;c9c8296f402403e02d3d615b&gt;</t>
  </si>
  <si>
    <t>Screen Protectors &lt;cac8296f402403e02d3d615b&gt;</t>
  </si>
  <si>
    <t>Skins &lt;cbc8296f402403e02d3d615b&gt;</t>
  </si>
  <si>
    <t>Sleeves &lt;ccc8296f402403e02d3d615b&gt;</t>
  </si>
  <si>
    <t>Stands &lt;cdc8296f402403e02d3d615b&gt;</t>
  </si>
  <si>
    <t>Tablet Keyboards &lt;cec8296f402403e02d3d615b&gt;</t>
  </si>
  <si>
    <t>Consoles &lt;cfc8296f402403e02d3d615b&gt;</t>
  </si>
  <si>
    <t>Handheld Consoles &lt;cfc8296f402403e02d3d615b&gt;</t>
  </si>
  <si>
    <t>Batteries &amp; Chargers &lt;d0c8296f402403e02d3d615b&gt;</t>
  </si>
  <si>
    <t>Cables &lt;d1c8296f402403e02d3d615b&gt;</t>
  </si>
  <si>
    <t>Controllers &lt;d2c8296f402403e02d3d615b&gt;</t>
  </si>
  <si>
    <t>Headsets &lt;d3c8296f402403e02d3d615b&gt;</t>
  </si>
  <si>
    <t>Gaming Guides &lt;d4c8296f402403e02d3d615b&gt;</t>
  </si>
  <si>
    <t>Keyboards &lt;d5c8296f402403e02d3d615b&gt;</t>
  </si>
  <si>
    <t>Digital Games &lt;d6c8296f402403e02d3d615b&gt;</t>
  </si>
  <si>
    <t>PC Games &lt;d7c8296f402403e02d3d615b&gt;</t>
  </si>
  <si>
    <t>Video Games &lt;d8c8296f402403e02d3d615b&gt;</t>
  </si>
  <si>
    <t>PC &amp; Console VR Headsets &lt;d9c8296f402403e02d3d615b&gt;</t>
  </si>
  <si>
    <t>Smartphone VR Headsets &lt;dac8296f402403e02d3d615b&gt;</t>
  </si>
  <si>
    <t>Standalone VR Headsets &lt;dbc8296f402403e02d3d615b&gt;</t>
  </si>
  <si>
    <t>Cases, Covers &amp; Skins &lt;dcc8296f402403e02d3d615b&gt;</t>
  </si>
  <si>
    <t>Controllers &amp; Motion Sensors &lt;ddc8296f402403e02d3d615b&gt;</t>
  </si>
  <si>
    <t>Parts &lt;dec8296f402403e02d3d615b&gt;</t>
  </si>
  <si>
    <t>Blank Media &lt;dfc8296f402403e02d3d615b&gt;</t>
  </si>
  <si>
    <t>CDs &lt;e0c8296f402403e02d3d615b&gt;</t>
  </si>
  <si>
    <t>DVDs &amp; Blu-ray Discs &lt;e1c8296f402403e02d3d615b&gt;</t>
  </si>
  <si>
    <t>Media Streamers &lt;e2c8296f402403e02d3d615b&gt;</t>
  </si>
  <si>
    <t>Media Cases &amp; Storage Solutions &lt;e3c8296f402403e02d3d615b&gt;</t>
  </si>
  <si>
    <t>Vinyl Records &lt;e4c8296f402403e02d3d615b&gt;</t>
  </si>
  <si>
    <t>Boosters, Extenders &amp; Antennas &lt;e5c8296f402403e02d3d615b&gt;</t>
  </si>
  <si>
    <t>Mobile Broadband Devices &lt;e6c8296f402403e02d3d615b&gt;</t>
  </si>
  <si>
    <t>Modems &lt;e7c8296f402403e02d3d615b&gt;</t>
  </si>
  <si>
    <t>Modem-Router Combos &lt;e8c8296f402403e02d3d615b&gt;</t>
  </si>
  <si>
    <t>Powerline Networking &lt;1ac83694402403da5111615b&gt;</t>
  </si>
  <si>
    <t>USB Bluetooth Adapters/Dongles &lt;1bc83694402403da5111615b&gt;</t>
  </si>
  <si>
    <t>USB Wi-Fi Adapters/Dongles &lt;1cc83694402403da5111615b&gt;</t>
  </si>
  <si>
    <t>VoIP Home Phones &lt;1dc83694402403da5111615b&gt;</t>
  </si>
  <si>
    <t>VoIP Phone Adapters &lt;1ec83694402403da5111615b&gt;</t>
  </si>
  <si>
    <t>Wired Routers &lt;1fc83694402403da5111615b&gt;</t>
  </si>
  <si>
    <t>Wireless Access Points &lt;20c83694402403da5111615b&gt;</t>
  </si>
  <si>
    <t>Wireless Routers &lt;21c83694402403da5111615b&gt;</t>
  </si>
  <si>
    <t>Earbud Headphones &lt;22c83694402403da5111615b&gt;</t>
  </si>
  <si>
    <t>On-Ear Headphones &lt;23c83694402403da5111615b&gt;</t>
  </si>
  <si>
    <t>Over-Ear Headphones &lt;24c83694402403da5111615b&gt;</t>
  </si>
  <si>
    <t>Boomboxes &lt;30c83694402403da5111615b&gt;</t>
  </si>
  <si>
    <t>CB &amp; Two-Way Radios &lt;25c83694402403da5111615b&gt;</t>
  </si>
  <si>
    <t>Cassette Players &amp; Recorders &lt;26c83694402403da5111615b&gt;</t>
  </si>
  <si>
    <t>Digital Voice Recorders &lt;27c83694402403da5111615b&gt;</t>
  </si>
  <si>
    <t>MP3 &amp; MP4 Players &lt;28c83694402403da5111615b&gt;</t>
  </si>
  <si>
    <t>Microcassette Recorders &lt;29c83694402403da5111615b&gt;</t>
  </si>
  <si>
    <t>Minidisc Players &lt;2ac83694402403da5111615b&gt;</t>
  </si>
  <si>
    <t>Portable &amp; Handheld TVs &lt;2bc83694402403da5111615b&gt;</t>
  </si>
  <si>
    <t>Portable CD Players &lt;2cc83694402403da5111615b&gt;</t>
  </si>
  <si>
    <t>Portable DVD Players &lt;2dc83694402403da5111615b&gt;</t>
  </si>
  <si>
    <t>Portable Speakers &amp; Docks &lt;2ec83694402403da5111615b&gt;</t>
  </si>
  <si>
    <t>Radios &lt;2fc83694402403da5111615b&gt;</t>
  </si>
  <si>
    <t>Drones &lt;31c83694402403da5111615b&gt;</t>
  </si>
  <si>
    <t>Cable Organizer Bags &amp; Cases &lt;32c83694402403da5111615b&gt;</t>
  </si>
  <si>
    <t>Calculators &lt;33c83694402403da5111615b&gt;</t>
  </si>
  <si>
    <t>Copiers &lt;34c83694402403da5111615b&gt;</t>
  </si>
  <si>
    <t>Document Cameras &lt;35c83694402403da5111615b&gt;</t>
  </si>
  <si>
    <t>Electronic Dictionaries, Thesauri &amp; Translators &lt;36c83694402403da5111615b&gt;</t>
  </si>
  <si>
    <t>Fax Machines &lt;37c83694402403da5111615b&gt;</t>
  </si>
  <si>
    <t>Other Office Equipment &lt;38c83694402403da5111615b&gt;</t>
  </si>
  <si>
    <t>PDAs &amp; Handhelds &lt;39c83694402403da5111615b&gt;</t>
  </si>
  <si>
    <t>Point-of-Sale (POS) Equipment &lt;3ac83694402403da5111615b&gt;</t>
  </si>
  <si>
    <t>Presentation Products &lt;3bc83694402403da5111615b&gt;</t>
  </si>
  <si>
    <t>Printers &amp; Accessories &lt;3cc83694402403da5111615b&gt;</t>
  </si>
  <si>
    <t>Scanners &amp; Accessories &lt;3dc83694402403da5111615b&gt;</t>
  </si>
  <si>
    <t>Telephones &amp; Accessories &lt;3ec83694402403da5111615b&gt;</t>
  </si>
  <si>
    <t>Video Projectors &amp; Accessories &lt;3fc83694402403da5111615b&gt;</t>
  </si>
  <si>
    <t>Electronic Keyboards &lt;40c83694402403da5111615b&gt;</t>
  </si>
  <si>
    <t>Musical Instruments Wholesale Lots &lt;41c83694402403da5111615b&gt;</t>
  </si>
  <si>
    <t>Electronic Drums &lt;42c83694402403da5111615b&gt;</t>
  </si>
  <si>
    <t>Pro Audio Microphones &amp; Wireless Systems &lt;43c83694402403da5111615b&gt;</t>
  </si>
  <si>
    <t>Other Guitar Effects Pedals &lt;44c83694402403da5111615b&gt;</t>
  </si>
  <si>
    <t>Other Musical Instruments &lt;45c83694402403da5111615b&gt;</t>
  </si>
  <si>
    <t>Other Pro Audio Equipment &lt;46c83694402403da5111615b&gt;</t>
  </si>
  <si>
    <t>a</t>
  </si>
  <si>
    <t>b</t>
  </si>
  <si>
    <t>c</t>
  </si>
  <si>
    <t/>
  </si>
  <si>
    <t>1/3/s00  12:070sd:00 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</si>
</sst>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h:mm\ AM/PM"/>
  </numFmts>
  <fonts count="34">
    <font>
      <sz val="10.0"/>
      <color rgb="FF000000"/>
      <name val="Arial"/>
      <scheme val="minor"/>
    </font>
    <font>
      <b/>
      <u/>
      <sz val="11.0"/>
      <color rgb="FF000000"/>
      <name val="Arial"/>
    </font>
    <font>
      <sz val="11.0"/>
      <color theme="1"/>
      <name val="Arial"/>
    </font>
    <font>
      <sz val="11.0"/>
      <color rgb="FFFFFFFF"/>
      <name val="Calibri"/>
    </font>
    <font>
      <b/>
      <sz val="11.0"/>
      <color rgb="FFFFFFFF"/>
      <name val="Arial"/>
    </font>
    <font>
      <sz val="11.0"/>
      <color rgb="FF000000"/>
      <name val="Arial"/>
    </font>
    <font>
      <b/>
      <sz val="11.0"/>
      <color rgb="FF000000"/>
      <name val="Arial"/>
    </font>
    <font>
      <sz val="10.0"/>
      <color rgb="FF000000"/>
      <name val="Arial"/>
    </font>
    <font>
      <sz val="12.0"/>
      <color rgb="FFFFFFFF"/>
      <name val="Calibri"/>
    </font>
    <font>
      <sz val="12.0"/>
      <color rgb="FF000000"/>
      <name val="Calibri"/>
    </font>
    <font>
      <u/>
      <sz val="10.0"/>
      <color theme="10"/>
      <name val="Arial"/>
    </font>
    <font>
      <sz val="10.0"/>
      <color theme="1"/>
      <name val="Arial"/>
    </font>
    <font>
      <b/>
      <sz val="12.0"/>
      <color theme="1"/>
      <name val="Arial"/>
    </font>
    <font>
      <b/>
      <sz val="10.0"/>
      <color rgb="FF000000"/>
      <name val="Arial"/>
    </font>
    <font/>
    <font>
      <b/>
      <sz val="10.0"/>
      <color theme="1"/>
      <name val="Arial"/>
    </font>
    <font>
      <i/>
      <sz val="10.0"/>
      <color rgb="FF000000"/>
      <name val="Arial"/>
    </font>
    <font>
      <sz val="12.0"/>
      <color theme="1"/>
      <name val="Arial"/>
    </font>
    <font>
      <b/>
      <sz val="16.0"/>
      <color rgb="FF000000"/>
      <name val="Arial"/>
    </font>
    <font>
      <b/>
      <sz val="14.0"/>
      <color rgb="FF000000"/>
      <name val="Arial"/>
    </font>
    <font>
      <u/>
      <sz val="12.0"/>
      <color theme="1"/>
      <name val="Arial"/>
    </font>
    <font>
      <sz val="12.0"/>
      <color rgb="FF000000"/>
      <name val="Arial"/>
    </font>
    <font>
      <u/>
      <sz val="10.0"/>
      <color theme="10"/>
      <name val="Arial"/>
    </font>
    <font>
      <b/>
      <sz val="10.0"/>
      <color rgb="FF000000"/>
      <name val="Helvetica Neue"/>
    </font>
    <font>
      <sz val="10.0"/>
      <color rgb="FF000000"/>
      <name val="Helvetica Neue"/>
    </font>
    <font>
      <sz val="10.0"/>
      <color rgb="FFDD7E6B"/>
      <name val="Arial"/>
    </font>
    <font>
      <color theme="1"/>
      <name val="Arial"/>
    </font>
    <font>
      <u/>
      <color rgb="FF1155CC"/>
      <name val="Arial"/>
    </font>
    <font>
      <u/>
      <color rgb="FF1155CC"/>
      <name val="Arial"/>
    </font>
    <font>
      <u/>
      <sz val="10.0"/>
      <color theme="1"/>
      <name val="Arial"/>
    </font>
    <font>
      <b/>
      <sz val="12.0"/>
      <color theme="1"/>
      <name val="Calibri"/>
    </font>
    <font>
      <sz val="12.0"/>
      <color theme="1"/>
      <name val="Calibri"/>
    </font>
    <font>
      <color theme="1"/>
      <name val="Arial"/>
      <scheme val="minor"/>
    </font>
    <font>
      <sz val="11.0"/>
      <color rgb="FF000000"/>
      <name val="Calibri"/>
    </font>
  </fonts>
  <fills count="12">
    <fill>
      <patternFill patternType="none"/>
    </fill>
    <fill>
      <patternFill patternType="lightGray"/>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rgb="FFEA9999"/>
        <bgColor rgb="FFEA9999"/>
      </patternFill>
    </fill>
    <fill>
      <patternFill patternType="solid">
        <fgColor rgb="FFF2F2F2"/>
        <bgColor rgb="FFF2F2F2"/>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B7B7B7"/>
        <bgColor rgb="FFB7B7B7"/>
      </patternFill>
    </fill>
    <fill>
      <patternFill patternType="solid">
        <fgColor rgb="FFD9E6FC"/>
        <bgColor rgb="FFD9E6FC"/>
      </patternFill>
    </fill>
  </fills>
  <borders count="12">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1" xfId="0" applyAlignment="1" applyBorder="1" applyFont="1" applyNumberFormat="1">
      <alignment horizontal="left" shrinkToFit="0" vertical="top" wrapText="1"/>
    </xf>
    <xf borderId="1" fillId="3" fontId="4" numFmtId="1" xfId="0" applyAlignment="1" applyBorder="1" applyFill="1" applyFont="1" applyNumberFormat="1">
      <alignment horizontal="left" shrinkToFit="0" vertical="top" wrapText="1"/>
    </xf>
    <xf borderId="1" fillId="2" fontId="5" numFmtId="0" xfId="0" applyAlignment="1" applyBorder="1" applyFont="1">
      <alignment horizontal="left"/>
    </xf>
    <xf borderId="1" fillId="2" fontId="5" numFmtId="0" xfId="0" applyBorder="1" applyFont="1"/>
    <xf borderId="1" fillId="4" fontId="5" numFmtId="0" xfId="0" applyBorder="1" applyFill="1" applyFont="1"/>
    <xf borderId="1" fillId="4" fontId="3" numFmtId="0" xfId="0" applyBorder="1" applyFont="1"/>
    <xf borderId="1" fillId="4" fontId="4" numFmtId="1" xfId="0" applyAlignment="1" applyBorder="1" applyFont="1" applyNumberFormat="1">
      <alignment horizontal="left" shrinkToFit="0" vertical="top" wrapText="1"/>
    </xf>
    <xf borderId="1" fillId="2" fontId="6" numFmtId="0" xfId="0" applyBorder="1" applyFont="1"/>
    <xf borderId="1" fillId="2" fontId="7" numFmtId="0" xfId="0" applyBorder="1" applyFont="1"/>
    <xf borderId="1" fillId="2" fontId="8" numFmtId="0" xfId="0" applyBorder="1" applyFont="1"/>
    <xf borderId="1" fillId="2" fontId="9" numFmtId="0" xfId="0" applyBorder="1" applyFont="1"/>
    <xf borderId="1" fillId="2" fontId="6" numFmtId="1" xfId="0" applyAlignment="1" applyBorder="1" applyFont="1" applyNumberFormat="1">
      <alignment horizontal="left" shrinkToFit="0" vertical="top" wrapText="1"/>
    </xf>
    <xf borderId="1" fillId="3" fontId="6" numFmtId="1" xfId="0" applyAlignment="1" applyBorder="1" applyFont="1" applyNumberFormat="1">
      <alignment horizontal="left" shrinkToFit="0" vertical="top" wrapText="1"/>
    </xf>
    <xf borderId="1" fillId="2" fontId="10" numFmtId="0" xfId="0" applyBorder="1" applyFont="1"/>
    <xf borderId="1" fillId="4" fontId="11" numFmtId="0" xfId="0" applyBorder="1" applyFont="1"/>
    <xf borderId="1" fillId="4" fontId="7" numFmtId="0" xfId="0" applyBorder="1" applyFont="1"/>
    <xf borderId="1" fillId="4" fontId="8" numFmtId="0" xfId="0" applyBorder="1" applyFont="1"/>
    <xf borderId="1" fillId="2" fontId="11" numFmtId="0" xfId="0" applyBorder="1" applyFont="1"/>
    <xf borderId="1" fillId="4" fontId="9" numFmtId="0" xfId="0" applyBorder="1" applyFont="1"/>
    <xf borderId="1" fillId="2" fontId="12" numFmtId="0" xfId="0" applyAlignment="1" applyBorder="1" applyFont="1">
      <alignment horizontal="left" shrinkToFit="0" vertical="top" wrapText="1"/>
    </xf>
    <xf borderId="1" fillId="4" fontId="12" numFmtId="0" xfId="0" applyAlignment="1" applyBorder="1" applyFont="1">
      <alignment horizontal="left" vertical="top"/>
    </xf>
    <xf borderId="1" fillId="4" fontId="12" numFmtId="0" xfId="0" applyAlignment="1" applyBorder="1" applyFont="1">
      <alignment horizontal="left" shrinkToFit="0" vertical="top" wrapText="1"/>
    </xf>
    <xf borderId="2" fillId="4" fontId="13" numFmtId="0" xfId="0" applyAlignment="1" applyBorder="1" applyFont="1">
      <alignment horizontal="center"/>
    </xf>
    <xf borderId="3" fillId="0" fontId="14" numFmtId="0" xfId="0" applyBorder="1" applyFont="1"/>
    <xf borderId="4" fillId="0" fontId="14" numFmtId="0" xfId="0" applyBorder="1" applyFont="1"/>
    <xf borderId="5" fillId="5" fontId="13" numFmtId="1" xfId="0" applyAlignment="1" applyBorder="1" applyFill="1" applyFont="1" applyNumberFormat="1">
      <alignment vertical="top"/>
    </xf>
    <xf borderId="6" fillId="6" fontId="15" numFmtId="0" xfId="0" applyAlignment="1" applyBorder="1" applyFill="1" applyFont="1">
      <alignment shrinkToFit="0" vertical="top" wrapText="1"/>
    </xf>
    <xf borderId="6" fillId="5" fontId="11" numFmtId="1" xfId="0" applyAlignment="1" applyBorder="1" applyFont="1" applyNumberFormat="1">
      <alignment shrinkToFit="0" vertical="top" wrapText="1"/>
    </xf>
    <xf borderId="6" fillId="5" fontId="11" numFmtId="0" xfId="0" applyAlignment="1" applyBorder="1" applyFont="1">
      <alignment shrinkToFit="0" vertical="top" wrapText="1"/>
    </xf>
    <xf borderId="6" fillId="6" fontId="11" numFmtId="0" xfId="0" applyAlignment="1" applyBorder="1" applyFont="1">
      <alignment shrinkToFit="0" vertical="top" wrapText="1"/>
    </xf>
    <xf borderId="6" fillId="4" fontId="7" numFmtId="0" xfId="0" applyBorder="1" applyFont="1"/>
    <xf borderId="6" fillId="4" fontId="16" numFmtId="0" xfId="0" applyBorder="1" applyFont="1"/>
    <xf borderId="1" fillId="7" fontId="17" numFmtId="0" xfId="0" applyAlignment="1" applyBorder="1" applyFill="1" applyFont="1">
      <alignment vertical="top"/>
    </xf>
    <xf borderId="0" fillId="0" fontId="17" numFmtId="0" xfId="0" applyAlignment="1" applyFont="1">
      <alignment horizontal="left" vertical="top"/>
    </xf>
    <xf borderId="0" fillId="0" fontId="17" numFmtId="0" xfId="0" applyAlignment="1" applyFont="1">
      <alignment horizontal="left" shrinkToFit="0" vertical="top" wrapText="1"/>
    </xf>
    <xf borderId="0" fillId="0" fontId="9" numFmtId="0" xfId="0" applyFont="1"/>
    <xf borderId="0" fillId="0" fontId="11" numFmtId="0" xfId="0" applyAlignment="1" applyFont="1">
      <alignment horizontal="left"/>
    </xf>
    <xf borderId="2" fillId="5" fontId="18" numFmtId="1" xfId="0" applyAlignment="1" applyBorder="1" applyFont="1" applyNumberFormat="1">
      <alignment horizontal="center" vertical="top"/>
    </xf>
    <xf borderId="7" fillId="5" fontId="19" numFmtId="1" xfId="0" applyAlignment="1" applyBorder="1" applyFont="1" applyNumberFormat="1">
      <alignment vertical="top"/>
    </xf>
    <xf borderId="6" fillId="0" fontId="12" numFmtId="0" xfId="0" applyAlignment="1" applyBorder="1" applyFont="1">
      <alignment horizontal="left" shrinkToFit="0" vertical="top" wrapText="1"/>
    </xf>
    <xf borderId="6" fillId="0" fontId="17" numFmtId="0" xfId="0" applyAlignment="1" applyBorder="1" applyFont="1">
      <alignment horizontal="left" shrinkToFit="0" vertical="top" wrapText="1"/>
    </xf>
    <xf quotePrefix="1" borderId="6" fillId="0" fontId="17" numFmtId="0" xfId="0" applyAlignment="1" applyBorder="1" applyFont="1">
      <alignment horizontal="left" shrinkToFit="0" vertical="top" wrapText="1"/>
    </xf>
    <xf borderId="6" fillId="3" fontId="17" numFmtId="0" xfId="0" applyAlignment="1" applyBorder="1" applyFont="1">
      <alignment horizontal="left" shrinkToFit="0" vertical="top" wrapText="1"/>
    </xf>
    <xf borderId="6" fillId="0" fontId="12" numFmtId="0" xfId="0" applyAlignment="1" applyBorder="1" applyFont="1">
      <alignment horizontal="left" vertical="top"/>
    </xf>
    <xf borderId="6" fillId="0" fontId="20" numFmtId="0" xfId="0" applyAlignment="1" applyBorder="1" applyFont="1">
      <alignment horizontal="left" shrinkToFit="0" vertical="top" wrapText="1"/>
    </xf>
    <xf borderId="8" fillId="0" fontId="17" numFmtId="0" xfId="0" applyAlignment="1" applyBorder="1" applyFont="1">
      <alignment horizontal="left" shrinkToFit="0" vertical="top" wrapText="1"/>
    </xf>
    <xf borderId="9" fillId="0" fontId="17" numFmtId="0" xfId="0" applyAlignment="1" applyBorder="1" applyFont="1">
      <alignment horizontal="left" shrinkToFit="0" vertical="top" wrapText="1"/>
    </xf>
    <xf borderId="6" fillId="0" fontId="21" numFmtId="0" xfId="0" applyBorder="1" applyFont="1"/>
    <xf borderId="10" fillId="0" fontId="17" numFmtId="0" xfId="0" applyAlignment="1" applyBorder="1" applyFont="1">
      <alignment horizontal="left" shrinkToFit="0" vertical="top" wrapText="1"/>
    </xf>
    <xf borderId="6" fillId="0" fontId="17" numFmtId="1" xfId="0" applyAlignment="1" applyBorder="1" applyFont="1" applyNumberFormat="1">
      <alignment horizontal="left" shrinkToFit="0" vertical="top" wrapText="1"/>
    </xf>
    <xf borderId="6" fillId="3" fontId="21" numFmtId="0" xfId="0" applyAlignment="1" applyBorder="1" applyFont="1">
      <alignment horizontal="left" shrinkToFit="0" wrapText="1"/>
    </xf>
    <xf borderId="6" fillId="3" fontId="21" numFmtId="0" xfId="0" applyAlignment="1" applyBorder="1" applyFont="1">
      <alignment horizontal="left" shrinkToFit="0" vertical="top" wrapText="1"/>
    </xf>
    <xf borderId="6" fillId="0" fontId="22" numFmtId="0" xfId="0" applyAlignment="1" applyBorder="1" applyFont="1">
      <alignment horizontal="left" shrinkToFit="0" vertical="top" wrapText="1"/>
    </xf>
    <xf borderId="0" fillId="0" fontId="13" numFmtId="0" xfId="0" applyFont="1"/>
    <xf borderId="0" fillId="0" fontId="7" numFmtId="0" xfId="0" applyFont="1"/>
    <xf borderId="0" fillId="0" fontId="23" numFmtId="0" xfId="0" applyFont="1"/>
    <xf borderId="0" fillId="0" fontId="24" numFmtId="0" xfId="0" applyAlignment="1" applyFont="1">
      <alignment horizontal="right"/>
    </xf>
    <xf borderId="6" fillId="5" fontId="13" numFmtId="1" xfId="0" applyAlignment="1" applyBorder="1" applyFont="1" applyNumberFormat="1">
      <alignment vertical="top"/>
    </xf>
    <xf borderId="6" fillId="6" fontId="13" numFmtId="1" xfId="0" applyAlignment="1" applyBorder="1" applyFont="1" applyNumberFormat="1">
      <alignment shrinkToFit="0" vertical="top" wrapText="1"/>
    </xf>
    <xf borderId="6" fillId="5" fontId="13" numFmtId="0" xfId="0" applyAlignment="1" applyBorder="1" applyFont="1">
      <alignment vertical="top"/>
    </xf>
    <xf borderId="6" fillId="6" fontId="13" numFmtId="0" xfId="0" applyAlignment="1" applyBorder="1" applyFont="1">
      <alignment vertical="top"/>
    </xf>
    <xf borderId="11" fillId="8" fontId="13" numFmtId="0" xfId="0" applyAlignment="1" applyBorder="1" applyFill="1" applyFont="1">
      <alignment vertical="top"/>
    </xf>
    <xf borderId="6" fillId="8" fontId="13" numFmtId="0" xfId="0" applyAlignment="1" applyBorder="1" applyFont="1">
      <alignment vertical="top"/>
    </xf>
    <xf borderId="6" fillId="5" fontId="13" numFmtId="0" xfId="0" applyAlignment="1" applyBorder="1" applyFont="1">
      <alignment shrinkToFit="0" vertical="top" wrapText="1"/>
    </xf>
    <xf borderId="6" fillId="6" fontId="11" numFmtId="1" xfId="0" applyAlignment="1" applyBorder="1" applyFont="1" applyNumberFormat="1">
      <alignment shrinkToFit="0" vertical="top" wrapText="1"/>
    </xf>
    <xf borderId="11" fillId="8" fontId="7" numFmtId="0" xfId="0" applyAlignment="1" applyBorder="1" applyFont="1">
      <alignment shrinkToFit="0" vertical="top" wrapText="1"/>
    </xf>
    <xf borderId="0" fillId="0" fontId="11" numFmtId="0" xfId="0" applyFont="1"/>
    <xf borderId="0" fillId="0" fontId="11" numFmtId="1" xfId="0" applyFont="1" applyNumberFormat="1"/>
    <xf borderId="0" fillId="0" fontId="11" numFmtId="0" xfId="0" applyAlignment="1" applyFont="1">
      <alignment vertical="top"/>
    </xf>
    <xf borderId="0" fillId="0" fontId="11" numFmtId="2" xfId="0" applyFont="1" applyNumberFormat="1"/>
    <xf borderId="0" fillId="0" fontId="25" numFmtId="0" xfId="0" applyFont="1"/>
    <xf borderId="0" fillId="0" fontId="7" numFmtId="18" xfId="0" applyFont="1" applyNumberFormat="1"/>
    <xf borderId="6" fillId="5" fontId="13" numFmtId="4" xfId="0" applyAlignment="1" applyBorder="1" applyFont="1" applyNumberFormat="1">
      <alignment vertical="top"/>
    </xf>
    <xf borderId="6" fillId="5" fontId="11" numFmtId="4" xfId="0" applyAlignment="1" applyBorder="1" applyFont="1" applyNumberFormat="1">
      <alignment shrinkToFit="0" vertical="top" wrapText="1"/>
    </xf>
    <xf borderId="0" fillId="0" fontId="11" numFmtId="0" xfId="0" applyAlignment="1" applyFont="1">
      <alignment readingOrder="0"/>
    </xf>
    <xf borderId="0" fillId="0" fontId="26" numFmtId="0" xfId="0" applyAlignment="1" applyFont="1">
      <alignment readingOrder="0" vertical="bottom"/>
    </xf>
    <xf borderId="0" fillId="0" fontId="11" numFmtId="0" xfId="0" applyAlignment="1" applyFont="1">
      <alignment shrinkToFit="0" wrapText="1"/>
    </xf>
    <xf borderId="0" fillId="0" fontId="26" numFmtId="0" xfId="0" applyAlignment="1" applyFont="1">
      <alignment horizontal="right" vertical="bottom"/>
    </xf>
    <xf borderId="0" fillId="0" fontId="11" numFmtId="3" xfId="0" applyAlignment="1" applyFont="1" applyNumberFormat="1">
      <alignment readingOrder="0"/>
    </xf>
    <xf borderId="0" fillId="0" fontId="7" numFmtId="164" xfId="0" applyFont="1" applyNumberFormat="1"/>
    <xf borderId="0" fillId="9" fontId="27" numFmtId="0" xfId="0" applyAlignment="1" applyFill="1" applyFont="1">
      <alignment vertical="bottom"/>
    </xf>
    <xf borderId="0" fillId="0" fontId="11" numFmtId="0" xfId="0" applyAlignment="1" applyFont="1">
      <alignment readingOrder="0" shrinkToFit="0" wrapText="1"/>
    </xf>
    <xf borderId="0" fillId="0" fontId="26" numFmtId="0" xfId="0" applyAlignment="1" applyFont="1">
      <alignment horizontal="right" vertical="bottom"/>
    </xf>
    <xf borderId="0" fillId="9" fontId="28" numFmtId="0" xfId="0" applyAlignment="1" applyFont="1">
      <alignment readingOrder="0" vertical="bottom"/>
    </xf>
    <xf borderId="0" fillId="0" fontId="26" numFmtId="0" xfId="0" applyAlignment="1" applyFont="1">
      <alignment horizontal="right" vertical="bottom"/>
    </xf>
    <xf borderId="0" fillId="9" fontId="29" numFmtId="0" xfId="0" applyAlignment="1" applyFont="1">
      <alignment readingOrder="0"/>
    </xf>
    <xf borderId="0" fillId="0" fontId="26" numFmtId="0" xfId="0" applyAlignment="1" applyFont="1">
      <alignment vertical="bottom"/>
    </xf>
    <xf borderId="0" fillId="0" fontId="11" numFmtId="4" xfId="0" applyFont="1" applyNumberFormat="1"/>
    <xf borderId="1" fillId="10" fontId="30" numFmtId="0" xfId="0" applyAlignment="1" applyBorder="1" applyFill="1" applyFont="1">
      <alignment horizontal="left" vertical="center"/>
    </xf>
    <xf borderId="1" fillId="10" fontId="15" numFmtId="0" xfId="0" applyAlignment="1" applyBorder="1" applyFont="1">
      <alignment horizontal="left" vertical="center"/>
    </xf>
    <xf borderId="0" fillId="0" fontId="31" numFmtId="0" xfId="0" applyAlignment="1" applyFont="1">
      <alignment vertical="center"/>
    </xf>
    <xf borderId="0" fillId="0" fontId="11" numFmtId="0" xfId="0" applyAlignment="1" applyFont="1">
      <alignment vertical="center"/>
    </xf>
    <xf borderId="0" fillId="0" fontId="7" numFmtId="0" xfId="0" applyAlignment="1" applyFont="1">
      <alignment vertical="center"/>
    </xf>
    <xf borderId="0" fillId="0" fontId="32" numFmtId="0" xfId="0" applyFont="1"/>
    <xf borderId="0" fillId="0" fontId="13" numFmtId="0" xfId="0" applyAlignment="1" applyFont="1">
      <alignment horizontal="left" vertical="center"/>
    </xf>
    <xf borderId="1" fillId="11" fontId="11" numFmtId="0" xfId="0" applyAlignment="1" applyBorder="1" applyFill="1" applyFont="1">
      <alignment vertical="center"/>
    </xf>
    <xf borderId="1" fillId="11" fontId="7" numFmtId="0" xfId="0" applyAlignment="1" applyBorder="1" applyFont="1">
      <alignment vertical="center"/>
    </xf>
    <xf borderId="0" fillId="0" fontId="33" numFmtId="0" xfId="0" applyFont="1"/>
    <xf borderId="1" fillId="11" fontId="11" numFmtId="0" xfId="0" applyBorder="1" applyFont="1"/>
    <xf borderId="1" fillId="11" fontId="7" numFmtId="0" xfId="0" applyBorder="1" applyFont="1"/>
    <xf borderId="0" fillId="0" fontId="7" numFmtId="22" xfId="0" applyFont="1" applyNumberFormat="1"/>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rgb="FFD9E6FC"/>
          <bgColor rgb="FFD9E6FC"/>
        </patternFill>
      </fill>
      <border/>
    </dxf>
  </dxfs>
  <tableStyles count="2">
    <tableStyle count="3" pivot="0" name="Options-style">
      <tableStyleElement dxfId="1" type="headerRow"/>
      <tableStyleElement dxfId="2" type="firstRowStripe"/>
      <tableStyleElement dxfId="2" type="secondRowStripe"/>
    </tableStyle>
    <tableStyle count="3" pivot="0" name="Size Option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2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701" displayName="Table_1" name="Table_1" id="1">
  <tableColumns count="4">
    <tableColumn name="Department" id="1"/>
    <tableColumn name="Category" id="2"/>
    <tableColumn name="Subcategory " id="3"/>
    <tableColumn name="Color1/Color2" id="4"/>
  </tableColumns>
  <tableStyleInfo name="Options-style" showColumnStripes="0" showFirstColumn="1" showLastColumn="1" showRowStripes="1"/>
</table>
</file>

<file path=xl/tables/table2.xml><?xml version="1.0" encoding="utf-8"?>
<table xmlns="http://schemas.openxmlformats.org/spreadsheetml/2006/main" ref="A1:B4408" displayName="Table_2" name="Table_2" id="2">
  <tableColumns count="2">
    <tableColumn name="Category" id="1"/>
    <tableColumn name="Size" id="2"/>
  </tableColumns>
  <tableStyleInfo name="Size Op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poshmark.com/s/article/Bulk-Upload-Template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oshmark.com/create-listing" TargetMode="External"/><Relationship Id="rId2" Type="http://schemas.openxmlformats.org/officeDocument/2006/relationships/hyperlink" Target="https://poshmark.com/create-list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i2ponv0v5otw.cloudfront.net/posts/2026/02/17/699480fcc4c837638fc16ed5/l_wp_699480fd14937706d8ff80b6.webp" TargetMode="External"/><Relationship Id="rId22" Type="http://schemas.openxmlformats.org/officeDocument/2006/relationships/hyperlink" Target="https://images.urbndata.com/is/image/UrbanOutfitters/99180069_020_b5?$xlarge$&amp;fit=constrain&amp;qlt=80&amp;wid=640" TargetMode="External"/><Relationship Id="rId21" Type="http://schemas.openxmlformats.org/officeDocument/2006/relationships/hyperlink" Target="https://di2ponv0v5otw.cloudfront.net/posts/2026/02/17/699480fcc4c837638fc16ed5/l_wp_699480fd14937706d8ff80b6.webp" TargetMode="External"/><Relationship Id="rId24" Type="http://schemas.openxmlformats.org/officeDocument/2006/relationships/hyperlink" Target="https://media-photos.depop.com/b1/52731319/3653232764_c30f6024e9c6472abd070638bbbeaa0d/P0.jpg" TargetMode="External"/><Relationship Id="rId23" Type="http://schemas.openxmlformats.org/officeDocument/2006/relationships/hyperlink" Target="https://media-photos.depop.com/b1/52731319/3653232764_c30f6024e9c6472abd070638bbbeaa0d/P0.jpg" TargetMode="External"/><Relationship Id="rId1" Type="http://schemas.openxmlformats.org/officeDocument/2006/relationships/hyperlink" Target="https://images.urbndata.com/is/image/FreePeople/88138201_001_g/?$a15-pdp-detail-shot$&amp;fit=constrain&amp;fmt=webp&amp;qlt=80&amp;wid=1314" TargetMode="External"/><Relationship Id="rId2" Type="http://schemas.openxmlformats.org/officeDocument/2006/relationships/hyperlink" Target="https://images.urbndata.com/is/image/FreePeople/88138201_048_b/?$a15-pdp-detail-shot$&amp;fit=constrain&amp;fmt=webp&amp;qlt=80&amp;wid=1314" TargetMode="External"/><Relationship Id="rId3" Type="http://schemas.openxmlformats.org/officeDocument/2006/relationships/hyperlink" Target="https://images.urbndata.com/is/image/FreePeople/88138201_066_e/?$redesign-zoom-5x$" TargetMode="External"/><Relationship Id="rId4" Type="http://schemas.openxmlformats.org/officeDocument/2006/relationships/hyperlink" Target="https://images.urbndata.com/is/image/FreePeople/88138201_001_g/?$a15-pdp-detail-shot$&amp;fit=constrain&amp;fmt=webp&amp;qlt=80&amp;wid=1314" TargetMode="External"/><Relationship Id="rId9" Type="http://schemas.openxmlformats.org/officeDocument/2006/relationships/hyperlink" Target="https://images.urbndata.com/is/image/FreePeople/88138201_072_d/?$a15-pdp-detail-shot$&amp;fit=constrain&amp;fmt=webp&amp;qlt=80&amp;wid=1314" TargetMode="External"/><Relationship Id="rId26" Type="http://schemas.openxmlformats.org/officeDocument/2006/relationships/hyperlink" Target="https://encrypted-tbn0.gstatic.com/shopping?q=tbn:ANd9GcR2VXOLpmbqQv_XhQjofejfy53wOfDRHP39g-MMSM-Khz7e4hRW0wgckog2FhY5Z98yMK0nZ3eyCj0SIA4sA0Z5j3k-lkn5w3wzQjsOfzNg" TargetMode="External"/><Relationship Id="rId25" Type="http://schemas.openxmlformats.org/officeDocument/2006/relationships/hyperlink" Target="https://encrypted-tbn0.gstatic.com/shopping?q=tbn:ANd9GcR2VXOLpmbqQv_XhQjofejfy53wOfDRHP39g-MMSM-Khz7e4hRW0wgckog2FhY5Z98yMK0nZ3eyCj0SIA4sA0Z5j3k-lkn5w3wzQjsOfzNg" TargetMode="External"/><Relationship Id="rId28" Type="http://schemas.openxmlformats.org/officeDocument/2006/relationships/hyperlink" Target="https://s7d2.scene7.com/is/image/nu/98947823_066_b?$pdp-regular$" TargetMode="External"/><Relationship Id="rId27" Type="http://schemas.openxmlformats.org/officeDocument/2006/relationships/hyperlink" Target="https://s7d2.scene7.com/is/image/nu/98947823_066_b?$pdp-regular$" TargetMode="External"/><Relationship Id="rId5" Type="http://schemas.openxmlformats.org/officeDocument/2006/relationships/hyperlink" Target="https://images.urbndata.com/is/image/FreePeople/88138201_001_g/?$a15-pdp-detail-shot$&amp;fit=constrain&amp;fmt=webp&amp;qlt=80&amp;wid=1314" TargetMode="External"/><Relationship Id="rId6" Type="http://schemas.openxmlformats.org/officeDocument/2006/relationships/hyperlink" Target="https://images.urbndata.com/is/image/FreePeople/88138201_060_b/?$a15-pdp-detail-shot$&amp;fit=constrain&amp;fmt=webp&amp;qlt=80&amp;wid=1314" TargetMode="External"/><Relationship Id="rId29" Type="http://schemas.openxmlformats.org/officeDocument/2006/relationships/drawing" Target="../drawings/drawing6.xml"/><Relationship Id="rId7" Type="http://schemas.openxmlformats.org/officeDocument/2006/relationships/hyperlink" Target="https://images.urbndata.com/is/image/FreePeople/88138201_001_g/?$a15-pdp-detail-shot$&amp;fit=constrain&amp;fmt=webp&amp;qlt=80&amp;wid=1314" TargetMode="External"/><Relationship Id="rId8" Type="http://schemas.openxmlformats.org/officeDocument/2006/relationships/hyperlink" Target="https://images.urbndata.com/is/image/FreePeople/88138201_010_d/?$a15-pdp-detail-shot$&amp;fit=constrain&amp;fmt=webp&amp;qlt=80&amp;wid=1314" TargetMode="External"/><Relationship Id="rId11" Type="http://schemas.openxmlformats.org/officeDocument/2006/relationships/hyperlink" Target="https://images.urbndata.com/is/image/FreePeople/66211806_021_c/?$a15-pdp-detail-shot$&amp;fit=constrain&amp;fmt=webp&amp;qlt=80&amp;wid=1314" TargetMode="External"/><Relationship Id="rId10" Type="http://schemas.openxmlformats.org/officeDocument/2006/relationships/hyperlink" Target="https://images.urbndata.com/is/image/FreePeople/88138201_072_f/?$a15-pdp-detail-shot$&amp;fit=constrain&amp;fmt=webp&amp;qlt=80&amp;wid=1314" TargetMode="External"/><Relationship Id="rId13" Type="http://schemas.openxmlformats.org/officeDocument/2006/relationships/hyperlink" Target="https://images.urbndata.com/is/image/FreePeople/96303847_001_oi/?$a15-pdp-detail-shot$&amp;fit=constrain&amp;qlt=80&amp;wid=640" TargetMode="External"/><Relationship Id="rId12" Type="http://schemas.openxmlformats.org/officeDocument/2006/relationships/hyperlink" Target="https://is4.revolveassets.com/images/p4/n/z/FREE-WS5364_V1.jpg" TargetMode="External"/><Relationship Id="rId15" Type="http://schemas.openxmlformats.org/officeDocument/2006/relationships/hyperlink" Target="https://media-photos.depop.com/b1/489150921/3719651887_fa165a7e3ffa420e8b7fc34b3b238e81/P0.jpg" TargetMode="External"/><Relationship Id="rId14" Type="http://schemas.openxmlformats.org/officeDocument/2006/relationships/hyperlink" Target="https://encrypted-tbn1.gstatic.com/shopping?q=tbn:ANd9GcQs1WNwqrvYxZNAmz-lT8aTwA3MRsURkaL7zp2gJETtPxZJMAmI9SuZaP9ZHuQXH3SjBKDTBrQiA_IJUe5tkwWQDajABdQW" TargetMode="External"/><Relationship Id="rId17" Type="http://schemas.openxmlformats.org/officeDocument/2006/relationships/hyperlink" Target="https://images.urbndata.com/is/image/FreePeople/97448310_010_j/?$a15-pdp-detail-shot$&amp;fit=constrain&amp;fmt=webp&amp;qlt=80&amp;wid=1314" TargetMode="External"/><Relationship Id="rId16" Type="http://schemas.openxmlformats.org/officeDocument/2006/relationships/hyperlink" Target="https://editorialist.com/thumbnails/600/2025/3/034/791/995/34791995~ivory_1741336167738_0.webp" TargetMode="External"/><Relationship Id="rId19" Type="http://schemas.openxmlformats.org/officeDocument/2006/relationships/hyperlink" Target="https://sundiego.com/cdn/shop/files/unnamed_24c017c4-2f8d-4e34-beb6-416113a7e4a5.webp?v=1757048035" TargetMode="External"/><Relationship Id="rId18" Type="http://schemas.openxmlformats.org/officeDocument/2006/relationships/hyperlink" Target="https://content.backcountry.com/images/items/1200/FRP/FRPE0ZE/BLA.jp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13"/>
    <col customWidth="1" min="2" max="2" width="25.5"/>
    <col customWidth="1" min="3" max="3" width="30.13"/>
    <col customWidth="1" min="4" max="4" width="11.5"/>
    <col customWidth="1" min="5" max="5" width="22.5"/>
    <col customWidth="1" min="6" max="7" width="20.13"/>
    <col customWidth="1" min="8" max="8" width="70.13"/>
    <col customWidth="1" min="9" max="23" width="10.63"/>
    <col customWidth="1" min="24" max="26" width="14.5"/>
  </cols>
  <sheetData>
    <row r="1" ht="15.75" customHeight="1">
      <c r="A1" s="1" t="s">
        <v>0</v>
      </c>
      <c r="B1" s="2"/>
      <c r="C1" s="2"/>
      <c r="D1" s="3"/>
      <c r="E1" s="4"/>
      <c r="F1" s="4"/>
      <c r="G1" s="4"/>
      <c r="H1" s="4"/>
      <c r="I1" s="5"/>
      <c r="J1" s="5"/>
      <c r="K1" s="5"/>
      <c r="L1" s="5"/>
      <c r="M1" s="5"/>
      <c r="N1" s="5"/>
      <c r="O1" s="5"/>
      <c r="P1" s="5"/>
      <c r="Q1" s="5"/>
      <c r="R1" s="5"/>
      <c r="S1" s="5"/>
      <c r="T1" s="5"/>
      <c r="U1" s="5"/>
      <c r="V1" s="5"/>
      <c r="W1" s="5"/>
      <c r="X1" s="5"/>
      <c r="Y1" s="5"/>
      <c r="Z1" s="5"/>
    </row>
    <row r="2" ht="15.75" customHeight="1">
      <c r="A2" s="6" t="s">
        <v>1</v>
      </c>
      <c r="B2" s="7"/>
      <c r="C2" s="7"/>
      <c r="D2" s="3"/>
      <c r="E2" s="4"/>
      <c r="F2" s="4"/>
      <c r="G2" s="4"/>
      <c r="H2" s="4"/>
      <c r="I2" s="5"/>
      <c r="J2" s="5"/>
      <c r="K2" s="5"/>
      <c r="L2" s="5"/>
      <c r="M2" s="5"/>
      <c r="N2" s="5"/>
      <c r="O2" s="5"/>
      <c r="P2" s="5"/>
      <c r="Q2" s="5"/>
      <c r="R2" s="5"/>
      <c r="S2" s="5"/>
      <c r="T2" s="5"/>
      <c r="U2" s="5"/>
      <c r="V2" s="5"/>
      <c r="W2" s="5"/>
      <c r="X2" s="5"/>
      <c r="Y2" s="5"/>
      <c r="Z2" s="5"/>
    </row>
    <row r="3" ht="15.75" customHeight="1">
      <c r="A3" s="6" t="s">
        <v>2</v>
      </c>
      <c r="B3" s="7"/>
      <c r="C3" s="7"/>
      <c r="D3" s="3"/>
      <c r="E3" s="4"/>
      <c r="F3" s="4"/>
      <c r="G3" s="4"/>
      <c r="H3" s="4"/>
      <c r="I3" s="5"/>
      <c r="J3" s="5"/>
      <c r="K3" s="5"/>
      <c r="L3" s="5"/>
      <c r="M3" s="5"/>
      <c r="N3" s="5"/>
      <c r="O3" s="5"/>
      <c r="P3" s="5"/>
      <c r="Q3" s="5"/>
      <c r="R3" s="5"/>
      <c r="S3" s="5"/>
      <c r="T3" s="5"/>
      <c r="U3" s="5"/>
      <c r="V3" s="5"/>
      <c r="W3" s="5"/>
      <c r="X3" s="5"/>
      <c r="Y3" s="5"/>
      <c r="Z3" s="5"/>
    </row>
    <row r="4" ht="15.75" customHeight="1">
      <c r="A4" s="7"/>
      <c r="B4" s="7"/>
      <c r="C4" s="7"/>
      <c r="D4" s="3"/>
      <c r="E4" s="4"/>
      <c r="F4" s="4"/>
      <c r="G4" s="4"/>
      <c r="H4" s="4"/>
      <c r="I4" s="5"/>
      <c r="J4" s="5"/>
      <c r="K4" s="5"/>
      <c r="L4" s="5"/>
      <c r="M4" s="5"/>
      <c r="N4" s="5"/>
      <c r="O4" s="5"/>
      <c r="P4" s="5"/>
      <c r="Q4" s="5"/>
      <c r="R4" s="5"/>
      <c r="S4" s="5"/>
      <c r="T4" s="5"/>
      <c r="U4" s="5"/>
      <c r="V4" s="5"/>
      <c r="W4" s="5"/>
      <c r="X4" s="5"/>
      <c r="Y4" s="5"/>
      <c r="Z4" s="5"/>
    </row>
    <row r="5" ht="15.75" customHeight="1">
      <c r="A5" s="1" t="s">
        <v>3</v>
      </c>
      <c r="B5" s="7"/>
      <c r="C5" s="7"/>
      <c r="D5" s="3"/>
      <c r="E5" s="4"/>
      <c r="F5" s="4"/>
      <c r="G5" s="4"/>
      <c r="H5" s="4"/>
      <c r="I5" s="5"/>
      <c r="J5" s="5" t="s">
        <v>4</v>
      </c>
      <c r="K5" s="5"/>
      <c r="L5" s="5"/>
      <c r="M5" s="5"/>
      <c r="N5" s="5"/>
      <c r="O5" s="5"/>
      <c r="P5" s="5"/>
      <c r="Q5" s="5"/>
      <c r="R5" s="5"/>
      <c r="S5" s="5"/>
      <c r="T5" s="5"/>
      <c r="U5" s="5"/>
      <c r="V5" s="5"/>
      <c r="W5" s="5"/>
      <c r="X5" s="5"/>
      <c r="Y5" s="5"/>
      <c r="Z5" s="5"/>
    </row>
    <row r="6" ht="15.75" customHeight="1">
      <c r="A6" s="1" t="s">
        <v>5</v>
      </c>
      <c r="B6" s="7"/>
      <c r="C6" s="7"/>
      <c r="D6" s="3"/>
      <c r="E6" s="4"/>
      <c r="F6" s="4"/>
      <c r="G6" s="4"/>
      <c r="H6" s="4"/>
      <c r="I6" s="5"/>
      <c r="J6" s="5"/>
      <c r="K6" s="5"/>
      <c r="L6" s="5"/>
      <c r="M6" s="5"/>
      <c r="N6" s="5"/>
      <c r="O6" s="5"/>
      <c r="P6" s="5"/>
      <c r="Q6" s="5"/>
      <c r="R6" s="5"/>
      <c r="S6" s="5"/>
      <c r="T6" s="5"/>
      <c r="U6" s="5"/>
      <c r="V6" s="5"/>
      <c r="W6" s="5"/>
      <c r="X6" s="5"/>
      <c r="Y6" s="5"/>
      <c r="Z6" s="5"/>
    </row>
    <row r="7" ht="15.75" customHeight="1">
      <c r="A7" s="7" t="s">
        <v>6</v>
      </c>
      <c r="B7" s="7"/>
      <c r="C7" s="7"/>
      <c r="D7" s="3"/>
      <c r="E7" s="4"/>
      <c r="F7" s="4"/>
      <c r="G7" s="4"/>
      <c r="H7" s="4"/>
      <c r="I7" s="5"/>
      <c r="J7" s="5"/>
      <c r="K7" s="5"/>
      <c r="L7" s="5"/>
      <c r="M7" s="5"/>
      <c r="N7" s="5"/>
      <c r="O7" s="5"/>
      <c r="P7" s="5"/>
      <c r="Q7" s="5"/>
      <c r="R7" s="5"/>
      <c r="S7" s="5"/>
      <c r="T7" s="5"/>
      <c r="U7" s="5"/>
      <c r="V7" s="5"/>
      <c r="W7" s="5"/>
      <c r="X7" s="5"/>
      <c r="Y7" s="5"/>
      <c r="Z7" s="5"/>
    </row>
    <row r="8" ht="15.75" customHeight="1">
      <c r="A8" s="1" t="s">
        <v>7</v>
      </c>
      <c r="B8" s="7"/>
      <c r="C8" s="7"/>
      <c r="D8" s="3"/>
      <c r="E8" s="4"/>
      <c r="F8" s="4"/>
      <c r="G8" s="4"/>
      <c r="H8" s="4"/>
      <c r="I8" s="5"/>
      <c r="J8" s="5"/>
      <c r="K8" s="5"/>
      <c r="L8" s="5"/>
      <c r="M8" s="5"/>
      <c r="N8" s="5"/>
      <c r="O8" s="5"/>
      <c r="P8" s="5"/>
      <c r="Q8" s="5"/>
      <c r="R8" s="5"/>
      <c r="S8" s="5"/>
      <c r="T8" s="5"/>
      <c r="U8" s="5"/>
      <c r="V8" s="5"/>
      <c r="W8" s="5"/>
      <c r="X8" s="5"/>
      <c r="Y8" s="5"/>
      <c r="Z8" s="5"/>
    </row>
    <row r="9" ht="15.75" customHeight="1">
      <c r="A9" s="7" t="s">
        <v>8</v>
      </c>
      <c r="B9" s="7"/>
      <c r="C9" s="7"/>
      <c r="D9" s="3"/>
      <c r="E9" s="4"/>
      <c r="F9" s="4"/>
      <c r="G9" s="4"/>
      <c r="H9" s="4"/>
      <c r="I9" s="5"/>
      <c r="J9" s="5"/>
      <c r="K9" s="5"/>
      <c r="L9" s="5"/>
      <c r="M9" s="5"/>
      <c r="N9" s="5"/>
      <c r="O9" s="5"/>
      <c r="P9" s="5"/>
      <c r="Q9" s="5"/>
      <c r="R9" s="5"/>
      <c r="S9" s="5"/>
      <c r="T9" s="5"/>
      <c r="U9" s="5"/>
      <c r="V9" s="5"/>
      <c r="W9" s="5"/>
      <c r="X9" s="5"/>
      <c r="Y9" s="5"/>
      <c r="Z9" s="5"/>
    </row>
    <row r="10" ht="15.75" customHeight="1">
      <c r="A10" s="8"/>
      <c r="B10" s="8"/>
      <c r="C10" s="8"/>
      <c r="D10" s="9"/>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 t="s">
        <v>9</v>
      </c>
      <c r="B11" s="7"/>
      <c r="C11" s="7"/>
      <c r="D11" s="3"/>
      <c r="E11" s="4"/>
      <c r="F11" s="4"/>
      <c r="G11" s="4"/>
      <c r="H11" s="4"/>
      <c r="I11" s="5"/>
      <c r="J11" s="5"/>
      <c r="K11" s="5"/>
      <c r="L11" s="5"/>
      <c r="M11" s="5"/>
      <c r="N11" s="5"/>
      <c r="O11" s="5"/>
      <c r="P11" s="5"/>
      <c r="Q11" s="5"/>
      <c r="R11" s="5"/>
      <c r="S11" s="5"/>
      <c r="T11" s="5"/>
      <c r="U11" s="5"/>
      <c r="V11" s="5"/>
      <c r="W11" s="5"/>
      <c r="X11" s="5"/>
      <c r="Y11" s="5"/>
      <c r="Z11" s="5"/>
    </row>
    <row r="12" ht="15.75" customHeight="1">
      <c r="A12" s="7" t="s">
        <v>10</v>
      </c>
      <c r="B12" s="7"/>
      <c r="C12" s="7"/>
      <c r="D12" s="3"/>
      <c r="E12" s="4"/>
      <c r="F12" s="4"/>
      <c r="G12" s="4"/>
      <c r="H12" s="4"/>
      <c r="I12" s="5"/>
      <c r="J12" s="5"/>
      <c r="K12" s="5"/>
      <c r="L12" s="5"/>
      <c r="M12" s="5"/>
      <c r="N12" s="5"/>
      <c r="O12" s="5"/>
      <c r="P12" s="5"/>
      <c r="Q12" s="5"/>
      <c r="R12" s="5"/>
      <c r="S12" s="5"/>
      <c r="T12" s="5"/>
      <c r="U12" s="5"/>
      <c r="V12" s="5"/>
      <c r="W12" s="5"/>
      <c r="X12" s="5"/>
      <c r="Y12" s="5"/>
      <c r="Z12" s="5"/>
    </row>
    <row r="13" ht="15.75" customHeight="1">
      <c r="A13" s="7" t="s">
        <v>11</v>
      </c>
      <c r="B13" s="7"/>
      <c r="C13" s="7"/>
      <c r="D13" s="3"/>
      <c r="E13" s="4"/>
      <c r="F13" s="4"/>
      <c r="G13" s="4"/>
      <c r="H13" s="4"/>
      <c r="I13" s="5"/>
      <c r="J13" s="5"/>
      <c r="K13" s="5"/>
      <c r="L13" s="5"/>
      <c r="M13" s="5"/>
      <c r="N13" s="5"/>
      <c r="O13" s="5"/>
      <c r="P13" s="5"/>
      <c r="Q13" s="5"/>
      <c r="R13" s="5"/>
      <c r="S13" s="5"/>
      <c r="T13" s="5"/>
      <c r="U13" s="5"/>
      <c r="V13" s="5"/>
      <c r="W13" s="5"/>
      <c r="X13" s="5"/>
      <c r="Y13" s="5"/>
      <c r="Z13" s="5"/>
    </row>
    <row r="14" ht="15.75" customHeight="1">
      <c r="A14" s="7" t="s">
        <v>12</v>
      </c>
      <c r="B14" s="7"/>
      <c r="C14" s="7"/>
      <c r="D14" s="3"/>
      <c r="E14" s="4"/>
      <c r="F14" s="4"/>
      <c r="G14" s="4"/>
      <c r="H14" s="4"/>
      <c r="I14" s="5"/>
      <c r="J14" s="5"/>
      <c r="K14" s="5"/>
      <c r="L14" s="5"/>
      <c r="M14" s="5"/>
      <c r="N14" s="5"/>
      <c r="O14" s="5"/>
      <c r="P14" s="5"/>
      <c r="Q14" s="5"/>
      <c r="R14" s="5"/>
      <c r="S14" s="5"/>
      <c r="T14" s="5"/>
      <c r="U14" s="5"/>
      <c r="V14" s="5"/>
      <c r="W14" s="5"/>
      <c r="X14" s="5"/>
      <c r="Y14" s="5"/>
      <c r="Z14" s="5"/>
    </row>
    <row r="15" ht="15.75" customHeight="1">
      <c r="A15" s="7" t="s">
        <v>13</v>
      </c>
      <c r="B15" s="7"/>
      <c r="C15" s="7"/>
      <c r="D15" s="3"/>
      <c r="E15" s="4"/>
      <c r="F15" s="4"/>
      <c r="G15" s="4"/>
      <c r="H15" s="4"/>
      <c r="I15" s="5"/>
      <c r="J15" s="5"/>
      <c r="K15" s="5"/>
      <c r="L15" s="5"/>
      <c r="M15" s="5"/>
      <c r="N15" s="5"/>
      <c r="O15" s="5"/>
      <c r="P15" s="5"/>
      <c r="Q15" s="5"/>
      <c r="R15" s="5"/>
      <c r="S15" s="5"/>
      <c r="T15" s="5"/>
      <c r="U15" s="5"/>
      <c r="V15" s="5"/>
      <c r="W15" s="5"/>
      <c r="X15" s="5"/>
      <c r="Y15" s="5"/>
      <c r="Z15" s="5"/>
    </row>
    <row r="16" ht="15.75" customHeight="1">
      <c r="A16" s="7" t="s">
        <v>14</v>
      </c>
      <c r="B16" s="7"/>
      <c r="C16" s="7"/>
      <c r="D16" s="3"/>
      <c r="E16" s="4"/>
      <c r="F16" s="4"/>
      <c r="G16" s="4"/>
      <c r="H16" s="4"/>
      <c r="I16" s="5"/>
      <c r="J16" s="5"/>
      <c r="K16" s="5"/>
      <c r="L16" s="5"/>
      <c r="M16" s="5"/>
      <c r="N16" s="5"/>
      <c r="O16" s="5"/>
      <c r="P16" s="5"/>
      <c r="Q16" s="5"/>
      <c r="R16" s="5"/>
      <c r="S16" s="5"/>
      <c r="T16" s="5"/>
      <c r="U16" s="5"/>
      <c r="V16" s="5"/>
      <c r="W16" s="5"/>
      <c r="X16" s="5"/>
      <c r="Y16" s="5"/>
      <c r="Z16" s="5"/>
    </row>
    <row r="17" ht="15.75" customHeight="1">
      <c r="A17" s="7" t="s">
        <v>15</v>
      </c>
      <c r="B17" s="7"/>
      <c r="C17" s="7"/>
      <c r="D17" s="3"/>
      <c r="E17" s="4"/>
      <c r="F17" s="4"/>
      <c r="G17" s="4"/>
      <c r="H17" s="4"/>
      <c r="I17" s="5"/>
      <c r="J17" s="5"/>
      <c r="K17" s="5"/>
      <c r="L17" s="5"/>
      <c r="M17" s="5"/>
      <c r="N17" s="5"/>
      <c r="O17" s="5"/>
      <c r="P17" s="5"/>
      <c r="Q17" s="5"/>
      <c r="R17" s="5"/>
      <c r="S17" s="5"/>
      <c r="T17" s="5"/>
      <c r="U17" s="5"/>
      <c r="V17" s="5"/>
      <c r="W17" s="5"/>
      <c r="X17" s="5"/>
      <c r="Y17" s="5"/>
      <c r="Z17" s="5"/>
    </row>
    <row r="18" ht="15.75" customHeight="1">
      <c r="A18" s="7" t="s">
        <v>16</v>
      </c>
      <c r="B18" s="7"/>
      <c r="C18" s="7"/>
      <c r="D18" s="3"/>
      <c r="E18" s="4"/>
      <c r="F18" s="4"/>
      <c r="G18" s="4"/>
      <c r="H18" s="4"/>
      <c r="I18" s="5"/>
      <c r="J18" s="5"/>
      <c r="K18" s="5"/>
      <c r="L18" s="5"/>
      <c r="M18" s="5"/>
      <c r="N18" s="5"/>
      <c r="O18" s="5"/>
      <c r="P18" s="5"/>
      <c r="Q18" s="5"/>
      <c r="R18" s="5"/>
      <c r="S18" s="5"/>
      <c r="T18" s="5"/>
      <c r="U18" s="5"/>
      <c r="V18" s="5"/>
      <c r="W18" s="5"/>
      <c r="X18" s="5"/>
      <c r="Y18" s="5"/>
      <c r="Z18" s="5"/>
    </row>
    <row r="19" ht="15.75" customHeight="1">
      <c r="A19" s="7" t="s">
        <v>17</v>
      </c>
      <c r="B19" s="7"/>
      <c r="C19" s="7"/>
      <c r="D19" s="3"/>
      <c r="E19" s="4"/>
      <c r="F19" s="4"/>
      <c r="G19" s="4"/>
      <c r="H19" s="4"/>
      <c r="I19" s="5"/>
      <c r="J19" s="5"/>
      <c r="K19" s="5"/>
      <c r="L19" s="5"/>
      <c r="M19" s="5"/>
      <c r="N19" s="5"/>
      <c r="O19" s="5"/>
      <c r="P19" s="5"/>
      <c r="Q19" s="5"/>
      <c r="R19" s="5"/>
      <c r="S19" s="5"/>
      <c r="T19" s="5"/>
      <c r="U19" s="5"/>
      <c r="V19" s="5"/>
      <c r="W19" s="5"/>
      <c r="X19" s="5"/>
      <c r="Y19" s="5"/>
      <c r="Z19" s="5"/>
    </row>
    <row r="20" ht="15.75" customHeight="1">
      <c r="A20" s="11" t="s">
        <v>18</v>
      </c>
      <c r="B20" s="7"/>
      <c r="C20" s="7"/>
      <c r="D20" s="3"/>
      <c r="E20" s="4"/>
      <c r="F20" s="4"/>
      <c r="G20" s="4"/>
      <c r="H20" s="4"/>
      <c r="I20" s="5"/>
      <c r="J20" s="5"/>
      <c r="K20" s="5"/>
      <c r="L20" s="5"/>
      <c r="M20" s="5"/>
      <c r="N20" s="5"/>
      <c r="O20" s="5"/>
      <c r="P20" s="5"/>
      <c r="Q20" s="5"/>
      <c r="R20" s="5"/>
      <c r="S20" s="5"/>
      <c r="T20" s="5"/>
      <c r="U20" s="5"/>
      <c r="V20" s="5"/>
      <c r="W20" s="5"/>
      <c r="X20" s="5"/>
      <c r="Y20" s="5"/>
      <c r="Z20" s="5"/>
    </row>
    <row r="21" ht="15.75" customHeight="1">
      <c r="A21" s="7" t="s">
        <v>19</v>
      </c>
      <c r="B21" s="7"/>
      <c r="C21" s="7"/>
      <c r="D21" s="3"/>
      <c r="E21" s="4"/>
      <c r="F21" s="4"/>
      <c r="G21" s="4"/>
      <c r="H21" s="4"/>
      <c r="I21" s="5"/>
      <c r="J21" s="5"/>
      <c r="K21" s="5"/>
      <c r="L21" s="5"/>
      <c r="M21" s="5"/>
      <c r="N21" s="5"/>
      <c r="O21" s="5"/>
      <c r="P21" s="5"/>
      <c r="Q21" s="5"/>
      <c r="R21" s="5"/>
      <c r="S21" s="5"/>
      <c r="T21" s="5"/>
      <c r="U21" s="5"/>
      <c r="V21" s="5"/>
      <c r="W21" s="5"/>
      <c r="X21" s="5"/>
      <c r="Y21" s="5"/>
      <c r="Z21" s="5"/>
    </row>
    <row r="22" ht="15.75" customHeight="1">
      <c r="A22" s="11" t="s">
        <v>20</v>
      </c>
      <c r="B22" s="7"/>
      <c r="C22" s="7"/>
      <c r="D22" s="3"/>
      <c r="E22" s="4"/>
      <c r="F22" s="4"/>
      <c r="G22" s="4"/>
      <c r="H22" s="4"/>
      <c r="I22" s="5"/>
      <c r="J22" s="5"/>
      <c r="K22" s="5"/>
      <c r="L22" s="5"/>
      <c r="M22" s="5"/>
      <c r="N22" s="5"/>
      <c r="O22" s="5"/>
      <c r="P22" s="5"/>
      <c r="Q22" s="5"/>
      <c r="R22" s="5"/>
      <c r="S22" s="5"/>
      <c r="T22" s="5"/>
      <c r="U22" s="5"/>
      <c r="V22" s="5"/>
      <c r="W22" s="5"/>
      <c r="X22" s="5"/>
      <c r="Y22" s="5"/>
      <c r="Z22" s="5"/>
    </row>
    <row r="23" ht="15.75" customHeight="1">
      <c r="A23" s="7" t="s">
        <v>21</v>
      </c>
      <c r="B23" s="7"/>
      <c r="C23" s="7"/>
      <c r="D23" s="3"/>
      <c r="E23" s="4"/>
      <c r="F23" s="4"/>
      <c r="G23" s="4"/>
      <c r="H23" s="4"/>
      <c r="I23" s="5"/>
      <c r="J23" s="5"/>
      <c r="K23" s="5"/>
      <c r="L23" s="5"/>
      <c r="M23" s="5"/>
      <c r="N23" s="5"/>
      <c r="O23" s="5"/>
      <c r="P23" s="5"/>
      <c r="Q23" s="5"/>
      <c r="R23" s="5"/>
      <c r="S23" s="5"/>
      <c r="T23" s="5"/>
      <c r="U23" s="5"/>
      <c r="V23" s="5"/>
      <c r="W23" s="5"/>
      <c r="X23" s="5"/>
      <c r="Y23" s="5"/>
      <c r="Z23" s="5"/>
    </row>
    <row r="24" ht="15.75" customHeight="1">
      <c r="A24" s="7" t="s">
        <v>22</v>
      </c>
      <c r="B24" s="7"/>
      <c r="C24" s="7"/>
      <c r="D24" s="3"/>
      <c r="E24" s="4"/>
      <c r="F24" s="4"/>
      <c r="G24" s="4"/>
      <c r="H24" s="4"/>
      <c r="I24" s="5"/>
      <c r="J24" s="5"/>
      <c r="K24" s="5"/>
      <c r="L24" s="5"/>
      <c r="M24" s="5"/>
      <c r="N24" s="5"/>
      <c r="O24" s="5"/>
      <c r="P24" s="5"/>
      <c r="Q24" s="5"/>
      <c r="R24" s="5"/>
      <c r="S24" s="5"/>
      <c r="T24" s="5"/>
      <c r="U24" s="5"/>
      <c r="V24" s="5"/>
      <c r="W24" s="5"/>
      <c r="X24" s="5"/>
      <c r="Y24" s="5"/>
      <c r="Z24" s="5"/>
    </row>
    <row r="25" ht="15.75" customHeight="1">
      <c r="A25" s="7" t="s">
        <v>23</v>
      </c>
      <c r="B25" s="7"/>
      <c r="C25" s="7"/>
      <c r="D25" s="3"/>
      <c r="E25" s="4"/>
      <c r="F25" s="4"/>
      <c r="G25" s="4"/>
      <c r="H25" s="4"/>
      <c r="I25" s="5"/>
      <c r="J25" s="5"/>
      <c r="K25" s="5"/>
      <c r="L25" s="5"/>
      <c r="M25" s="5"/>
      <c r="N25" s="5"/>
      <c r="O25" s="5"/>
      <c r="P25" s="5"/>
      <c r="Q25" s="5"/>
      <c r="R25" s="5"/>
      <c r="S25" s="5"/>
      <c r="T25" s="5"/>
      <c r="U25" s="5"/>
      <c r="V25" s="5"/>
      <c r="W25" s="5"/>
      <c r="X25" s="5"/>
      <c r="Y25" s="5"/>
      <c r="Z25" s="5"/>
    </row>
    <row r="26" ht="15.75" customHeight="1">
      <c r="A26" s="7" t="s">
        <v>24</v>
      </c>
      <c r="B26" s="7"/>
      <c r="C26" s="7"/>
      <c r="D26" s="3"/>
      <c r="E26" s="4"/>
      <c r="F26" s="4"/>
      <c r="G26" s="4"/>
      <c r="H26" s="4"/>
      <c r="I26" s="5"/>
      <c r="J26" s="5"/>
      <c r="K26" s="5"/>
      <c r="L26" s="5"/>
      <c r="M26" s="5"/>
      <c r="N26" s="5"/>
      <c r="O26" s="5"/>
      <c r="P26" s="5"/>
      <c r="Q26" s="5"/>
      <c r="R26" s="5"/>
      <c r="S26" s="5"/>
      <c r="T26" s="5"/>
      <c r="U26" s="5"/>
      <c r="V26" s="5"/>
      <c r="W26" s="5"/>
      <c r="X26" s="5"/>
      <c r="Y26" s="5"/>
      <c r="Z26" s="5"/>
    </row>
    <row r="27" ht="15.75" customHeight="1">
      <c r="A27" s="8"/>
      <c r="B27" s="8"/>
      <c r="C27" s="8"/>
      <c r="D27" s="9"/>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 t="s">
        <v>25</v>
      </c>
      <c r="B28" s="12"/>
      <c r="C28" s="12"/>
      <c r="D28" s="13"/>
      <c r="E28" s="4"/>
      <c r="F28" s="4"/>
      <c r="G28" s="4"/>
      <c r="H28" s="4"/>
      <c r="I28" s="5"/>
      <c r="J28" s="5"/>
      <c r="K28" s="5"/>
      <c r="L28" s="5"/>
      <c r="M28" s="5"/>
      <c r="N28" s="5"/>
      <c r="O28" s="5"/>
      <c r="P28" s="5"/>
      <c r="Q28" s="5"/>
      <c r="R28" s="5"/>
      <c r="S28" s="5"/>
      <c r="T28" s="5"/>
      <c r="U28" s="5"/>
      <c r="V28" s="5"/>
      <c r="W28" s="5"/>
      <c r="X28" s="5"/>
      <c r="Y28" s="5"/>
      <c r="Z28" s="5"/>
    </row>
    <row r="29" ht="15.75" customHeight="1">
      <c r="A29" s="11" t="s">
        <v>26</v>
      </c>
      <c r="B29" s="12"/>
      <c r="C29" s="12"/>
      <c r="D29" s="13"/>
      <c r="E29" s="4"/>
      <c r="F29" s="4"/>
      <c r="G29" s="4"/>
      <c r="H29" s="4"/>
      <c r="I29" s="5"/>
      <c r="J29" s="5"/>
      <c r="K29" s="5"/>
      <c r="L29" s="5"/>
      <c r="M29" s="5"/>
      <c r="N29" s="5"/>
      <c r="O29" s="5"/>
      <c r="P29" s="5"/>
      <c r="Q29" s="5"/>
      <c r="R29" s="5"/>
      <c r="S29" s="5"/>
      <c r="T29" s="5"/>
      <c r="U29" s="5"/>
      <c r="V29" s="5"/>
      <c r="W29" s="5"/>
      <c r="X29" s="5"/>
      <c r="Y29" s="5"/>
      <c r="Z29" s="5"/>
    </row>
    <row r="30" ht="15.75" customHeight="1">
      <c r="A30" s="11" t="s">
        <v>27</v>
      </c>
      <c r="B30" s="12"/>
      <c r="C30" s="12"/>
      <c r="D30" s="14"/>
      <c r="E30" s="15"/>
      <c r="F30" s="15"/>
      <c r="G30" s="15"/>
      <c r="H30" s="15"/>
      <c r="I30" s="16"/>
      <c r="J30" s="16"/>
      <c r="K30" s="16"/>
      <c r="L30" s="16"/>
      <c r="M30" s="16"/>
      <c r="N30" s="16"/>
      <c r="O30" s="16"/>
      <c r="P30" s="16"/>
      <c r="Q30" s="16"/>
      <c r="R30" s="16"/>
      <c r="S30" s="16"/>
      <c r="T30" s="16"/>
      <c r="U30" s="16"/>
      <c r="V30" s="16"/>
      <c r="W30" s="16"/>
      <c r="X30" s="16"/>
      <c r="Y30" s="16"/>
      <c r="Z30" s="16"/>
    </row>
    <row r="31" ht="15.75" customHeight="1">
      <c r="A31" s="11" t="s">
        <v>28</v>
      </c>
      <c r="B31" s="12"/>
      <c r="C31" s="12"/>
      <c r="D31" s="13"/>
      <c r="E31" s="4"/>
      <c r="F31" s="4"/>
      <c r="G31" s="4"/>
      <c r="H31" s="4"/>
      <c r="I31" s="5"/>
      <c r="J31" s="5"/>
      <c r="K31" s="5"/>
      <c r="L31" s="5"/>
      <c r="M31" s="5"/>
      <c r="N31" s="5"/>
      <c r="O31" s="5"/>
      <c r="P31" s="5"/>
      <c r="Q31" s="5"/>
      <c r="R31" s="5"/>
      <c r="S31" s="5"/>
      <c r="T31" s="5"/>
      <c r="U31" s="5"/>
      <c r="V31" s="5"/>
      <c r="W31" s="5"/>
      <c r="X31" s="5"/>
      <c r="Y31" s="5"/>
      <c r="Z31" s="5"/>
    </row>
    <row r="32" ht="15.75" customHeight="1">
      <c r="A32" s="11" t="s">
        <v>29</v>
      </c>
      <c r="B32" s="12"/>
      <c r="C32" s="12"/>
      <c r="D32" s="13"/>
      <c r="E32" s="4"/>
      <c r="F32" s="4"/>
      <c r="G32" s="4"/>
      <c r="H32" s="4"/>
      <c r="I32" s="5"/>
      <c r="J32" s="5"/>
      <c r="K32" s="5"/>
      <c r="L32" s="5"/>
      <c r="M32" s="5"/>
      <c r="N32" s="5"/>
      <c r="O32" s="5"/>
      <c r="P32" s="5"/>
      <c r="Q32" s="5"/>
      <c r="R32" s="5"/>
      <c r="S32" s="5"/>
      <c r="T32" s="5"/>
      <c r="U32" s="5"/>
      <c r="V32" s="5"/>
      <c r="W32" s="5"/>
      <c r="X32" s="5"/>
      <c r="Y32" s="5"/>
      <c r="Z32" s="5"/>
    </row>
    <row r="33" ht="15.75" customHeight="1">
      <c r="A33" s="11" t="s">
        <v>30</v>
      </c>
      <c r="B33" s="12"/>
      <c r="C33" s="12"/>
      <c r="D33" s="13"/>
      <c r="E33" s="4"/>
      <c r="F33" s="4"/>
      <c r="G33" s="4"/>
      <c r="H33" s="4"/>
      <c r="I33" s="5"/>
      <c r="J33" s="5"/>
      <c r="K33" s="5"/>
      <c r="L33" s="5"/>
      <c r="M33" s="5"/>
      <c r="N33" s="5"/>
      <c r="O33" s="5"/>
      <c r="P33" s="5"/>
      <c r="Q33" s="5"/>
      <c r="R33" s="5"/>
      <c r="S33" s="5"/>
      <c r="T33" s="5"/>
      <c r="U33" s="5"/>
      <c r="V33" s="5"/>
      <c r="W33" s="5"/>
      <c r="X33" s="5"/>
      <c r="Y33" s="5"/>
      <c r="Z33" s="5"/>
    </row>
    <row r="34" ht="15.75" customHeight="1">
      <c r="A34" s="11"/>
      <c r="B34" s="12"/>
      <c r="C34" s="12"/>
      <c r="D34" s="13"/>
      <c r="E34" s="4"/>
      <c r="F34" s="4"/>
      <c r="G34" s="4"/>
      <c r="H34" s="4"/>
      <c r="I34" s="5"/>
      <c r="J34" s="5"/>
      <c r="K34" s="5"/>
      <c r="L34" s="5"/>
      <c r="M34" s="5"/>
      <c r="N34" s="5"/>
      <c r="O34" s="5"/>
      <c r="P34" s="5"/>
      <c r="Q34" s="5"/>
      <c r="R34" s="5"/>
      <c r="S34" s="5"/>
      <c r="T34" s="5"/>
      <c r="U34" s="5"/>
      <c r="V34" s="5"/>
      <c r="W34" s="5"/>
      <c r="X34" s="5"/>
      <c r="Y34" s="5"/>
      <c r="Z34" s="5"/>
    </row>
    <row r="35" ht="15.75" customHeight="1">
      <c r="A35" s="7" t="s">
        <v>31</v>
      </c>
      <c r="B35" s="12"/>
      <c r="C35" s="12"/>
      <c r="D35" s="13"/>
      <c r="E35" s="4"/>
      <c r="F35" s="4"/>
      <c r="G35" s="4"/>
      <c r="H35" s="4"/>
      <c r="I35" s="5"/>
      <c r="J35" s="5"/>
      <c r="K35" s="5"/>
      <c r="L35" s="5"/>
      <c r="M35" s="5"/>
      <c r="N35" s="5"/>
      <c r="O35" s="5"/>
      <c r="P35" s="5"/>
      <c r="Q35" s="5"/>
      <c r="R35" s="5"/>
      <c r="S35" s="5"/>
      <c r="T35" s="5"/>
      <c r="U35" s="5"/>
      <c r="V35" s="5"/>
      <c r="W35" s="5"/>
      <c r="X35" s="5"/>
      <c r="Y35" s="5"/>
      <c r="Z35" s="5"/>
    </row>
    <row r="36" ht="15.75" customHeight="1">
      <c r="A36" s="17" t="s">
        <v>32</v>
      </c>
      <c r="B36" s="12"/>
      <c r="C36" s="12"/>
      <c r="D36" s="13"/>
      <c r="E36" s="4"/>
      <c r="F36" s="4"/>
      <c r="G36" s="4"/>
      <c r="H36" s="4"/>
      <c r="I36" s="5"/>
      <c r="J36" s="5"/>
      <c r="K36" s="5"/>
      <c r="L36" s="5"/>
      <c r="M36" s="5"/>
      <c r="N36" s="5"/>
      <c r="O36" s="5"/>
      <c r="P36" s="5"/>
      <c r="Q36" s="5"/>
      <c r="R36" s="5"/>
      <c r="S36" s="5"/>
      <c r="T36" s="5"/>
      <c r="U36" s="5"/>
      <c r="V36" s="5"/>
      <c r="W36" s="5"/>
      <c r="X36" s="5"/>
      <c r="Y36" s="5"/>
      <c r="Z36" s="5"/>
    </row>
    <row r="37" ht="15.75" customHeight="1">
      <c r="A37" s="18"/>
      <c r="B37" s="19"/>
      <c r="C37" s="19"/>
      <c r="D37" s="2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 t="s">
        <v>33</v>
      </c>
      <c r="B38" s="12"/>
      <c r="C38" s="21"/>
      <c r="D38" s="14"/>
      <c r="E38" s="14"/>
      <c r="F38" s="14"/>
      <c r="G38" s="14"/>
      <c r="H38" s="14"/>
      <c r="I38" s="22"/>
      <c r="J38" s="22"/>
      <c r="K38" s="22"/>
      <c r="L38" s="22"/>
      <c r="M38" s="22"/>
      <c r="N38" s="22"/>
      <c r="O38" s="22"/>
      <c r="P38" s="22"/>
      <c r="Q38" s="22"/>
      <c r="R38" s="22"/>
      <c r="S38" s="22"/>
      <c r="T38" s="22"/>
      <c r="U38" s="22"/>
      <c r="V38" s="22"/>
      <c r="W38" s="22"/>
      <c r="X38" s="19"/>
      <c r="Y38" s="19"/>
      <c r="Z38" s="19"/>
    </row>
    <row r="39" ht="15.75" customHeight="1">
      <c r="A39" s="12"/>
      <c r="B39" s="12"/>
      <c r="C39" s="12"/>
      <c r="D39" s="14"/>
      <c r="E39" s="14"/>
      <c r="F39" s="14"/>
      <c r="G39" s="14"/>
      <c r="H39" s="14"/>
      <c r="I39" s="22"/>
      <c r="J39" s="22"/>
      <c r="K39" s="22"/>
      <c r="L39" s="22"/>
      <c r="M39" s="22"/>
      <c r="N39" s="22"/>
      <c r="O39" s="22"/>
      <c r="P39" s="22"/>
      <c r="Q39" s="22"/>
      <c r="R39" s="22"/>
      <c r="S39" s="22"/>
      <c r="T39" s="22"/>
      <c r="U39" s="22"/>
      <c r="V39" s="22"/>
      <c r="W39" s="22"/>
      <c r="X39" s="19"/>
      <c r="Y39" s="19"/>
      <c r="Z39" s="19"/>
    </row>
    <row r="40">
      <c r="A40" s="11" t="s">
        <v>34</v>
      </c>
      <c r="B40" s="12"/>
      <c r="C40" s="12"/>
      <c r="D40" s="14"/>
      <c r="E40" s="14"/>
      <c r="F40" s="14"/>
      <c r="G40" s="14"/>
      <c r="H40" s="14"/>
      <c r="I40" s="22"/>
      <c r="J40" s="22"/>
      <c r="K40" s="22"/>
      <c r="L40" s="22"/>
      <c r="M40" s="22"/>
      <c r="N40" s="22"/>
      <c r="O40" s="22"/>
      <c r="P40" s="22"/>
      <c r="Q40" s="22"/>
      <c r="R40" s="22"/>
      <c r="S40" s="22"/>
      <c r="T40" s="22"/>
      <c r="U40" s="22"/>
      <c r="V40" s="22"/>
      <c r="W40" s="22"/>
      <c r="X40" s="19"/>
      <c r="Y40" s="19"/>
      <c r="Z40" s="19"/>
    </row>
    <row r="41" ht="15.75" customHeight="1">
      <c r="A41" s="7" t="s">
        <v>35</v>
      </c>
      <c r="B41" s="12"/>
      <c r="C41" s="23"/>
      <c r="D41" s="14"/>
      <c r="E41" s="14"/>
      <c r="F41" s="14"/>
      <c r="G41" s="14"/>
      <c r="H41" s="14"/>
      <c r="I41" s="22"/>
      <c r="J41" s="22"/>
      <c r="K41" s="22"/>
      <c r="L41" s="22"/>
      <c r="M41" s="22"/>
      <c r="N41" s="22"/>
      <c r="O41" s="22"/>
      <c r="P41" s="22"/>
      <c r="Q41" s="22"/>
      <c r="R41" s="22"/>
      <c r="S41" s="22"/>
      <c r="T41" s="22"/>
      <c r="U41" s="22"/>
      <c r="V41" s="22"/>
      <c r="W41" s="22"/>
      <c r="X41" s="19"/>
      <c r="Y41" s="19"/>
      <c r="Z41" s="19"/>
    </row>
    <row r="42" ht="15.75" customHeight="1">
      <c r="A42" s="7" t="s">
        <v>36</v>
      </c>
      <c r="B42" s="12"/>
      <c r="C42" s="23"/>
      <c r="D42" s="14"/>
      <c r="E42" s="14"/>
      <c r="F42" s="14"/>
      <c r="G42" s="14"/>
      <c r="H42" s="14"/>
      <c r="I42" s="22"/>
      <c r="J42" s="22"/>
      <c r="K42" s="22"/>
      <c r="L42" s="22"/>
      <c r="M42" s="22"/>
      <c r="N42" s="22"/>
      <c r="O42" s="22"/>
      <c r="P42" s="22"/>
      <c r="Q42" s="22"/>
      <c r="R42" s="22"/>
      <c r="S42" s="22"/>
      <c r="T42" s="22"/>
      <c r="U42" s="22"/>
      <c r="V42" s="22"/>
      <c r="W42" s="22"/>
      <c r="X42" s="19"/>
      <c r="Y42" s="19"/>
      <c r="Z42" s="19"/>
    </row>
    <row r="43" ht="15.75" customHeight="1">
      <c r="A43" s="7" t="s">
        <v>37</v>
      </c>
      <c r="B43" s="12"/>
      <c r="C43" s="23"/>
      <c r="D43" s="14"/>
      <c r="E43" s="14"/>
      <c r="F43" s="14"/>
      <c r="G43" s="14"/>
      <c r="H43" s="14"/>
      <c r="I43" s="22"/>
      <c r="J43" s="22"/>
      <c r="K43" s="22"/>
      <c r="L43" s="22"/>
      <c r="M43" s="22"/>
      <c r="N43" s="22"/>
      <c r="O43" s="22"/>
      <c r="P43" s="22"/>
      <c r="Q43" s="22"/>
      <c r="R43" s="22"/>
      <c r="S43" s="22"/>
      <c r="T43" s="22"/>
      <c r="U43" s="22"/>
      <c r="V43" s="22"/>
      <c r="W43" s="22"/>
      <c r="X43" s="19"/>
      <c r="Y43" s="19"/>
      <c r="Z43" s="19"/>
    </row>
    <row r="44" ht="15.75" customHeight="1">
      <c r="A44" s="7"/>
      <c r="B44" s="12"/>
      <c r="C44" s="23"/>
      <c r="D44" s="14"/>
      <c r="E44" s="14"/>
      <c r="F44" s="14"/>
      <c r="G44" s="14"/>
      <c r="H44" s="14"/>
      <c r="I44" s="22"/>
      <c r="J44" s="22"/>
      <c r="K44" s="22"/>
      <c r="L44" s="22"/>
      <c r="M44" s="22"/>
      <c r="N44" s="22"/>
      <c r="O44" s="22"/>
      <c r="P44" s="22"/>
      <c r="Q44" s="22"/>
      <c r="R44" s="22"/>
      <c r="S44" s="22"/>
      <c r="T44" s="22"/>
      <c r="U44" s="22"/>
      <c r="V44" s="22"/>
      <c r="W44" s="22"/>
      <c r="X44" s="19"/>
      <c r="Y44" s="19"/>
      <c r="Z44" s="19"/>
    </row>
    <row r="45" ht="15.75" customHeight="1">
      <c r="A45" s="11" t="s">
        <v>38</v>
      </c>
      <c r="B45" s="12"/>
      <c r="C45" s="23"/>
      <c r="D45" s="14"/>
      <c r="E45" s="14"/>
      <c r="F45" s="14"/>
      <c r="G45" s="14"/>
      <c r="H45" s="14"/>
      <c r="I45" s="22"/>
      <c r="J45" s="22"/>
      <c r="K45" s="22"/>
      <c r="L45" s="22"/>
      <c r="M45" s="22"/>
      <c r="N45" s="22"/>
      <c r="O45" s="22"/>
      <c r="P45" s="22"/>
      <c r="Q45" s="22"/>
      <c r="R45" s="22"/>
      <c r="S45" s="22"/>
      <c r="T45" s="22"/>
      <c r="U45" s="22"/>
      <c r="V45" s="22"/>
      <c r="W45" s="22"/>
      <c r="X45" s="19"/>
      <c r="Y45" s="19"/>
      <c r="Z45" s="19"/>
    </row>
    <row r="46" ht="15.75" customHeight="1">
      <c r="A46" s="7" t="s">
        <v>39</v>
      </c>
      <c r="B46" s="12"/>
      <c r="C46" s="23"/>
      <c r="D46" s="14"/>
      <c r="E46" s="14"/>
      <c r="F46" s="14"/>
      <c r="G46" s="14"/>
      <c r="H46" s="14"/>
      <c r="I46" s="22"/>
      <c r="J46" s="22"/>
      <c r="K46" s="22"/>
      <c r="L46" s="22"/>
      <c r="M46" s="22"/>
      <c r="N46" s="22"/>
      <c r="O46" s="22"/>
      <c r="P46" s="22"/>
      <c r="Q46" s="22"/>
      <c r="R46" s="22"/>
      <c r="S46" s="22"/>
      <c r="T46" s="22"/>
      <c r="U46" s="22"/>
      <c r="V46" s="22"/>
      <c r="W46" s="22"/>
      <c r="X46" s="19"/>
      <c r="Y46" s="19"/>
      <c r="Z46" s="19"/>
    </row>
    <row r="47" ht="15.75" customHeight="1">
      <c r="A47" s="7" t="s">
        <v>40</v>
      </c>
      <c r="B47" s="12"/>
      <c r="C47" s="23"/>
      <c r="D47" s="14"/>
      <c r="E47" s="14"/>
      <c r="F47" s="14"/>
      <c r="G47" s="14"/>
      <c r="H47" s="14"/>
      <c r="I47" s="22"/>
      <c r="J47" s="22"/>
      <c r="K47" s="22"/>
      <c r="L47" s="22"/>
      <c r="M47" s="22"/>
      <c r="N47" s="22"/>
      <c r="O47" s="22"/>
      <c r="P47" s="22"/>
      <c r="Q47" s="22"/>
      <c r="R47" s="22"/>
      <c r="S47" s="22"/>
      <c r="T47" s="22"/>
      <c r="U47" s="22"/>
      <c r="V47" s="22"/>
      <c r="W47" s="22"/>
      <c r="X47" s="19"/>
      <c r="Y47" s="19"/>
      <c r="Z47" s="19"/>
    </row>
    <row r="48" ht="15.75" customHeight="1">
      <c r="A48" s="7" t="s">
        <v>41</v>
      </c>
      <c r="B48" s="12"/>
      <c r="C48" s="23"/>
      <c r="D48" s="14"/>
      <c r="E48" s="14"/>
      <c r="F48" s="14"/>
      <c r="G48" s="14"/>
      <c r="H48" s="14"/>
      <c r="I48" s="22"/>
      <c r="J48" s="22"/>
      <c r="K48" s="22"/>
      <c r="L48" s="22"/>
      <c r="M48" s="22"/>
      <c r="N48" s="22"/>
      <c r="O48" s="22"/>
      <c r="P48" s="22"/>
      <c r="Q48" s="22"/>
      <c r="R48" s="22"/>
      <c r="S48" s="22"/>
      <c r="T48" s="22"/>
      <c r="U48" s="22"/>
      <c r="V48" s="22"/>
      <c r="W48" s="22"/>
      <c r="X48" s="19"/>
      <c r="Y48" s="19"/>
      <c r="Z48" s="19"/>
    </row>
    <row r="49" ht="15.75" customHeight="1">
      <c r="A49" s="7"/>
      <c r="B49" s="12"/>
      <c r="C49" s="23"/>
      <c r="D49" s="14"/>
      <c r="E49" s="14"/>
      <c r="F49" s="14"/>
      <c r="G49" s="14"/>
      <c r="H49" s="14"/>
      <c r="I49" s="22"/>
      <c r="J49" s="22"/>
      <c r="K49" s="22"/>
      <c r="L49" s="22"/>
      <c r="M49" s="22"/>
      <c r="N49" s="22"/>
      <c r="O49" s="22"/>
      <c r="P49" s="22"/>
      <c r="Q49" s="22"/>
      <c r="R49" s="22"/>
      <c r="S49" s="22"/>
      <c r="T49" s="22"/>
      <c r="U49" s="22"/>
      <c r="V49" s="22"/>
      <c r="W49" s="22"/>
      <c r="X49" s="19"/>
      <c r="Y49" s="19"/>
      <c r="Z49" s="19"/>
    </row>
    <row r="50" ht="15.75" customHeight="1">
      <c r="A50" s="11" t="s">
        <v>42</v>
      </c>
      <c r="B50" s="12"/>
      <c r="C50" s="23"/>
      <c r="D50" s="14"/>
      <c r="E50" s="14"/>
      <c r="F50" s="14"/>
      <c r="G50" s="14"/>
      <c r="H50" s="14"/>
      <c r="I50" s="22"/>
      <c r="J50" s="22"/>
      <c r="K50" s="22"/>
      <c r="L50" s="22"/>
      <c r="M50" s="22"/>
      <c r="N50" s="22"/>
      <c r="O50" s="22"/>
      <c r="P50" s="22"/>
      <c r="Q50" s="22"/>
      <c r="R50" s="22"/>
      <c r="S50" s="22"/>
      <c r="T50" s="22"/>
      <c r="U50" s="22"/>
      <c r="V50" s="22"/>
      <c r="W50" s="22"/>
      <c r="X50" s="19"/>
      <c r="Y50" s="19"/>
      <c r="Z50" s="19"/>
    </row>
    <row r="51" ht="15.75" customHeight="1">
      <c r="A51" s="7" t="s">
        <v>43</v>
      </c>
      <c r="B51" s="12"/>
      <c r="C51" s="23"/>
      <c r="D51" s="14"/>
      <c r="E51" s="14"/>
      <c r="F51" s="14"/>
      <c r="G51" s="14"/>
      <c r="H51" s="14"/>
      <c r="I51" s="22"/>
      <c r="J51" s="22"/>
      <c r="K51" s="22"/>
      <c r="L51" s="22"/>
      <c r="M51" s="22"/>
      <c r="N51" s="22"/>
      <c r="O51" s="22"/>
      <c r="P51" s="22"/>
      <c r="Q51" s="22"/>
      <c r="R51" s="22"/>
      <c r="S51" s="22"/>
      <c r="T51" s="22"/>
      <c r="U51" s="22"/>
      <c r="V51" s="22"/>
      <c r="W51" s="22"/>
      <c r="X51" s="19"/>
      <c r="Y51" s="19"/>
      <c r="Z51" s="19"/>
    </row>
    <row r="52" ht="15.75" customHeight="1">
      <c r="A52" s="7" t="s">
        <v>44</v>
      </c>
      <c r="B52" s="12"/>
      <c r="C52" s="23"/>
      <c r="D52" s="14"/>
      <c r="E52" s="14"/>
      <c r="F52" s="14"/>
      <c r="G52" s="14"/>
      <c r="H52" s="14"/>
      <c r="I52" s="22"/>
      <c r="J52" s="22"/>
      <c r="K52" s="22"/>
      <c r="L52" s="22"/>
      <c r="M52" s="22"/>
      <c r="N52" s="22"/>
      <c r="O52" s="22"/>
      <c r="P52" s="22"/>
      <c r="Q52" s="22"/>
      <c r="R52" s="22"/>
      <c r="S52" s="22"/>
      <c r="T52" s="22"/>
      <c r="U52" s="22"/>
      <c r="V52" s="22"/>
      <c r="W52" s="22"/>
      <c r="X52" s="19"/>
      <c r="Y52" s="19"/>
      <c r="Z52" s="19"/>
    </row>
    <row r="53" ht="15.75" customHeight="1">
      <c r="A53" s="7" t="s">
        <v>45</v>
      </c>
      <c r="B53" s="12"/>
      <c r="C53" s="23"/>
      <c r="D53" s="14"/>
      <c r="E53" s="14"/>
      <c r="F53" s="14"/>
      <c r="G53" s="14"/>
      <c r="H53" s="14"/>
      <c r="I53" s="22"/>
      <c r="J53" s="22"/>
      <c r="K53" s="22"/>
      <c r="L53" s="22"/>
      <c r="M53" s="22"/>
      <c r="N53" s="22"/>
      <c r="O53" s="22"/>
      <c r="P53" s="22"/>
      <c r="Q53" s="22"/>
      <c r="R53" s="22"/>
      <c r="S53" s="22"/>
      <c r="T53" s="22"/>
      <c r="U53" s="22"/>
      <c r="V53" s="22"/>
      <c r="W53" s="22"/>
      <c r="X53" s="19"/>
      <c r="Y53" s="19"/>
      <c r="Z53" s="19"/>
    </row>
    <row r="54" ht="15.75" customHeight="1">
      <c r="A54" s="7" t="s">
        <v>37</v>
      </c>
      <c r="B54" s="12"/>
      <c r="C54" s="23"/>
      <c r="D54" s="14"/>
      <c r="E54" s="14"/>
      <c r="F54" s="14"/>
      <c r="G54" s="14"/>
      <c r="H54" s="14"/>
      <c r="I54" s="22"/>
      <c r="J54" s="22"/>
      <c r="K54" s="22"/>
      <c r="L54" s="22"/>
      <c r="M54" s="22"/>
      <c r="N54" s="22"/>
      <c r="O54" s="22"/>
      <c r="P54" s="22"/>
      <c r="Q54" s="22"/>
      <c r="R54" s="22"/>
      <c r="S54" s="22"/>
      <c r="T54" s="22"/>
      <c r="U54" s="22"/>
      <c r="V54" s="22"/>
      <c r="W54" s="22"/>
      <c r="X54" s="19"/>
      <c r="Y54" s="19"/>
      <c r="Z54" s="19"/>
    </row>
    <row r="55" ht="15.75" customHeight="1">
      <c r="A55" s="7" t="s">
        <v>46</v>
      </c>
      <c r="B55" s="12"/>
      <c r="C55" s="23"/>
      <c r="D55" s="14"/>
      <c r="E55" s="14"/>
      <c r="F55" s="14"/>
      <c r="G55" s="14"/>
      <c r="H55" s="14"/>
      <c r="I55" s="22"/>
      <c r="J55" s="22"/>
      <c r="K55" s="22"/>
      <c r="L55" s="22"/>
      <c r="M55" s="22"/>
      <c r="N55" s="22"/>
      <c r="O55" s="22"/>
      <c r="P55" s="22"/>
      <c r="Q55" s="22"/>
      <c r="R55" s="22"/>
      <c r="S55" s="22"/>
      <c r="T55" s="22"/>
      <c r="U55" s="22"/>
      <c r="V55" s="22"/>
      <c r="W55" s="22"/>
      <c r="X55" s="19"/>
      <c r="Y55" s="19"/>
      <c r="Z55" s="19"/>
    </row>
    <row r="56" ht="15.75" customHeight="1">
      <c r="A56" s="7" t="s">
        <v>47</v>
      </c>
      <c r="B56" s="12"/>
      <c r="C56" s="23"/>
      <c r="D56" s="14"/>
      <c r="E56" s="14"/>
      <c r="F56" s="14"/>
      <c r="G56" s="14"/>
      <c r="H56" s="14"/>
      <c r="I56" s="22"/>
      <c r="J56" s="22"/>
      <c r="K56" s="22"/>
      <c r="L56" s="22"/>
      <c r="M56" s="22"/>
      <c r="N56" s="22"/>
      <c r="O56" s="22"/>
      <c r="P56" s="22"/>
      <c r="Q56" s="22"/>
      <c r="R56" s="22"/>
      <c r="S56" s="22"/>
      <c r="T56" s="22"/>
      <c r="U56" s="22"/>
      <c r="V56" s="22"/>
      <c r="W56" s="22"/>
      <c r="X56" s="19"/>
      <c r="Y56" s="19"/>
      <c r="Z56" s="19"/>
    </row>
    <row r="57" ht="15.75" customHeight="1">
      <c r="A57" s="24"/>
      <c r="B57" s="24"/>
      <c r="C57" s="25"/>
      <c r="D57" s="22"/>
      <c r="E57" s="22"/>
      <c r="F57" s="22"/>
      <c r="G57" s="22"/>
      <c r="H57" s="22"/>
      <c r="I57" s="22"/>
      <c r="J57" s="22"/>
      <c r="K57" s="22"/>
      <c r="L57" s="22"/>
      <c r="M57" s="22"/>
      <c r="N57" s="22"/>
      <c r="O57" s="22"/>
      <c r="P57" s="22"/>
      <c r="Q57" s="22"/>
      <c r="R57" s="22"/>
      <c r="S57" s="22"/>
      <c r="T57" s="22"/>
      <c r="U57" s="22"/>
      <c r="V57" s="22"/>
      <c r="W57" s="22"/>
      <c r="X57" s="19"/>
      <c r="Y57" s="19"/>
      <c r="Z57" s="19"/>
    </row>
    <row r="58" ht="15.75" customHeight="1">
      <c r="A58" s="1" t="s">
        <v>48</v>
      </c>
      <c r="B58" s="12"/>
      <c r="C58" s="12"/>
      <c r="D58" s="12"/>
      <c r="E58" s="12"/>
      <c r="F58" s="12"/>
      <c r="G58" s="12"/>
      <c r="H58" s="14"/>
      <c r="I58" s="22"/>
      <c r="J58" s="22"/>
      <c r="K58" s="22"/>
      <c r="L58" s="22"/>
      <c r="M58" s="22"/>
      <c r="N58" s="22"/>
      <c r="O58" s="22"/>
      <c r="P58" s="22"/>
      <c r="Q58" s="22"/>
      <c r="R58" s="22"/>
      <c r="S58" s="22"/>
      <c r="T58" s="22"/>
      <c r="U58" s="22"/>
      <c r="V58" s="22"/>
      <c r="W58" s="22"/>
      <c r="X58" s="19"/>
      <c r="Y58" s="19"/>
      <c r="Z58" s="19"/>
    </row>
    <row r="59" ht="15.75" customHeight="1">
      <c r="A59" s="7"/>
      <c r="B59" s="12"/>
      <c r="C59" s="12"/>
      <c r="D59" s="12"/>
      <c r="E59" s="12"/>
      <c r="F59" s="12"/>
      <c r="G59" s="12"/>
      <c r="H59" s="14"/>
      <c r="I59" s="22"/>
      <c r="J59" s="22"/>
      <c r="K59" s="22"/>
      <c r="L59" s="22"/>
      <c r="M59" s="22"/>
      <c r="N59" s="22"/>
      <c r="O59" s="22"/>
      <c r="P59" s="22"/>
      <c r="Q59" s="22"/>
      <c r="R59" s="22"/>
      <c r="S59" s="22"/>
      <c r="T59" s="22"/>
      <c r="U59" s="22"/>
      <c r="V59" s="22"/>
      <c r="W59" s="22"/>
      <c r="X59" s="19"/>
      <c r="Y59" s="19"/>
      <c r="Z59" s="19"/>
    </row>
    <row r="60" ht="15.75" customHeight="1">
      <c r="A60" s="7" t="s">
        <v>49</v>
      </c>
      <c r="B60" s="12"/>
      <c r="C60" s="12"/>
      <c r="D60" s="12"/>
      <c r="E60" s="12"/>
      <c r="F60" s="12"/>
      <c r="G60" s="12"/>
      <c r="H60" s="14"/>
      <c r="I60" s="22"/>
      <c r="J60" s="22"/>
      <c r="K60" s="22"/>
      <c r="L60" s="22"/>
      <c r="M60" s="22"/>
      <c r="N60" s="22"/>
      <c r="O60" s="22"/>
      <c r="P60" s="22"/>
      <c r="Q60" s="22"/>
      <c r="R60" s="22"/>
      <c r="S60" s="22"/>
      <c r="T60" s="22"/>
      <c r="U60" s="22"/>
      <c r="V60" s="22"/>
      <c r="W60" s="22"/>
      <c r="X60" s="19"/>
      <c r="Y60" s="19"/>
      <c r="Z60" s="19"/>
    </row>
    <row r="61" ht="15.75" customHeight="1">
      <c r="A61" s="7" t="s">
        <v>50</v>
      </c>
      <c r="B61" s="12"/>
      <c r="C61" s="12"/>
      <c r="D61" s="12"/>
      <c r="E61" s="12"/>
      <c r="F61" s="12"/>
      <c r="G61" s="12"/>
      <c r="H61" s="14"/>
      <c r="I61" s="22"/>
      <c r="J61" s="22"/>
      <c r="K61" s="22"/>
      <c r="L61" s="22"/>
      <c r="M61" s="22"/>
      <c r="N61" s="22"/>
      <c r="O61" s="22"/>
      <c r="P61" s="22"/>
      <c r="Q61" s="22"/>
      <c r="R61" s="22"/>
      <c r="S61" s="22"/>
      <c r="T61" s="22"/>
      <c r="U61" s="22"/>
      <c r="V61" s="22"/>
      <c r="W61" s="22"/>
      <c r="X61" s="19"/>
      <c r="Y61" s="19"/>
      <c r="Z61" s="19"/>
    </row>
    <row r="62" ht="15.75" customHeight="1">
      <c r="A62" s="7" t="s">
        <v>51</v>
      </c>
      <c r="B62" s="12"/>
      <c r="C62" s="12"/>
      <c r="D62" s="12"/>
      <c r="E62" s="12"/>
      <c r="F62" s="12"/>
      <c r="G62" s="12"/>
      <c r="H62" s="14"/>
      <c r="I62" s="22"/>
      <c r="J62" s="22"/>
      <c r="K62" s="22"/>
      <c r="L62" s="22"/>
      <c r="M62" s="22"/>
      <c r="N62" s="22"/>
      <c r="O62" s="22"/>
      <c r="P62" s="22"/>
      <c r="Q62" s="22"/>
      <c r="R62" s="22"/>
      <c r="S62" s="22"/>
      <c r="T62" s="22"/>
      <c r="U62" s="22"/>
      <c r="V62" s="22"/>
      <c r="W62" s="22"/>
      <c r="X62" s="19"/>
      <c r="Y62" s="19"/>
      <c r="Z62" s="19"/>
    </row>
    <row r="63" ht="15.75" customHeight="1">
      <c r="A63" s="7"/>
      <c r="B63" s="12"/>
      <c r="C63" s="12"/>
      <c r="D63" s="12"/>
      <c r="E63" s="12"/>
      <c r="F63" s="12"/>
      <c r="G63" s="12"/>
      <c r="H63" s="14"/>
      <c r="I63" s="22"/>
      <c r="J63" s="22"/>
      <c r="K63" s="22"/>
      <c r="L63" s="22"/>
      <c r="M63" s="22"/>
      <c r="N63" s="22"/>
      <c r="O63" s="22"/>
      <c r="P63" s="22"/>
      <c r="Q63" s="22"/>
      <c r="R63" s="22"/>
      <c r="S63" s="22"/>
      <c r="T63" s="22"/>
      <c r="U63" s="22"/>
      <c r="V63" s="22"/>
      <c r="W63" s="22"/>
      <c r="X63" s="19"/>
      <c r="Y63" s="19"/>
      <c r="Z63" s="19"/>
    </row>
    <row r="64" ht="15.75" customHeight="1">
      <c r="A64" s="11" t="s">
        <v>52</v>
      </c>
      <c r="B64" s="12"/>
      <c r="C64" s="12"/>
      <c r="D64" s="12"/>
      <c r="E64" s="12"/>
      <c r="F64" s="12"/>
      <c r="G64" s="12"/>
      <c r="H64" s="14"/>
      <c r="I64" s="22"/>
      <c r="J64" s="22"/>
      <c r="K64" s="22"/>
      <c r="L64" s="22"/>
      <c r="M64" s="22"/>
      <c r="N64" s="22"/>
      <c r="O64" s="22"/>
      <c r="P64" s="22"/>
      <c r="Q64" s="22"/>
      <c r="R64" s="22"/>
      <c r="S64" s="22"/>
      <c r="T64" s="22"/>
      <c r="U64" s="22"/>
      <c r="V64" s="22"/>
      <c r="W64" s="22"/>
      <c r="X64" s="19"/>
      <c r="Y64" s="19"/>
      <c r="Z64" s="19"/>
    </row>
    <row r="65" ht="15.75" customHeight="1">
      <c r="A65" s="7" t="s">
        <v>53</v>
      </c>
      <c r="B65" s="12"/>
      <c r="C65" s="12"/>
      <c r="D65" s="12"/>
      <c r="E65" s="12"/>
      <c r="F65" s="12"/>
      <c r="G65" s="12"/>
      <c r="H65" s="14"/>
      <c r="I65" s="22"/>
      <c r="J65" s="22"/>
      <c r="K65" s="22"/>
      <c r="L65" s="22"/>
      <c r="M65" s="22"/>
      <c r="N65" s="22"/>
      <c r="O65" s="22"/>
      <c r="P65" s="22"/>
      <c r="Q65" s="22"/>
      <c r="R65" s="22"/>
      <c r="S65" s="22"/>
      <c r="T65" s="22"/>
      <c r="U65" s="22"/>
      <c r="V65" s="22"/>
      <c r="W65" s="22"/>
      <c r="X65" s="19"/>
      <c r="Y65" s="19"/>
      <c r="Z65" s="19"/>
    </row>
    <row r="66" ht="15.75" customHeight="1">
      <c r="A66" s="7"/>
      <c r="B66" s="12"/>
      <c r="C66" s="12"/>
      <c r="D66" s="12"/>
      <c r="E66" s="12"/>
      <c r="F66" s="12"/>
      <c r="G66" s="12"/>
      <c r="H66" s="14"/>
      <c r="I66" s="22"/>
      <c r="J66" s="22"/>
      <c r="K66" s="22"/>
      <c r="L66" s="22"/>
      <c r="M66" s="22"/>
      <c r="N66" s="22"/>
      <c r="O66" s="22"/>
      <c r="P66" s="22"/>
      <c r="Q66" s="22"/>
      <c r="R66" s="22"/>
      <c r="S66" s="22"/>
      <c r="T66" s="22"/>
      <c r="U66" s="22"/>
      <c r="V66" s="22"/>
      <c r="W66" s="22"/>
      <c r="X66" s="19"/>
      <c r="Y66" s="19"/>
      <c r="Z66" s="19"/>
    </row>
    <row r="67" ht="15.75" customHeight="1">
      <c r="A67" s="7" t="s">
        <v>54</v>
      </c>
      <c r="B67" s="12"/>
      <c r="C67" s="12"/>
      <c r="D67" s="12"/>
      <c r="E67" s="12"/>
      <c r="F67" s="12"/>
      <c r="G67" s="12"/>
      <c r="H67" s="14"/>
      <c r="I67" s="22"/>
      <c r="J67" s="22"/>
      <c r="K67" s="22"/>
      <c r="L67" s="22"/>
      <c r="M67" s="22"/>
      <c r="N67" s="22"/>
      <c r="O67" s="22"/>
      <c r="P67" s="22"/>
      <c r="Q67" s="22"/>
      <c r="R67" s="22"/>
      <c r="S67" s="22"/>
      <c r="T67" s="22"/>
      <c r="U67" s="22"/>
      <c r="V67" s="22"/>
      <c r="W67" s="22"/>
      <c r="X67" s="19"/>
      <c r="Y67" s="19"/>
      <c r="Z67" s="19"/>
    </row>
    <row r="68" ht="15.75" customHeight="1">
      <c r="A68" s="7" t="s">
        <v>55</v>
      </c>
      <c r="B68" s="12"/>
      <c r="C68" s="12"/>
      <c r="D68" s="12"/>
      <c r="E68" s="12"/>
      <c r="F68" s="12"/>
      <c r="G68" s="12"/>
      <c r="H68" s="14"/>
      <c r="I68" s="22"/>
      <c r="J68" s="22"/>
      <c r="K68" s="22"/>
      <c r="L68" s="22"/>
      <c r="M68" s="22"/>
      <c r="N68" s="22"/>
      <c r="O68" s="22"/>
      <c r="P68" s="22"/>
      <c r="Q68" s="22"/>
      <c r="R68" s="22"/>
      <c r="S68" s="22"/>
      <c r="T68" s="22"/>
      <c r="U68" s="22"/>
      <c r="V68" s="22"/>
      <c r="W68" s="22"/>
      <c r="X68" s="19"/>
      <c r="Y68" s="19"/>
      <c r="Z68" s="19"/>
    </row>
    <row r="69" ht="15.75" customHeight="1">
      <c r="A69" s="7" t="s">
        <v>56</v>
      </c>
      <c r="B69" s="12"/>
      <c r="C69" s="12"/>
      <c r="D69" s="12"/>
      <c r="E69" s="12"/>
      <c r="F69" s="12"/>
      <c r="G69" s="12"/>
      <c r="H69" s="14"/>
      <c r="I69" s="22"/>
      <c r="J69" s="22"/>
      <c r="K69" s="22"/>
      <c r="L69" s="22"/>
      <c r="M69" s="22"/>
      <c r="N69" s="22"/>
      <c r="O69" s="22"/>
      <c r="P69" s="22"/>
      <c r="Q69" s="22"/>
      <c r="R69" s="22"/>
      <c r="S69" s="22"/>
      <c r="T69" s="22"/>
      <c r="U69" s="22"/>
      <c r="V69" s="22"/>
      <c r="W69" s="22"/>
      <c r="X69" s="19"/>
      <c r="Y69" s="19"/>
      <c r="Z69" s="19"/>
    </row>
    <row r="70" ht="15.75" customHeight="1">
      <c r="A70" s="7"/>
      <c r="B70" s="12"/>
      <c r="C70" s="12"/>
      <c r="D70" s="12"/>
      <c r="E70" s="12"/>
      <c r="F70" s="12"/>
      <c r="G70" s="12"/>
      <c r="H70" s="14"/>
      <c r="I70" s="22"/>
      <c r="J70" s="22"/>
      <c r="K70" s="22"/>
      <c r="L70" s="22"/>
      <c r="M70" s="22"/>
      <c r="N70" s="22"/>
      <c r="O70" s="22"/>
      <c r="P70" s="22"/>
      <c r="Q70" s="22"/>
      <c r="R70" s="22"/>
      <c r="S70" s="22"/>
      <c r="T70" s="22"/>
      <c r="U70" s="22"/>
      <c r="V70" s="22"/>
      <c r="W70" s="22"/>
      <c r="X70" s="19"/>
      <c r="Y70" s="19"/>
      <c r="Z70" s="19"/>
    </row>
    <row r="71" ht="15.75" customHeight="1">
      <c r="A71" s="11" t="s">
        <v>57</v>
      </c>
      <c r="B71" s="12"/>
      <c r="C71" s="12"/>
      <c r="D71" s="12"/>
      <c r="E71" s="12"/>
      <c r="F71" s="12"/>
      <c r="G71" s="12"/>
      <c r="H71" s="14"/>
      <c r="I71" s="22"/>
      <c r="J71" s="22"/>
      <c r="K71" s="22"/>
      <c r="L71" s="22"/>
      <c r="M71" s="22"/>
      <c r="N71" s="22"/>
      <c r="O71" s="22"/>
      <c r="P71" s="22"/>
      <c r="Q71" s="22"/>
      <c r="R71" s="22"/>
      <c r="S71" s="22"/>
      <c r="T71" s="22"/>
      <c r="U71" s="22"/>
      <c r="V71" s="22"/>
      <c r="W71" s="22"/>
      <c r="X71" s="19"/>
      <c r="Y71" s="19"/>
      <c r="Z71" s="19"/>
    </row>
    <row r="72" ht="15.75" customHeight="1">
      <c r="A72" s="7"/>
      <c r="B72" s="12"/>
      <c r="C72" s="12"/>
      <c r="D72" s="12"/>
      <c r="E72" s="12"/>
      <c r="F72" s="12"/>
      <c r="G72" s="12"/>
      <c r="H72" s="14"/>
      <c r="I72" s="22"/>
      <c r="J72" s="22"/>
      <c r="K72" s="22"/>
      <c r="L72" s="22"/>
      <c r="M72" s="22"/>
      <c r="N72" s="22"/>
      <c r="O72" s="22"/>
      <c r="P72" s="22"/>
      <c r="Q72" s="22"/>
      <c r="R72" s="22"/>
      <c r="S72" s="22"/>
      <c r="T72" s="22"/>
      <c r="U72" s="22"/>
      <c r="V72" s="22"/>
      <c r="W72" s="22"/>
      <c r="X72" s="19"/>
      <c r="Y72" s="19"/>
      <c r="Z72" s="19"/>
    </row>
    <row r="73" ht="15.75" customHeight="1">
      <c r="A73" s="7" t="s">
        <v>58</v>
      </c>
      <c r="B73" s="12"/>
      <c r="C73" s="12"/>
      <c r="D73" s="12"/>
      <c r="E73" s="12"/>
      <c r="F73" s="12"/>
      <c r="G73" s="12"/>
      <c r="H73" s="14"/>
      <c r="I73" s="22"/>
      <c r="J73" s="22"/>
      <c r="K73" s="22"/>
      <c r="L73" s="22"/>
      <c r="M73" s="22"/>
      <c r="N73" s="22"/>
      <c r="O73" s="22"/>
      <c r="P73" s="22"/>
      <c r="Q73" s="22"/>
      <c r="R73" s="22"/>
      <c r="S73" s="22"/>
      <c r="T73" s="22"/>
      <c r="U73" s="22"/>
      <c r="V73" s="22"/>
      <c r="W73" s="22"/>
      <c r="X73" s="19"/>
      <c r="Y73" s="19"/>
      <c r="Z73" s="19"/>
    </row>
    <row r="74" ht="15.75" customHeight="1">
      <c r="A74" s="12"/>
      <c r="B74" s="12"/>
      <c r="C74" s="12"/>
      <c r="D74" s="12"/>
      <c r="E74" s="12"/>
      <c r="F74" s="12"/>
      <c r="G74" s="12"/>
      <c r="H74" s="14"/>
      <c r="I74" s="22"/>
      <c r="J74" s="22"/>
      <c r="K74" s="22"/>
      <c r="L74" s="22"/>
      <c r="M74" s="22"/>
      <c r="N74" s="22"/>
      <c r="O74" s="22"/>
      <c r="P74" s="22"/>
      <c r="Q74" s="22"/>
      <c r="R74" s="22"/>
      <c r="S74" s="22"/>
      <c r="T74" s="22"/>
      <c r="U74" s="22"/>
      <c r="V74" s="22"/>
      <c r="W74" s="22"/>
      <c r="X74" s="19"/>
      <c r="Y74" s="19"/>
      <c r="Z74" s="19"/>
    </row>
    <row r="75" ht="15.75" customHeight="1">
      <c r="A75" s="26" t="s">
        <v>59</v>
      </c>
      <c r="B75" s="27"/>
      <c r="C75" s="27"/>
      <c r="D75" s="27"/>
      <c r="E75" s="27"/>
      <c r="F75" s="27"/>
      <c r="G75" s="28"/>
      <c r="H75" s="14"/>
      <c r="I75" s="22"/>
      <c r="J75" s="22"/>
      <c r="K75" s="22"/>
      <c r="L75" s="22"/>
      <c r="M75" s="22"/>
      <c r="N75" s="22"/>
      <c r="O75" s="22"/>
      <c r="P75" s="22"/>
      <c r="Q75" s="22"/>
      <c r="R75" s="22"/>
      <c r="S75" s="22"/>
      <c r="T75" s="22"/>
      <c r="U75" s="22"/>
      <c r="V75" s="22"/>
      <c r="W75" s="22"/>
      <c r="X75" s="19"/>
      <c r="Y75" s="19"/>
      <c r="Z75" s="19"/>
    </row>
    <row r="76" ht="15.75" customHeight="1">
      <c r="A76" s="29" t="s">
        <v>60</v>
      </c>
      <c r="B76" s="29" t="s">
        <v>61</v>
      </c>
      <c r="C76" s="29" t="s">
        <v>62</v>
      </c>
      <c r="D76" s="29" t="s">
        <v>63</v>
      </c>
      <c r="E76" s="30" t="s">
        <v>64</v>
      </c>
      <c r="F76" s="30" t="s">
        <v>65</v>
      </c>
      <c r="G76" s="30" t="s">
        <v>66</v>
      </c>
      <c r="H76" s="14"/>
      <c r="I76" s="22"/>
      <c r="J76" s="22"/>
      <c r="K76" s="22"/>
      <c r="L76" s="22"/>
      <c r="M76" s="22"/>
      <c r="N76" s="22"/>
      <c r="O76" s="22"/>
      <c r="P76" s="22"/>
      <c r="Q76" s="22"/>
      <c r="R76" s="22"/>
      <c r="S76" s="22"/>
      <c r="T76" s="22"/>
      <c r="U76" s="22"/>
      <c r="V76" s="22"/>
      <c r="W76" s="22"/>
      <c r="X76" s="19"/>
      <c r="Y76" s="19"/>
      <c r="Z76" s="19"/>
    </row>
    <row r="77" ht="15.75" customHeight="1">
      <c r="A77" s="31" t="s">
        <v>67</v>
      </c>
      <c r="B77" s="32" t="s">
        <v>68</v>
      </c>
      <c r="C77" s="32" t="s">
        <v>69</v>
      </c>
      <c r="D77" s="32" t="s">
        <v>70</v>
      </c>
      <c r="E77" s="33" t="s">
        <v>71</v>
      </c>
      <c r="F77" s="33" t="s">
        <v>72</v>
      </c>
      <c r="G77" s="33" t="s">
        <v>73</v>
      </c>
      <c r="H77" s="14"/>
      <c r="I77" s="22"/>
      <c r="J77" s="22"/>
      <c r="K77" s="22"/>
      <c r="L77" s="22"/>
      <c r="M77" s="22"/>
      <c r="N77" s="22"/>
      <c r="O77" s="22"/>
      <c r="P77" s="22"/>
      <c r="Q77" s="22"/>
      <c r="R77" s="22"/>
      <c r="S77" s="22"/>
      <c r="T77" s="22"/>
      <c r="U77" s="22"/>
      <c r="V77" s="22"/>
      <c r="W77" s="22"/>
      <c r="X77" s="19"/>
      <c r="Y77" s="19"/>
      <c r="Z77" s="19"/>
    </row>
    <row r="78" ht="15.75" customHeight="1">
      <c r="A78" s="34" t="s">
        <v>74</v>
      </c>
      <c r="B78" s="35" t="s">
        <v>75</v>
      </c>
      <c r="C78" s="34">
        <v>4.0</v>
      </c>
      <c r="D78" s="34" t="s">
        <v>76</v>
      </c>
      <c r="E78" s="34" t="s">
        <v>77</v>
      </c>
      <c r="F78" s="34" t="s">
        <v>78</v>
      </c>
      <c r="G78" s="34" t="s">
        <v>63</v>
      </c>
      <c r="H78" s="14"/>
      <c r="I78" s="22"/>
      <c r="J78" s="22"/>
      <c r="K78" s="22"/>
      <c r="L78" s="22"/>
      <c r="M78" s="22"/>
      <c r="N78" s="22"/>
      <c r="O78" s="22"/>
      <c r="P78" s="22"/>
      <c r="Q78" s="22"/>
      <c r="R78" s="22"/>
      <c r="S78" s="22"/>
      <c r="T78" s="22"/>
      <c r="U78" s="22"/>
      <c r="V78" s="22"/>
      <c r="W78" s="22"/>
      <c r="X78" s="19"/>
      <c r="Y78" s="19"/>
      <c r="Z78" s="19"/>
    </row>
    <row r="79" ht="15.75" customHeight="1">
      <c r="A79" s="34" t="s">
        <v>79</v>
      </c>
      <c r="B79" s="34"/>
      <c r="C79" s="34">
        <v>5.0</v>
      </c>
      <c r="D79" s="34" t="s">
        <v>80</v>
      </c>
      <c r="E79" s="34" t="s">
        <v>77</v>
      </c>
      <c r="F79" s="34" t="s">
        <v>81</v>
      </c>
      <c r="G79" s="34"/>
      <c r="H79" s="14"/>
      <c r="I79" s="22"/>
      <c r="J79" s="22"/>
      <c r="K79" s="22"/>
      <c r="L79" s="22"/>
      <c r="M79" s="22"/>
      <c r="N79" s="22"/>
      <c r="O79" s="22"/>
      <c r="P79" s="22"/>
      <c r="Q79" s="22"/>
      <c r="R79" s="22"/>
      <c r="S79" s="22"/>
      <c r="T79" s="22"/>
      <c r="U79" s="22"/>
      <c r="V79" s="22"/>
      <c r="W79" s="22"/>
      <c r="X79" s="19"/>
      <c r="Y79" s="19"/>
      <c r="Z79" s="19"/>
    </row>
    <row r="80" ht="15.75" customHeight="1">
      <c r="A80" s="34" t="s">
        <v>82</v>
      </c>
      <c r="B80" s="34"/>
      <c r="C80" s="34">
        <v>7.0</v>
      </c>
      <c r="D80" s="34" t="s">
        <v>83</v>
      </c>
      <c r="E80" s="34" t="s">
        <v>77</v>
      </c>
      <c r="F80" s="34" t="s">
        <v>81</v>
      </c>
      <c r="G80" s="34"/>
      <c r="H80" s="14"/>
      <c r="I80" s="22"/>
      <c r="J80" s="22"/>
      <c r="K80" s="22"/>
      <c r="L80" s="22"/>
      <c r="M80" s="22"/>
      <c r="N80" s="22"/>
      <c r="O80" s="22"/>
      <c r="P80" s="22"/>
      <c r="Q80" s="22"/>
      <c r="R80" s="22"/>
      <c r="S80" s="22"/>
      <c r="T80" s="22"/>
      <c r="U80" s="22"/>
      <c r="V80" s="22"/>
      <c r="W80" s="22"/>
      <c r="X80" s="19"/>
      <c r="Y80" s="19"/>
      <c r="Z80" s="19"/>
    </row>
    <row r="81" ht="15.75" customHeight="1">
      <c r="A81" s="34" t="s">
        <v>84</v>
      </c>
      <c r="B81" s="34"/>
      <c r="C81" s="34">
        <v>8.0</v>
      </c>
      <c r="D81" s="34" t="s">
        <v>85</v>
      </c>
      <c r="E81" s="34" t="s">
        <v>77</v>
      </c>
      <c r="F81" s="34" t="s">
        <v>81</v>
      </c>
      <c r="G81" s="34"/>
      <c r="H81" s="14"/>
      <c r="I81" s="22"/>
      <c r="J81" s="22"/>
      <c r="K81" s="22"/>
      <c r="L81" s="22"/>
      <c r="M81" s="22"/>
      <c r="N81" s="22"/>
      <c r="O81" s="22"/>
      <c r="P81" s="22"/>
      <c r="Q81" s="22"/>
      <c r="R81" s="22"/>
      <c r="S81" s="22"/>
      <c r="T81" s="22"/>
      <c r="U81" s="22"/>
      <c r="V81" s="22"/>
      <c r="W81" s="22"/>
      <c r="X81" s="19"/>
      <c r="Y81" s="19"/>
      <c r="Z81" s="19"/>
    </row>
    <row r="82" ht="15.75" customHeight="1">
      <c r="A82" s="36"/>
      <c r="B82" s="36"/>
      <c r="C82" s="36"/>
      <c r="D82" s="14"/>
      <c r="E82" s="14"/>
      <c r="F82" s="14"/>
      <c r="G82" s="14"/>
      <c r="H82" s="14"/>
      <c r="I82" s="22"/>
      <c r="J82" s="22"/>
      <c r="K82" s="22"/>
      <c r="L82" s="22"/>
      <c r="M82" s="22"/>
      <c r="N82" s="22"/>
      <c r="O82" s="22"/>
      <c r="P82" s="22"/>
      <c r="Q82" s="22"/>
      <c r="R82" s="22"/>
      <c r="S82" s="22"/>
      <c r="T82" s="22"/>
      <c r="U82" s="22"/>
      <c r="V82" s="22"/>
      <c r="W82" s="22"/>
      <c r="X82" s="19"/>
      <c r="Y82" s="19"/>
      <c r="Z82" s="19"/>
    </row>
    <row r="110" ht="15.75" customHeight="1">
      <c r="A110" s="37"/>
      <c r="B110" s="37"/>
      <c r="C110" s="38"/>
      <c r="D110" s="39"/>
      <c r="E110" s="39"/>
      <c r="F110" s="39"/>
      <c r="G110" s="39"/>
      <c r="H110" s="39"/>
      <c r="I110" s="39"/>
      <c r="J110" s="39"/>
      <c r="K110" s="39"/>
      <c r="L110" s="39"/>
      <c r="M110" s="39"/>
      <c r="N110" s="39"/>
      <c r="O110" s="39"/>
      <c r="P110" s="39"/>
      <c r="Q110" s="39"/>
      <c r="R110" s="39"/>
      <c r="S110" s="39"/>
      <c r="T110" s="39"/>
      <c r="U110" s="39"/>
      <c r="V110" s="39"/>
      <c r="W110" s="39"/>
    </row>
    <row r="111" ht="15.75" customHeight="1">
      <c r="A111" s="37"/>
      <c r="B111" s="37"/>
      <c r="C111" s="38"/>
      <c r="D111" s="39"/>
      <c r="E111" s="39"/>
      <c r="F111" s="39"/>
      <c r="G111" s="39"/>
      <c r="H111" s="39"/>
      <c r="I111" s="39"/>
      <c r="J111" s="39"/>
      <c r="K111" s="39"/>
      <c r="L111" s="39"/>
      <c r="M111" s="39"/>
      <c r="N111" s="39"/>
      <c r="O111" s="39"/>
      <c r="P111" s="39"/>
      <c r="Q111" s="39"/>
      <c r="R111" s="39"/>
      <c r="S111" s="39"/>
      <c r="T111" s="39"/>
      <c r="U111" s="39"/>
      <c r="V111" s="39"/>
      <c r="W111" s="39"/>
    </row>
    <row r="112" ht="15.75" customHeight="1">
      <c r="A112" s="37"/>
      <c r="B112" s="37"/>
      <c r="C112" s="38"/>
      <c r="D112" s="39"/>
      <c r="E112" s="39"/>
      <c r="F112" s="39"/>
      <c r="G112" s="39"/>
      <c r="H112" s="39"/>
      <c r="I112" s="39"/>
      <c r="J112" s="39"/>
      <c r="K112" s="39"/>
      <c r="L112" s="39"/>
      <c r="M112" s="39"/>
      <c r="N112" s="39"/>
      <c r="O112" s="39"/>
      <c r="P112" s="39"/>
      <c r="Q112" s="39"/>
      <c r="R112" s="39"/>
      <c r="S112" s="39"/>
      <c r="T112" s="39"/>
      <c r="U112" s="39"/>
      <c r="V112" s="39"/>
      <c r="W112" s="39"/>
    </row>
    <row r="113" ht="15.75" customHeight="1">
      <c r="A113" s="37"/>
      <c r="B113" s="37"/>
      <c r="C113" s="38"/>
      <c r="D113" s="39"/>
      <c r="E113" s="39"/>
      <c r="F113" s="39"/>
      <c r="G113" s="39"/>
      <c r="H113" s="39"/>
      <c r="I113" s="39"/>
      <c r="J113" s="39"/>
      <c r="K113" s="39"/>
      <c r="L113" s="39"/>
      <c r="M113" s="39"/>
      <c r="N113" s="39"/>
      <c r="O113" s="39"/>
      <c r="P113" s="39"/>
      <c r="Q113" s="39"/>
      <c r="R113" s="39"/>
      <c r="S113" s="39"/>
      <c r="T113" s="39"/>
      <c r="U113" s="39"/>
      <c r="V113" s="39"/>
      <c r="W113" s="39"/>
    </row>
    <row r="114" ht="15.75" customHeight="1">
      <c r="A114" s="37"/>
      <c r="B114" s="37"/>
      <c r="C114" s="38"/>
      <c r="D114" s="39"/>
      <c r="E114" s="39"/>
      <c r="F114" s="39"/>
      <c r="G114" s="39"/>
      <c r="H114" s="39"/>
      <c r="I114" s="39"/>
      <c r="J114" s="39"/>
      <c r="K114" s="39"/>
      <c r="L114" s="39"/>
      <c r="M114" s="39"/>
      <c r="N114" s="39"/>
      <c r="O114" s="39"/>
      <c r="P114" s="39"/>
      <c r="Q114" s="39"/>
      <c r="R114" s="39"/>
      <c r="S114" s="39"/>
      <c r="T114" s="39"/>
      <c r="U114" s="39"/>
      <c r="V114" s="39"/>
      <c r="W114" s="39"/>
    </row>
    <row r="115" ht="15.75" customHeight="1">
      <c r="A115" s="37"/>
      <c r="B115" s="37"/>
      <c r="C115" s="38"/>
      <c r="D115" s="39"/>
      <c r="E115" s="39"/>
      <c r="F115" s="39"/>
      <c r="G115" s="39"/>
      <c r="H115" s="39"/>
      <c r="I115" s="39"/>
      <c r="J115" s="39"/>
      <c r="K115" s="39"/>
      <c r="L115" s="39"/>
      <c r="M115" s="39"/>
      <c r="N115" s="39"/>
      <c r="O115" s="39"/>
      <c r="P115" s="39"/>
      <c r="Q115" s="39"/>
      <c r="R115" s="39"/>
      <c r="S115" s="39"/>
      <c r="T115" s="39"/>
      <c r="U115" s="39"/>
      <c r="V115" s="39"/>
      <c r="W115" s="39"/>
    </row>
    <row r="116" ht="15.75" customHeight="1">
      <c r="A116" s="37"/>
      <c r="B116" s="37"/>
      <c r="C116" s="38"/>
      <c r="D116" s="39"/>
      <c r="E116" s="39"/>
      <c r="F116" s="39"/>
      <c r="G116" s="39"/>
      <c r="H116" s="39"/>
      <c r="I116" s="39"/>
      <c r="J116" s="39"/>
      <c r="K116" s="39"/>
      <c r="L116" s="39"/>
      <c r="M116" s="39"/>
      <c r="N116" s="39"/>
      <c r="O116" s="39"/>
      <c r="P116" s="39"/>
      <c r="Q116" s="39"/>
      <c r="R116" s="39"/>
      <c r="S116" s="39"/>
      <c r="T116" s="39"/>
      <c r="U116" s="39"/>
      <c r="V116" s="39"/>
      <c r="W116" s="39"/>
    </row>
    <row r="117" ht="15.75" customHeight="1">
      <c r="A117" s="37"/>
      <c r="B117" s="37"/>
      <c r="C117" s="38"/>
      <c r="D117" s="39"/>
      <c r="E117" s="39"/>
      <c r="F117" s="39"/>
      <c r="G117" s="39"/>
      <c r="H117" s="39"/>
      <c r="I117" s="39"/>
      <c r="J117" s="39"/>
      <c r="K117" s="39"/>
      <c r="L117" s="39"/>
      <c r="M117" s="39"/>
      <c r="N117" s="39"/>
      <c r="O117" s="39"/>
      <c r="P117" s="39"/>
      <c r="Q117" s="39"/>
      <c r="R117" s="39"/>
      <c r="S117" s="39"/>
      <c r="T117" s="39"/>
      <c r="U117" s="39"/>
      <c r="V117" s="39"/>
      <c r="W117" s="39"/>
    </row>
    <row r="118" ht="15.75" customHeight="1">
      <c r="A118" s="37"/>
      <c r="B118" s="37"/>
      <c r="C118" s="38"/>
      <c r="D118" s="39"/>
      <c r="E118" s="39"/>
      <c r="F118" s="39"/>
      <c r="G118" s="39"/>
      <c r="H118" s="39"/>
      <c r="I118" s="39"/>
      <c r="J118" s="39"/>
      <c r="K118" s="39"/>
      <c r="L118" s="39"/>
      <c r="M118" s="39"/>
      <c r="N118" s="39"/>
      <c r="O118" s="39"/>
      <c r="P118" s="39"/>
      <c r="Q118" s="39"/>
      <c r="R118" s="39"/>
      <c r="S118" s="39"/>
      <c r="T118" s="39"/>
      <c r="U118" s="39"/>
      <c r="V118" s="39"/>
      <c r="W118" s="39"/>
    </row>
    <row r="119" ht="15.75" customHeight="1">
      <c r="A119" s="37"/>
      <c r="B119" s="37"/>
      <c r="C119" s="38"/>
      <c r="D119" s="39"/>
      <c r="E119" s="39"/>
      <c r="F119" s="39"/>
      <c r="G119" s="39"/>
      <c r="H119" s="39"/>
      <c r="I119" s="39"/>
      <c r="J119" s="39"/>
      <c r="K119" s="39"/>
      <c r="L119" s="39"/>
      <c r="M119" s="39"/>
      <c r="N119" s="39"/>
      <c r="O119" s="39"/>
      <c r="P119" s="39"/>
      <c r="Q119" s="39"/>
      <c r="R119" s="39"/>
      <c r="S119" s="39"/>
      <c r="T119" s="39"/>
      <c r="U119" s="39"/>
      <c r="V119" s="39"/>
      <c r="W119" s="39"/>
    </row>
    <row r="120" ht="15.75" customHeight="1">
      <c r="A120" s="37"/>
      <c r="B120" s="37"/>
      <c r="C120" s="38"/>
      <c r="D120" s="39"/>
      <c r="E120" s="39"/>
      <c r="F120" s="39"/>
      <c r="G120" s="39"/>
      <c r="H120" s="39"/>
      <c r="I120" s="39"/>
      <c r="J120" s="39"/>
      <c r="K120" s="39"/>
      <c r="L120" s="39"/>
      <c r="M120" s="39"/>
      <c r="N120" s="39"/>
      <c r="O120" s="39"/>
      <c r="P120" s="39"/>
      <c r="Q120" s="39"/>
      <c r="R120" s="39"/>
      <c r="S120" s="39"/>
      <c r="T120" s="39"/>
      <c r="U120" s="39"/>
      <c r="V120" s="39"/>
      <c r="W120" s="39"/>
    </row>
    <row r="121" ht="15.75" customHeight="1">
      <c r="A121" s="37"/>
      <c r="B121" s="37"/>
      <c r="C121" s="38"/>
      <c r="D121" s="39"/>
      <c r="E121" s="39"/>
      <c r="F121" s="39"/>
      <c r="G121" s="39"/>
      <c r="H121" s="39"/>
      <c r="I121" s="39"/>
      <c r="J121" s="39"/>
      <c r="K121" s="39"/>
      <c r="L121" s="39"/>
      <c r="M121" s="39"/>
      <c r="N121" s="39"/>
      <c r="O121" s="39"/>
      <c r="P121" s="39"/>
      <c r="Q121" s="39"/>
      <c r="R121" s="39"/>
      <c r="S121" s="39"/>
      <c r="T121" s="39"/>
      <c r="U121" s="39"/>
      <c r="V121" s="39"/>
      <c r="W121" s="39"/>
    </row>
    <row r="122" ht="15.75" customHeight="1">
      <c r="A122" s="37"/>
      <c r="B122" s="37"/>
      <c r="C122" s="38"/>
      <c r="D122" s="39"/>
      <c r="E122" s="39"/>
      <c r="F122" s="39"/>
      <c r="G122" s="39"/>
      <c r="H122" s="39"/>
      <c r="I122" s="39"/>
      <c r="J122" s="39"/>
      <c r="K122" s="39"/>
      <c r="L122" s="39"/>
      <c r="M122" s="39"/>
      <c r="N122" s="39"/>
      <c r="O122" s="39"/>
      <c r="P122" s="39"/>
      <c r="Q122" s="39"/>
      <c r="R122" s="39"/>
      <c r="S122" s="39"/>
      <c r="T122" s="39"/>
      <c r="U122" s="39"/>
      <c r="V122" s="39"/>
      <c r="W122" s="39"/>
    </row>
    <row r="123" ht="15.75" customHeight="1">
      <c r="A123" s="37"/>
      <c r="B123" s="37"/>
      <c r="C123" s="38"/>
      <c r="D123" s="39"/>
      <c r="E123" s="39"/>
      <c r="F123" s="39"/>
      <c r="G123" s="39"/>
      <c r="H123" s="39"/>
      <c r="I123" s="39"/>
      <c r="J123" s="39"/>
      <c r="K123" s="39"/>
      <c r="L123" s="39"/>
      <c r="M123" s="39"/>
      <c r="N123" s="39"/>
      <c r="O123" s="39"/>
      <c r="P123" s="39"/>
      <c r="Q123" s="39"/>
      <c r="R123" s="39"/>
      <c r="S123" s="39"/>
      <c r="T123" s="39"/>
      <c r="U123" s="39"/>
      <c r="V123" s="39"/>
      <c r="W123" s="39"/>
    </row>
    <row r="124" ht="15.75" customHeight="1">
      <c r="A124" s="37"/>
      <c r="B124" s="37"/>
      <c r="C124" s="38"/>
      <c r="D124" s="39"/>
      <c r="E124" s="39"/>
      <c r="F124" s="39"/>
      <c r="G124" s="39"/>
      <c r="H124" s="39"/>
      <c r="I124" s="39"/>
      <c r="J124" s="39"/>
      <c r="K124" s="39"/>
      <c r="L124" s="39"/>
      <c r="M124" s="39"/>
      <c r="N124" s="39"/>
      <c r="O124" s="39"/>
      <c r="P124" s="39"/>
      <c r="Q124" s="39"/>
      <c r="R124" s="39"/>
      <c r="S124" s="39"/>
      <c r="T124" s="39"/>
      <c r="U124" s="39"/>
      <c r="V124" s="39"/>
      <c r="W124" s="39"/>
    </row>
    <row r="125" ht="15.75" customHeight="1">
      <c r="A125" s="37"/>
      <c r="B125" s="37"/>
      <c r="C125" s="38"/>
      <c r="D125" s="39"/>
      <c r="E125" s="39"/>
      <c r="F125" s="39"/>
      <c r="G125" s="39"/>
      <c r="H125" s="39"/>
      <c r="I125" s="39"/>
      <c r="J125" s="39"/>
      <c r="K125" s="39"/>
      <c r="L125" s="39"/>
      <c r="M125" s="39"/>
      <c r="N125" s="39"/>
      <c r="O125" s="39"/>
      <c r="P125" s="39"/>
      <c r="Q125" s="39"/>
      <c r="R125" s="39"/>
      <c r="S125" s="39"/>
      <c r="T125" s="39"/>
      <c r="U125" s="39"/>
      <c r="V125" s="39"/>
      <c r="W125" s="39"/>
    </row>
    <row r="126" ht="15.75" customHeight="1">
      <c r="A126" s="37"/>
      <c r="B126" s="37"/>
      <c r="C126" s="38"/>
      <c r="D126" s="39"/>
      <c r="E126" s="39"/>
      <c r="F126" s="39"/>
      <c r="G126" s="39"/>
      <c r="H126" s="39"/>
      <c r="I126" s="39"/>
      <c r="J126" s="39"/>
      <c r="K126" s="39"/>
      <c r="L126" s="39"/>
      <c r="M126" s="39"/>
      <c r="N126" s="39"/>
      <c r="O126" s="39"/>
      <c r="P126" s="39"/>
      <c r="Q126" s="39"/>
      <c r="R126" s="39"/>
      <c r="S126" s="39"/>
      <c r="T126" s="39"/>
      <c r="U126" s="39"/>
      <c r="V126" s="39"/>
      <c r="W126" s="39"/>
    </row>
    <row r="127" ht="15.75" customHeight="1">
      <c r="A127" s="37"/>
      <c r="B127" s="37"/>
      <c r="C127" s="38"/>
      <c r="D127" s="39"/>
      <c r="E127" s="39"/>
      <c r="F127" s="39"/>
      <c r="G127" s="39"/>
      <c r="H127" s="39"/>
      <c r="I127" s="39"/>
      <c r="J127" s="39"/>
      <c r="K127" s="39"/>
      <c r="L127" s="39"/>
      <c r="M127" s="39"/>
      <c r="N127" s="39"/>
      <c r="O127" s="39"/>
      <c r="P127" s="39"/>
      <c r="Q127" s="39"/>
      <c r="R127" s="39"/>
      <c r="S127" s="39"/>
      <c r="T127" s="39"/>
      <c r="U127" s="39"/>
      <c r="V127" s="39"/>
      <c r="W127" s="39"/>
    </row>
    <row r="128" ht="15.75" customHeight="1">
      <c r="A128" s="37"/>
      <c r="B128" s="37"/>
      <c r="C128" s="38"/>
      <c r="D128" s="39"/>
      <c r="E128" s="39"/>
      <c r="F128" s="39"/>
      <c r="G128" s="39"/>
      <c r="H128" s="39"/>
      <c r="I128" s="39"/>
      <c r="J128" s="39"/>
      <c r="K128" s="39"/>
      <c r="L128" s="39"/>
      <c r="M128" s="39"/>
      <c r="N128" s="39"/>
      <c r="O128" s="39"/>
      <c r="P128" s="39"/>
      <c r="Q128" s="39"/>
      <c r="R128" s="39"/>
      <c r="S128" s="39"/>
      <c r="T128" s="39"/>
      <c r="U128" s="39"/>
      <c r="V128" s="39"/>
      <c r="W128" s="39"/>
    </row>
    <row r="129" ht="15.75" customHeight="1">
      <c r="A129" s="37"/>
      <c r="B129" s="37"/>
      <c r="C129" s="38"/>
      <c r="D129" s="39"/>
      <c r="E129" s="39"/>
      <c r="F129" s="39"/>
      <c r="G129" s="39"/>
      <c r="H129" s="39"/>
      <c r="I129" s="39"/>
      <c r="J129" s="39"/>
      <c r="K129" s="39"/>
      <c r="L129" s="39"/>
      <c r="M129" s="39"/>
      <c r="N129" s="39"/>
      <c r="O129" s="39"/>
      <c r="P129" s="39"/>
      <c r="Q129" s="39"/>
      <c r="R129" s="39"/>
      <c r="S129" s="39"/>
      <c r="T129" s="39"/>
      <c r="U129" s="39"/>
      <c r="V129" s="39"/>
      <c r="W129" s="39"/>
    </row>
    <row r="130" ht="15.75" customHeight="1">
      <c r="A130" s="37"/>
      <c r="B130" s="37"/>
      <c r="C130" s="38"/>
      <c r="D130" s="39"/>
      <c r="E130" s="39"/>
      <c r="F130" s="39"/>
      <c r="G130" s="39"/>
      <c r="H130" s="39"/>
      <c r="I130" s="39"/>
      <c r="J130" s="39"/>
      <c r="K130" s="39"/>
      <c r="L130" s="39"/>
      <c r="M130" s="39"/>
      <c r="N130" s="39"/>
      <c r="O130" s="39"/>
      <c r="P130" s="39"/>
      <c r="Q130" s="39"/>
      <c r="R130" s="39"/>
      <c r="S130" s="39"/>
      <c r="T130" s="39"/>
      <c r="U130" s="39"/>
      <c r="V130" s="39"/>
      <c r="W130" s="39"/>
    </row>
    <row r="131" ht="15.75" customHeight="1">
      <c r="A131" s="37"/>
      <c r="B131" s="37"/>
      <c r="C131" s="38"/>
      <c r="D131" s="39"/>
      <c r="E131" s="39"/>
      <c r="F131" s="39"/>
      <c r="G131" s="39"/>
      <c r="H131" s="39"/>
      <c r="I131" s="39"/>
      <c r="J131" s="39"/>
      <c r="K131" s="39"/>
      <c r="L131" s="39"/>
      <c r="M131" s="39"/>
      <c r="N131" s="39"/>
      <c r="O131" s="39"/>
      <c r="P131" s="39"/>
      <c r="Q131" s="39"/>
      <c r="R131" s="39"/>
      <c r="S131" s="39"/>
      <c r="T131" s="39"/>
      <c r="U131" s="39"/>
      <c r="V131" s="39"/>
      <c r="W131" s="39"/>
    </row>
    <row r="132" ht="15.75" customHeight="1">
      <c r="A132" s="37"/>
      <c r="B132" s="37"/>
      <c r="C132" s="38"/>
      <c r="D132" s="39"/>
      <c r="E132" s="39"/>
      <c r="F132" s="39"/>
      <c r="G132" s="39"/>
      <c r="H132" s="39"/>
      <c r="I132" s="39"/>
      <c r="J132" s="39"/>
      <c r="K132" s="39"/>
      <c r="L132" s="39"/>
      <c r="M132" s="39"/>
      <c r="N132" s="39"/>
      <c r="O132" s="39"/>
      <c r="P132" s="39"/>
      <c r="Q132" s="39"/>
      <c r="R132" s="39"/>
      <c r="S132" s="39"/>
      <c r="T132" s="39"/>
      <c r="U132" s="39"/>
      <c r="V132" s="39"/>
      <c r="W132" s="39"/>
    </row>
    <row r="133" ht="15.75" customHeight="1">
      <c r="A133" s="37"/>
      <c r="B133" s="37"/>
      <c r="C133" s="38"/>
      <c r="D133" s="39"/>
      <c r="E133" s="39"/>
      <c r="F133" s="39"/>
      <c r="G133" s="39"/>
      <c r="H133" s="39"/>
      <c r="I133" s="39"/>
      <c r="J133" s="39"/>
      <c r="K133" s="39"/>
      <c r="L133" s="39"/>
      <c r="M133" s="39"/>
      <c r="N133" s="39"/>
      <c r="O133" s="39"/>
      <c r="P133" s="39"/>
      <c r="Q133" s="39"/>
      <c r="R133" s="39"/>
      <c r="S133" s="39"/>
      <c r="T133" s="39"/>
      <c r="U133" s="39"/>
      <c r="V133" s="39"/>
      <c r="W133" s="39"/>
    </row>
    <row r="134" ht="15.75" customHeight="1">
      <c r="A134" s="37"/>
      <c r="B134" s="37"/>
      <c r="C134" s="38"/>
      <c r="D134" s="39"/>
      <c r="E134" s="39"/>
      <c r="F134" s="39"/>
      <c r="G134" s="39"/>
      <c r="H134" s="39"/>
      <c r="I134" s="39"/>
      <c r="J134" s="39"/>
      <c r="K134" s="39"/>
      <c r="L134" s="39"/>
      <c r="M134" s="39"/>
      <c r="N134" s="39"/>
      <c r="O134" s="39"/>
      <c r="P134" s="39"/>
      <c r="Q134" s="39"/>
      <c r="R134" s="39"/>
      <c r="S134" s="39"/>
      <c r="T134" s="39"/>
      <c r="U134" s="39"/>
      <c r="V134" s="39"/>
      <c r="W134" s="39"/>
    </row>
    <row r="135" ht="15.75" customHeight="1">
      <c r="A135" s="37"/>
      <c r="B135" s="37"/>
      <c r="C135" s="38"/>
      <c r="D135" s="39"/>
      <c r="E135" s="39"/>
      <c r="F135" s="39"/>
      <c r="G135" s="39"/>
      <c r="H135" s="39"/>
      <c r="I135" s="39"/>
      <c r="J135" s="39"/>
      <c r="K135" s="39"/>
      <c r="L135" s="39"/>
      <c r="M135" s="39"/>
      <c r="N135" s="39"/>
      <c r="O135" s="39"/>
      <c r="P135" s="39"/>
      <c r="Q135" s="39"/>
      <c r="R135" s="39"/>
      <c r="S135" s="39"/>
      <c r="T135" s="39"/>
      <c r="U135" s="39"/>
      <c r="V135" s="39"/>
      <c r="W135" s="39"/>
    </row>
    <row r="136" ht="15.75" customHeight="1">
      <c r="A136" s="37"/>
      <c r="B136" s="37"/>
      <c r="C136" s="38"/>
      <c r="D136" s="39"/>
      <c r="E136" s="39"/>
      <c r="F136" s="39"/>
      <c r="G136" s="39"/>
      <c r="H136" s="39"/>
      <c r="I136" s="39"/>
      <c r="J136" s="39"/>
      <c r="K136" s="39"/>
      <c r="L136" s="39"/>
      <c r="M136" s="39"/>
      <c r="N136" s="39"/>
      <c r="O136" s="39"/>
      <c r="P136" s="39"/>
      <c r="Q136" s="39"/>
      <c r="R136" s="39"/>
      <c r="S136" s="39"/>
      <c r="T136" s="39"/>
      <c r="U136" s="39"/>
      <c r="V136" s="39"/>
      <c r="W136" s="39"/>
    </row>
    <row r="137" ht="15.75" customHeight="1">
      <c r="A137" s="37"/>
      <c r="B137" s="37"/>
      <c r="C137" s="38"/>
      <c r="D137" s="39"/>
      <c r="E137" s="39"/>
      <c r="F137" s="39"/>
      <c r="G137" s="39"/>
      <c r="H137" s="39"/>
      <c r="I137" s="39"/>
      <c r="J137" s="39"/>
      <c r="K137" s="39"/>
      <c r="L137" s="39"/>
      <c r="M137" s="39"/>
      <c r="N137" s="39"/>
      <c r="O137" s="39"/>
      <c r="P137" s="39"/>
      <c r="Q137" s="39"/>
      <c r="R137" s="39"/>
      <c r="S137" s="39"/>
      <c r="T137" s="39"/>
      <c r="U137" s="39"/>
      <c r="V137" s="39"/>
      <c r="W137" s="39"/>
    </row>
    <row r="138" ht="15.75" customHeight="1">
      <c r="A138" s="37"/>
      <c r="B138" s="37"/>
      <c r="C138" s="38"/>
      <c r="D138" s="39"/>
      <c r="E138" s="39"/>
      <c r="F138" s="39"/>
      <c r="G138" s="39"/>
      <c r="H138" s="39"/>
      <c r="I138" s="39"/>
      <c r="J138" s="39"/>
      <c r="K138" s="39"/>
      <c r="L138" s="39"/>
      <c r="M138" s="39"/>
      <c r="N138" s="39"/>
      <c r="O138" s="39"/>
      <c r="P138" s="39"/>
      <c r="Q138" s="39"/>
      <c r="R138" s="39"/>
      <c r="S138" s="39"/>
      <c r="T138" s="39"/>
      <c r="U138" s="39"/>
      <c r="V138" s="39"/>
      <c r="W138" s="39"/>
    </row>
    <row r="139" ht="15.75" customHeight="1">
      <c r="A139" s="37"/>
      <c r="B139" s="37"/>
      <c r="C139" s="38"/>
      <c r="D139" s="39"/>
      <c r="E139" s="39"/>
      <c r="F139" s="39"/>
      <c r="G139" s="39"/>
      <c r="H139" s="39"/>
      <c r="I139" s="39"/>
      <c r="J139" s="39"/>
      <c r="K139" s="39"/>
      <c r="L139" s="39"/>
      <c r="M139" s="39"/>
      <c r="N139" s="39"/>
      <c r="O139" s="39"/>
      <c r="P139" s="39"/>
      <c r="Q139" s="39"/>
      <c r="R139" s="39"/>
      <c r="S139" s="39"/>
      <c r="T139" s="39"/>
      <c r="U139" s="39"/>
      <c r="V139" s="39"/>
      <c r="W139" s="39"/>
    </row>
    <row r="140" ht="15.75" customHeight="1">
      <c r="A140" s="37"/>
      <c r="B140" s="37"/>
      <c r="C140" s="38"/>
      <c r="D140" s="39"/>
      <c r="E140" s="39"/>
      <c r="F140" s="39"/>
      <c r="G140" s="39"/>
      <c r="H140" s="39"/>
      <c r="I140" s="39"/>
      <c r="J140" s="39"/>
      <c r="K140" s="39"/>
      <c r="L140" s="39"/>
      <c r="M140" s="39"/>
      <c r="N140" s="39"/>
      <c r="O140" s="39"/>
      <c r="P140" s="39"/>
      <c r="Q140" s="39"/>
      <c r="R140" s="39"/>
      <c r="S140" s="39"/>
      <c r="T140" s="39"/>
      <c r="U140" s="39"/>
      <c r="V140" s="39"/>
      <c r="W140" s="39"/>
    </row>
    <row r="141" ht="15.75" customHeight="1">
      <c r="A141" s="37"/>
      <c r="B141" s="37"/>
      <c r="C141" s="38"/>
      <c r="D141" s="39"/>
      <c r="E141" s="39"/>
      <c r="F141" s="39"/>
      <c r="G141" s="39"/>
      <c r="H141" s="39"/>
      <c r="I141" s="39"/>
      <c r="J141" s="39"/>
      <c r="K141" s="39"/>
      <c r="L141" s="39"/>
      <c r="M141" s="39"/>
      <c r="N141" s="39"/>
      <c r="O141" s="39"/>
      <c r="P141" s="39"/>
      <c r="Q141" s="39"/>
      <c r="R141" s="39"/>
      <c r="S141" s="39"/>
      <c r="T141" s="39"/>
      <c r="U141" s="39"/>
      <c r="V141" s="39"/>
      <c r="W141" s="39"/>
    </row>
    <row r="142" ht="15.75" customHeight="1">
      <c r="A142" s="37"/>
      <c r="B142" s="37"/>
      <c r="C142" s="38"/>
      <c r="D142" s="39"/>
      <c r="E142" s="39"/>
      <c r="F142" s="39"/>
      <c r="G142" s="39"/>
      <c r="H142" s="39"/>
      <c r="I142" s="39"/>
      <c r="J142" s="39"/>
      <c r="K142" s="39"/>
      <c r="L142" s="39"/>
      <c r="M142" s="39"/>
      <c r="N142" s="39"/>
      <c r="O142" s="39"/>
      <c r="P142" s="39"/>
      <c r="Q142" s="39"/>
      <c r="R142" s="39"/>
      <c r="S142" s="39"/>
      <c r="T142" s="39"/>
      <c r="U142" s="39"/>
      <c r="V142" s="39"/>
      <c r="W142" s="39"/>
    </row>
    <row r="143" ht="15.75" customHeight="1">
      <c r="A143" s="37"/>
      <c r="B143" s="37"/>
      <c r="C143" s="38"/>
      <c r="D143" s="39"/>
      <c r="E143" s="39"/>
      <c r="F143" s="39"/>
      <c r="G143" s="39"/>
      <c r="H143" s="39"/>
      <c r="I143" s="39"/>
      <c r="J143" s="39"/>
      <c r="K143" s="39"/>
      <c r="L143" s="39"/>
      <c r="M143" s="39"/>
      <c r="N143" s="39"/>
      <c r="O143" s="39"/>
      <c r="P143" s="39"/>
      <c r="Q143" s="39"/>
      <c r="R143" s="39"/>
      <c r="S143" s="39"/>
      <c r="T143" s="39"/>
      <c r="U143" s="39"/>
      <c r="V143" s="39"/>
      <c r="W143" s="39"/>
    </row>
    <row r="144" ht="15.75" customHeight="1">
      <c r="A144" s="37"/>
      <c r="B144" s="37"/>
      <c r="C144" s="38"/>
      <c r="D144" s="39"/>
      <c r="E144" s="39"/>
      <c r="F144" s="39"/>
      <c r="G144" s="39"/>
      <c r="H144" s="39"/>
      <c r="I144" s="39"/>
      <c r="J144" s="39"/>
      <c r="K144" s="39"/>
      <c r="L144" s="39"/>
      <c r="M144" s="39"/>
      <c r="N144" s="39"/>
      <c r="O144" s="39"/>
      <c r="P144" s="39"/>
      <c r="Q144" s="39"/>
      <c r="R144" s="39"/>
      <c r="S144" s="39"/>
      <c r="T144" s="39"/>
      <c r="U144" s="39"/>
      <c r="V144" s="39"/>
      <c r="W144" s="39"/>
    </row>
    <row r="145" ht="15.75" customHeight="1">
      <c r="A145" s="37"/>
      <c r="B145" s="37"/>
      <c r="C145" s="38"/>
      <c r="D145" s="39"/>
      <c r="E145" s="39"/>
      <c r="F145" s="39"/>
      <c r="G145" s="39"/>
      <c r="H145" s="39"/>
      <c r="I145" s="39"/>
      <c r="J145" s="39"/>
      <c r="K145" s="39"/>
      <c r="L145" s="39"/>
      <c r="M145" s="39"/>
      <c r="N145" s="39"/>
      <c r="O145" s="39"/>
      <c r="P145" s="39"/>
      <c r="Q145" s="39"/>
      <c r="R145" s="39"/>
      <c r="S145" s="39"/>
      <c r="T145" s="39"/>
      <c r="U145" s="39"/>
      <c r="V145" s="39"/>
      <c r="W145" s="39"/>
    </row>
    <row r="146" ht="15.75" customHeight="1">
      <c r="A146" s="37"/>
      <c r="B146" s="37"/>
      <c r="C146" s="38"/>
      <c r="D146" s="39"/>
      <c r="E146" s="39"/>
      <c r="F146" s="39"/>
      <c r="G146" s="39"/>
      <c r="H146" s="39"/>
      <c r="I146" s="39"/>
      <c r="J146" s="39"/>
      <c r="K146" s="39"/>
      <c r="L146" s="39"/>
      <c r="M146" s="39"/>
      <c r="N146" s="39"/>
      <c r="O146" s="39"/>
      <c r="P146" s="39"/>
      <c r="Q146" s="39"/>
      <c r="R146" s="39"/>
      <c r="S146" s="39"/>
      <c r="T146" s="39"/>
      <c r="U146" s="39"/>
      <c r="V146" s="39"/>
      <c r="W146" s="39"/>
    </row>
    <row r="147" ht="15.75" customHeight="1">
      <c r="A147" s="37"/>
      <c r="B147" s="37"/>
      <c r="C147" s="38"/>
      <c r="D147" s="39"/>
      <c r="E147" s="39"/>
      <c r="F147" s="39"/>
      <c r="G147" s="39"/>
      <c r="H147" s="39"/>
      <c r="I147" s="39"/>
      <c r="J147" s="39"/>
      <c r="K147" s="39"/>
      <c r="L147" s="39"/>
      <c r="M147" s="39"/>
      <c r="N147" s="39"/>
      <c r="O147" s="39"/>
      <c r="P147" s="39"/>
      <c r="Q147" s="39"/>
      <c r="R147" s="39"/>
      <c r="S147" s="39"/>
      <c r="T147" s="39"/>
      <c r="U147" s="39"/>
      <c r="V147" s="39"/>
      <c r="W147" s="39"/>
    </row>
    <row r="148" ht="15.75" customHeight="1">
      <c r="A148" s="37"/>
      <c r="B148" s="37"/>
      <c r="C148" s="38"/>
      <c r="D148" s="39"/>
      <c r="E148" s="39"/>
      <c r="F148" s="39"/>
      <c r="G148" s="39"/>
      <c r="H148" s="39"/>
      <c r="I148" s="39"/>
      <c r="J148" s="39"/>
      <c r="K148" s="39"/>
      <c r="L148" s="39"/>
      <c r="M148" s="39"/>
      <c r="N148" s="39"/>
      <c r="O148" s="39"/>
      <c r="P148" s="39"/>
      <c r="Q148" s="39"/>
      <c r="R148" s="39"/>
      <c r="S148" s="39"/>
      <c r="T148" s="39"/>
      <c r="U148" s="39"/>
      <c r="V148" s="39"/>
      <c r="W148" s="39"/>
    </row>
    <row r="149" ht="15.75" customHeight="1">
      <c r="A149" s="37"/>
      <c r="B149" s="37"/>
      <c r="C149" s="38"/>
      <c r="D149" s="39"/>
      <c r="E149" s="39"/>
      <c r="F149" s="39"/>
      <c r="G149" s="39"/>
      <c r="H149" s="39"/>
      <c r="I149" s="39"/>
      <c r="J149" s="39"/>
      <c r="K149" s="39"/>
      <c r="L149" s="39"/>
      <c r="M149" s="39"/>
      <c r="N149" s="39"/>
      <c r="O149" s="39"/>
      <c r="P149" s="39"/>
      <c r="Q149" s="39"/>
      <c r="R149" s="39"/>
      <c r="S149" s="39"/>
      <c r="T149" s="39"/>
      <c r="U149" s="39"/>
      <c r="V149" s="39"/>
      <c r="W149" s="39"/>
    </row>
    <row r="150" ht="15.75" customHeight="1">
      <c r="A150" s="37"/>
      <c r="B150" s="37"/>
      <c r="C150" s="38"/>
      <c r="D150" s="39"/>
      <c r="E150" s="39"/>
      <c r="F150" s="39"/>
      <c r="G150" s="39"/>
      <c r="H150" s="39"/>
      <c r="I150" s="39"/>
      <c r="J150" s="39"/>
      <c r="K150" s="39"/>
      <c r="L150" s="39"/>
      <c r="M150" s="39"/>
      <c r="N150" s="39"/>
      <c r="O150" s="39"/>
      <c r="P150" s="39"/>
      <c r="Q150" s="39"/>
      <c r="R150" s="39"/>
      <c r="S150" s="39"/>
      <c r="T150" s="39"/>
      <c r="U150" s="39"/>
      <c r="V150" s="39"/>
      <c r="W150" s="39"/>
    </row>
    <row r="151" ht="15.75" customHeight="1">
      <c r="A151" s="37"/>
      <c r="B151" s="37"/>
      <c r="C151" s="38"/>
      <c r="D151" s="39"/>
      <c r="E151" s="39"/>
      <c r="F151" s="39"/>
      <c r="G151" s="39"/>
      <c r="H151" s="39"/>
      <c r="I151" s="39"/>
      <c r="J151" s="39"/>
      <c r="K151" s="39"/>
      <c r="L151" s="39"/>
      <c r="M151" s="39"/>
      <c r="N151" s="39"/>
      <c r="O151" s="39"/>
      <c r="P151" s="39"/>
      <c r="Q151" s="39"/>
      <c r="R151" s="39"/>
      <c r="S151" s="39"/>
      <c r="T151" s="39"/>
      <c r="U151" s="39"/>
      <c r="V151" s="39"/>
      <c r="W151" s="39"/>
    </row>
    <row r="152" ht="15.75" customHeight="1">
      <c r="A152" s="37"/>
      <c r="B152" s="37"/>
      <c r="C152" s="38"/>
      <c r="D152" s="39"/>
      <c r="E152" s="39"/>
      <c r="F152" s="39"/>
      <c r="G152" s="39"/>
      <c r="H152" s="39"/>
      <c r="I152" s="39"/>
      <c r="J152" s="39"/>
      <c r="K152" s="39"/>
      <c r="L152" s="39"/>
      <c r="M152" s="39"/>
      <c r="N152" s="39"/>
      <c r="O152" s="39"/>
      <c r="P152" s="39"/>
      <c r="Q152" s="39"/>
      <c r="R152" s="39"/>
      <c r="S152" s="39"/>
      <c r="T152" s="39"/>
      <c r="U152" s="39"/>
      <c r="V152" s="39"/>
      <c r="W152" s="39"/>
    </row>
    <row r="153" ht="15.75" customHeight="1">
      <c r="A153" s="37"/>
      <c r="B153" s="37"/>
      <c r="C153" s="38"/>
      <c r="D153" s="39"/>
      <c r="E153" s="39"/>
      <c r="F153" s="39"/>
      <c r="G153" s="39"/>
      <c r="H153" s="39"/>
      <c r="I153" s="39"/>
      <c r="J153" s="39"/>
      <c r="K153" s="39"/>
      <c r="L153" s="39"/>
      <c r="M153" s="39"/>
      <c r="N153" s="39"/>
      <c r="O153" s="39"/>
      <c r="P153" s="39"/>
      <c r="Q153" s="39"/>
      <c r="R153" s="39"/>
      <c r="S153" s="39"/>
      <c r="T153" s="39"/>
      <c r="U153" s="39"/>
      <c r="V153" s="39"/>
      <c r="W153" s="39"/>
    </row>
    <row r="154" ht="15.75" customHeight="1">
      <c r="A154" s="37"/>
      <c r="B154" s="37"/>
      <c r="C154" s="38"/>
      <c r="D154" s="39"/>
      <c r="E154" s="39"/>
      <c r="F154" s="39"/>
      <c r="G154" s="39"/>
      <c r="H154" s="39"/>
      <c r="I154" s="39"/>
      <c r="J154" s="39"/>
      <c r="K154" s="39"/>
      <c r="L154" s="39"/>
      <c r="M154" s="39"/>
      <c r="N154" s="39"/>
      <c r="O154" s="39"/>
      <c r="P154" s="39"/>
      <c r="Q154" s="39"/>
      <c r="R154" s="39"/>
      <c r="S154" s="39"/>
      <c r="T154" s="39"/>
      <c r="U154" s="39"/>
      <c r="V154" s="39"/>
      <c r="W154" s="39"/>
    </row>
    <row r="155" ht="15.75" customHeight="1">
      <c r="A155" s="37"/>
      <c r="B155" s="37"/>
      <c r="C155" s="38"/>
      <c r="D155" s="39"/>
      <c r="E155" s="39"/>
      <c r="F155" s="39"/>
      <c r="G155" s="39"/>
      <c r="H155" s="39"/>
      <c r="I155" s="39"/>
      <c r="J155" s="39"/>
      <c r="K155" s="39"/>
      <c r="L155" s="39"/>
      <c r="M155" s="39"/>
      <c r="N155" s="39"/>
      <c r="O155" s="39"/>
      <c r="P155" s="39"/>
      <c r="Q155" s="39"/>
      <c r="R155" s="39"/>
      <c r="S155" s="39"/>
      <c r="T155" s="39"/>
      <c r="U155" s="39"/>
      <c r="V155" s="39"/>
      <c r="W155" s="39"/>
    </row>
    <row r="156" ht="15.75" customHeight="1">
      <c r="A156" s="37"/>
      <c r="B156" s="37"/>
      <c r="C156" s="38"/>
      <c r="D156" s="39"/>
      <c r="E156" s="39"/>
      <c r="F156" s="39"/>
      <c r="G156" s="39"/>
      <c r="H156" s="39"/>
      <c r="I156" s="39"/>
      <c r="J156" s="39"/>
      <c r="K156" s="39"/>
      <c r="L156" s="39"/>
      <c r="M156" s="39"/>
      <c r="N156" s="39"/>
      <c r="O156" s="39"/>
      <c r="P156" s="39"/>
      <c r="Q156" s="39"/>
      <c r="R156" s="39"/>
      <c r="S156" s="39"/>
      <c r="T156" s="39"/>
      <c r="U156" s="39"/>
      <c r="V156" s="39"/>
      <c r="W156" s="39"/>
    </row>
    <row r="157" ht="15.75" customHeight="1">
      <c r="A157" s="37"/>
      <c r="B157" s="37"/>
      <c r="C157" s="38"/>
      <c r="D157" s="39"/>
      <c r="E157" s="39"/>
      <c r="F157" s="39"/>
      <c r="G157" s="39"/>
      <c r="H157" s="39"/>
      <c r="I157" s="39"/>
      <c r="J157" s="39"/>
      <c r="K157" s="39"/>
      <c r="L157" s="39"/>
      <c r="M157" s="39"/>
      <c r="N157" s="39"/>
      <c r="O157" s="39"/>
      <c r="P157" s="39"/>
      <c r="Q157" s="39"/>
      <c r="R157" s="39"/>
      <c r="S157" s="39"/>
      <c r="T157" s="39"/>
      <c r="U157" s="39"/>
      <c r="V157" s="39"/>
      <c r="W157" s="39"/>
    </row>
    <row r="158" ht="15.75" customHeight="1">
      <c r="A158" s="37"/>
      <c r="B158" s="37"/>
      <c r="C158" s="38"/>
      <c r="D158" s="39"/>
      <c r="E158" s="39"/>
      <c r="F158" s="39"/>
      <c r="G158" s="39"/>
      <c r="H158" s="39"/>
      <c r="I158" s="39"/>
      <c r="J158" s="39"/>
      <c r="K158" s="39"/>
      <c r="L158" s="39"/>
      <c r="M158" s="39"/>
      <c r="N158" s="39"/>
      <c r="O158" s="39"/>
      <c r="P158" s="39"/>
      <c r="Q158" s="39"/>
      <c r="R158" s="39"/>
      <c r="S158" s="39"/>
      <c r="T158" s="39"/>
      <c r="U158" s="39"/>
      <c r="V158" s="39"/>
      <c r="W158" s="39"/>
    </row>
    <row r="159" ht="15.75" customHeight="1">
      <c r="A159" s="37"/>
      <c r="B159" s="37"/>
      <c r="C159" s="38"/>
      <c r="D159" s="39"/>
      <c r="E159" s="39"/>
      <c r="F159" s="39"/>
      <c r="G159" s="39"/>
      <c r="H159" s="39"/>
      <c r="I159" s="39"/>
      <c r="J159" s="39"/>
      <c r="K159" s="39"/>
      <c r="L159" s="39"/>
      <c r="M159" s="39"/>
      <c r="N159" s="39"/>
      <c r="O159" s="39"/>
      <c r="P159" s="39"/>
      <c r="Q159" s="39"/>
      <c r="R159" s="39"/>
      <c r="S159" s="39"/>
      <c r="T159" s="39"/>
      <c r="U159" s="39"/>
      <c r="V159" s="39"/>
      <c r="W159" s="39"/>
    </row>
    <row r="160" ht="15.75" customHeight="1">
      <c r="A160" s="37"/>
      <c r="B160" s="37"/>
      <c r="C160" s="38"/>
      <c r="D160" s="39"/>
      <c r="E160" s="39"/>
      <c r="F160" s="39"/>
      <c r="G160" s="39"/>
      <c r="H160" s="39"/>
      <c r="I160" s="39"/>
      <c r="J160" s="39"/>
      <c r="K160" s="39"/>
      <c r="L160" s="39"/>
      <c r="M160" s="39"/>
      <c r="N160" s="39"/>
      <c r="O160" s="39"/>
      <c r="P160" s="39"/>
      <c r="Q160" s="39"/>
      <c r="R160" s="39"/>
      <c r="S160" s="39"/>
      <c r="T160" s="39"/>
      <c r="U160" s="39"/>
      <c r="V160" s="39"/>
      <c r="W160" s="39"/>
    </row>
    <row r="161" ht="15.75" customHeight="1">
      <c r="A161" s="37"/>
      <c r="B161" s="37"/>
      <c r="C161" s="38"/>
      <c r="D161" s="39"/>
      <c r="E161" s="39"/>
      <c r="F161" s="39"/>
      <c r="G161" s="39"/>
      <c r="H161" s="39"/>
      <c r="I161" s="39"/>
      <c r="J161" s="39"/>
      <c r="K161" s="39"/>
      <c r="L161" s="39"/>
      <c r="M161" s="39"/>
      <c r="N161" s="39"/>
      <c r="O161" s="39"/>
      <c r="P161" s="39"/>
      <c r="Q161" s="39"/>
      <c r="R161" s="39"/>
      <c r="S161" s="39"/>
      <c r="T161" s="39"/>
      <c r="U161" s="39"/>
      <c r="V161" s="39"/>
      <c r="W161" s="39"/>
    </row>
    <row r="162" ht="15.75" customHeight="1">
      <c r="A162" s="37"/>
      <c r="B162" s="37"/>
      <c r="C162" s="38"/>
      <c r="D162" s="39"/>
      <c r="E162" s="39"/>
      <c r="F162" s="39"/>
      <c r="G162" s="39"/>
      <c r="H162" s="39"/>
      <c r="I162" s="39"/>
      <c r="J162" s="39"/>
      <c r="K162" s="39"/>
      <c r="L162" s="39"/>
      <c r="M162" s="39"/>
      <c r="N162" s="39"/>
      <c r="O162" s="39"/>
      <c r="P162" s="39"/>
      <c r="Q162" s="39"/>
      <c r="R162" s="39"/>
      <c r="S162" s="39"/>
      <c r="T162" s="39"/>
      <c r="U162" s="39"/>
      <c r="V162" s="39"/>
      <c r="W162" s="39"/>
    </row>
    <row r="163" ht="15.75" customHeight="1">
      <c r="A163" s="37"/>
      <c r="B163" s="37"/>
      <c r="C163" s="38"/>
      <c r="D163" s="39"/>
      <c r="E163" s="39"/>
      <c r="F163" s="39"/>
      <c r="G163" s="39"/>
      <c r="H163" s="39"/>
      <c r="I163" s="39"/>
      <c r="J163" s="39"/>
      <c r="K163" s="39"/>
      <c r="L163" s="39"/>
      <c r="M163" s="39"/>
      <c r="N163" s="39"/>
      <c r="O163" s="39"/>
      <c r="P163" s="39"/>
      <c r="Q163" s="39"/>
      <c r="R163" s="39"/>
      <c r="S163" s="39"/>
      <c r="T163" s="39"/>
      <c r="U163" s="39"/>
      <c r="V163" s="39"/>
      <c r="W163" s="39"/>
    </row>
    <row r="164" ht="15.75" customHeight="1">
      <c r="A164" s="37"/>
      <c r="B164" s="37"/>
      <c r="C164" s="38"/>
      <c r="D164" s="39"/>
      <c r="E164" s="39"/>
      <c r="F164" s="39"/>
      <c r="G164" s="39"/>
      <c r="H164" s="39"/>
      <c r="I164" s="39"/>
      <c r="J164" s="39"/>
      <c r="K164" s="39"/>
      <c r="L164" s="39"/>
      <c r="M164" s="39"/>
      <c r="N164" s="39"/>
      <c r="O164" s="39"/>
      <c r="P164" s="39"/>
      <c r="Q164" s="39"/>
      <c r="R164" s="39"/>
      <c r="S164" s="39"/>
      <c r="T164" s="39"/>
      <c r="U164" s="39"/>
      <c r="V164" s="39"/>
      <c r="W164" s="39"/>
    </row>
    <row r="165" ht="15.75" customHeight="1">
      <c r="A165" s="37"/>
      <c r="B165" s="37"/>
      <c r="C165" s="38"/>
      <c r="D165" s="39"/>
      <c r="E165" s="39"/>
      <c r="F165" s="39"/>
      <c r="G165" s="39"/>
      <c r="H165" s="39"/>
      <c r="I165" s="39"/>
      <c r="J165" s="39"/>
      <c r="K165" s="39"/>
      <c r="L165" s="39"/>
      <c r="M165" s="39"/>
      <c r="N165" s="39"/>
      <c r="O165" s="39"/>
      <c r="P165" s="39"/>
      <c r="Q165" s="39"/>
      <c r="R165" s="39"/>
      <c r="S165" s="39"/>
      <c r="T165" s="39"/>
      <c r="U165" s="39"/>
      <c r="V165" s="39"/>
      <c r="W165" s="39"/>
    </row>
    <row r="166" ht="15.75" customHeight="1">
      <c r="A166" s="37"/>
      <c r="B166" s="37"/>
      <c r="C166" s="38"/>
      <c r="D166" s="39"/>
      <c r="E166" s="39"/>
      <c r="F166" s="39"/>
      <c r="G166" s="39"/>
      <c r="H166" s="39"/>
      <c r="I166" s="39"/>
      <c r="J166" s="39"/>
      <c r="K166" s="39"/>
      <c r="L166" s="39"/>
      <c r="M166" s="39"/>
      <c r="N166" s="39"/>
      <c r="O166" s="39"/>
      <c r="P166" s="39"/>
      <c r="Q166" s="39"/>
      <c r="R166" s="39"/>
      <c r="S166" s="39"/>
      <c r="T166" s="39"/>
      <c r="U166" s="39"/>
      <c r="V166" s="39"/>
      <c r="W166" s="39"/>
    </row>
    <row r="167" ht="15.75" customHeight="1">
      <c r="A167" s="37"/>
      <c r="B167" s="37"/>
      <c r="C167" s="38"/>
      <c r="D167" s="39"/>
      <c r="E167" s="39"/>
      <c r="F167" s="39"/>
      <c r="G167" s="39"/>
      <c r="H167" s="39"/>
      <c r="I167" s="39"/>
      <c r="J167" s="39"/>
      <c r="K167" s="39"/>
      <c r="L167" s="39"/>
      <c r="M167" s="39"/>
      <c r="N167" s="39"/>
      <c r="O167" s="39"/>
      <c r="P167" s="39"/>
      <c r="Q167" s="39"/>
      <c r="R167" s="39"/>
      <c r="S167" s="39"/>
      <c r="T167" s="39"/>
      <c r="U167" s="39"/>
      <c r="V167" s="39"/>
      <c r="W167" s="39"/>
    </row>
    <row r="168" ht="15.75" customHeight="1">
      <c r="A168" s="37"/>
      <c r="B168" s="37"/>
      <c r="C168" s="38"/>
      <c r="D168" s="39"/>
      <c r="E168" s="39"/>
      <c r="F168" s="39"/>
      <c r="G168" s="39"/>
      <c r="H168" s="39"/>
      <c r="I168" s="39"/>
      <c r="J168" s="39"/>
      <c r="K168" s="39"/>
      <c r="L168" s="39"/>
      <c r="M168" s="39"/>
      <c r="N168" s="39"/>
      <c r="O168" s="39"/>
      <c r="P168" s="39"/>
      <c r="Q168" s="39"/>
      <c r="R168" s="39"/>
      <c r="S168" s="39"/>
      <c r="T168" s="39"/>
      <c r="U168" s="39"/>
      <c r="V168" s="39"/>
      <c r="W168" s="39"/>
    </row>
    <row r="169" ht="15.75" customHeight="1">
      <c r="A169" s="37"/>
      <c r="B169" s="37"/>
      <c r="C169" s="38"/>
      <c r="D169" s="39"/>
      <c r="E169" s="39"/>
      <c r="F169" s="39"/>
      <c r="G169" s="39"/>
      <c r="H169" s="39"/>
      <c r="I169" s="39"/>
      <c r="J169" s="39"/>
      <c r="K169" s="39"/>
      <c r="L169" s="39"/>
      <c r="M169" s="39"/>
      <c r="N169" s="39"/>
      <c r="O169" s="39"/>
      <c r="P169" s="39"/>
      <c r="Q169" s="39"/>
      <c r="R169" s="39"/>
      <c r="S169" s="39"/>
      <c r="T169" s="39"/>
      <c r="U169" s="39"/>
      <c r="V169" s="39"/>
      <c r="W169" s="39"/>
    </row>
    <row r="170" ht="15.75" customHeight="1">
      <c r="A170" s="37"/>
      <c r="B170" s="37"/>
      <c r="C170" s="38"/>
      <c r="D170" s="39"/>
      <c r="E170" s="39"/>
      <c r="F170" s="39"/>
      <c r="G170" s="39"/>
      <c r="H170" s="39"/>
      <c r="I170" s="39"/>
      <c r="J170" s="39"/>
      <c r="K170" s="39"/>
      <c r="L170" s="39"/>
      <c r="M170" s="39"/>
      <c r="N170" s="39"/>
      <c r="O170" s="39"/>
      <c r="P170" s="39"/>
      <c r="Q170" s="39"/>
      <c r="R170" s="39"/>
      <c r="S170" s="39"/>
      <c r="T170" s="39"/>
      <c r="U170" s="39"/>
      <c r="V170" s="39"/>
      <c r="W170" s="39"/>
    </row>
    <row r="171" ht="15.75" customHeight="1">
      <c r="A171" s="37"/>
      <c r="B171" s="37"/>
      <c r="C171" s="38"/>
      <c r="D171" s="39"/>
      <c r="E171" s="39"/>
      <c r="F171" s="39"/>
      <c r="G171" s="39"/>
      <c r="H171" s="39"/>
      <c r="I171" s="39"/>
      <c r="J171" s="39"/>
      <c r="K171" s="39"/>
      <c r="L171" s="39"/>
      <c r="M171" s="39"/>
      <c r="N171" s="39"/>
      <c r="O171" s="39"/>
      <c r="P171" s="39"/>
      <c r="Q171" s="39"/>
      <c r="R171" s="39"/>
      <c r="S171" s="39"/>
      <c r="T171" s="39"/>
      <c r="U171" s="39"/>
      <c r="V171" s="39"/>
      <c r="W171" s="39"/>
    </row>
    <row r="172" ht="15.75" customHeight="1">
      <c r="A172" s="37"/>
      <c r="B172" s="37"/>
      <c r="C172" s="38"/>
      <c r="D172" s="39"/>
      <c r="E172" s="39"/>
      <c r="F172" s="39"/>
      <c r="G172" s="39"/>
      <c r="H172" s="39"/>
      <c r="I172" s="39"/>
      <c r="J172" s="39"/>
      <c r="K172" s="39"/>
      <c r="L172" s="39"/>
      <c r="M172" s="39"/>
      <c r="N172" s="39"/>
      <c r="O172" s="39"/>
      <c r="P172" s="39"/>
      <c r="Q172" s="39"/>
      <c r="R172" s="39"/>
      <c r="S172" s="39"/>
      <c r="T172" s="39"/>
      <c r="U172" s="39"/>
      <c r="V172" s="39"/>
      <c r="W172" s="39"/>
    </row>
    <row r="173" ht="15.75" customHeight="1">
      <c r="A173" s="37"/>
      <c r="B173" s="37"/>
      <c r="C173" s="38"/>
      <c r="D173" s="39"/>
      <c r="E173" s="39"/>
      <c r="F173" s="39"/>
      <c r="G173" s="39"/>
      <c r="H173" s="39"/>
      <c r="I173" s="39"/>
      <c r="J173" s="39"/>
      <c r="K173" s="39"/>
      <c r="L173" s="39"/>
      <c r="M173" s="39"/>
      <c r="N173" s="39"/>
      <c r="O173" s="39"/>
      <c r="P173" s="39"/>
      <c r="Q173" s="39"/>
      <c r="R173" s="39"/>
      <c r="S173" s="39"/>
      <c r="T173" s="39"/>
      <c r="U173" s="39"/>
      <c r="V173" s="39"/>
      <c r="W173" s="39"/>
    </row>
    <row r="174" ht="15.75" customHeight="1">
      <c r="A174" s="37"/>
      <c r="B174" s="37"/>
      <c r="C174" s="38"/>
      <c r="D174" s="39"/>
      <c r="E174" s="39"/>
      <c r="F174" s="39"/>
      <c r="G174" s="39"/>
      <c r="H174" s="39"/>
      <c r="I174" s="39"/>
      <c r="J174" s="39"/>
      <c r="K174" s="39"/>
      <c r="L174" s="39"/>
      <c r="M174" s="39"/>
      <c r="N174" s="39"/>
      <c r="O174" s="39"/>
      <c r="P174" s="39"/>
      <c r="Q174" s="39"/>
      <c r="R174" s="39"/>
      <c r="S174" s="39"/>
      <c r="T174" s="39"/>
      <c r="U174" s="39"/>
      <c r="V174" s="39"/>
      <c r="W174" s="39"/>
    </row>
    <row r="175" ht="15.75" customHeight="1">
      <c r="A175" s="37"/>
      <c r="B175" s="37"/>
      <c r="C175" s="38"/>
      <c r="D175" s="39"/>
      <c r="E175" s="39"/>
      <c r="F175" s="39"/>
      <c r="G175" s="39"/>
      <c r="H175" s="39"/>
      <c r="I175" s="39"/>
      <c r="J175" s="39"/>
      <c r="K175" s="39"/>
      <c r="L175" s="39"/>
      <c r="M175" s="39"/>
      <c r="N175" s="39"/>
      <c r="O175" s="39"/>
      <c r="P175" s="39"/>
      <c r="Q175" s="39"/>
      <c r="R175" s="39"/>
      <c r="S175" s="39"/>
      <c r="T175" s="39"/>
      <c r="U175" s="39"/>
      <c r="V175" s="39"/>
      <c r="W175" s="39"/>
    </row>
    <row r="176" ht="15.75" customHeight="1">
      <c r="A176" s="37"/>
      <c r="B176" s="37"/>
      <c r="C176" s="38"/>
      <c r="D176" s="39"/>
      <c r="E176" s="39"/>
      <c r="F176" s="39"/>
      <c r="G176" s="39"/>
      <c r="H176" s="39"/>
      <c r="I176" s="39"/>
      <c r="J176" s="39"/>
      <c r="K176" s="39"/>
      <c r="L176" s="39"/>
      <c r="M176" s="39"/>
      <c r="N176" s="39"/>
      <c r="O176" s="39"/>
      <c r="P176" s="39"/>
      <c r="Q176" s="39"/>
      <c r="R176" s="39"/>
      <c r="S176" s="39"/>
      <c r="T176" s="39"/>
      <c r="U176" s="39"/>
      <c r="V176" s="39"/>
      <c r="W176" s="39"/>
    </row>
    <row r="177" ht="15.75" customHeight="1">
      <c r="A177" s="37"/>
      <c r="B177" s="37"/>
      <c r="C177" s="38"/>
      <c r="D177" s="39"/>
      <c r="E177" s="39"/>
      <c r="F177" s="39"/>
      <c r="G177" s="39"/>
      <c r="H177" s="39"/>
      <c r="I177" s="39"/>
      <c r="J177" s="39"/>
      <c r="K177" s="39"/>
      <c r="L177" s="39"/>
      <c r="M177" s="39"/>
      <c r="N177" s="39"/>
      <c r="O177" s="39"/>
      <c r="P177" s="39"/>
      <c r="Q177" s="39"/>
      <c r="R177" s="39"/>
      <c r="S177" s="39"/>
      <c r="T177" s="39"/>
      <c r="U177" s="39"/>
      <c r="V177" s="39"/>
      <c r="W177" s="39"/>
    </row>
    <row r="178" ht="15.75" customHeight="1">
      <c r="A178" s="37"/>
      <c r="B178" s="37"/>
      <c r="C178" s="38"/>
      <c r="D178" s="39"/>
      <c r="E178" s="39"/>
      <c r="F178" s="39"/>
      <c r="G178" s="39"/>
      <c r="H178" s="39"/>
      <c r="I178" s="39"/>
      <c r="J178" s="39"/>
      <c r="K178" s="39"/>
      <c r="L178" s="39"/>
      <c r="M178" s="39"/>
      <c r="N178" s="39"/>
      <c r="O178" s="39"/>
      <c r="P178" s="39"/>
      <c r="Q178" s="39"/>
      <c r="R178" s="39"/>
      <c r="S178" s="39"/>
      <c r="T178" s="39"/>
      <c r="U178" s="39"/>
      <c r="V178" s="39"/>
      <c r="W178" s="39"/>
    </row>
    <row r="179" ht="15.75" customHeight="1">
      <c r="A179" s="37"/>
      <c r="B179" s="37"/>
      <c r="C179" s="38"/>
      <c r="D179" s="39"/>
      <c r="E179" s="39"/>
      <c r="F179" s="39"/>
      <c r="G179" s="39"/>
      <c r="H179" s="39"/>
      <c r="I179" s="39"/>
      <c r="J179" s="39"/>
      <c r="K179" s="39"/>
      <c r="L179" s="39"/>
      <c r="M179" s="39"/>
      <c r="N179" s="39"/>
      <c r="O179" s="39"/>
      <c r="P179" s="39"/>
      <c r="Q179" s="39"/>
      <c r="R179" s="39"/>
      <c r="S179" s="39"/>
      <c r="T179" s="39"/>
      <c r="U179" s="39"/>
      <c r="V179" s="39"/>
      <c r="W179" s="39"/>
    </row>
    <row r="180" ht="15.75" customHeight="1">
      <c r="A180" s="37"/>
      <c r="B180" s="37"/>
      <c r="C180" s="38"/>
      <c r="D180" s="39"/>
      <c r="E180" s="39"/>
      <c r="F180" s="39"/>
      <c r="G180" s="39"/>
      <c r="H180" s="39"/>
      <c r="I180" s="39"/>
      <c r="J180" s="39"/>
      <c r="K180" s="39"/>
      <c r="L180" s="39"/>
      <c r="M180" s="39"/>
      <c r="N180" s="39"/>
      <c r="O180" s="39"/>
      <c r="P180" s="39"/>
      <c r="Q180" s="39"/>
      <c r="R180" s="39"/>
      <c r="S180" s="39"/>
      <c r="T180" s="39"/>
      <c r="U180" s="39"/>
      <c r="V180" s="39"/>
      <c r="W180" s="39"/>
    </row>
    <row r="181" ht="15.75" customHeight="1">
      <c r="A181" s="37"/>
      <c r="B181" s="37"/>
      <c r="C181" s="38"/>
      <c r="D181" s="39"/>
      <c r="E181" s="39"/>
      <c r="F181" s="39"/>
      <c r="G181" s="39"/>
      <c r="H181" s="39"/>
      <c r="I181" s="39"/>
      <c r="J181" s="39"/>
      <c r="K181" s="39"/>
      <c r="L181" s="39"/>
      <c r="M181" s="39"/>
      <c r="N181" s="39"/>
      <c r="O181" s="39"/>
      <c r="P181" s="39"/>
      <c r="Q181" s="39"/>
      <c r="R181" s="39"/>
      <c r="S181" s="39"/>
      <c r="T181" s="39"/>
      <c r="U181" s="39"/>
      <c r="V181" s="39"/>
      <c r="W181" s="39"/>
    </row>
    <row r="182" ht="15.75" customHeight="1">
      <c r="A182" s="37"/>
      <c r="B182" s="37"/>
      <c r="C182" s="38"/>
      <c r="D182" s="39"/>
      <c r="E182" s="39"/>
      <c r="F182" s="39"/>
      <c r="G182" s="39"/>
      <c r="H182" s="39"/>
      <c r="I182" s="39"/>
      <c r="J182" s="39"/>
      <c r="K182" s="39"/>
      <c r="L182" s="39"/>
      <c r="M182" s="39"/>
      <c r="N182" s="39"/>
      <c r="O182" s="39"/>
      <c r="P182" s="39"/>
      <c r="Q182" s="39"/>
      <c r="R182" s="39"/>
      <c r="S182" s="39"/>
      <c r="T182" s="39"/>
      <c r="U182" s="39"/>
      <c r="V182" s="39"/>
      <c r="W182" s="39"/>
    </row>
    <row r="183" ht="15.75" customHeight="1">
      <c r="A183" s="37"/>
      <c r="B183" s="37"/>
      <c r="C183" s="38"/>
      <c r="D183" s="39"/>
      <c r="E183" s="39"/>
      <c r="F183" s="39"/>
      <c r="G183" s="39"/>
      <c r="H183" s="39"/>
      <c r="I183" s="39"/>
      <c r="J183" s="39"/>
      <c r="K183" s="39"/>
      <c r="L183" s="39"/>
      <c r="M183" s="39"/>
      <c r="N183" s="39"/>
      <c r="O183" s="39"/>
      <c r="P183" s="39"/>
      <c r="Q183" s="39"/>
      <c r="R183" s="39"/>
      <c r="S183" s="39"/>
      <c r="T183" s="39"/>
      <c r="U183" s="39"/>
      <c r="V183" s="39"/>
      <c r="W183" s="39"/>
    </row>
    <row r="184" ht="15.75" customHeight="1">
      <c r="A184" s="37"/>
      <c r="B184" s="37"/>
      <c r="C184" s="38"/>
      <c r="D184" s="39"/>
      <c r="E184" s="39"/>
      <c r="F184" s="39"/>
      <c r="G184" s="39"/>
      <c r="H184" s="39"/>
      <c r="I184" s="39"/>
      <c r="J184" s="39"/>
      <c r="K184" s="39"/>
      <c r="L184" s="39"/>
      <c r="M184" s="39"/>
      <c r="N184" s="39"/>
      <c r="O184" s="39"/>
      <c r="P184" s="39"/>
      <c r="Q184" s="39"/>
      <c r="R184" s="39"/>
      <c r="S184" s="39"/>
      <c r="T184" s="39"/>
      <c r="U184" s="39"/>
      <c r="V184" s="39"/>
      <c r="W184" s="39"/>
    </row>
    <row r="185" ht="15.75" customHeight="1">
      <c r="A185" s="37"/>
      <c r="B185" s="37"/>
      <c r="C185" s="38"/>
      <c r="D185" s="39"/>
      <c r="E185" s="39"/>
      <c r="F185" s="39"/>
      <c r="G185" s="39"/>
      <c r="H185" s="39"/>
      <c r="I185" s="39"/>
      <c r="J185" s="39"/>
      <c r="K185" s="39"/>
      <c r="L185" s="39"/>
      <c r="M185" s="39"/>
      <c r="N185" s="39"/>
      <c r="O185" s="39"/>
      <c r="P185" s="39"/>
      <c r="Q185" s="39"/>
      <c r="R185" s="39"/>
      <c r="S185" s="39"/>
      <c r="T185" s="39"/>
      <c r="U185" s="39"/>
      <c r="V185" s="39"/>
      <c r="W185" s="39"/>
    </row>
    <row r="186" ht="15.75" customHeight="1">
      <c r="A186" s="37"/>
      <c r="B186" s="37"/>
      <c r="C186" s="38"/>
      <c r="D186" s="39"/>
      <c r="E186" s="39"/>
      <c r="F186" s="39"/>
      <c r="G186" s="39"/>
      <c r="H186" s="39"/>
      <c r="I186" s="39"/>
      <c r="J186" s="39"/>
      <c r="K186" s="39"/>
      <c r="L186" s="39"/>
      <c r="M186" s="39"/>
      <c r="N186" s="39"/>
      <c r="O186" s="39"/>
      <c r="P186" s="39"/>
      <c r="Q186" s="39"/>
      <c r="R186" s="39"/>
      <c r="S186" s="39"/>
      <c r="T186" s="39"/>
      <c r="U186" s="39"/>
      <c r="V186" s="39"/>
      <c r="W186" s="39"/>
    </row>
    <row r="187" ht="15.75" customHeight="1">
      <c r="A187" s="37"/>
      <c r="B187" s="37"/>
      <c r="C187" s="38"/>
      <c r="D187" s="39"/>
      <c r="E187" s="39"/>
      <c r="F187" s="39"/>
      <c r="G187" s="39"/>
      <c r="H187" s="39"/>
      <c r="I187" s="39"/>
      <c r="J187" s="39"/>
      <c r="K187" s="39"/>
      <c r="L187" s="39"/>
      <c r="M187" s="39"/>
      <c r="N187" s="39"/>
      <c r="O187" s="39"/>
      <c r="P187" s="39"/>
      <c r="Q187" s="39"/>
      <c r="R187" s="39"/>
      <c r="S187" s="39"/>
      <c r="T187" s="39"/>
      <c r="U187" s="39"/>
      <c r="V187" s="39"/>
      <c r="W187" s="39"/>
    </row>
    <row r="188" ht="15.75" customHeight="1">
      <c r="A188" s="37"/>
      <c r="B188" s="37"/>
      <c r="C188" s="38"/>
      <c r="D188" s="39"/>
      <c r="E188" s="39"/>
      <c r="F188" s="39"/>
      <c r="G188" s="39"/>
      <c r="H188" s="39"/>
      <c r="I188" s="39"/>
      <c r="J188" s="39"/>
      <c r="K188" s="39"/>
      <c r="L188" s="39"/>
      <c r="M188" s="39"/>
      <c r="N188" s="39"/>
      <c r="O188" s="39"/>
      <c r="P188" s="39"/>
      <c r="Q188" s="39"/>
      <c r="R188" s="39"/>
      <c r="S188" s="39"/>
      <c r="T188" s="39"/>
      <c r="U188" s="39"/>
      <c r="V188" s="39"/>
      <c r="W188" s="39"/>
    </row>
    <row r="189" ht="15.75" customHeight="1">
      <c r="A189" s="37"/>
      <c r="B189" s="37"/>
      <c r="C189" s="38"/>
      <c r="D189" s="39"/>
      <c r="E189" s="39"/>
      <c r="F189" s="39"/>
      <c r="G189" s="39"/>
      <c r="H189" s="39"/>
      <c r="I189" s="39"/>
      <c r="J189" s="39"/>
      <c r="K189" s="39"/>
      <c r="L189" s="39"/>
      <c r="M189" s="39"/>
      <c r="N189" s="39"/>
      <c r="O189" s="39"/>
      <c r="P189" s="39"/>
      <c r="Q189" s="39"/>
      <c r="R189" s="39"/>
      <c r="S189" s="39"/>
      <c r="T189" s="39"/>
      <c r="U189" s="39"/>
      <c r="V189" s="39"/>
      <c r="W189" s="39"/>
    </row>
    <row r="190" ht="15.75" customHeight="1">
      <c r="A190" s="37"/>
      <c r="B190" s="37"/>
      <c r="C190" s="38"/>
      <c r="D190" s="39"/>
      <c r="E190" s="39"/>
      <c r="F190" s="39"/>
      <c r="G190" s="39"/>
      <c r="H190" s="39"/>
      <c r="I190" s="39"/>
      <c r="J190" s="39"/>
      <c r="K190" s="39"/>
      <c r="L190" s="39"/>
      <c r="M190" s="39"/>
      <c r="N190" s="39"/>
      <c r="O190" s="39"/>
      <c r="P190" s="39"/>
      <c r="Q190" s="39"/>
      <c r="R190" s="39"/>
      <c r="S190" s="39"/>
      <c r="T190" s="39"/>
      <c r="U190" s="39"/>
      <c r="V190" s="39"/>
      <c r="W190" s="39"/>
    </row>
    <row r="191" ht="15.75" customHeight="1">
      <c r="A191" s="37"/>
      <c r="B191" s="37"/>
      <c r="C191" s="38"/>
      <c r="D191" s="39"/>
      <c r="E191" s="39"/>
      <c r="F191" s="39"/>
      <c r="G191" s="39"/>
      <c r="H191" s="39"/>
      <c r="I191" s="39"/>
      <c r="J191" s="39"/>
      <c r="K191" s="39"/>
      <c r="L191" s="39"/>
      <c r="M191" s="39"/>
      <c r="N191" s="39"/>
      <c r="O191" s="39"/>
      <c r="P191" s="39"/>
      <c r="Q191" s="39"/>
      <c r="R191" s="39"/>
      <c r="S191" s="39"/>
      <c r="T191" s="39"/>
      <c r="U191" s="39"/>
      <c r="V191" s="39"/>
      <c r="W191" s="39"/>
    </row>
    <row r="192" ht="15.75" customHeight="1">
      <c r="A192" s="37"/>
      <c r="B192" s="37"/>
      <c r="C192" s="38"/>
      <c r="D192" s="39"/>
      <c r="E192" s="39"/>
      <c r="F192" s="39"/>
      <c r="G192" s="39"/>
      <c r="H192" s="39"/>
      <c r="I192" s="39"/>
      <c r="J192" s="39"/>
      <c r="K192" s="39"/>
      <c r="L192" s="39"/>
      <c r="M192" s="39"/>
      <c r="N192" s="39"/>
      <c r="O192" s="39"/>
      <c r="P192" s="39"/>
      <c r="Q192" s="39"/>
      <c r="R192" s="39"/>
      <c r="S192" s="39"/>
      <c r="T192" s="39"/>
      <c r="U192" s="39"/>
      <c r="V192" s="39"/>
      <c r="W192" s="39"/>
    </row>
    <row r="193" ht="15.75" customHeight="1">
      <c r="A193" s="37"/>
      <c r="B193" s="37"/>
      <c r="C193" s="38"/>
      <c r="D193" s="39"/>
      <c r="E193" s="39"/>
      <c r="F193" s="39"/>
      <c r="G193" s="39"/>
      <c r="H193" s="39"/>
      <c r="I193" s="39"/>
      <c r="J193" s="39"/>
      <c r="K193" s="39"/>
      <c r="L193" s="39"/>
      <c r="M193" s="39"/>
      <c r="N193" s="39"/>
      <c r="O193" s="39"/>
      <c r="P193" s="39"/>
      <c r="Q193" s="39"/>
      <c r="R193" s="39"/>
      <c r="S193" s="39"/>
      <c r="T193" s="39"/>
      <c r="U193" s="39"/>
      <c r="V193" s="39"/>
      <c r="W193" s="39"/>
    </row>
    <row r="194" ht="15.75" customHeight="1">
      <c r="A194" s="37"/>
      <c r="B194" s="37"/>
      <c r="C194" s="38"/>
      <c r="D194" s="39"/>
      <c r="E194" s="39"/>
      <c r="F194" s="39"/>
      <c r="G194" s="39"/>
      <c r="H194" s="39"/>
      <c r="I194" s="39"/>
      <c r="J194" s="39"/>
      <c r="K194" s="39"/>
      <c r="L194" s="39"/>
      <c r="M194" s="39"/>
      <c r="N194" s="39"/>
      <c r="O194" s="39"/>
      <c r="P194" s="39"/>
      <c r="Q194" s="39"/>
      <c r="R194" s="39"/>
      <c r="S194" s="39"/>
      <c r="T194" s="39"/>
      <c r="U194" s="39"/>
      <c r="V194" s="39"/>
      <c r="W194" s="39"/>
    </row>
    <row r="195" ht="15.75" customHeight="1">
      <c r="A195" s="37"/>
      <c r="B195" s="37"/>
      <c r="C195" s="38"/>
      <c r="D195" s="39"/>
      <c r="E195" s="39"/>
      <c r="F195" s="39"/>
      <c r="G195" s="39"/>
      <c r="H195" s="39"/>
      <c r="I195" s="39"/>
      <c r="J195" s="39"/>
      <c r="K195" s="39"/>
      <c r="L195" s="39"/>
      <c r="M195" s="39"/>
      <c r="N195" s="39"/>
      <c r="O195" s="39"/>
      <c r="P195" s="39"/>
      <c r="Q195" s="39"/>
      <c r="R195" s="39"/>
      <c r="S195" s="39"/>
      <c r="T195" s="39"/>
      <c r="U195" s="39"/>
      <c r="V195" s="39"/>
      <c r="W195" s="39"/>
    </row>
    <row r="196" ht="15.75" customHeight="1">
      <c r="A196" s="37"/>
      <c r="B196" s="37"/>
      <c r="C196" s="38"/>
      <c r="D196" s="39"/>
      <c r="E196" s="39"/>
      <c r="F196" s="39"/>
      <c r="G196" s="39"/>
      <c r="H196" s="39"/>
      <c r="I196" s="39"/>
      <c r="J196" s="39"/>
      <c r="K196" s="39"/>
      <c r="L196" s="39"/>
      <c r="M196" s="39"/>
      <c r="N196" s="39"/>
      <c r="O196" s="39"/>
      <c r="P196" s="39"/>
      <c r="Q196" s="39"/>
      <c r="R196" s="39"/>
      <c r="S196" s="39"/>
      <c r="T196" s="39"/>
      <c r="U196" s="39"/>
      <c r="V196" s="39"/>
      <c r="W196" s="39"/>
    </row>
    <row r="197" ht="15.75" customHeight="1">
      <c r="A197" s="37"/>
      <c r="B197" s="37"/>
      <c r="C197" s="38"/>
      <c r="D197" s="39"/>
      <c r="E197" s="39"/>
      <c r="F197" s="39"/>
      <c r="G197" s="39"/>
      <c r="H197" s="39"/>
      <c r="I197" s="39"/>
      <c r="J197" s="39"/>
      <c r="K197" s="39"/>
      <c r="L197" s="39"/>
      <c r="M197" s="39"/>
      <c r="N197" s="39"/>
      <c r="O197" s="39"/>
      <c r="P197" s="39"/>
      <c r="Q197" s="39"/>
      <c r="R197" s="39"/>
      <c r="S197" s="39"/>
      <c r="T197" s="39"/>
      <c r="U197" s="39"/>
      <c r="V197" s="39"/>
      <c r="W197" s="39"/>
    </row>
    <row r="198" ht="15.75" customHeight="1">
      <c r="A198" s="37"/>
      <c r="B198" s="37"/>
      <c r="C198" s="38"/>
      <c r="D198" s="39"/>
      <c r="E198" s="39"/>
      <c r="F198" s="39"/>
      <c r="G198" s="39"/>
      <c r="H198" s="39"/>
      <c r="I198" s="39"/>
      <c r="J198" s="39"/>
      <c r="K198" s="39"/>
      <c r="L198" s="39"/>
      <c r="M198" s="39"/>
      <c r="N198" s="39"/>
      <c r="O198" s="39"/>
      <c r="P198" s="39"/>
      <c r="Q198" s="39"/>
      <c r="R198" s="39"/>
      <c r="S198" s="39"/>
      <c r="T198" s="39"/>
      <c r="U198" s="39"/>
      <c r="V198" s="39"/>
      <c r="W198" s="39"/>
    </row>
    <row r="199" ht="15.75" customHeight="1">
      <c r="A199" s="37"/>
      <c r="B199" s="37"/>
      <c r="C199" s="38"/>
      <c r="D199" s="39"/>
      <c r="E199" s="39"/>
      <c r="F199" s="39"/>
      <c r="G199" s="39"/>
      <c r="H199" s="39"/>
      <c r="I199" s="39"/>
      <c r="J199" s="39"/>
      <c r="K199" s="39"/>
      <c r="L199" s="39"/>
      <c r="M199" s="39"/>
      <c r="N199" s="39"/>
      <c r="O199" s="39"/>
      <c r="P199" s="39"/>
      <c r="Q199" s="39"/>
      <c r="R199" s="39"/>
      <c r="S199" s="39"/>
      <c r="T199" s="39"/>
      <c r="U199" s="39"/>
      <c r="V199" s="39"/>
      <c r="W199" s="39"/>
    </row>
    <row r="200" ht="15.75" customHeight="1">
      <c r="A200" s="37"/>
      <c r="B200" s="37"/>
      <c r="C200" s="38"/>
      <c r="D200" s="39"/>
      <c r="E200" s="39"/>
      <c r="F200" s="39"/>
      <c r="G200" s="39"/>
      <c r="H200" s="39"/>
      <c r="I200" s="39"/>
      <c r="J200" s="39"/>
      <c r="K200" s="39"/>
      <c r="L200" s="39"/>
      <c r="M200" s="39"/>
      <c r="N200" s="39"/>
      <c r="O200" s="39"/>
      <c r="P200" s="39"/>
      <c r="Q200" s="39"/>
      <c r="R200" s="39"/>
      <c r="S200" s="39"/>
      <c r="T200" s="39"/>
      <c r="U200" s="39"/>
      <c r="V200" s="39"/>
      <c r="W200" s="39"/>
    </row>
    <row r="201" ht="15.75" customHeight="1">
      <c r="A201" s="37"/>
      <c r="B201" s="37"/>
      <c r="C201" s="38"/>
      <c r="D201" s="39"/>
      <c r="E201" s="39"/>
      <c r="F201" s="39"/>
      <c r="G201" s="39"/>
      <c r="H201" s="39"/>
      <c r="I201" s="39"/>
      <c r="J201" s="39"/>
      <c r="K201" s="39"/>
      <c r="L201" s="39"/>
      <c r="M201" s="39"/>
      <c r="N201" s="39"/>
      <c r="O201" s="39"/>
      <c r="P201" s="39"/>
      <c r="Q201" s="39"/>
      <c r="R201" s="39"/>
      <c r="S201" s="39"/>
      <c r="T201" s="39"/>
      <c r="U201" s="39"/>
      <c r="V201" s="39"/>
      <c r="W201" s="39"/>
    </row>
    <row r="202" ht="15.75" customHeight="1">
      <c r="A202" s="37"/>
      <c r="B202" s="37"/>
      <c r="C202" s="38"/>
      <c r="D202" s="39"/>
      <c r="E202" s="39"/>
      <c r="F202" s="39"/>
      <c r="G202" s="39"/>
      <c r="H202" s="39"/>
      <c r="I202" s="39"/>
      <c r="J202" s="39"/>
      <c r="K202" s="39"/>
      <c r="L202" s="39"/>
      <c r="M202" s="39"/>
      <c r="N202" s="39"/>
      <c r="O202" s="39"/>
      <c r="P202" s="39"/>
      <c r="Q202" s="39"/>
      <c r="R202" s="39"/>
      <c r="S202" s="39"/>
      <c r="T202" s="39"/>
      <c r="U202" s="39"/>
      <c r="V202" s="39"/>
      <c r="W202" s="39"/>
    </row>
    <row r="203" ht="15.75" customHeight="1">
      <c r="A203" s="37"/>
      <c r="B203" s="37"/>
      <c r="C203" s="38"/>
      <c r="D203" s="39"/>
      <c r="E203" s="39"/>
      <c r="F203" s="39"/>
      <c r="G203" s="39"/>
      <c r="H203" s="39"/>
      <c r="I203" s="39"/>
      <c r="J203" s="39"/>
      <c r="K203" s="39"/>
      <c r="L203" s="39"/>
      <c r="M203" s="39"/>
      <c r="N203" s="39"/>
      <c r="O203" s="39"/>
      <c r="P203" s="39"/>
      <c r="Q203" s="39"/>
      <c r="R203" s="39"/>
      <c r="S203" s="39"/>
      <c r="T203" s="39"/>
      <c r="U203" s="39"/>
      <c r="V203" s="39"/>
      <c r="W203" s="39"/>
    </row>
    <row r="204" ht="15.75" customHeight="1">
      <c r="A204" s="37"/>
      <c r="B204" s="37"/>
      <c r="C204" s="38"/>
      <c r="D204" s="39"/>
      <c r="E204" s="39"/>
      <c r="F204" s="39"/>
      <c r="G204" s="39"/>
      <c r="H204" s="39"/>
      <c r="I204" s="39"/>
      <c r="J204" s="39"/>
      <c r="K204" s="39"/>
      <c r="L204" s="39"/>
      <c r="M204" s="39"/>
      <c r="N204" s="39"/>
      <c r="O204" s="39"/>
      <c r="P204" s="39"/>
      <c r="Q204" s="39"/>
      <c r="R204" s="39"/>
      <c r="S204" s="39"/>
      <c r="T204" s="39"/>
      <c r="U204" s="39"/>
      <c r="V204" s="39"/>
      <c r="W204" s="39"/>
    </row>
    <row r="205" ht="15.75" customHeight="1">
      <c r="A205" s="37"/>
      <c r="B205" s="37"/>
      <c r="C205" s="38"/>
      <c r="D205" s="39"/>
      <c r="E205" s="39"/>
      <c r="F205" s="39"/>
      <c r="G205" s="39"/>
      <c r="H205" s="39"/>
      <c r="I205" s="39"/>
      <c r="J205" s="39"/>
      <c r="K205" s="39"/>
      <c r="L205" s="39"/>
      <c r="M205" s="39"/>
      <c r="N205" s="39"/>
      <c r="O205" s="39"/>
      <c r="P205" s="39"/>
      <c r="Q205" s="39"/>
      <c r="R205" s="39"/>
      <c r="S205" s="39"/>
      <c r="T205" s="39"/>
      <c r="U205" s="39"/>
      <c r="V205" s="39"/>
      <c r="W205" s="39"/>
    </row>
    <row r="206" ht="15.75" customHeight="1">
      <c r="A206" s="37"/>
      <c r="B206" s="37"/>
      <c r="C206" s="38"/>
      <c r="D206" s="39"/>
      <c r="E206" s="39"/>
      <c r="F206" s="39"/>
      <c r="G206" s="39"/>
      <c r="H206" s="39"/>
      <c r="I206" s="39"/>
      <c r="J206" s="39"/>
      <c r="K206" s="39"/>
      <c r="L206" s="39"/>
      <c r="M206" s="39"/>
      <c r="N206" s="39"/>
      <c r="O206" s="39"/>
      <c r="P206" s="39"/>
      <c r="Q206" s="39"/>
      <c r="R206" s="39"/>
      <c r="S206" s="39"/>
      <c r="T206" s="39"/>
      <c r="U206" s="39"/>
      <c r="V206" s="39"/>
      <c r="W206" s="39"/>
    </row>
    <row r="207" ht="15.75" customHeight="1">
      <c r="A207" s="37"/>
      <c r="B207" s="37"/>
      <c r="C207" s="38"/>
      <c r="D207" s="39"/>
      <c r="E207" s="39"/>
      <c r="F207" s="39"/>
      <c r="G207" s="39"/>
      <c r="H207" s="39"/>
      <c r="I207" s="39"/>
      <c r="J207" s="39"/>
      <c r="K207" s="39"/>
      <c r="L207" s="39"/>
      <c r="M207" s="39"/>
      <c r="N207" s="39"/>
      <c r="O207" s="39"/>
      <c r="P207" s="39"/>
      <c r="Q207" s="39"/>
      <c r="R207" s="39"/>
      <c r="S207" s="39"/>
      <c r="T207" s="39"/>
      <c r="U207" s="39"/>
      <c r="V207" s="39"/>
      <c r="W207" s="39"/>
    </row>
    <row r="208" ht="15.75" customHeight="1">
      <c r="A208" s="37"/>
      <c r="B208" s="37"/>
      <c r="C208" s="38"/>
      <c r="D208" s="39"/>
      <c r="E208" s="39"/>
      <c r="F208" s="39"/>
      <c r="G208" s="39"/>
      <c r="H208" s="39"/>
      <c r="I208" s="39"/>
      <c r="J208" s="39"/>
      <c r="K208" s="39"/>
      <c r="L208" s="39"/>
      <c r="M208" s="39"/>
      <c r="N208" s="39"/>
      <c r="O208" s="39"/>
      <c r="P208" s="39"/>
      <c r="Q208" s="39"/>
      <c r="R208" s="39"/>
      <c r="S208" s="39"/>
      <c r="T208" s="39"/>
      <c r="U208" s="39"/>
      <c r="V208" s="39"/>
      <c r="W208" s="39"/>
    </row>
    <row r="209" ht="15.75" customHeight="1">
      <c r="A209" s="37"/>
      <c r="B209" s="37"/>
      <c r="C209" s="38"/>
      <c r="D209" s="39"/>
      <c r="E209" s="39"/>
      <c r="F209" s="39"/>
      <c r="G209" s="39"/>
      <c r="H209" s="39"/>
      <c r="I209" s="39"/>
      <c r="J209" s="39"/>
      <c r="K209" s="39"/>
      <c r="L209" s="39"/>
      <c r="M209" s="39"/>
      <c r="N209" s="39"/>
      <c r="O209" s="39"/>
      <c r="P209" s="39"/>
      <c r="Q209" s="39"/>
      <c r="R209" s="39"/>
      <c r="S209" s="39"/>
      <c r="T209" s="39"/>
      <c r="U209" s="39"/>
      <c r="V209" s="39"/>
      <c r="W209" s="39"/>
    </row>
    <row r="210" ht="15.75" customHeight="1">
      <c r="A210" s="37"/>
      <c r="B210" s="37"/>
      <c r="C210" s="38"/>
      <c r="D210" s="39"/>
      <c r="E210" s="39"/>
      <c r="F210" s="39"/>
      <c r="G210" s="39"/>
      <c r="H210" s="39"/>
      <c r="I210" s="39"/>
      <c r="J210" s="39"/>
      <c r="K210" s="39"/>
      <c r="L210" s="39"/>
      <c r="M210" s="39"/>
      <c r="N210" s="39"/>
      <c r="O210" s="39"/>
      <c r="P210" s="39"/>
      <c r="Q210" s="39"/>
      <c r="R210" s="39"/>
      <c r="S210" s="39"/>
      <c r="T210" s="39"/>
      <c r="U210" s="39"/>
      <c r="V210" s="39"/>
      <c r="W210" s="39"/>
    </row>
    <row r="211" ht="15.75" customHeight="1">
      <c r="A211" s="37"/>
      <c r="B211" s="37"/>
      <c r="C211" s="38"/>
      <c r="D211" s="39"/>
      <c r="E211" s="39"/>
      <c r="F211" s="39"/>
      <c r="G211" s="39"/>
      <c r="H211" s="39"/>
      <c r="I211" s="39"/>
      <c r="J211" s="39"/>
      <c r="K211" s="39"/>
      <c r="L211" s="39"/>
      <c r="M211" s="39"/>
      <c r="N211" s="39"/>
      <c r="O211" s="39"/>
      <c r="P211" s="39"/>
      <c r="Q211" s="39"/>
      <c r="R211" s="39"/>
      <c r="S211" s="39"/>
      <c r="T211" s="39"/>
      <c r="U211" s="39"/>
      <c r="V211" s="39"/>
      <c r="W211" s="39"/>
    </row>
    <row r="212" ht="15.75" customHeight="1">
      <c r="A212" s="37"/>
      <c r="B212" s="37"/>
      <c r="C212" s="38"/>
      <c r="D212" s="39"/>
      <c r="E212" s="39"/>
      <c r="F212" s="39"/>
      <c r="G212" s="39"/>
      <c r="H212" s="39"/>
      <c r="I212" s="39"/>
      <c r="J212" s="39"/>
      <c r="K212" s="39"/>
      <c r="L212" s="39"/>
      <c r="M212" s="39"/>
      <c r="N212" s="39"/>
      <c r="O212" s="39"/>
      <c r="P212" s="39"/>
      <c r="Q212" s="39"/>
      <c r="R212" s="39"/>
      <c r="S212" s="39"/>
      <c r="T212" s="39"/>
      <c r="U212" s="39"/>
      <c r="V212" s="39"/>
      <c r="W212" s="39"/>
    </row>
    <row r="213" ht="15.75" customHeight="1">
      <c r="A213" s="37"/>
      <c r="B213" s="37"/>
      <c r="C213" s="38"/>
      <c r="D213" s="39"/>
      <c r="E213" s="39"/>
      <c r="F213" s="39"/>
      <c r="G213" s="39"/>
      <c r="H213" s="39"/>
      <c r="I213" s="39"/>
      <c r="J213" s="39"/>
      <c r="K213" s="39"/>
      <c r="L213" s="39"/>
      <c r="M213" s="39"/>
      <c r="N213" s="39"/>
      <c r="O213" s="39"/>
      <c r="P213" s="39"/>
      <c r="Q213" s="39"/>
      <c r="R213" s="39"/>
      <c r="S213" s="39"/>
      <c r="T213" s="39"/>
      <c r="U213" s="39"/>
      <c r="V213" s="39"/>
      <c r="W213" s="39"/>
    </row>
    <row r="214" ht="15.75" customHeight="1">
      <c r="A214" s="37"/>
      <c r="B214" s="37"/>
      <c r="C214" s="38"/>
      <c r="D214" s="39"/>
      <c r="E214" s="39"/>
      <c r="F214" s="39"/>
      <c r="G214" s="39"/>
      <c r="H214" s="39"/>
      <c r="I214" s="39"/>
      <c r="J214" s="39"/>
      <c r="K214" s="39"/>
      <c r="L214" s="39"/>
      <c r="M214" s="39"/>
      <c r="N214" s="39"/>
      <c r="O214" s="39"/>
      <c r="P214" s="39"/>
      <c r="Q214" s="39"/>
      <c r="R214" s="39"/>
      <c r="S214" s="39"/>
      <c r="T214" s="39"/>
      <c r="U214" s="39"/>
      <c r="V214" s="39"/>
      <c r="W214" s="39"/>
    </row>
    <row r="215" ht="15.75" customHeight="1">
      <c r="A215" s="37"/>
      <c r="B215" s="37"/>
      <c r="C215" s="38"/>
      <c r="D215" s="39"/>
      <c r="E215" s="39"/>
      <c r="F215" s="39"/>
      <c r="G215" s="39"/>
      <c r="H215" s="39"/>
      <c r="I215" s="39"/>
      <c r="J215" s="39"/>
      <c r="K215" s="39"/>
      <c r="L215" s="39"/>
      <c r="M215" s="39"/>
      <c r="N215" s="39"/>
      <c r="O215" s="39"/>
      <c r="P215" s="39"/>
      <c r="Q215" s="39"/>
      <c r="R215" s="39"/>
      <c r="S215" s="39"/>
      <c r="T215" s="39"/>
      <c r="U215" s="39"/>
      <c r="V215" s="39"/>
      <c r="W215" s="39"/>
    </row>
    <row r="216" ht="15.75" customHeight="1">
      <c r="A216" s="37"/>
      <c r="B216" s="37"/>
      <c r="C216" s="38"/>
      <c r="D216" s="39"/>
      <c r="E216" s="39"/>
      <c r="F216" s="39"/>
      <c r="G216" s="39"/>
      <c r="H216" s="39"/>
      <c r="I216" s="39"/>
      <c r="J216" s="39"/>
      <c r="K216" s="39"/>
      <c r="L216" s="39"/>
      <c r="M216" s="39"/>
      <c r="N216" s="39"/>
      <c r="O216" s="39"/>
      <c r="P216" s="39"/>
      <c r="Q216" s="39"/>
      <c r="R216" s="39"/>
      <c r="S216" s="39"/>
      <c r="T216" s="39"/>
      <c r="U216" s="39"/>
      <c r="V216" s="39"/>
      <c r="W216" s="39"/>
    </row>
    <row r="217" ht="15.75" customHeight="1">
      <c r="A217" s="37"/>
      <c r="B217" s="37"/>
      <c r="C217" s="38"/>
      <c r="D217" s="39"/>
      <c r="E217" s="39"/>
      <c r="F217" s="39"/>
      <c r="G217" s="39"/>
      <c r="H217" s="39"/>
      <c r="I217" s="39"/>
      <c r="J217" s="39"/>
      <c r="K217" s="39"/>
      <c r="L217" s="39"/>
      <c r="M217" s="39"/>
      <c r="N217" s="39"/>
      <c r="O217" s="39"/>
      <c r="P217" s="39"/>
      <c r="Q217" s="39"/>
      <c r="R217" s="39"/>
      <c r="S217" s="39"/>
      <c r="T217" s="39"/>
      <c r="U217" s="39"/>
      <c r="V217" s="39"/>
      <c r="W217" s="39"/>
    </row>
    <row r="218" ht="15.75" customHeight="1">
      <c r="A218" s="37"/>
      <c r="B218" s="37"/>
      <c r="C218" s="38"/>
      <c r="D218" s="39"/>
      <c r="E218" s="39"/>
      <c r="F218" s="39"/>
      <c r="G218" s="39"/>
      <c r="H218" s="39"/>
      <c r="I218" s="39"/>
      <c r="J218" s="39"/>
      <c r="K218" s="39"/>
      <c r="L218" s="39"/>
      <c r="M218" s="39"/>
      <c r="N218" s="39"/>
      <c r="O218" s="39"/>
      <c r="P218" s="39"/>
      <c r="Q218" s="39"/>
      <c r="R218" s="39"/>
      <c r="S218" s="39"/>
      <c r="T218" s="39"/>
      <c r="U218" s="39"/>
      <c r="V218" s="39"/>
      <c r="W218" s="39"/>
    </row>
    <row r="219" ht="15.75" customHeight="1">
      <c r="A219" s="37"/>
      <c r="B219" s="37"/>
      <c r="C219" s="38"/>
      <c r="D219" s="39"/>
      <c r="E219" s="39"/>
      <c r="F219" s="39"/>
      <c r="G219" s="39"/>
      <c r="H219" s="39"/>
      <c r="I219" s="39"/>
      <c r="J219" s="39"/>
      <c r="K219" s="39"/>
      <c r="L219" s="39"/>
      <c r="M219" s="39"/>
      <c r="N219" s="39"/>
      <c r="O219" s="39"/>
      <c r="P219" s="39"/>
      <c r="Q219" s="39"/>
      <c r="R219" s="39"/>
      <c r="S219" s="39"/>
      <c r="T219" s="39"/>
      <c r="U219" s="39"/>
      <c r="V219" s="39"/>
      <c r="W219" s="39"/>
    </row>
    <row r="220" ht="15.75" customHeight="1">
      <c r="A220" s="37"/>
      <c r="B220" s="37"/>
      <c r="C220" s="38"/>
      <c r="D220" s="39"/>
      <c r="E220" s="39"/>
      <c r="F220" s="39"/>
      <c r="G220" s="39"/>
      <c r="H220" s="39"/>
      <c r="I220" s="39"/>
      <c r="J220" s="39"/>
      <c r="K220" s="39"/>
      <c r="L220" s="39"/>
      <c r="M220" s="39"/>
      <c r="N220" s="39"/>
      <c r="O220" s="39"/>
      <c r="P220" s="39"/>
      <c r="Q220" s="39"/>
      <c r="R220" s="39"/>
      <c r="S220" s="39"/>
      <c r="T220" s="39"/>
      <c r="U220" s="39"/>
      <c r="V220" s="39"/>
      <c r="W220" s="39"/>
    </row>
    <row r="221" ht="15.75" customHeight="1">
      <c r="A221" s="37"/>
      <c r="B221" s="37"/>
      <c r="C221" s="38"/>
      <c r="D221" s="39"/>
      <c r="E221" s="39"/>
      <c r="F221" s="39"/>
      <c r="G221" s="39"/>
      <c r="H221" s="39"/>
      <c r="I221" s="39"/>
      <c r="J221" s="39"/>
      <c r="K221" s="39"/>
      <c r="L221" s="39"/>
      <c r="M221" s="39"/>
      <c r="N221" s="39"/>
      <c r="O221" s="39"/>
      <c r="P221" s="39"/>
      <c r="Q221" s="39"/>
      <c r="R221" s="39"/>
      <c r="S221" s="39"/>
      <c r="T221" s="39"/>
      <c r="U221" s="39"/>
      <c r="V221" s="39"/>
      <c r="W221" s="39"/>
    </row>
    <row r="222" ht="15.75" customHeight="1">
      <c r="A222" s="37"/>
      <c r="B222" s="37"/>
      <c r="C222" s="38"/>
      <c r="D222" s="39"/>
      <c r="E222" s="39"/>
      <c r="F222" s="39"/>
      <c r="G222" s="39"/>
      <c r="H222" s="39"/>
      <c r="I222" s="39"/>
      <c r="J222" s="39"/>
      <c r="K222" s="39"/>
      <c r="L222" s="39"/>
      <c r="M222" s="39"/>
      <c r="N222" s="39"/>
      <c r="O222" s="39"/>
      <c r="P222" s="39"/>
      <c r="Q222" s="39"/>
      <c r="R222" s="39"/>
      <c r="S222" s="39"/>
      <c r="T222" s="39"/>
      <c r="U222" s="39"/>
      <c r="V222" s="39"/>
      <c r="W222" s="39"/>
    </row>
    <row r="223" ht="15.75" customHeight="1">
      <c r="A223" s="37"/>
      <c r="B223" s="37"/>
      <c r="C223" s="38"/>
      <c r="D223" s="39"/>
      <c r="E223" s="39"/>
      <c r="F223" s="39"/>
      <c r="G223" s="39"/>
      <c r="H223" s="39"/>
      <c r="I223" s="39"/>
      <c r="J223" s="39"/>
      <c r="K223" s="39"/>
      <c r="L223" s="39"/>
      <c r="M223" s="39"/>
      <c r="N223" s="39"/>
      <c r="O223" s="39"/>
      <c r="P223" s="39"/>
      <c r="Q223" s="39"/>
      <c r="R223" s="39"/>
      <c r="S223" s="39"/>
      <c r="T223" s="39"/>
      <c r="U223" s="39"/>
      <c r="V223" s="39"/>
      <c r="W223" s="39"/>
    </row>
    <row r="224" ht="15.75" customHeight="1">
      <c r="A224" s="37"/>
      <c r="B224" s="37"/>
      <c r="C224" s="38"/>
      <c r="D224" s="39"/>
      <c r="E224" s="39"/>
      <c r="F224" s="39"/>
      <c r="G224" s="39"/>
      <c r="H224" s="39"/>
      <c r="I224" s="39"/>
      <c r="J224" s="39"/>
      <c r="K224" s="39"/>
      <c r="L224" s="39"/>
      <c r="M224" s="39"/>
      <c r="N224" s="39"/>
      <c r="O224" s="39"/>
      <c r="P224" s="39"/>
      <c r="Q224" s="39"/>
      <c r="R224" s="39"/>
      <c r="S224" s="39"/>
      <c r="T224" s="39"/>
      <c r="U224" s="39"/>
      <c r="V224" s="39"/>
      <c r="W224" s="39"/>
    </row>
    <row r="225" ht="15.75" customHeight="1">
      <c r="A225" s="37"/>
      <c r="B225" s="37"/>
      <c r="C225" s="38"/>
      <c r="D225" s="39"/>
      <c r="E225" s="39"/>
      <c r="F225" s="39"/>
      <c r="G225" s="39"/>
      <c r="H225" s="39"/>
      <c r="I225" s="39"/>
      <c r="J225" s="39"/>
      <c r="K225" s="39"/>
      <c r="L225" s="39"/>
      <c r="M225" s="39"/>
      <c r="N225" s="39"/>
      <c r="O225" s="39"/>
      <c r="P225" s="39"/>
      <c r="Q225" s="39"/>
      <c r="R225" s="39"/>
      <c r="S225" s="39"/>
      <c r="T225" s="39"/>
      <c r="U225" s="39"/>
      <c r="V225" s="39"/>
      <c r="W225" s="39"/>
    </row>
    <row r="226" ht="15.75" customHeight="1">
      <c r="A226" s="40"/>
      <c r="B226" s="40"/>
      <c r="C226" s="40"/>
    </row>
    <row r="227" ht="15.75" customHeight="1">
      <c r="A227" s="40"/>
      <c r="B227" s="40"/>
      <c r="C227" s="40"/>
    </row>
    <row r="228" ht="15.75" customHeight="1">
      <c r="A228" s="40"/>
      <c r="B228" s="40"/>
      <c r="C228" s="40"/>
    </row>
    <row r="229" ht="15.75" customHeight="1">
      <c r="A229" s="40"/>
      <c r="B229" s="40"/>
      <c r="C229" s="40"/>
    </row>
    <row r="230" ht="15.75" customHeight="1">
      <c r="A230" s="40"/>
      <c r="B230" s="40"/>
      <c r="C230" s="40"/>
    </row>
    <row r="231" ht="15.75" customHeight="1">
      <c r="A231" s="40"/>
      <c r="B231" s="40"/>
      <c r="C231" s="40"/>
    </row>
    <row r="232" ht="15.75" customHeight="1">
      <c r="A232" s="40"/>
      <c r="B232" s="40"/>
      <c r="C232" s="40"/>
    </row>
    <row r="233" ht="15.75" customHeight="1">
      <c r="A233" s="40"/>
      <c r="B233" s="40"/>
      <c r="C233" s="40"/>
    </row>
    <row r="234" ht="15.75" customHeight="1">
      <c r="A234" s="40"/>
      <c r="B234" s="40"/>
      <c r="C234" s="40"/>
    </row>
    <row r="235" ht="15.75" customHeight="1">
      <c r="A235" s="40"/>
      <c r="B235" s="40"/>
      <c r="C235" s="40"/>
    </row>
    <row r="236" ht="15.75" customHeight="1">
      <c r="A236" s="40"/>
      <c r="B236" s="40"/>
      <c r="C236" s="40"/>
    </row>
    <row r="237" ht="15.75" customHeight="1">
      <c r="A237" s="40"/>
      <c r="B237" s="40"/>
      <c r="C237" s="40"/>
    </row>
    <row r="238" ht="15.75" customHeight="1">
      <c r="A238" s="40"/>
      <c r="B238" s="40"/>
      <c r="C238" s="40"/>
    </row>
    <row r="239" ht="15.75" customHeight="1">
      <c r="A239" s="40"/>
      <c r="B239" s="40"/>
      <c r="C239" s="40"/>
    </row>
    <row r="240" ht="15.75" customHeight="1">
      <c r="A240" s="40"/>
      <c r="B240" s="40"/>
      <c r="C240" s="40"/>
    </row>
    <row r="241" ht="15.75" customHeight="1">
      <c r="A241" s="40"/>
      <c r="B241" s="40"/>
      <c r="C241" s="40"/>
    </row>
    <row r="242" ht="15.75" customHeight="1">
      <c r="A242" s="40"/>
      <c r="B242" s="40"/>
      <c r="C242" s="40"/>
    </row>
    <row r="243" ht="15.75" customHeight="1">
      <c r="A243" s="40"/>
      <c r="B243" s="40"/>
      <c r="C243" s="40"/>
    </row>
    <row r="244" ht="15.75" customHeight="1">
      <c r="A244" s="40"/>
      <c r="B244" s="40"/>
      <c r="C244" s="40"/>
    </row>
    <row r="245" ht="15.75" customHeight="1">
      <c r="A245" s="40"/>
      <c r="B245" s="40"/>
      <c r="C245" s="40"/>
    </row>
    <row r="246" ht="15.75" customHeight="1">
      <c r="A246" s="40"/>
      <c r="B246" s="40"/>
      <c r="C246" s="40"/>
    </row>
    <row r="247" ht="15.75" customHeight="1">
      <c r="A247" s="40"/>
      <c r="B247" s="40"/>
      <c r="C247" s="40"/>
    </row>
    <row r="248" ht="15.75" customHeight="1">
      <c r="A248" s="40"/>
      <c r="B248" s="40"/>
      <c r="C248" s="40"/>
    </row>
    <row r="249" ht="15.75" customHeight="1">
      <c r="A249" s="40"/>
      <c r="B249" s="40"/>
      <c r="C249" s="40"/>
    </row>
    <row r="250" ht="15.75" customHeight="1">
      <c r="A250" s="40"/>
      <c r="B250" s="40"/>
      <c r="C250" s="40"/>
    </row>
    <row r="251" ht="15.75" customHeight="1">
      <c r="A251" s="40"/>
      <c r="B251" s="40"/>
      <c r="C251" s="40"/>
    </row>
    <row r="252" ht="15.75" customHeight="1">
      <c r="A252" s="40"/>
      <c r="B252" s="40"/>
      <c r="C252" s="40"/>
    </row>
    <row r="253" ht="15.75" customHeight="1">
      <c r="A253" s="40"/>
      <c r="B253" s="40"/>
      <c r="C253" s="40"/>
    </row>
    <row r="254" ht="15.75" customHeight="1">
      <c r="A254" s="40"/>
      <c r="B254" s="40"/>
      <c r="C254" s="40"/>
    </row>
    <row r="255" ht="15.75" customHeight="1">
      <c r="A255" s="40"/>
      <c r="B255" s="40"/>
      <c r="C255" s="40"/>
    </row>
    <row r="256" ht="15.75" customHeight="1">
      <c r="A256" s="40"/>
      <c r="B256" s="40"/>
      <c r="C256" s="40"/>
    </row>
    <row r="257" ht="15.75" customHeight="1">
      <c r="A257" s="40"/>
      <c r="B257" s="40"/>
      <c r="C257" s="40"/>
    </row>
    <row r="258" ht="15.75" customHeight="1">
      <c r="A258" s="40"/>
      <c r="B258" s="40"/>
      <c r="C258" s="40"/>
    </row>
    <row r="259" ht="15.75" customHeight="1">
      <c r="A259" s="40"/>
      <c r="B259" s="40"/>
      <c r="C259" s="40"/>
    </row>
    <row r="260" ht="15.75" customHeight="1">
      <c r="A260" s="40"/>
      <c r="B260" s="40"/>
      <c r="C260" s="40"/>
    </row>
    <row r="261" ht="15.75" customHeight="1">
      <c r="A261" s="40"/>
      <c r="B261" s="40"/>
      <c r="C261" s="40"/>
    </row>
    <row r="262" ht="15.75" customHeight="1">
      <c r="A262" s="40"/>
      <c r="B262" s="40"/>
      <c r="C262" s="40"/>
    </row>
    <row r="263" ht="15.75" customHeight="1">
      <c r="A263" s="40"/>
      <c r="B263" s="40"/>
      <c r="C263" s="40"/>
    </row>
    <row r="264" ht="15.75" customHeight="1">
      <c r="A264" s="40"/>
      <c r="B264" s="40"/>
      <c r="C264" s="40"/>
    </row>
    <row r="265" ht="15.75" customHeight="1">
      <c r="A265" s="40"/>
      <c r="B265" s="40"/>
      <c r="C265" s="40"/>
    </row>
    <row r="266" ht="15.75" customHeight="1">
      <c r="A266" s="40"/>
      <c r="B266" s="40"/>
      <c r="C266" s="40"/>
    </row>
    <row r="267" ht="15.75" customHeight="1">
      <c r="A267" s="40"/>
      <c r="B267" s="40"/>
      <c r="C267" s="40"/>
    </row>
    <row r="268" ht="15.75" customHeight="1">
      <c r="A268" s="40"/>
      <c r="B268" s="40"/>
      <c r="C268" s="40"/>
    </row>
    <row r="269" ht="15.75" customHeight="1">
      <c r="A269" s="40"/>
      <c r="B269" s="40"/>
      <c r="C269" s="40"/>
    </row>
    <row r="270" ht="15.75" customHeight="1">
      <c r="A270" s="40"/>
      <c r="B270" s="40"/>
      <c r="C270" s="40"/>
    </row>
    <row r="271" ht="15.75" customHeight="1">
      <c r="A271" s="40"/>
      <c r="B271" s="40"/>
      <c r="C271" s="40"/>
    </row>
    <row r="272" ht="15.75" customHeight="1">
      <c r="A272" s="40"/>
      <c r="B272" s="40"/>
      <c r="C272" s="40"/>
    </row>
    <row r="273" ht="15.75" customHeight="1">
      <c r="A273" s="40"/>
      <c r="B273" s="40"/>
      <c r="C273" s="40"/>
    </row>
    <row r="274" ht="15.75" customHeight="1">
      <c r="A274" s="40"/>
      <c r="B274" s="40"/>
      <c r="C274" s="40"/>
    </row>
    <row r="275" ht="15.75" customHeight="1">
      <c r="A275" s="40"/>
      <c r="B275" s="40"/>
      <c r="C275" s="40"/>
    </row>
    <row r="276" ht="15.75" customHeight="1">
      <c r="A276" s="40"/>
      <c r="B276" s="40"/>
      <c r="C276" s="40"/>
    </row>
    <row r="277" ht="15.75" customHeight="1">
      <c r="A277" s="40"/>
      <c r="B277" s="40"/>
      <c r="C277" s="40"/>
    </row>
    <row r="278" ht="15.75" customHeight="1">
      <c r="A278" s="40"/>
      <c r="B278" s="40"/>
      <c r="C278" s="40"/>
    </row>
    <row r="279" ht="15.75" customHeight="1">
      <c r="A279" s="40"/>
      <c r="B279" s="40"/>
      <c r="C279" s="40"/>
    </row>
    <row r="280" ht="15.75" customHeight="1">
      <c r="A280" s="40"/>
      <c r="B280" s="40"/>
      <c r="C280" s="40"/>
    </row>
    <row r="281" ht="15.75" customHeight="1">
      <c r="A281" s="40"/>
      <c r="B281" s="40"/>
      <c r="C281" s="40"/>
    </row>
    <row r="282" ht="15.75" customHeight="1">
      <c r="A282" s="40"/>
      <c r="B282" s="40"/>
      <c r="C282" s="40"/>
    </row>
    <row r="283" ht="15.75" customHeight="1">
      <c r="A283" s="40"/>
      <c r="B283" s="40"/>
      <c r="C283" s="40"/>
    </row>
    <row r="284" ht="15.75" customHeight="1">
      <c r="A284" s="40"/>
      <c r="B284" s="40"/>
      <c r="C284" s="40"/>
    </row>
    <row r="285" ht="15.75" customHeight="1">
      <c r="A285" s="40"/>
      <c r="B285" s="40"/>
      <c r="C285" s="40"/>
    </row>
    <row r="286" ht="15.75" customHeight="1">
      <c r="A286" s="40"/>
      <c r="B286" s="40"/>
      <c r="C286" s="40"/>
    </row>
    <row r="287" ht="15.75" customHeight="1">
      <c r="A287" s="40"/>
      <c r="B287" s="40"/>
      <c r="C287" s="40"/>
    </row>
    <row r="288" ht="15.75" customHeight="1">
      <c r="A288" s="40"/>
      <c r="B288" s="40"/>
      <c r="C288" s="40"/>
    </row>
    <row r="289" ht="15.75" customHeight="1">
      <c r="A289" s="40"/>
      <c r="B289" s="40"/>
      <c r="C289" s="40"/>
    </row>
    <row r="290" ht="15.75" customHeight="1">
      <c r="A290" s="40"/>
      <c r="B290" s="40"/>
      <c r="C290" s="40"/>
    </row>
    <row r="291" ht="15.75" customHeight="1">
      <c r="A291" s="40"/>
      <c r="B291" s="40"/>
      <c r="C291" s="40"/>
    </row>
    <row r="292" ht="15.75" customHeight="1">
      <c r="A292" s="40"/>
      <c r="B292" s="40"/>
      <c r="C292" s="40"/>
    </row>
    <row r="293" ht="15.75" customHeight="1">
      <c r="A293" s="40"/>
      <c r="B293" s="40"/>
      <c r="C293" s="40"/>
    </row>
    <row r="294" ht="15.75" customHeight="1">
      <c r="A294" s="40"/>
      <c r="B294" s="40"/>
      <c r="C294" s="40"/>
    </row>
    <row r="295" ht="15.75" customHeight="1">
      <c r="A295" s="40"/>
      <c r="B295" s="40"/>
      <c r="C295" s="40"/>
    </row>
    <row r="296" ht="15.75" customHeight="1">
      <c r="A296" s="40"/>
      <c r="B296" s="40"/>
      <c r="C296" s="40"/>
    </row>
    <row r="297" ht="15.75" customHeight="1">
      <c r="A297" s="40"/>
      <c r="B297" s="40"/>
      <c r="C297" s="40"/>
    </row>
    <row r="298" ht="15.75" customHeight="1">
      <c r="A298" s="40"/>
      <c r="B298" s="40"/>
      <c r="C298" s="40"/>
    </row>
    <row r="299" ht="15.75" customHeight="1">
      <c r="A299" s="40"/>
      <c r="B299" s="40"/>
      <c r="C299" s="40"/>
    </row>
    <row r="300" ht="15.75" customHeight="1">
      <c r="A300" s="40"/>
      <c r="B300" s="40"/>
      <c r="C300" s="40"/>
    </row>
    <row r="301" ht="15.75" customHeight="1">
      <c r="A301" s="40"/>
      <c r="B301" s="40"/>
      <c r="C301" s="40"/>
    </row>
    <row r="302" ht="15.75" customHeight="1">
      <c r="A302" s="40"/>
      <c r="B302" s="40"/>
      <c r="C302" s="40"/>
    </row>
    <row r="303" ht="15.75" customHeight="1">
      <c r="A303" s="40"/>
      <c r="B303" s="40"/>
      <c r="C303" s="40"/>
    </row>
    <row r="304" ht="15.75" customHeight="1">
      <c r="A304" s="40"/>
      <c r="B304" s="40"/>
      <c r="C304" s="40"/>
    </row>
    <row r="305" ht="15.75" customHeight="1">
      <c r="A305" s="40"/>
      <c r="B305" s="40"/>
      <c r="C305" s="40"/>
    </row>
    <row r="306" ht="15.75" customHeight="1">
      <c r="A306" s="40"/>
      <c r="B306" s="40"/>
      <c r="C306" s="40"/>
    </row>
    <row r="307" ht="15.75" customHeight="1">
      <c r="A307" s="40"/>
      <c r="B307" s="40"/>
      <c r="C307" s="40"/>
    </row>
    <row r="308" ht="15.75" customHeight="1">
      <c r="A308" s="40"/>
      <c r="B308" s="40"/>
      <c r="C308" s="40"/>
    </row>
    <row r="309" ht="15.75" customHeight="1">
      <c r="A309" s="40"/>
      <c r="B309" s="40"/>
      <c r="C309" s="40"/>
    </row>
    <row r="310" ht="15.75" customHeight="1">
      <c r="A310" s="40"/>
      <c r="B310" s="40"/>
      <c r="C310" s="40"/>
    </row>
    <row r="311" ht="15.75" customHeight="1">
      <c r="A311" s="40"/>
      <c r="B311" s="40"/>
      <c r="C311" s="40"/>
    </row>
    <row r="312" ht="15.75" customHeight="1">
      <c r="A312" s="40"/>
      <c r="B312" s="40"/>
      <c r="C312" s="40"/>
    </row>
    <row r="313" ht="15.75" customHeight="1">
      <c r="A313" s="40"/>
      <c r="B313" s="40"/>
      <c r="C313" s="40"/>
    </row>
    <row r="314" ht="15.75" customHeight="1">
      <c r="A314" s="40"/>
      <c r="B314" s="40"/>
      <c r="C314" s="40"/>
    </row>
    <row r="315" ht="15.75" customHeight="1">
      <c r="A315" s="40"/>
      <c r="B315" s="40"/>
      <c r="C315" s="40"/>
    </row>
    <row r="316" ht="15.75" customHeight="1">
      <c r="A316" s="40"/>
      <c r="B316" s="40"/>
      <c r="C316" s="40"/>
    </row>
    <row r="317" ht="15.75" customHeight="1">
      <c r="A317" s="40"/>
      <c r="B317" s="40"/>
      <c r="C317" s="40"/>
    </row>
    <row r="318" ht="15.75" customHeight="1">
      <c r="A318" s="40"/>
      <c r="B318" s="40"/>
      <c r="C318" s="40"/>
    </row>
    <row r="319" ht="15.75" customHeight="1">
      <c r="A319" s="40"/>
      <c r="B319" s="40"/>
      <c r="C319" s="40"/>
    </row>
    <row r="320" ht="15.75" customHeight="1">
      <c r="A320" s="40"/>
      <c r="B320" s="40"/>
      <c r="C320" s="40"/>
    </row>
    <row r="321" ht="15.75" customHeight="1">
      <c r="A321" s="40"/>
      <c r="B321" s="40"/>
      <c r="C321" s="40"/>
    </row>
    <row r="322" ht="15.75" customHeight="1">
      <c r="A322" s="40"/>
      <c r="B322" s="40"/>
      <c r="C322" s="40"/>
    </row>
    <row r="323" ht="15.75" customHeight="1">
      <c r="A323" s="40"/>
      <c r="B323" s="40"/>
      <c r="C323" s="40"/>
    </row>
    <row r="324" ht="15.75" customHeight="1">
      <c r="A324" s="40"/>
      <c r="B324" s="40"/>
      <c r="C324" s="40"/>
    </row>
    <row r="325" ht="15.75" customHeight="1">
      <c r="A325" s="40"/>
      <c r="B325" s="40"/>
      <c r="C325" s="40"/>
    </row>
    <row r="326" ht="15.75" customHeight="1">
      <c r="A326" s="40"/>
      <c r="B326" s="40"/>
      <c r="C326" s="40"/>
    </row>
    <row r="327" ht="15.75" customHeight="1">
      <c r="A327" s="40"/>
      <c r="B327" s="40"/>
      <c r="C327" s="40"/>
    </row>
    <row r="328" ht="15.75" customHeight="1">
      <c r="A328" s="40"/>
      <c r="B328" s="40"/>
      <c r="C328" s="40"/>
    </row>
    <row r="329" ht="15.75" customHeight="1">
      <c r="A329" s="40"/>
      <c r="B329" s="40"/>
      <c r="C329" s="40"/>
    </row>
    <row r="330" ht="15.75" customHeight="1">
      <c r="A330" s="40"/>
      <c r="B330" s="40"/>
      <c r="C330" s="40"/>
    </row>
    <row r="331" ht="15.75" customHeight="1">
      <c r="A331" s="40"/>
      <c r="B331" s="40"/>
      <c r="C331" s="40"/>
    </row>
    <row r="332" ht="15.75" customHeight="1">
      <c r="A332" s="40"/>
      <c r="B332" s="40"/>
      <c r="C332" s="40"/>
    </row>
    <row r="333" ht="15.75" customHeight="1">
      <c r="A333" s="40"/>
      <c r="B333" s="40"/>
      <c r="C333" s="40"/>
    </row>
    <row r="334" ht="15.75" customHeight="1">
      <c r="A334" s="40"/>
      <c r="B334" s="40"/>
      <c r="C334" s="40"/>
    </row>
    <row r="335" ht="15.75" customHeight="1">
      <c r="A335" s="40"/>
      <c r="B335" s="40"/>
      <c r="C335" s="40"/>
    </row>
    <row r="336" ht="15.75" customHeight="1">
      <c r="A336" s="40"/>
      <c r="B336" s="40"/>
      <c r="C336" s="40"/>
    </row>
    <row r="337" ht="15.75" customHeight="1">
      <c r="A337" s="40"/>
      <c r="B337" s="40"/>
      <c r="C337" s="40"/>
    </row>
    <row r="338" ht="15.75" customHeight="1">
      <c r="A338" s="40"/>
      <c r="B338" s="40"/>
      <c r="C338" s="40"/>
    </row>
    <row r="339" ht="15.75" customHeight="1">
      <c r="A339" s="40"/>
      <c r="B339" s="40"/>
      <c r="C339" s="40"/>
    </row>
    <row r="340" ht="15.75" customHeight="1">
      <c r="A340" s="40"/>
      <c r="B340" s="40"/>
      <c r="C340" s="40"/>
    </row>
    <row r="341" ht="15.75" customHeight="1">
      <c r="A341" s="40"/>
      <c r="B341" s="40"/>
      <c r="C341" s="40"/>
    </row>
    <row r="342" ht="15.75" customHeight="1">
      <c r="A342" s="40"/>
      <c r="B342" s="40"/>
      <c r="C342" s="40"/>
    </row>
    <row r="343" ht="15.75" customHeight="1">
      <c r="A343" s="40"/>
      <c r="B343" s="40"/>
      <c r="C343" s="40"/>
    </row>
    <row r="344" ht="15.75" customHeight="1">
      <c r="A344" s="40"/>
      <c r="B344" s="40"/>
      <c r="C344" s="40"/>
    </row>
    <row r="345" ht="15.75" customHeight="1">
      <c r="A345" s="40"/>
      <c r="B345" s="40"/>
      <c r="C345" s="40"/>
    </row>
    <row r="346" ht="15.75" customHeight="1">
      <c r="A346" s="40"/>
      <c r="B346" s="40"/>
      <c r="C346" s="40"/>
    </row>
    <row r="347" ht="15.75" customHeight="1">
      <c r="A347" s="40"/>
      <c r="B347" s="40"/>
      <c r="C347" s="40"/>
    </row>
    <row r="348" ht="15.75" customHeight="1">
      <c r="A348" s="40"/>
      <c r="B348" s="40"/>
      <c r="C348" s="40"/>
    </row>
    <row r="349" ht="15.75" customHeight="1">
      <c r="A349" s="40"/>
      <c r="B349" s="40"/>
      <c r="C349" s="40"/>
    </row>
    <row r="350" ht="15.75" customHeight="1">
      <c r="A350" s="40"/>
      <c r="B350" s="40"/>
      <c r="C350" s="40"/>
    </row>
    <row r="351" ht="15.75" customHeight="1">
      <c r="A351" s="40"/>
      <c r="B351" s="40"/>
      <c r="C351" s="40"/>
    </row>
    <row r="352" ht="15.75" customHeight="1">
      <c r="A352" s="40"/>
      <c r="B352" s="40"/>
      <c r="C352" s="40"/>
    </row>
    <row r="353" ht="15.75" customHeight="1">
      <c r="A353" s="40"/>
      <c r="B353" s="40"/>
      <c r="C353" s="40"/>
    </row>
    <row r="354" ht="15.75" customHeight="1">
      <c r="A354" s="40"/>
      <c r="B354" s="40"/>
      <c r="C354" s="40"/>
    </row>
    <row r="355" ht="15.75" customHeight="1">
      <c r="A355" s="40"/>
      <c r="B355" s="40"/>
      <c r="C355" s="40"/>
    </row>
    <row r="356" ht="15.75" customHeight="1">
      <c r="A356" s="40"/>
      <c r="B356" s="40"/>
      <c r="C356" s="40"/>
    </row>
    <row r="357" ht="15.75" customHeight="1">
      <c r="A357" s="40"/>
      <c r="B357" s="40"/>
      <c r="C357" s="40"/>
    </row>
    <row r="358" ht="15.75" customHeight="1">
      <c r="A358" s="40"/>
      <c r="B358" s="40"/>
      <c r="C358" s="40"/>
    </row>
    <row r="359" ht="15.75" customHeight="1">
      <c r="A359" s="40"/>
      <c r="B359" s="40"/>
      <c r="C359" s="40"/>
    </row>
    <row r="360" ht="15.75" customHeight="1">
      <c r="A360" s="40"/>
      <c r="B360" s="40"/>
      <c r="C360" s="40"/>
    </row>
    <row r="361" ht="15.75" customHeight="1">
      <c r="A361" s="40"/>
      <c r="B361" s="40"/>
      <c r="C361" s="40"/>
    </row>
    <row r="362" ht="15.75" customHeight="1">
      <c r="A362" s="40"/>
      <c r="B362" s="40"/>
      <c r="C362" s="40"/>
    </row>
    <row r="363" ht="15.75" customHeight="1">
      <c r="A363" s="40"/>
      <c r="B363" s="40"/>
      <c r="C363" s="40"/>
    </row>
    <row r="364" ht="15.75" customHeight="1">
      <c r="A364" s="40"/>
      <c r="B364" s="40"/>
      <c r="C364" s="40"/>
    </row>
    <row r="365" ht="15.75" customHeight="1">
      <c r="A365" s="40"/>
      <c r="B365" s="40"/>
      <c r="C365" s="40"/>
    </row>
    <row r="366" ht="15.75" customHeight="1">
      <c r="A366" s="40"/>
      <c r="B366" s="40"/>
      <c r="C366" s="40"/>
    </row>
    <row r="367" ht="15.75" customHeight="1">
      <c r="A367" s="40"/>
      <c r="B367" s="40"/>
      <c r="C367" s="40"/>
    </row>
    <row r="368" ht="15.75" customHeight="1">
      <c r="A368" s="40"/>
      <c r="B368" s="40"/>
      <c r="C368" s="40"/>
    </row>
    <row r="369" ht="15.75" customHeight="1">
      <c r="A369" s="40"/>
      <c r="B369" s="40"/>
      <c r="C369" s="40"/>
    </row>
    <row r="370" ht="15.75" customHeight="1">
      <c r="A370" s="40"/>
      <c r="B370" s="40"/>
      <c r="C370" s="40"/>
    </row>
    <row r="371" ht="15.75" customHeight="1">
      <c r="A371" s="40"/>
      <c r="B371" s="40"/>
      <c r="C371" s="40"/>
    </row>
    <row r="372" ht="15.75" customHeight="1">
      <c r="A372" s="40"/>
      <c r="B372" s="40"/>
      <c r="C372" s="40"/>
    </row>
    <row r="373" ht="15.75" customHeight="1">
      <c r="A373" s="40"/>
      <c r="B373" s="40"/>
      <c r="C373" s="40"/>
    </row>
    <row r="374" ht="15.75" customHeight="1">
      <c r="A374" s="40"/>
      <c r="B374" s="40"/>
      <c r="C374" s="40"/>
    </row>
    <row r="375" ht="15.75" customHeight="1">
      <c r="A375" s="40"/>
      <c r="B375" s="40"/>
      <c r="C375" s="40"/>
    </row>
    <row r="376" ht="15.75" customHeight="1">
      <c r="A376" s="40"/>
      <c r="B376" s="40"/>
      <c r="C376" s="40"/>
    </row>
    <row r="377" ht="15.75" customHeight="1">
      <c r="A377" s="40"/>
      <c r="B377" s="40"/>
      <c r="C377" s="40"/>
    </row>
    <row r="378" ht="15.75" customHeight="1">
      <c r="A378" s="40"/>
      <c r="B378" s="40"/>
      <c r="C378" s="40"/>
    </row>
    <row r="379" ht="15.75" customHeight="1">
      <c r="A379" s="40"/>
      <c r="B379" s="40"/>
      <c r="C379" s="40"/>
    </row>
    <row r="380" ht="15.75" customHeight="1">
      <c r="A380" s="40"/>
      <c r="B380" s="40"/>
      <c r="C380" s="40"/>
    </row>
    <row r="381" ht="15.75" customHeight="1">
      <c r="A381" s="40"/>
      <c r="B381" s="40"/>
      <c r="C381" s="40"/>
    </row>
    <row r="382" ht="15.75" customHeight="1">
      <c r="A382" s="40"/>
      <c r="B382" s="40"/>
      <c r="C382" s="40"/>
    </row>
    <row r="383" ht="15.75" customHeight="1">
      <c r="A383" s="40"/>
      <c r="B383" s="40"/>
      <c r="C383" s="40"/>
    </row>
    <row r="384" ht="15.75" customHeight="1">
      <c r="A384" s="40"/>
      <c r="B384" s="40"/>
      <c r="C384" s="40"/>
    </row>
    <row r="385" ht="15.75" customHeight="1">
      <c r="A385" s="40"/>
      <c r="B385" s="40"/>
      <c r="C385" s="40"/>
    </row>
    <row r="386" ht="15.75" customHeight="1">
      <c r="A386" s="40"/>
      <c r="B386" s="40"/>
      <c r="C386" s="40"/>
    </row>
    <row r="387" ht="15.75" customHeight="1">
      <c r="A387" s="40"/>
      <c r="B387" s="40"/>
      <c r="C387" s="40"/>
    </row>
    <row r="388" ht="15.75" customHeight="1">
      <c r="A388" s="40"/>
      <c r="B388" s="40"/>
      <c r="C388" s="40"/>
    </row>
    <row r="389" ht="15.75" customHeight="1">
      <c r="A389" s="40"/>
      <c r="B389" s="40"/>
      <c r="C389" s="40"/>
    </row>
    <row r="390" ht="15.75" customHeight="1">
      <c r="A390" s="40"/>
      <c r="B390" s="40"/>
      <c r="C390" s="40"/>
    </row>
    <row r="391" ht="15.75" customHeight="1">
      <c r="A391" s="40"/>
      <c r="B391" s="40"/>
      <c r="C391" s="40"/>
    </row>
    <row r="392" ht="15.75" customHeight="1">
      <c r="A392" s="40"/>
      <c r="B392" s="40"/>
      <c r="C392" s="40"/>
    </row>
    <row r="393" ht="15.75" customHeight="1">
      <c r="A393" s="40"/>
      <c r="B393" s="40"/>
      <c r="C393" s="40"/>
    </row>
    <row r="394" ht="15.75" customHeight="1">
      <c r="A394" s="40"/>
      <c r="B394" s="40"/>
      <c r="C394" s="40"/>
    </row>
    <row r="395" ht="15.75" customHeight="1">
      <c r="A395" s="40"/>
      <c r="B395" s="40"/>
      <c r="C395" s="40"/>
    </row>
    <row r="396" ht="15.75" customHeight="1">
      <c r="A396" s="40"/>
      <c r="B396" s="40"/>
      <c r="C396" s="40"/>
    </row>
    <row r="397" ht="15.75" customHeight="1">
      <c r="A397" s="40"/>
      <c r="B397" s="40"/>
      <c r="C397" s="40"/>
    </row>
    <row r="398" ht="15.75" customHeight="1">
      <c r="A398" s="40"/>
      <c r="B398" s="40"/>
      <c r="C398" s="40"/>
    </row>
    <row r="399" ht="15.75" customHeight="1">
      <c r="A399" s="40"/>
      <c r="B399" s="40"/>
      <c r="C399" s="40"/>
    </row>
    <row r="400" ht="15.75" customHeight="1">
      <c r="A400" s="40"/>
      <c r="B400" s="40"/>
      <c r="C400" s="40"/>
    </row>
    <row r="401" ht="15.75" customHeight="1">
      <c r="A401" s="40"/>
      <c r="B401" s="40"/>
      <c r="C401" s="40"/>
    </row>
    <row r="402" ht="15.75" customHeight="1">
      <c r="A402" s="40"/>
      <c r="B402" s="40"/>
      <c r="C402" s="40"/>
    </row>
    <row r="403" ht="15.75" customHeight="1">
      <c r="A403" s="40"/>
      <c r="B403" s="40"/>
      <c r="C403" s="40"/>
    </row>
    <row r="404" ht="15.75" customHeight="1">
      <c r="A404" s="40"/>
      <c r="B404" s="40"/>
      <c r="C404" s="40"/>
    </row>
    <row r="405" ht="15.75" customHeight="1">
      <c r="A405" s="40"/>
      <c r="B405" s="40"/>
      <c r="C405" s="40"/>
    </row>
    <row r="406" ht="15.75" customHeight="1">
      <c r="A406" s="40"/>
      <c r="B406" s="40"/>
      <c r="C406" s="40"/>
    </row>
    <row r="407" ht="15.75" customHeight="1">
      <c r="A407" s="40"/>
      <c r="B407" s="40"/>
      <c r="C407" s="40"/>
    </row>
    <row r="408" ht="15.75" customHeight="1">
      <c r="A408" s="40"/>
      <c r="B408" s="40"/>
      <c r="C408" s="40"/>
    </row>
    <row r="409" ht="15.75" customHeight="1">
      <c r="A409" s="40"/>
      <c r="B409" s="40"/>
      <c r="C409" s="40"/>
    </row>
    <row r="410" ht="15.75" customHeight="1">
      <c r="A410" s="40"/>
      <c r="B410" s="40"/>
      <c r="C410" s="40"/>
    </row>
    <row r="411" ht="15.75" customHeight="1">
      <c r="A411" s="40"/>
      <c r="B411" s="40"/>
      <c r="C411" s="40"/>
    </row>
    <row r="412" ht="15.75" customHeight="1">
      <c r="A412" s="40"/>
      <c r="B412" s="40"/>
      <c r="C412" s="40"/>
    </row>
    <row r="413" ht="15.75" customHeight="1">
      <c r="A413" s="40"/>
      <c r="B413" s="40"/>
      <c r="C413" s="40"/>
    </row>
    <row r="414" ht="15.75" customHeight="1">
      <c r="A414" s="40"/>
      <c r="B414" s="40"/>
      <c r="C414" s="40"/>
    </row>
    <row r="415" ht="15.75" customHeight="1">
      <c r="A415" s="40"/>
      <c r="B415" s="40"/>
      <c r="C415" s="40"/>
    </row>
    <row r="416" ht="15.75" customHeight="1">
      <c r="A416" s="40"/>
      <c r="B416" s="40"/>
      <c r="C416" s="40"/>
    </row>
    <row r="417" ht="15.75" customHeight="1">
      <c r="A417" s="40"/>
      <c r="B417" s="40"/>
      <c r="C417" s="40"/>
    </row>
    <row r="418" ht="15.75" customHeight="1">
      <c r="A418" s="40"/>
      <c r="B418" s="40"/>
      <c r="C418" s="40"/>
    </row>
    <row r="419" ht="15.75" customHeight="1">
      <c r="A419" s="40"/>
      <c r="B419" s="40"/>
      <c r="C419" s="40"/>
    </row>
    <row r="420" ht="15.75" customHeight="1">
      <c r="A420" s="40"/>
      <c r="B420" s="40"/>
      <c r="C420" s="40"/>
    </row>
    <row r="421" ht="15.75" customHeight="1">
      <c r="A421" s="40"/>
      <c r="B421" s="40"/>
      <c r="C421" s="40"/>
    </row>
    <row r="422" ht="15.75" customHeight="1">
      <c r="A422" s="40"/>
      <c r="B422" s="40"/>
      <c r="C422" s="40"/>
    </row>
    <row r="423" ht="15.75" customHeight="1">
      <c r="A423" s="40"/>
      <c r="B423" s="40"/>
      <c r="C423" s="40"/>
    </row>
    <row r="424" ht="15.75" customHeight="1">
      <c r="A424" s="40"/>
      <c r="B424" s="40"/>
      <c r="C424" s="40"/>
    </row>
    <row r="425" ht="15.75" customHeight="1">
      <c r="A425" s="40"/>
      <c r="B425" s="40"/>
      <c r="C425" s="40"/>
    </row>
    <row r="426" ht="15.75" customHeight="1">
      <c r="A426" s="40"/>
      <c r="B426" s="40"/>
      <c r="C426" s="40"/>
    </row>
    <row r="427" ht="15.75" customHeight="1">
      <c r="A427" s="40"/>
      <c r="B427" s="40"/>
      <c r="C427" s="40"/>
    </row>
    <row r="428" ht="15.75" customHeight="1">
      <c r="A428" s="40"/>
      <c r="B428" s="40"/>
      <c r="C428" s="40"/>
    </row>
    <row r="429" ht="15.75" customHeight="1">
      <c r="A429" s="40"/>
      <c r="B429" s="40"/>
      <c r="C429" s="40"/>
    </row>
    <row r="430" ht="15.75" customHeight="1">
      <c r="A430" s="40"/>
      <c r="B430" s="40"/>
      <c r="C430" s="40"/>
    </row>
    <row r="431" ht="15.75" customHeight="1">
      <c r="A431" s="40"/>
      <c r="B431" s="40"/>
      <c r="C431" s="40"/>
    </row>
    <row r="432" ht="15.75" customHeight="1">
      <c r="A432" s="40"/>
      <c r="B432" s="40"/>
      <c r="C432" s="40"/>
    </row>
    <row r="433" ht="15.75" customHeight="1">
      <c r="A433" s="40"/>
      <c r="B433" s="40"/>
      <c r="C433" s="40"/>
    </row>
    <row r="434" ht="15.75" customHeight="1">
      <c r="A434" s="40"/>
      <c r="B434" s="40"/>
      <c r="C434" s="40"/>
    </row>
    <row r="435" ht="15.75" customHeight="1">
      <c r="A435" s="40"/>
      <c r="B435" s="40"/>
      <c r="C435" s="40"/>
    </row>
    <row r="436" ht="15.75" customHeight="1">
      <c r="A436" s="40"/>
      <c r="B436" s="40"/>
      <c r="C436" s="40"/>
    </row>
    <row r="437" ht="15.75" customHeight="1">
      <c r="A437" s="40"/>
      <c r="B437" s="40"/>
      <c r="C437" s="40"/>
    </row>
    <row r="438" ht="15.75" customHeight="1">
      <c r="A438" s="40"/>
      <c r="B438" s="40"/>
      <c r="C438" s="40"/>
    </row>
    <row r="439" ht="15.75" customHeight="1">
      <c r="A439" s="40"/>
      <c r="B439" s="40"/>
      <c r="C439" s="40"/>
    </row>
    <row r="440" ht="15.75" customHeight="1">
      <c r="A440" s="40"/>
      <c r="B440" s="40"/>
      <c r="C440" s="40"/>
    </row>
    <row r="441" ht="15.75" customHeight="1">
      <c r="A441" s="40"/>
      <c r="B441" s="40"/>
      <c r="C441" s="40"/>
    </row>
    <row r="442" ht="15.75" customHeight="1">
      <c r="A442" s="40"/>
      <c r="B442" s="40"/>
      <c r="C442" s="40"/>
    </row>
    <row r="443" ht="15.75" customHeight="1">
      <c r="A443" s="40"/>
      <c r="B443" s="40"/>
      <c r="C443" s="40"/>
    </row>
    <row r="444" ht="15.75" customHeight="1">
      <c r="A444" s="40"/>
      <c r="B444" s="40"/>
      <c r="C444" s="40"/>
    </row>
    <row r="445" ht="15.75" customHeight="1">
      <c r="A445" s="40"/>
      <c r="B445" s="40"/>
      <c r="C445" s="40"/>
    </row>
    <row r="446" ht="15.75" customHeight="1">
      <c r="A446" s="40"/>
      <c r="B446" s="40"/>
      <c r="C446" s="40"/>
    </row>
    <row r="447" ht="15.75" customHeight="1">
      <c r="A447" s="40"/>
      <c r="B447" s="40"/>
      <c r="C447" s="40"/>
    </row>
    <row r="448" ht="15.75" customHeight="1">
      <c r="A448" s="40"/>
      <c r="B448" s="40"/>
      <c r="C448" s="40"/>
    </row>
    <row r="449" ht="15.75" customHeight="1">
      <c r="A449" s="40"/>
      <c r="B449" s="40"/>
      <c r="C449" s="40"/>
    </row>
    <row r="450" ht="15.75" customHeight="1">
      <c r="A450" s="40"/>
      <c r="B450" s="40"/>
      <c r="C450" s="40"/>
    </row>
    <row r="451" ht="15.75" customHeight="1">
      <c r="A451" s="40"/>
      <c r="B451" s="40"/>
      <c r="C451" s="40"/>
    </row>
    <row r="452" ht="15.75" customHeight="1">
      <c r="A452" s="40"/>
      <c r="B452" s="40"/>
      <c r="C452" s="40"/>
    </row>
    <row r="453" ht="15.75" customHeight="1">
      <c r="A453" s="40"/>
      <c r="B453" s="40"/>
      <c r="C453" s="40"/>
    </row>
    <row r="454" ht="15.75" customHeight="1">
      <c r="A454" s="40"/>
      <c r="B454" s="40"/>
      <c r="C454" s="40"/>
    </row>
    <row r="455" ht="15.75" customHeight="1">
      <c r="A455" s="40"/>
      <c r="B455" s="40"/>
      <c r="C455" s="40"/>
    </row>
    <row r="456" ht="15.75" customHeight="1">
      <c r="A456" s="40"/>
      <c r="B456" s="40"/>
      <c r="C456" s="40"/>
    </row>
    <row r="457" ht="15.75" customHeight="1">
      <c r="A457" s="40"/>
      <c r="B457" s="40"/>
      <c r="C457" s="40"/>
    </row>
    <row r="458" ht="15.75" customHeight="1">
      <c r="A458" s="40"/>
      <c r="B458" s="40"/>
      <c r="C458" s="40"/>
    </row>
    <row r="459" ht="15.75" customHeight="1">
      <c r="A459" s="40"/>
      <c r="B459" s="40"/>
      <c r="C459" s="40"/>
    </row>
    <row r="460" ht="15.75" customHeight="1">
      <c r="A460" s="40"/>
      <c r="B460" s="40"/>
      <c r="C460" s="40"/>
    </row>
    <row r="461" ht="15.75" customHeight="1">
      <c r="A461" s="40"/>
      <c r="B461" s="40"/>
      <c r="C461" s="40"/>
    </row>
    <row r="462" ht="15.75" customHeight="1">
      <c r="A462" s="40"/>
      <c r="B462" s="40"/>
      <c r="C462" s="40"/>
    </row>
    <row r="463" ht="15.75" customHeight="1">
      <c r="A463" s="40"/>
      <c r="B463" s="40"/>
      <c r="C463" s="40"/>
    </row>
    <row r="464" ht="15.75" customHeight="1">
      <c r="A464" s="40"/>
      <c r="B464" s="40"/>
      <c r="C464" s="40"/>
    </row>
    <row r="465" ht="15.75" customHeight="1">
      <c r="A465" s="40"/>
      <c r="B465" s="40"/>
      <c r="C465" s="40"/>
    </row>
    <row r="466" ht="15.75" customHeight="1">
      <c r="A466" s="40"/>
      <c r="B466" s="40"/>
      <c r="C466" s="40"/>
    </row>
    <row r="467" ht="15.75" customHeight="1">
      <c r="A467" s="40"/>
      <c r="B467" s="40"/>
      <c r="C467" s="40"/>
    </row>
    <row r="468" ht="15.75" customHeight="1">
      <c r="A468" s="40"/>
      <c r="B468" s="40"/>
      <c r="C468" s="40"/>
    </row>
    <row r="469" ht="15.75" customHeight="1">
      <c r="A469" s="40"/>
      <c r="B469" s="40"/>
      <c r="C469" s="40"/>
    </row>
    <row r="470" ht="15.75" customHeight="1">
      <c r="A470" s="40"/>
      <c r="B470" s="40"/>
      <c r="C470" s="40"/>
    </row>
    <row r="471" ht="15.75" customHeight="1">
      <c r="A471" s="40"/>
      <c r="B471" s="40"/>
      <c r="C471" s="40"/>
    </row>
    <row r="472" ht="15.75" customHeight="1">
      <c r="A472" s="40"/>
      <c r="B472" s="40"/>
      <c r="C472" s="40"/>
    </row>
    <row r="473" ht="15.75" customHeight="1">
      <c r="A473" s="40"/>
      <c r="B473" s="40"/>
      <c r="C473" s="40"/>
    </row>
    <row r="474" ht="15.75" customHeight="1">
      <c r="A474" s="40"/>
      <c r="B474" s="40"/>
      <c r="C474" s="40"/>
    </row>
    <row r="475" ht="15.75" customHeight="1">
      <c r="A475" s="40"/>
      <c r="B475" s="40"/>
      <c r="C475" s="40"/>
    </row>
    <row r="476" ht="15.75" customHeight="1">
      <c r="A476" s="40"/>
      <c r="B476" s="40"/>
      <c r="C476" s="40"/>
    </row>
    <row r="477" ht="15.75" customHeight="1">
      <c r="A477" s="40"/>
      <c r="B477" s="40"/>
      <c r="C477" s="40"/>
    </row>
    <row r="478" ht="15.75" customHeight="1">
      <c r="A478" s="40"/>
      <c r="B478" s="40"/>
      <c r="C478" s="40"/>
    </row>
    <row r="479" ht="15.75" customHeight="1">
      <c r="A479" s="40"/>
      <c r="B479" s="40"/>
      <c r="C479" s="40"/>
    </row>
    <row r="480" ht="15.75" customHeight="1">
      <c r="A480" s="40"/>
      <c r="B480" s="40"/>
      <c r="C480" s="40"/>
    </row>
    <row r="481" ht="15.75" customHeight="1">
      <c r="A481" s="40"/>
      <c r="B481" s="40"/>
      <c r="C481" s="40"/>
    </row>
    <row r="482" ht="15.75" customHeight="1">
      <c r="A482" s="40"/>
      <c r="B482" s="40"/>
      <c r="C482" s="40"/>
    </row>
    <row r="483" ht="15.75" customHeight="1">
      <c r="A483" s="40"/>
      <c r="B483" s="40"/>
      <c r="C483" s="40"/>
    </row>
    <row r="484" ht="15.75" customHeight="1">
      <c r="A484" s="40"/>
      <c r="B484" s="40"/>
      <c r="C484" s="40"/>
    </row>
    <row r="485" ht="15.75" customHeight="1">
      <c r="A485" s="40"/>
      <c r="B485" s="40"/>
      <c r="C485" s="40"/>
    </row>
    <row r="486" ht="15.75" customHeight="1">
      <c r="A486" s="40"/>
      <c r="B486" s="40"/>
      <c r="C486" s="40"/>
    </row>
    <row r="487" ht="15.75" customHeight="1">
      <c r="A487" s="40"/>
      <c r="B487" s="40"/>
      <c r="C487" s="40"/>
    </row>
    <row r="488" ht="15.75" customHeight="1">
      <c r="A488" s="40"/>
      <c r="B488" s="40"/>
      <c r="C488" s="40"/>
    </row>
    <row r="489" ht="15.75" customHeight="1">
      <c r="A489" s="40"/>
      <c r="B489" s="40"/>
      <c r="C489" s="40"/>
    </row>
    <row r="490" ht="15.75" customHeight="1">
      <c r="A490" s="40"/>
      <c r="B490" s="40"/>
      <c r="C490" s="40"/>
    </row>
    <row r="491" ht="15.75" customHeight="1">
      <c r="A491" s="40"/>
      <c r="B491" s="40"/>
      <c r="C491" s="40"/>
    </row>
    <row r="492" ht="15.75" customHeight="1">
      <c r="A492" s="40"/>
      <c r="B492" s="40"/>
      <c r="C492" s="40"/>
    </row>
    <row r="493" ht="15.75" customHeight="1">
      <c r="A493" s="40"/>
      <c r="B493" s="40"/>
      <c r="C493" s="40"/>
    </row>
    <row r="494" ht="15.75" customHeight="1">
      <c r="A494" s="40"/>
      <c r="B494" s="40"/>
      <c r="C494" s="40"/>
    </row>
    <row r="495" ht="15.75" customHeight="1">
      <c r="A495" s="40"/>
      <c r="B495" s="40"/>
      <c r="C495" s="40"/>
    </row>
    <row r="496" ht="15.75" customHeight="1">
      <c r="A496" s="40"/>
      <c r="B496" s="40"/>
      <c r="C496" s="40"/>
    </row>
    <row r="497" ht="15.75" customHeight="1">
      <c r="A497" s="40"/>
      <c r="B497" s="40"/>
      <c r="C497" s="40"/>
    </row>
    <row r="498" ht="15.75" customHeight="1">
      <c r="A498" s="40"/>
      <c r="B498" s="40"/>
      <c r="C498" s="40"/>
    </row>
    <row r="499" ht="15.75" customHeight="1">
      <c r="A499" s="40"/>
      <c r="B499" s="40"/>
      <c r="C499" s="40"/>
    </row>
    <row r="500" ht="15.75" customHeight="1">
      <c r="A500" s="40"/>
      <c r="B500" s="40"/>
      <c r="C500" s="40"/>
    </row>
    <row r="501" ht="15.75" customHeight="1">
      <c r="A501" s="40"/>
      <c r="B501" s="40"/>
      <c r="C501" s="40"/>
    </row>
    <row r="502" ht="15.75" customHeight="1">
      <c r="A502" s="40"/>
      <c r="B502" s="40"/>
      <c r="C502" s="40"/>
    </row>
    <row r="503" ht="15.75" customHeight="1">
      <c r="A503" s="40"/>
      <c r="B503" s="40"/>
      <c r="C503" s="40"/>
    </row>
    <row r="504" ht="15.75" customHeight="1">
      <c r="A504" s="40"/>
      <c r="B504" s="40"/>
      <c r="C504" s="40"/>
    </row>
    <row r="505" ht="15.75" customHeight="1">
      <c r="A505" s="40"/>
      <c r="B505" s="40"/>
      <c r="C505" s="40"/>
    </row>
    <row r="506" ht="15.75" customHeight="1">
      <c r="A506" s="40"/>
      <c r="B506" s="40"/>
      <c r="C506" s="40"/>
    </row>
    <row r="507" ht="15.75" customHeight="1">
      <c r="A507" s="40"/>
      <c r="B507" s="40"/>
      <c r="C507" s="40"/>
    </row>
    <row r="508" ht="15.75" customHeight="1">
      <c r="A508" s="40"/>
      <c r="B508" s="40"/>
      <c r="C508" s="40"/>
    </row>
    <row r="509" ht="15.75" customHeight="1">
      <c r="A509" s="40"/>
      <c r="B509" s="40"/>
      <c r="C509" s="40"/>
    </row>
    <row r="510" ht="15.75" customHeight="1">
      <c r="A510" s="40"/>
      <c r="B510" s="40"/>
      <c r="C510" s="40"/>
    </row>
    <row r="511" ht="15.75" customHeight="1">
      <c r="A511" s="40"/>
      <c r="B511" s="40"/>
      <c r="C511" s="40"/>
    </row>
    <row r="512" ht="15.75" customHeight="1">
      <c r="A512" s="40"/>
      <c r="B512" s="40"/>
      <c r="C512" s="40"/>
    </row>
    <row r="513" ht="15.75" customHeight="1">
      <c r="A513" s="40"/>
      <c r="B513" s="40"/>
      <c r="C513" s="40"/>
    </row>
    <row r="514" ht="15.75" customHeight="1">
      <c r="A514" s="40"/>
      <c r="B514" s="40"/>
      <c r="C514" s="40"/>
    </row>
    <row r="515" ht="15.75" customHeight="1">
      <c r="A515" s="40"/>
      <c r="B515" s="40"/>
      <c r="C515" s="40"/>
    </row>
    <row r="516" ht="15.75" customHeight="1">
      <c r="A516" s="40"/>
      <c r="B516" s="40"/>
      <c r="C516" s="40"/>
    </row>
    <row r="517" ht="15.75" customHeight="1">
      <c r="A517" s="40"/>
      <c r="B517" s="40"/>
      <c r="C517" s="40"/>
    </row>
    <row r="518" ht="15.75" customHeight="1">
      <c r="A518" s="40"/>
      <c r="B518" s="40"/>
      <c r="C518" s="40"/>
    </row>
    <row r="519" ht="15.75" customHeight="1">
      <c r="A519" s="40"/>
      <c r="B519" s="40"/>
      <c r="C519" s="40"/>
    </row>
    <row r="520" ht="15.75" customHeight="1">
      <c r="A520" s="40"/>
      <c r="B520" s="40"/>
      <c r="C520" s="40"/>
    </row>
    <row r="521" ht="15.75" customHeight="1">
      <c r="A521" s="40"/>
      <c r="B521" s="40"/>
      <c r="C521" s="40"/>
    </row>
    <row r="522" ht="15.75" customHeight="1">
      <c r="A522" s="40"/>
      <c r="B522" s="40"/>
      <c r="C522" s="40"/>
    </row>
    <row r="523" ht="15.75" customHeight="1">
      <c r="A523" s="40"/>
      <c r="B523" s="40"/>
      <c r="C523" s="40"/>
    </row>
    <row r="524" ht="15.75" customHeight="1">
      <c r="A524" s="40"/>
      <c r="B524" s="40"/>
      <c r="C524" s="40"/>
    </row>
    <row r="525" ht="15.75" customHeight="1">
      <c r="A525" s="40"/>
      <c r="B525" s="40"/>
      <c r="C525" s="40"/>
    </row>
    <row r="526" ht="15.75" customHeight="1">
      <c r="A526" s="40"/>
      <c r="B526" s="40"/>
      <c r="C526" s="40"/>
    </row>
    <row r="527" ht="15.75" customHeight="1">
      <c r="A527" s="40"/>
      <c r="B527" s="40"/>
      <c r="C527" s="40"/>
    </row>
    <row r="528" ht="15.75" customHeight="1">
      <c r="A528" s="40"/>
      <c r="B528" s="40"/>
      <c r="C528" s="40"/>
    </row>
    <row r="529" ht="15.75" customHeight="1">
      <c r="A529" s="40"/>
      <c r="B529" s="40"/>
      <c r="C529" s="40"/>
    </row>
    <row r="530" ht="15.75" customHeight="1">
      <c r="A530" s="40"/>
      <c r="B530" s="40"/>
      <c r="C530" s="40"/>
    </row>
    <row r="531" ht="15.75" customHeight="1">
      <c r="A531" s="40"/>
      <c r="B531" s="40"/>
      <c r="C531" s="40"/>
    </row>
    <row r="532" ht="15.75" customHeight="1">
      <c r="A532" s="40"/>
      <c r="B532" s="40"/>
      <c r="C532" s="40"/>
    </row>
    <row r="533" ht="15.75" customHeight="1">
      <c r="A533" s="40"/>
      <c r="B533" s="40"/>
      <c r="C533" s="40"/>
    </row>
    <row r="534" ht="15.75" customHeight="1">
      <c r="A534" s="40"/>
      <c r="B534" s="40"/>
      <c r="C534" s="40"/>
    </row>
    <row r="535" ht="15.75" customHeight="1">
      <c r="A535" s="40"/>
      <c r="B535" s="40"/>
      <c r="C535" s="40"/>
    </row>
    <row r="536" ht="15.75" customHeight="1">
      <c r="A536" s="40"/>
      <c r="B536" s="40"/>
      <c r="C536" s="40"/>
    </row>
    <row r="537" ht="15.75" customHeight="1">
      <c r="A537" s="40"/>
      <c r="B537" s="40"/>
      <c r="C537" s="40"/>
    </row>
    <row r="538" ht="15.75" customHeight="1">
      <c r="A538" s="40"/>
      <c r="B538" s="40"/>
      <c r="C538" s="40"/>
    </row>
    <row r="539" ht="15.75" customHeight="1">
      <c r="A539" s="40"/>
      <c r="B539" s="40"/>
      <c r="C539" s="40"/>
    </row>
    <row r="540" ht="15.75" customHeight="1">
      <c r="A540" s="40"/>
      <c r="B540" s="40"/>
      <c r="C540" s="40"/>
    </row>
    <row r="541" ht="15.75" customHeight="1">
      <c r="A541" s="40"/>
      <c r="B541" s="40"/>
      <c r="C541" s="40"/>
    </row>
    <row r="542" ht="15.75" customHeight="1">
      <c r="A542" s="40"/>
      <c r="B542" s="40"/>
      <c r="C542" s="40"/>
    </row>
    <row r="543" ht="15.75" customHeight="1">
      <c r="A543" s="40"/>
      <c r="B543" s="40"/>
      <c r="C543" s="40"/>
    </row>
    <row r="544" ht="15.75" customHeight="1">
      <c r="A544" s="40"/>
      <c r="B544" s="40"/>
      <c r="C544" s="40"/>
    </row>
    <row r="545" ht="15.75" customHeight="1">
      <c r="A545" s="40"/>
      <c r="B545" s="40"/>
      <c r="C545" s="40"/>
    </row>
    <row r="546" ht="15.75" customHeight="1">
      <c r="A546" s="40"/>
      <c r="B546" s="40"/>
      <c r="C546" s="40"/>
    </row>
    <row r="547" ht="15.75" customHeight="1">
      <c r="A547" s="40"/>
      <c r="B547" s="40"/>
      <c r="C547" s="40"/>
    </row>
    <row r="548" ht="15.75" customHeight="1">
      <c r="A548" s="40"/>
      <c r="B548" s="40"/>
      <c r="C548" s="40"/>
    </row>
    <row r="549" ht="15.75" customHeight="1">
      <c r="A549" s="40"/>
      <c r="B549" s="40"/>
      <c r="C549" s="40"/>
    </row>
    <row r="550" ht="15.75" customHeight="1">
      <c r="A550" s="40"/>
      <c r="B550" s="40"/>
      <c r="C550" s="40"/>
    </row>
    <row r="551" ht="15.75" customHeight="1">
      <c r="A551" s="40"/>
      <c r="B551" s="40"/>
      <c r="C551" s="40"/>
    </row>
    <row r="552" ht="15.75" customHeight="1">
      <c r="A552" s="40"/>
      <c r="B552" s="40"/>
      <c r="C552" s="40"/>
    </row>
    <row r="553" ht="15.75" customHeight="1">
      <c r="A553" s="40"/>
      <c r="B553" s="40"/>
      <c r="C553" s="40"/>
    </row>
    <row r="554" ht="15.75" customHeight="1">
      <c r="A554" s="40"/>
      <c r="B554" s="40"/>
      <c r="C554" s="40"/>
    </row>
    <row r="555" ht="15.75" customHeight="1">
      <c r="A555" s="40"/>
      <c r="B555" s="40"/>
      <c r="C555" s="40"/>
    </row>
    <row r="556" ht="15.75" customHeight="1">
      <c r="A556" s="40"/>
      <c r="B556" s="40"/>
      <c r="C556" s="40"/>
    </row>
    <row r="557" ht="15.75" customHeight="1">
      <c r="A557" s="40"/>
      <c r="B557" s="40"/>
      <c r="C557" s="40"/>
    </row>
    <row r="558" ht="15.75" customHeight="1">
      <c r="A558" s="40"/>
      <c r="B558" s="40"/>
      <c r="C558" s="40"/>
    </row>
    <row r="559" ht="15.75" customHeight="1">
      <c r="A559" s="40"/>
      <c r="B559" s="40"/>
      <c r="C559" s="40"/>
    </row>
    <row r="560" ht="15.75" customHeight="1">
      <c r="A560" s="40"/>
      <c r="B560" s="40"/>
      <c r="C560" s="40"/>
    </row>
    <row r="561" ht="15.75" customHeight="1">
      <c r="A561" s="40"/>
      <c r="B561" s="40"/>
      <c r="C561" s="40"/>
    </row>
    <row r="562" ht="15.75" customHeight="1">
      <c r="A562" s="40"/>
      <c r="B562" s="40"/>
      <c r="C562" s="40"/>
    </row>
    <row r="563" ht="15.75" customHeight="1">
      <c r="A563" s="40"/>
      <c r="B563" s="40"/>
      <c r="C563" s="40"/>
    </row>
    <row r="564" ht="15.75" customHeight="1">
      <c r="A564" s="40"/>
      <c r="B564" s="40"/>
      <c r="C564" s="40"/>
    </row>
    <row r="565" ht="15.75" customHeight="1">
      <c r="A565" s="40"/>
      <c r="B565" s="40"/>
      <c r="C565" s="40"/>
    </row>
    <row r="566" ht="15.75" customHeight="1">
      <c r="A566" s="40"/>
      <c r="B566" s="40"/>
      <c r="C566" s="40"/>
    </row>
    <row r="567" ht="15.75" customHeight="1">
      <c r="A567" s="40"/>
      <c r="B567" s="40"/>
      <c r="C567" s="40"/>
    </row>
    <row r="568" ht="15.75" customHeight="1">
      <c r="A568" s="40"/>
      <c r="B568" s="40"/>
      <c r="C568" s="40"/>
    </row>
    <row r="569" ht="15.75" customHeight="1">
      <c r="A569" s="40"/>
      <c r="B569" s="40"/>
      <c r="C569" s="40"/>
    </row>
    <row r="570" ht="15.75" customHeight="1">
      <c r="A570" s="40"/>
      <c r="B570" s="40"/>
      <c r="C570" s="40"/>
    </row>
    <row r="571" ht="15.75" customHeight="1">
      <c r="A571" s="40"/>
      <c r="B571" s="40"/>
      <c r="C571" s="40"/>
    </row>
    <row r="572" ht="15.75" customHeight="1">
      <c r="A572" s="40"/>
      <c r="B572" s="40"/>
      <c r="C572" s="40"/>
    </row>
    <row r="573" ht="15.75" customHeight="1">
      <c r="A573" s="40"/>
      <c r="B573" s="40"/>
      <c r="C573" s="40"/>
    </row>
    <row r="574" ht="15.75" customHeight="1">
      <c r="A574" s="40"/>
      <c r="B574" s="40"/>
      <c r="C574" s="40"/>
    </row>
    <row r="575" ht="15.75" customHeight="1">
      <c r="A575" s="40"/>
      <c r="B575" s="40"/>
      <c r="C575" s="40"/>
    </row>
    <row r="576" ht="15.75" customHeight="1">
      <c r="A576" s="40"/>
      <c r="B576" s="40"/>
      <c r="C576" s="40"/>
    </row>
    <row r="577" ht="15.75" customHeight="1">
      <c r="A577" s="40"/>
      <c r="B577" s="40"/>
      <c r="C577" s="40"/>
    </row>
    <row r="578" ht="15.75" customHeight="1">
      <c r="A578" s="40"/>
      <c r="B578" s="40"/>
      <c r="C578" s="40"/>
    </row>
    <row r="579" ht="15.75" customHeight="1">
      <c r="A579" s="40"/>
      <c r="B579" s="40"/>
      <c r="C579" s="40"/>
    </row>
    <row r="580" ht="15.75" customHeight="1">
      <c r="A580" s="40"/>
      <c r="B580" s="40"/>
      <c r="C580" s="40"/>
    </row>
    <row r="581" ht="15.75" customHeight="1">
      <c r="A581" s="40"/>
      <c r="B581" s="40"/>
      <c r="C581" s="40"/>
    </row>
    <row r="582" ht="15.75" customHeight="1">
      <c r="A582" s="40"/>
      <c r="B582" s="40"/>
      <c r="C582" s="40"/>
    </row>
    <row r="583" ht="15.75" customHeight="1">
      <c r="A583" s="40"/>
      <c r="B583" s="40"/>
      <c r="C583" s="40"/>
    </row>
    <row r="584" ht="15.75" customHeight="1">
      <c r="A584" s="40"/>
      <c r="B584" s="40"/>
      <c r="C584" s="40"/>
    </row>
    <row r="585" ht="15.75" customHeight="1">
      <c r="A585" s="40"/>
      <c r="B585" s="40"/>
      <c r="C585" s="40"/>
    </row>
    <row r="586" ht="15.75" customHeight="1">
      <c r="A586" s="40"/>
      <c r="B586" s="40"/>
      <c r="C586" s="40"/>
    </row>
    <row r="587" ht="15.75" customHeight="1">
      <c r="A587" s="40"/>
      <c r="B587" s="40"/>
      <c r="C587" s="40"/>
    </row>
    <row r="588" ht="15.75" customHeight="1">
      <c r="A588" s="40"/>
      <c r="B588" s="40"/>
      <c r="C588" s="40"/>
    </row>
    <row r="589" ht="15.75" customHeight="1">
      <c r="A589" s="40"/>
      <c r="B589" s="40"/>
      <c r="C589" s="40"/>
    </row>
    <row r="590" ht="15.75" customHeight="1">
      <c r="A590" s="40"/>
      <c r="B590" s="40"/>
      <c r="C590" s="40"/>
    </row>
    <row r="591" ht="15.75" customHeight="1">
      <c r="A591" s="40"/>
      <c r="B591" s="40"/>
      <c r="C591" s="40"/>
    </row>
    <row r="592" ht="15.75" customHeight="1">
      <c r="A592" s="40"/>
      <c r="B592" s="40"/>
      <c r="C592" s="40"/>
    </row>
    <row r="593" ht="15.75" customHeight="1">
      <c r="A593" s="40"/>
      <c r="B593" s="40"/>
      <c r="C593" s="40"/>
    </row>
    <row r="594" ht="15.75" customHeight="1">
      <c r="A594" s="40"/>
      <c r="B594" s="40"/>
      <c r="C594" s="40"/>
    </row>
    <row r="595" ht="15.75" customHeight="1">
      <c r="A595" s="40"/>
      <c r="B595" s="40"/>
      <c r="C595" s="40"/>
    </row>
    <row r="596" ht="15.75" customHeight="1">
      <c r="A596" s="40"/>
      <c r="B596" s="40"/>
      <c r="C596" s="40"/>
    </row>
    <row r="597" ht="15.75" customHeight="1">
      <c r="A597" s="40"/>
      <c r="B597" s="40"/>
      <c r="C597" s="40"/>
    </row>
    <row r="598" ht="15.75" customHeight="1">
      <c r="A598" s="40"/>
      <c r="B598" s="40"/>
      <c r="C598" s="40"/>
    </row>
    <row r="599" ht="15.75" customHeight="1">
      <c r="A599" s="40"/>
      <c r="B599" s="40"/>
      <c r="C599" s="40"/>
    </row>
    <row r="600" ht="15.75" customHeight="1">
      <c r="A600" s="40"/>
      <c r="B600" s="40"/>
      <c r="C600" s="40"/>
    </row>
    <row r="601" ht="15.75" customHeight="1">
      <c r="A601" s="40"/>
      <c r="B601" s="40"/>
      <c r="C601" s="40"/>
    </row>
    <row r="602" ht="15.75" customHeight="1">
      <c r="A602" s="40"/>
      <c r="B602" s="40"/>
      <c r="C602" s="40"/>
    </row>
    <row r="603" ht="15.75" customHeight="1">
      <c r="A603" s="40"/>
      <c r="B603" s="40"/>
      <c r="C603" s="40"/>
    </row>
    <row r="604" ht="15.75" customHeight="1">
      <c r="A604" s="40"/>
      <c r="B604" s="40"/>
      <c r="C604" s="40"/>
    </row>
    <row r="605" ht="15.75" customHeight="1">
      <c r="A605" s="40"/>
      <c r="B605" s="40"/>
      <c r="C605" s="40"/>
    </row>
    <row r="606" ht="15.75" customHeight="1">
      <c r="A606" s="40"/>
      <c r="B606" s="40"/>
      <c r="C606" s="40"/>
    </row>
    <row r="607" ht="15.75" customHeight="1">
      <c r="A607" s="40"/>
      <c r="B607" s="40"/>
      <c r="C607" s="40"/>
    </row>
    <row r="608" ht="15.75" customHeight="1">
      <c r="A608" s="40"/>
      <c r="B608" s="40"/>
      <c r="C608" s="40"/>
    </row>
    <row r="609" ht="15.75" customHeight="1">
      <c r="A609" s="40"/>
      <c r="B609" s="40"/>
      <c r="C609" s="40"/>
    </row>
    <row r="610" ht="15.75" customHeight="1">
      <c r="A610" s="40"/>
      <c r="B610" s="40"/>
      <c r="C610" s="40"/>
    </row>
    <row r="611" ht="15.75" customHeight="1">
      <c r="A611" s="40"/>
      <c r="B611" s="40"/>
      <c r="C611" s="40"/>
    </row>
    <row r="612" ht="15.75" customHeight="1">
      <c r="A612" s="40"/>
      <c r="B612" s="40"/>
      <c r="C612" s="40"/>
    </row>
    <row r="613" ht="15.75" customHeight="1">
      <c r="A613" s="40"/>
      <c r="B613" s="40"/>
      <c r="C613" s="40"/>
    </row>
    <row r="614" ht="15.75" customHeight="1">
      <c r="A614" s="40"/>
      <c r="B614" s="40"/>
      <c r="C614" s="40"/>
    </row>
    <row r="615" ht="15.75" customHeight="1">
      <c r="A615" s="40"/>
      <c r="B615" s="40"/>
      <c r="C615" s="40"/>
    </row>
    <row r="616" ht="15.75" customHeight="1">
      <c r="A616" s="40"/>
      <c r="B616" s="40"/>
      <c r="C616" s="40"/>
    </row>
    <row r="617" ht="15.75" customHeight="1">
      <c r="A617" s="40"/>
      <c r="B617" s="40"/>
      <c r="C617" s="40"/>
    </row>
    <row r="618" ht="15.75" customHeight="1">
      <c r="A618" s="40"/>
      <c r="B618" s="40"/>
      <c r="C618" s="40"/>
    </row>
    <row r="619" ht="15.75" customHeight="1">
      <c r="A619" s="40"/>
      <c r="B619" s="40"/>
      <c r="C619" s="40"/>
    </row>
    <row r="620" ht="15.75" customHeight="1">
      <c r="A620" s="40"/>
      <c r="B620" s="40"/>
      <c r="C620" s="40"/>
    </row>
    <row r="621" ht="15.75" customHeight="1">
      <c r="A621" s="40"/>
      <c r="B621" s="40"/>
      <c r="C621" s="40"/>
    </row>
    <row r="622" ht="15.75" customHeight="1">
      <c r="A622" s="40"/>
      <c r="B622" s="40"/>
      <c r="C622" s="40"/>
    </row>
    <row r="623" ht="15.75" customHeight="1">
      <c r="A623" s="40"/>
      <c r="B623" s="40"/>
      <c r="C623" s="40"/>
    </row>
    <row r="624" ht="15.75" customHeight="1">
      <c r="A624" s="40"/>
      <c r="B624" s="40"/>
      <c r="C624" s="40"/>
    </row>
    <row r="625" ht="15.75" customHeight="1">
      <c r="A625" s="40"/>
      <c r="B625" s="40"/>
      <c r="C625" s="40"/>
    </row>
    <row r="626" ht="15.75" customHeight="1">
      <c r="A626" s="40"/>
      <c r="B626" s="40"/>
      <c r="C626" s="40"/>
    </row>
    <row r="627" ht="15.75" customHeight="1">
      <c r="A627" s="40"/>
      <c r="B627" s="40"/>
      <c r="C627" s="40"/>
    </row>
    <row r="628" ht="15.75" customHeight="1">
      <c r="A628" s="40"/>
      <c r="B628" s="40"/>
      <c r="C628" s="40"/>
    </row>
    <row r="629" ht="15.75" customHeight="1">
      <c r="A629" s="40"/>
      <c r="B629" s="40"/>
      <c r="C629" s="40"/>
    </row>
    <row r="630" ht="15.75" customHeight="1">
      <c r="A630" s="40"/>
      <c r="B630" s="40"/>
      <c r="C630" s="40"/>
    </row>
    <row r="631" ht="15.75" customHeight="1">
      <c r="A631" s="40"/>
      <c r="B631" s="40"/>
      <c r="C631" s="40"/>
    </row>
    <row r="632" ht="15.75" customHeight="1">
      <c r="A632" s="40"/>
      <c r="B632" s="40"/>
      <c r="C632" s="40"/>
    </row>
    <row r="633" ht="15.75" customHeight="1">
      <c r="A633" s="40"/>
      <c r="B633" s="40"/>
      <c r="C633" s="40"/>
    </row>
    <row r="634" ht="15.75" customHeight="1">
      <c r="A634" s="40"/>
      <c r="B634" s="40"/>
      <c r="C634" s="40"/>
    </row>
    <row r="635" ht="15.75" customHeight="1">
      <c r="A635" s="40"/>
      <c r="B635" s="40"/>
      <c r="C635" s="40"/>
    </row>
    <row r="636" ht="15.75" customHeight="1">
      <c r="A636" s="40"/>
      <c r="B636" s="40"/>
      <c r="C636" s="40"/>
    </row>
    <row r="637" ht="15.75" customHeight="1">
      <c r="A637" s="40"/>
      <c r="B637" s="40"/>
      <c r="C637" s="40"/>
    </row>
    <row r="638" ht="15.75" customHeight="1">
      <c r="A638" s="40"/>
      <c r="B638" s="40"/>
      <c r="C638" s="40"/>
    </row>
    <row r="639" ht="15.75" customHeight="1">
      <c r="A639" s="40"/>
      <c r="B639" s="40"/>
      <c r="C639" s="40"/>
    </row>
    <row r="640" ht="15.75" customHeight="1">
      <c r="A640" s="40"/>
      <c r="B640" s="40"/>
      <c r="C640" s="40"/>
    </row>
    <row r="641" ht="15.75" customHeight="1">
      <c r="A641" s="40"/>
      <c r="B641" s="40"/>
      <c r="C641" s="40"/>
    </row>
    <row r="642" ht="15.75" customHeight="1">
      <c r="A642" s="40"/>
      <c r="B642" s="40"/>
      <c r="C642" s="40"/>
    </row>
    <row r="643" ht="15.75" customHeight="1">
      <c r="A643" s="40"/>
      <c r="B643" s="40"/>
      <c r="C643" s="40"/>
    </row>
    <row r="644" ht="15.75" customHeight="1">
      <c r="A644" s="40"/>
      <c r="B644" s="40"/>
      <c r="C644" s="40"/>
    </row>
    <row r="645" ht="15.75" customHeight="1">
      <c r="A645" s="40"/>
      <c r="B645" s="40"/>
      <c r="C645" s="40"/>
    </row>
    <row r="646" ht="15.75" customHeight="1">
      <c r="A646" s="40"/>
      <c r="B646" s="40"/>
      <c r="C646" s="40"/>
    </row>
    <row r="647" ht="15.75" customHeight="1">
      <c r="A647" s="40"/>
      <c r="B647" s="40"/>
      <c r="C647" s="40"/>
    </row>
    <row r="648" ht="15.75" customHeight="1">
      <c r="A648" s="40"/>
      <c r="B648" s="40"/>
      <c r="C648" s="40"/>
    </row>
    <row r="649" ht="15.75" customHeight="1">
      <c r="A649" s="40"/>
      <c r="B649" s="40"/>
      <c r="C649" s="40"/>
    </row>
    <row r="650" ht="15.75" customHeight="1">
      <c r="A650" s="40"/>
      <c r="B650" s="40"/>
      <c r="C650" s="40"/>
    </row>
    <row r="651" ht="15.75" customHeight="1">
      <c r="A651" s="40"/>
      <c r="B651" s="40"/>
      <c r="C651" s="40"/>
    </row>
    <row r="652" ht="15.75" customHeight="1">
      <c r="A652" s="40"/>
      <c r="B652" s="40"/>
      <c r="C652" s="40"/>
    </row>
    <row r="653" ht="15.75" customHeight="1">
      <c r="A653" s="40"/>
      <c r="B653" s="40"/>
      <c r="C653" s="40"/>
    </row>
    <row r="654" ht="15.75" customHeight="1">
      <c r="A654" s="40"/>
      <c r="B654" s="40"/>
      <c r="C654" s="40"/>
    </row>
    <row r="655" ht="15.75" customHeight="1">
      <c r="A655" s="40"/>
      <c r="B655" s="40"/>
      <c r="C655" s="40"/>
    </row>
    <row r="656" ht="15.75" customHeight="1">
      <c r="A656" s="40"/>
      <c r="B656" s="40"/>
      <c r="C656" s="40"/>
    </row>
    <row r="657" ht="15.75" customHeight="1">
      <c r="A657" s="40"/>
      <c r="B657" s="40"/>
      <c r="C657" s="40"/>
    </row>
    <row r="658" ht="15.75" customHeight="1">
      <c r="A658" s="40"/>
      <c r="B658" s="40"/>
      <c r="C658" s="40"/>
    </row>
    <row r="659" ht="15.75" customHeight="1">
      <c r="A659" s="40"/>
      <c r="B659" s="40"/>
      <c r="C659" s="40"/>
    </row>
    <row r="660" ht="15.75" customHeight="1">
      <c r="A660" s="40"/>
      <c r="B660" s="40"/>
      <c r="C660" s="40"/>
    </row>
    <row r="661" ht="15.75" customHeight="1">
      <c r="A661" s="40"/>
      <c r="B661" s="40"/>
      <c r="C661" s="40"/>
    </row>
    <row r="662" ht="15.75" customHeight="1">
      <c r="A662" s="40"/>
      <c r="B662" s="40"/>
      <c r="C662" s="40"/>
    </row>
    <row r="663" ht="15.75" customHeight="1">
      <c r="A663" s="40"/>
      <c r="B663" s="40"/>
      <c r="C663" s="40"/>
    </row>
    <row r="664" ht="15.75" customHeight="1">
      <c r="A664" s="40"/>
      <c r="B664" s="40"/>
      <c r="C664" s="40"/>
    </row>
    <row r="665" ht="15.75" customHeight="1">
      <c r="A665" s="40"/>
      <c r="B665" s="40"/>
      <c r="C665" s="40"/>
    </row>
    <row r="666" ht="15.75" customHeight="1">
      <c r="A666" s="40"/>
      <c r="B666" s="40"/>
      <c r="C666" s="40"/>
    </row>
    <row r="667" ht="15.75" customHeight="1">
      <c r="A667" s="40"/>
      <c r="B667" s="40"/>
      <c r="C667" s="40"/>
    </row>
    <row r="668" ht="15.75" customHeight="1">
      <c r="A668" s="40"/>
      <c r="B668" s="40"/>
      <c r="C668" s="40"/>
    </row>
    <row r="669" ht="15.75" customHeight="1">
      <c r="A669" s="40"/>
      <c r="B669" s="40"/>
      <c r="C669" s="40"/>
    </row>
    <row r="670" ht="15.75" customHeight="1">
      <c r="A670" s="40"/>
      <c r="B670" s="40"/>
      <c r="C670" s="40"/>
    </row>
    <row r="671" ht="15.75" customHeight="1">
      <c r="A671" s="40"/>
      <c r="B671" s="40"/>
      <c r="C671" s="40"/>
    </row>
    <row r="672" ht="15.75" customHeight="1">
      <c r="A672" s="40"/>
      <c r="B672" s="40"/>
      <c r="C672" s="40"/>
    </row>
    <row r="673" ht="15.75" customHeight="1">
      <c r="A673" s="40"/>
      <c r="B673" s="40"/>
      <c r="C673" s="40"/>
    </row>
    <row r="674" ht="15.75" customHeight="1">
      <c r="A674" s="40"/>
      <c r="B674" s="40"/>
      <c r="C674" s="40"/>
    </row>
    <row r="675" ht="15.75" customHeight="1">
      <c r="A675" s="40"/>
      <c r="B675" s="40"/>
      <c r="C675" s="40"/>
    </row>
    <row r="676" ht="15.75" customHeight="1">
      <c r="A676" s="40"/>
      <c r="B676" s="40"/>
      <c r="C676" s="40"/>
    </row>
    <row r="677" ht="15.75" customHeight="1">
      <c r="A677" s="40"/>
      <c r="B677" s="40"/>
      <c r="C677" s="40"/>
    </row>
    <row r="678" ht="15.75" customHeight="1">
      <c r="A678" s="40"/>
      <c r="B678" s="40"/>
      <c r="C678" s="40"/>
    </row>
    <row r="679" ht="15.75" customHeight="1">
      <c r="A679" s="40"/>
      <c r="B679" s="40"/>
      <c r="C679" s="40"/>
    </row>
    <row r="680" ht="15.75" customHeight="1">
      <c r="A680" s="40"/>
      <c r="B680" s="40"/>
      <c r="C680" s="40"/>
    </row>
    <row r="681" ht="15.75" customHeight="1">
      <c r="A681" s="40"/>
      <c r="B681" s="40"/>
      <c r="C681" s="40"/>
    </row>
    <row r="682" ht="15.75" customHeight="1">
      <c r="A682" s="40"/>
      <c r="B682" s="40"/>
      <c r="C682" s="40"/>
    </row>
    <row r="683" ht="15.75" customHeight="1">
      <c r="A683" s="40"/>
      <c r="B683" s="40"/>
      <c r="C683" s="40"/>
    </row>
    <row r="684" ht="15.75" customHeight="1">
      <c r="A684" s="40"/>
      <c r="B684" s="40"/>
      <c r="C684" s="40"/>
    </row>
    <row r="685" ht="15.75" customHeight="1">
      <c r="A685" s="40"/>
      <c r="B685" s="40"/>
      <c r="C685" s="40"/>
    </row>
    <row r="686" ht="15.75" customHeight="1">
      <c r="A686" s="40"/>
      <c r="B686" s="40"/>
      <c r="C686" s="40"/>
    </row>
    <row r="687" ht="15.75" customHeight="1">
      <c r="A687" s="40"/>
      <c r="B687" s="40"/>
      <c r="C687" s="40"/>
    </row>
    <row r="688" ht="15.75" customHeight="1">
      <c r="A688" s="40"/>
      <c r="B688" s="40"/>
      <c r="C688" s="40"/>
    </row>
    <row r="689" ht="15.75" customHeight="1">
      <c r="A689" s="40"/>
      <c r="B689" s="40"/>
      <c r="C689" s="40"/>
    </row>
    <row r="690" ht="15.75" customHeight="1">
      <c r="A690" s="40"/>
      <c r="B690" s="40"/>
      <c r="C690" s="40"/>
    </row>
    <row r="691" ht="15.75" customHeight="1">
      <c r="A691" s="40"/>
      <c r="B691" s="40"/>
      <c r="C691" s="40"/>
    </row>
    <row r="692" ht="15.75" customHeight="1">
      <c r="A692" s="40"/>
      <c r="B692" s="40"/>
      <c r="C692" s="40"/>
    </row>
    <row r="693" ht="15.75" customHeight="1">
      <c r="A693" s="40"/>
      <c r="B693" s="40"/>
      <c r="C693" s="40"/>
    </row>
    <row r="694" ht="15.75" customHeight="1">
      <c r="A694" s="40"/>
      <c r="B694" s="40"/>
      <c r="C694" s="40"/>
    </row>
    <row r="695" ht="15.75" customHeight="1">
      <c r="A695" s="40"/>
      <c r="B695" s="40"/>
      <c r="C695" s="40"/>
    </row>
    <row r="696" ht="15.75" customHeight="1">
      <c r="A696" s="40"/>
      <c r="B696" s="40"/>
      <c r="C696" s="40"/>
    </row>
    <row r="697" ht="15.75" customHeight="1">
      <c r="A697" s="40"/>
      <c r="B697" s="40"/>
      <c r="C697" s="40"/>
    </row>
    <row r="698" ht="15.75" customHeight="1">
      <c r="A698" s="40"/>
      <c r="B698" s="40"/>
      <c r="C698" s="40"/>
    </row>
    <row r="699" ht="15.75" customHeight="1">
      <c r="A699" s="40"/>
      <c r="B699" s="40"/>
      <c r="C699" s="40"/>
    </row>
    <row r="700" ht="15.75" customHeight="1">
      <c r="A700" s="40"/>
      <c r="B700" s="40"/>
      <c r="C700" s="40"/>
    </row>
    <row r="701" ht="15.75" customHeight="1">
      <c r="A701" s="40"/>
      <c r="B701" s="40"/>
      <c r="C701" s="40"/>
    </row>
    <row r="702" ht="15.75" customHeight="1">
      <c r="A702" s="40"/>
      <c r="B702" s="40"/>
      <c r="C702" s="40"/>
    </row>
    <row r="703" ht="15.75" customHeight="1">
      <c r="A703" s="40"/>
      <c r="B703" s="40"/>
      <c r="C703" s="40"/>
    </row>
    <row r="704" ht="15.75" customHeight="1">
      <c r="A704" s="40"/>
      <c r="B704" s="40"/>
      <c r="C704" s="40"/>
    </row>
    <row r="705" ht="15.75" customHeight="1">
      <c r="A705" s="40"/>
      <c r="B705" s="40"/>
      <c r="C705" s="40"/>
    </row>
    <row r="706" ht="15.75" customHeight="1">
      <c r="A706" s="40"/>
      <c r="B706" s="40"/>
      <c r="C706" s="40"/>
    </row>
    <row r="707" ht="15.75" customHeight="1">
      <c r="A707" s="40"/>
      <c r="B707" s="40"/>
      <c r="C707" s="40"/>
    </row>
    <row r="708" ht="15.75" customHeight="1">
      <c r="A708" s="40"/>
      <c r="B708" s="40"/>
      <c r="C708" s="40"/>
    </row>
    <row r="709" ht="15.75" customHeight="1">
      <c r="A709" s="40"/>
      <c r="B709" s="40"/>
      <c r="C709" s="40"/>
    </row>
    <row r="710" ht="15.75" customHeight="1">
      <c r="A710" s="40"/>
      <c r="B710" s="40"/>
      <c r="C710" s="40"/>
    </row>
    <row r="711" ht="15.75" customHeight="1">
      <c r="A711" s="40"/>
      <c r="B711" s="40"/>
      <c r="C711" s="40"/>
    </row>
    <row r="712" ht="15.75" customHeight="1">
      <c r="A712" s="40"/>
      <c r="B712" s="40"/>
      <c r="C712" s="40"/>
    </row>
    <row r="713" ht="15.75" customHeight="1">
      <c r="A713" s="40"/>
      <c r="B713" s="40"/>
      <c r="C713" s="40"/>
    </row>
    <row r="714" ht="15.75" customHeight="1">
      <c r="A714" s="40"/>
      <c r="B714" s="40"/>
      <c r="C714" s="40"/>
    </row>
    <row r="715" ht="15.75" customHeight="1">
      <c r="A715" s="40"/>
      <c r="B715" s="40"/>
      <c r="C715" s="40"/>
    </row>
    <row r="716" ht="15.75" customHeight="1">
      <c r="A716" s="40"/>
      <c r="B716" s="40"/>
      <c r="C716" s="40"/>
    </row>
    <row r="717" ht="15.75" customHeight="1">
      <c r="A717" s="40"/>
      <c r="B717" s="40"/>
      <c r="C717" s="40"/>
    </row>
    <row r="718" ht="15.75" customHeight="1">
      <c r="A718" s="40"/>
      <c r="B718" s="40"/>
      <c r="C718" s="40"/>
    </row>
    <row r="719" ht="15.75" customHeight="1">
      <c r="A719" s="40"/>
      <c r="B719" s="40"/>
      <c r="C719" s="40"/>
    </row>
    <row r="720" ht="15.75" customHeight="1">
      <c r="A720" s="40"/>
      <c r="B720" s="40"/>
      <c r="C720" s="40"/>
    </row>
    <row r="721" ht="15.75" customHeight="1">
      <c r="A721" s="40"/>
      <c r="B721" s="40"/>
      <c r="C721" s="40"/>
    </row>
    <row r="722" ht="15.75" customHeight="1">
      <c r="A722" s="40"/>
      <c r="B722" s="40"/>
      <c r="C722" s="40"/>
    </row>
    <row r="723" ht="15.75" customHeight="1">
      <c r="A723" s="40"/>
      <c r="B723" s="40"/>
      <c r="C723" s="40"/>
    </row>
    <row r="724" ht="15.75" customHeight="1">
      <c r="A724" s="40"/>
      <c r="B724" s="40"/>
      <c r="C724" s="40"/>
    </row>
    <row r="725" ht="15.75" customHeight="1">
      <c r="A725" s="40"/>
      <c r="B725" s="40"/>
      <c r="C725" s="40"/>
    </row>
    <row r="726" ht="15.75" customHeight="1">
      <c r="A726" s="40"/>
      <c r="B726" s="40"/>
      <c r="C726" s="40"/>
    </row>
    <row r="727" ht="15.75" customHeight="1">
      <c r="A727" s="40"/>
      <c r="B727" s="40"/>
      <c r="C727" s="40"/>
    </row>
    <row r="728" ht="15.75" customHeight="1">
      <c r="A728" s="40"/>
      <c r="B728" s="40"/>
      <c r="C728" s="40"/>
    </row>
    <row r="729" ht="15.75" customHeight="1">
      <c r="A729" s="40"/>
      <c r="B729" s="40"/>
      <c r="C729" s="40"/>
    </row>
    <row r="730" ht="15.75" customHeight="1">
      <c r="A730" s="40"/>
      <c r="B730" s="40"/>
      <c r="C730" s="40"/>
    </row>
    <row r="731" ht="15.75" customHeight="1">
      <c r="A731" s="40"/>
      <c r="B731" s="40"/>
      <c r="C731" s="40"/>
    </row>
    <row r="732" ht="15.75" customHeight="1">
      <c r="A732" s="40"/>
      <c r="B732" s="40"/>
      <c r="C732" s="40"/>
    </row>
    <row r="733" ht="15.75" customHeight="1">
      <c r="A733" s="40"/>
      <c r="B733" s="40"/>
      <c r="C733" s="40"/>
    </row>
    <row r="734" ht="15.75" customHeight="1">
      <c r="A734" s="40"/>
      <c r="B734" s="40"/>
      <c r="C734" s="40"/>
    </row>
    <row r="735" ht="15.75" customHeight="1">
      <c r="A735" s="40"/>
      <c r="B735" s="40"/>
      <c r="C735" s="40"/>
    </row>
    <row r="736" ht="15.75" customHeight="1">
      <c r="A736" s="40"/>
      <c r="B736" s="40"/>
      <c r="C736" s="40"/>
    </row>
    <row r="737" ht="15.75" customHeight="1">
      <c r="A737" s="40"/>
      <c r="B737" s="40"/>
      <c r="C737" s="40"/>
    </row>
    <row r="738" ht="15.75" customHeight="1">
      <c r="A738" s="40"/>
      <c r="B738" s="40"/>
      <c r="C738" s="40"/>
    </row>
    <row r="739" ht="15.75" customHeight="1">
      <c r="A739" s="40"/>
      <c r="B739" s="40"/>
      <c r="C739" s="40"/>
    </row>
    <row r="740" ht="15.75" customHeight="1">
      <c r="A740" s="40"/>
      <c r="B740" s="40"/>
      <c r="C740" s="40"/>
    </row>
    <row r="741" ht="15.75" customHeight="1">
      <c r="A741" s="40"/>
      <c r="B741" s="40"/>
      <c r="C741" s="40"/>
    </row>
    <row r="742" ht="15.75" customHeight="1">
      <c r="A742" s="40"/>
      <c r="B742" s="40"/>
      <c r="C742" s="40"/>
    </row>
    <row r="743" ht="15.75" customHeight="1">
      <c r="A743" s="40"/>
      <c r="B743" s="40"/>
      <c r="C743" s="40"/>
    </row>
    <row r="744" ht="15.75" customHeight="1">
      <c r="A744" s="40"/>
      <c r="B744" s="40"/>
      <c r="C744" s="40"/>
    </row>
    <row r="745" ht="15.75" customHeight="1">
      <c r="A745" s="40"/>
      <c r="B745" s="40"/>
      <c r="C745" s="40"/>
    </row>
    <row r="746" ht="15.75" customHeight="1">
      <c r="A746" s="40"/>
      <c r="B746" s="40"/>
      <c r="C746" s="40"/>
    </row>
    <row r="747" ht="15.75" customHeight="1">
      <c r="A747" s="40"/>
      <c r="B747" s="40"/>
      <c r="C747" s="40"/>
    </row>
    <row r="748" ht="15.75" customHeight="1">
      <c r="A748" s="40"/>
      <c r="B748" s="40"/>
      <c r="C748" s="40"/>
    </row>
    <row r="749" ht="15.75" customHeight="1">
      <c r="A749" s="40"/>
      <c r="B749" s="40"/>
      <c r="C749" s="40"/>
    </row>
    <row r="750" ht="15.75" customHeight="1">
      <c r="A750" s="40"/>
      <c r="B750" s="40"/>
      <c r="C750" s="40"/>
    </row>
    <row r="751" ht="15.75" customHeight="1">
      <c r="A751" s="40"/>
      <c r="B751" s="40"/>
      <c r="C751" s="40"/>
    </row>
    <row r="752" ht="15.75" customHeight="1">
      <c r="A752" s="40"/>
      <c r="B752" s="40"/>
      <c r="C752" s="40"/>
    </row>
    <row r="753" ht="15.75" customHeight="1">
      <c r="A753" s="40"/>
      <c r="B753" s="40"/>
      <c r="C753" s="40"/>
    </row>
    <row r="754" ht="15.75" customHeight="1">
      <c r="A754" s="40"/>
      <c r="B754" s="40"/>
      <c r="C754" s="40"/>
    </row>
    <row r="755" ht="15.75" customHeight="1">
      <c r="A755" s="40"/>
      <c r="B755" s="40"/>
      <c r="C755" s="40"/>
    </row>
    <row r="756" ht="15.75" customHeight="1">
      <c r="A756" s="40"/>
      <c r="B756" s="40"/>
      <c r="C756" s="40"/>
    </row>
    <row r="757" ht="15.75" customHeight="1">
      <c r="A757" s="40"/>
      <c r="B757" s="40"/>
      <c r="C757" s="40"/>
    </row>
    <row r="758" ht="15.75" customHeight="1">
      <c r="A758" s="40"/>
      <c r="B758" s="40"/>
      <c r="C758" s="40"/>
    </row>
    <row r="759" ht="15.75" customHeight="1">
      <c r="A759" s="40"/>
      <c r="B759" s="40"/>
      <c r="C759" s="40"/>
    </row>
    <row r="760" ht="15.75" customHeight="1">
      <c r="A760" s="40"/>
      <c r="B760" s="40"/>
      <c r="C760" s="40"/>
    </row>
    <row r="761" ht="15.75" customHeight="1">
      <c r="A761" s="40"/>
      <c r="B761" s="40"/>
      <c r="C761" s="40"/>
    </row>
    <row r="762" ht="15.75" customHeight="1">
      <c r="A762" s="40"/>
      <c r="B762" s="40"/>
      <c r="C762" s="40"/>
    </row>
    <row r="763" ht="15.75" customHeight="1">
      <c r="A763" s="40"/>
      <c r="B763" s="40"/>
      <c r="C763" s="40"/>
    </row>
    <row r="764" ht="15.75" customHeight="1">
      <c r="A764" s="40"/>
      <c r="B764" s="40"/>
      <c r="C764" s="40"/>
    </row>
    <row r="765" ht="15.75" customHeight="1">
      <c r="A765" s="40"/>
      <c r="B765" s="40"/>
      <c r="C765" s="40"/>
    </row>
    <row r="766" ht="15.75" customHeight="1">
      <c r="A766" s="40"/>
      <c r="B766" s="40"/>
      <c r="C766" s="40"/>
    </row>
    <row r="767" ht="15.75" customHeight="1">
      <c r="A767" s="40"/>
      <c r="B767" s="40"/>
      <c r="C767" s="40"/>
    </row>
    <row r="768" ht="15.75" customHeight="1">
      <c r="A768" s="40"/>
      <c r="B768" s="40"/>
      <c r="C768" s="40"/>
    </row>
    <row r="769" ht="15.75" customHeight="1">
      <c r="A769" s="40"/>
      <c r="B769" s="40"/>
      <c r="C769" s="40"/>
    </row>
    <row r="770" ht="15.75" customHeight="1">
      <c r="A770" s="40"/>
      <c r="B770" s="40"/>
      <c r="C770" s="40"/>
    </row>
    <row r="771" ht="15.75" customHeight="1">
      <c r="A771" s="40"/>
      <c r="B771" s="40"/>
      <c r="C771" s="40"/>
    </row>
    <row r="772" ht="15.75" customHeight="1">
      <c r="A772" s="40"/>
      <c r="B772" s="40"/>
      <c r="C772" s="40"/>
    </row>
    <row r="773" ht="15.75" customHeight="1">
      <c r="A773" s="40"/>
      <c r="B773" s="40"/>
      <c r="C773" s="40"/>
    </row>
    <row r="774" ht="15.75" customHeight="1">
      <c r="A774" s="40"/>
      <c r="B774" s="40"/>
      <c r="C774" s="40"/>
    </row>
    <row r="775" ht="15.75" customHeight="1">
      <c r="A775" s="40"/>
      <c r="B775" s="40"/>
      <c r="C775" s="40"/>
    </row>
    <row r="776" ht="15.75" customHeight="1">
      <c r="A776" s="40"/>
      <c r="B776" s="40"/>
      <c r="C776" s="40"/>
    </row>
    <row r="777" ht="15.75" customHeight="1">
      <c r="A777" s="40"/>
      <c r="B777" s="40"/>
      <c r="C777" s="40"/>
    </row>
    <row r="778" ht="15.75" customHeight="1">
      <c r="A778" s="40"/>
      <c r="B778" s="40"/>
      <c r="C778" s="40"/>
    </row>
    <row r="779" ht="15.75" customHeight="1">
      <c r="A779" s="40"/>
      <c r="B779" s="40"/>
      <c r="C779" s="40"/>
    </row>
    <row r="780" ht="15.75" customHeight="1">
      <c r="A780" s="40"/>
      <c r="B780" s="40"/>
      <c r="C780" s="40"/>
    </row>
    <row r="781" ht="15.75" customHeight="1">
      <c r="A781" s="40"/>
      <c r="B781" s="40"/>
      <c r="C781" s="40"/>
    </row>
    <row r="782" ht="15.75" customHeight="1">
      <c r="A782" s="40"/>
      <c r="B782" s="40"/>
      <c r="C782" s="40"/>
    </row>
    <row r="783" ht="15.75" customHeight="1">
      <c r="A783" s="40"/>
      <c r="B783" s="40"/>
      <c r="C783" s="40"/>
    </row>
    <row r="784" ht="15.75" customHeight="1">
      <c r="A784" s="40"/>
      <c r="B784" s="40"/>
      <c r="C784" s="40"/>
    </row>
    <row r="785" ht="15.75" customHeight="1">
      <c r="A785" s="40"/>
      <c r="B785" s="40"/>
      <c r="C785" s="40"/>
    </row>
    <row r="786" ht="15.75" customHeight="1">
      <c r="A786" s="40"/>
      <c r="B786" s="40"/>
      <c r="C786" s="40"/>
    </row>
    <row r="787" ht="15.75" customHeight="1">
      <c r="A787" s="40"/>
      <c r="B787" s="40"/>
      <c r="C787" s="40"/>
    </row>
    <row r="788" ht="15.75" customHeight="1">
      <c r="A788" s="40"/>
      <c r="B788" s="40"/>
      <c r="C788" s="40"/>
    </row>
    <row r="789" ht="15.75" customHeight="1">
      <c r="A789" s="40"/>
      <c r="B789" s="40"/>
      <c r="C789" s="40"/>
    </row>
    <row r="790" ht="15.75" customHeight="1">
      <c r="A790" s="40"/>
      <c r="B790" s="40"/>
      <c r="C790" s="40"/>
    </row>
    <row r="791" ht="15.75" customHeight="1">
      <c r="A791" s="40"/>
      <c r="B791" s="40"/>
      <c r="C791" s="40"/>
    </row>
    <row r="792" ht="15.75" customHeight="1">
      <c r="A792" s="40"/>
      <c r="B792" s="40"/>
      <c r="C792" s="40"/>
    </row>
    <row r="793" ht="15.75" customHeight="1">
      <c r="A793" s="40"/>
      <c r="B793" s="40"/>
      <c r="C793" s="40"/>
    </row>
    <row r="794" ht="15.75" customHeight="1">
      <c r="A794" s="40"/>
      <c r="B794" s="40"/>
      <c r="C794" s="40"/>
    </row>
    <row r="795" ht="15.75" customHeight="1">
      <c r="A795" s="40"/>
      <c r="B795" s="40"/>
      <c r="C795" s="40"/>
    </row>
    <row r="796" ht="15.75" customHeight="1">
      <c r="A796" s="40"/>
      <c r="B796" s="40"/>
      <c r="C796" s="40"/>
    </row>
    <row r="797" ht="15.75" customHeight="1">
      <c r="A797" s="40"/>
      <c r="B797" s="40"/>
      <c r="C797" s="40"/>
    </row>
    <row r="798" ht="15.75" customHeight="1">
      <c r="A798" s="40"/>
      <c r="B798" s="40"/>
      <c r="C798" s="40"/>
    </row>
    <row r="799" ht="15.75" customHeight="1">
      <c r="A799" s="40"/>
      <c r="B799" s="40"/>
      <c r="C799" s="40"/>
    </row>
    <row r="800" ht="15.75" customHeight="1">
      <c r="A800" s="40"/>
      <c r="B800" s="40"/>
      <c r="C800" s="40"/>
    </row>
    <row r="801" ht="15.75" customHeight="1">
      <c r="A801" s="40"/>
      <c r="B801" s="40"/>
      <c r="C801" s="40"/>
    </row>
    <row r="802" ht="15.75" customHeight="1">
      <c r="A802" s="40"/>
      <c r="B802" s="40"/>
      <c r="C802" s="40"/>
    </row>
    <row r="803" ht="15.75" customHeight="1">
      <c r="A803" s="40"/>
      <c r="B803" s="40"/>
      <c r="C803" s="40"/>
    </row>
    <row r="804" ht="15.75" customHeight="1">
      <c r="A804" s="40"/>
      <c r="B804" s="40"/>
      <c r="C804" s="40"/>
    </row>
    <row r="805" ht="15.75" customHeight="1">
      <c r="A805" s="40"/>
      <c r="B805" s="40"/>
      <c r="C805" s="40"/>
    </row>
    <row r="806" ht="15.75" customHeight="1">
      <c r="A806" s="40"/>
      <c r="B806" s="40"/>
      <c r="C806" s="40"/>
    </row>
    <row r="807" ht="15.75" customHeight="1">
      <c r="A807" s="40"/>
      <c r="B807" s="40"/>
      <c r="C807" s="40"/>
    </row>
    <row r="808" ht="15.75" customHeight="1">
      <c r="A808" s="40"/>
      <c r="B808" s="40"/>
      <c r="C808" s="40"/>
    </row>
    <row r="809" ht="15.75" customHeight="1">
      <c r="A809" s="40"/>
      <c r="B809" s="40"/>
      <c r="C809" s="40"/>
    </row>
    <row r="810" ht="15.75" customHeight="1">
      <c r="A810" s="40"/>
      <c r="B810" s="40"/>
      <c r="C810" s="40"/>
    </row>
    <row r="811" ht="15.75" customHeight="1">
      <c r="A811" s="40"/>
      <c r="B811" s="40"/>
      <c r="C811" s="40"/>
    </row>
    <row r="812" ht="15.75" customHeight="1">
      <c r="A812" s="40"/>
      <c r="B812" s="40"/>
      <c r="C812" s="40"/>
    </row>
    <row r="813" ht="15.75" customHeight="1">
      <c r="A813" s="40"/>
      <c r="B813" s="40"/>
      <c r="C813" s="40"/>
    </row>
    <row r="814" ht="15.75" customHeight="1">
      <c r="A814" s="40"/>
      <c r="B814" s="40"/>
      <c r="C814" s="40"/>
    </row>
    <row r="815" ht="15.75" customHeight="1">
      <c r="A815" s="40"/>
      <c r="B815" s="40"/>
      <c r="C815" s="40"/>
    </row>
    <row r="816" ht="15.75" customHeight="1">
      <c r="A816" s="40"/>
      <c r="B816" s="40"/>
      <c r="C816" s="40"/>
    </row>
    <row r="817" ht="15.75" customHeight="1">
      <c r="A817" s="40"/>
      <c r="B817" s="40"/>
      <c r="C817" s="40"/>
    </row>
    <row r="818" ht="15.75" customHeight="1">
      <c r="A818" s="40"/>
      <c r="B818" s="40"/>
      <c r="C818" s="40"/>
    </row>
    <row r="819" ht="15.75" customHeight="1">
      <c r="A819" s="40"/>
      <c r="B819" s="40"/>
      <c r="C819" s="40"/>
    </row>
    <row r="820" ht="15.75" customHeight="1">
      <c r="A820" s="40"/>
      <c r="B820" s="40"/>
      <c r="C820" s="40"/>
    </row>
    <row r="821" ht="15.75" customHeight="1">
      <c r="A821" s="40"/>
      <c r="B821" s="40"/>
      <c r="C821" s="40"/>
    </row>
    <row r="822" ht="15.75" customHeight="1">
      <c r="A822" s="40"/>
      <c r="B822" s="40"/>
      <c r="C822" s="40"/>
    </row>
    <row r="823" ht="15.75" customHeight="1">
      <c r="A823" s="40"/>
      <c r="B823" s="40"/>
      <c r="C823" s="40"/>
    </row>
    <row r="824" ht="15.75" customHeight="1">
      <c r="A824" s="40"/>
      <c r="B824" s="40"/>
      <c r="C824" s="40"/>
    </row>
    <row r="825" ht="15.75" customHeight="1">
      <c r="A825" s="40"/>
      <c r="B825" s="40"/>
      <c r="C825" s="40"/>
    </row>
    <row r="826" ht="15.75" customHeight="1">
      <c r="A826" s="40"/>
      <c r="B826" s="40"/>
      <c r="C826" s="40"/>
    </row>
    <row r="827" ht="15.75" customHeight="1">
      <c r="A827" s="40"/>
      <c r="B827" s="40"/>
      <c r="C827" s="40"/>
    </row>
    <row r="828" ht="15.75" customHeight="1">
      <c r="A828" s="40"/>
      <c r="B828" s="40"/>
      <c r="C828" s="40"/>
    </row>
    <row r="829" ht="15.75" customHeight="1">
      <c r="A829" s="40"/>
      <c r="B829" s="40"/>
      <c r="C829" s="40"/>
    </row>
    <row r="830" ht="15.75" customHeight="1">
      <c r="A830" s="40"/>
      <c r="B830" s="40"/>
      <c r="C830" s="40"/>
    </row>
    <row r="831" ht="15.75" customHeight="1">
      <c r="A831" s="40"/>
      <c r="B831" s="40"/>
      <c r="C831" s="40"/>
    </row>
    <row r="832" ht="15.75" customHeight="1">
      <c r="A832" s="40"/>
      <c r="B832" s="40"/>
      <c r="C832" s="40"/>
    </row>
    <row r="833" ht="15.75" customHeight="1">
      <c r="A833" s="40"/>
      <c r="B833" s="40"/>
      <c r="C833" s="40"/>
    </row>
    <row r="834" ht="15.75" customHeight="1">
      <c r="A834" s="40"/>
      <c r="B834" s="40"/>
      <c r="C834" s="40"/>
    </row>
    <row r="835" ht="15.75" customHeight="1">
      <c r="A835" s="40"/>
      <c r="B835" s="40"/>
      <c r="C835" s="40"/>
    </row>
    <row r="836" ht="15.75" customHeight="1">
      <c r="A836" s="40"/>
      <c r="B836" s="40"/>
      <c r="C836" s="40"/>
    </row>
    <row r="837" ht="15.75" customHeight="1">
      <c r="A837" s="40"/>
      <c r="B837" s="40"/>
      <c r="C837" s="40"/>
    </row>
    <row r="838" ht="15.75" customHeight="1">
      <c r="A838" s="40"/>
      <c r="B838" s="40"/>
      <c r="C838" s="40"/>
    </row>
    <row r="839" ht="15.75" customHeight="1">
      <c r="A839" s="40"/>
      <c r="B839" s="40"/>
      <c r="C839" s="40"/>
    </row>
    <row r="840" ht="15.75" customHeight="1">
      <c r="A840" s="40"/>
      <c r="B840" s="40"/>
      <c r="C840" s="40"/>
    </row>
    <row r="841" ht="15.75" customHeight="1">
      <c r="A841" s="40"/>
      <c r="B841" s="40"/>
      <c r="C841" s="40"/>
    </row>
    <row r="842" ht="15.75" customHeight="1">
      <c r="A842" s="40"/>
      <c r="B842" s="40"/>
      <c r="C842" s="40"/>
    </row>
    <row r="843" ht="15.75" customHeight="1">
      <c r="A843" s="40"/>
      <c r="B843" s="40"/>
      <c r="C843" s="40"/>
    </row>
    <row r="844" ht="15.75" customHeight="1">
      <c r="A844" s="40"/>
      <c r="B844" s="40"/>
      <c r="C844" s="40"/>
    </row>
    <row r="845" ht="15.75" customHeight="1">
      <c r="A845" s="40"/>
      <c r="B845" s="40"/>
      <c r="C845" s="40"/>
    </row>
    <row r="846" ht="15.75" customHeight="1">
      <c r="A846" s="40"/>
      <c r="B846" s="40"/>
      <c r="C846" s="40"/>
    </row>
    <row r="847" ht="15.75" customHeight="1">
      <c r="A847" s="40"/>
      <c r="B847" s="40"/>
      <c r="C847" s="40"/>
    </row>
    <row r="848" ht="15.75" customHeight="1">
      <c r="A848" s="40"/>
      <c r="B848" s="40"/>
      <c r="C848" s="40"/>
    </row>
    <row r="849" ht="15.75" customHeight="1">
      <c r="A849" s="40"/>
      <c r="B849" s="40"/>
      <c r="C849" s="40"/>
    </row>
    <row r="850" ht="15.75" customHeight="1">
      <c r="A850" s="40"/>
      <c r="B850" s="40"/>
      <c r="C850" s="40"/>
    </row>
    <row r="851" ht="15.75" customHeight="1">
      <c r="A851" s="40"/>
      <c r="B851" s="40"/>
      <c r="C851" s="40"/>
    </row>
    <row r="852" ht="15.75" customHeight="1">
      <c r="A852" s="40"/>
      <c r="B852" s="40"/>
      <c r="C852" s="40"/>
    </row>
    <row r="853" ht="15.75" customHeight="1">
      <c r="A853" s="40"/>
      <c r="B853" s="40"/>
      <c r="C853" s="40"/>
    </row>
    <row r="854" ht="15.75" customHeight="1">
      <c r="A854" s="40"/>
      <c r="B854" s="40"/>
      <c r="C854" s="40"/>
    </row>
    <row r="855" ht="15.75" customHeight="1">
      <c r="A855" s="40"/>
      <c r="B855" s="40"/>
      <c r="C855" s="40"/>
    </row>
    <row r="856" ht="15.75" customHeight="1">
      <c r="A856" s="40"/>
      <c r="B856" s="40"/>
      <c r="C856" s="40"/>
    </row>
    <row r="857" ht="15.75" customHeight="1">
      <c r="A857" s="40"/>
      <c r="B857" s="40"/>
      <c r="C857" s="40"/>
    </row>
    <row r="858" ht="15.75" customHeight="1">
      <c r="A858" s="40"/>
      <c r="B858" s="40"/>
      <c r="C858" s="40"/>
    </row>
    <row r="859" ht="15.75" customHeight="1">
      <c r="A859" s="40"/>
      <c r="B859" s="40"/>
      <c r="C859" s="40"/>
    </row>
    <row r="860" ht="15.75" customHeight="1">
      <c r="A860" s="40"/>
      <c r="B860" s="40"/>
      <c r="C860" s="40"/>
    </row>
    <row r="861" ht="15.75" customHeight="1">
      <c r="A861" s="40"/>
      <c r="B861" s="40"/>
      <c r="C861" s="40"/>
    </row>
    <row r="862" ht="15.75" customHeight="1">
      <c r="A862" s="40"/>
      <c r="B862" s="40"/>
      <c r="C862" s="40"/>
    </row>
    <row r="863" ht="15.75" customHeight="1">
      <c r="A863" s="40"/>
      <c r="B863" s="40"/>
      <c r="C863" s="40"/>
    </row>
    <row r="864" ht="15.75" customHeight="1">
      <c r="A864" s="40"/>
      <c r="B864" s="40"/>
      <c r="C864" s="40"/>
    </row>
    <row r="865" ht="15.75" customHeight="1">
      <c r="A865" s="40"/>
      <c r="B865" s="40"/>
      <c r="C865" s="40"/>
    </row>
    <row r="866" ht="15.75" customHeight="1">
      <c r="A866" s="40"/>
      <c r="B866" s="40"/>
      <c r="C866" s="40"/>
    </row>
    <row r="867" ht="15.75" customHeight="1">
      <c r="A867" s="40"/>
      <c r="B867" s="40"/>
      <c r="C867" s="40"/>
    </row>
    <row r="868" ht="15.75" customHeight="1">
      <c r="A868" s="40"/>
      <c r="B868" s="40"/>
      <c r="C868" s="40"/>
    </row>
    <row r="869" ht="15.75" customHeight="1">
      <c r="A869" s="40"/>
      <c r="B869" s="40"/>
      <c r="C869" s="40"/>
    </row>
    <row r="870" ht="15.75" customHeight="1">
      <c r="A870" s="40"/>
      <c r="B870" s="40"/>
      <c r="C870" s="40"/>
    </row>
    <row r="871" ht="15.75" customHeight="1">
      <c r="A871" s="40"/>
      <c r="B871" s="40"/>
      <c r="C871" s="40"/>
    </row>
    <row r="872" ht="15.75" customHeight="1">
      <c r="A872" s="40"/>
      <c r="B872" s="40"/>
      <c r="C872" s="40"/>
    </row>
    <row r="873" ht="15.75" customHeight="1">
      <c r="A873" s="40"/>
      <c r="B873" s="40"/>
      <c r="C873" s="40"/>
    </row>
    <row r="874" ht="15.75" customHeight="1">
      <c r="A874" s="40"/>
      <c r="B874" s="40"/>
      <c r="C874" s="40"/>
    </row>
    <row r="875" ht="15.75" customHeight="1">
      <c r="A875" s="40"/>
      <c r="B875" s="40"/>
      <c r="C875" s="40"/>
    </row>
    <row r="876" ht="15.75" customHeight="1">
      <c r="A876" s="40"/>
      <c r="B876" s="40"/>
      <c r="C876" s="40"/>
    </row>
    <row r="877" ht="15.75" customHeight="1">
      <c r="A877" s="40"/>
      <c r="B877" s="40"/>
      <c r="C877" s="40"/>
    </row>
    <row r="878" ht="15.75" customHeight="1">
      <c r="A878" s="40"/>
      <c r="B878" s="40"/>
      <c r="C878" s="40"/>
    </row>
    <row r="879" ht="15.75" customHeight="1">
      <c r="A879" s="40"/>
      <c r="B879" s="40"/>
      <c r="C879" s="40"/>
    </row>
    <row r="880" ht="15.75" customHeight="1">
      <c r="A880" s="40"/>
      <c r="B880" s="40"/>
      <c r="C880" s="40"/>
    </row>
    <row r="881" ht="15.75" customHeight="1">
      <c r="A881" s="40"/>
      <c r="B881" s="40"/>
      <c r="C881" s="40"/>
    </row>
    <row r="882" ht="15.75" customHeight="1">
      <c r="A882" s="40"/>
      <c r="B882" s="40"/>
      <c r="C882" s="40"/>
    </row>
    <row r="883" ht="15.75" customHeight="1">
      <c r="A883" s="40"/>
      <c r="B883" s="40"/>
      <c r="C883" s="40"/>
    </row>
    <row r="884" ht="15.75" customHeight="1">
      <c r="A884" s="40"/>
      <c r="B884" s="40"/>
      <c r="C884" s="40"/>
    </row>
    <row r="885" ht="15.75" customHeight="1">
      <c r="A885" s="40"/>
      <c r="B885" s="40"/>
      <c r="C885" s="40"/>
    </row>
    <row r="886" ht="15.75" customHeight="1">
      <c r="A886" s="40"/>
      <c r="B886" s="40"/>
      <c r="C886" s="40"/>
    </row>
    <row r="887" ht="15.75" customHeight="1">
      <c r="A887" s="40"/>
      <c r="B887" s="40"/>
      <c r="C887" s="40"/>
    </row>
    <row r="888" ht="15.75" customHeight="1">
      <c r="A888" s="40"/>
      <c r="B888" s="40"/>
      <c r="C888" s="40"/>
    </row>
    <row r="889" ht="15.75" customHeight="1">
      <c r="A889" s="40"/>
      <c r="B889" s="40"/>
      <c r="C889" s="40"/>
    </row>
    <row r="890" ht="15.75" customHeight="1">
      <c r="A890" s="40"/>
      <c r="B890" s="40"/>
      <c r="C890" s="40"/>
    </row>
    <row r="891" ht="15.75" customHeight="1">
      <c r="A891" s="40"/>
      <c r="B891" s="40"/>
      <c r="C891" s="40"/>
    </row>
    <row r="892" ht="15.75" customHeight="1">
      <c r="A892" s="40"/>
      <c r="B892" s="40"/>
      <c r="C892" s="40"/>
    </row>
    <row r="893" ht="15.75" customHeight="1">
      <c r="A893" s="40"/>
      <c r="B893" s="40"/>
      <c r="C893" s="40"/>
    </row>
    <row r="894" ht="15.75" customHeight="1">
      <c r="A894" s="40"/>
      <c r="B894" s="40"/>
      <c r="C894" s="40"/>
    </row>
    <row r="895" ht="15.75" customHeight="1">
      <c r="A895" s="40"/>
      <c r="B895" s="40"/>
      <c r="C895" s="40"/>
    </row>
    <row r="896" ht="15.75" customHeight="1">
      <c r="A896" s="40"/>
      <c r="B896" s="40"/>
      <c r="C896" s="40"/>
    </row>
    <row r="897" ht="15.75" customHeight="1">
      <c r="A897" s="40"/>
      <c r="B897" s="40"/>
      <c r="C897" s="40"/>
    </row>
    <row r="898" ht="15.75" customHeight="1">
      <c r="A898" s="40"/>
      <c r="B898" s="40"/>
      <c r="C898" s="40"/>
    </row>
    <row r="899" ht="15.75" customHeight="1">
      <c r="A899" s="40"/>
      <c r="B899" s="40"/>
      <c r="C899" s="40"/>
    </row>
    <row r="900" ht="15.75" customHeight="1">
      <c r="A900" s="40"/>
      <c r="B900" s="40"/>
      <c r="C900" s="40"/>
    </row>
    <row r="901" ht="15.75" customHeight="1">
      <c r="A901" s="40"/>
      <c r="B901" s="40"/>
      <c r="C901" s="40"/>
    </row>
    <row r="902" ht="15.75" customHeight="1">
      <c r="A902" s="40"/>
      <c r="B902" s="40"/>
      <c r="C902" s="40"/>
    </row>
    <row r="903" ht="15.75" customHeight="1">
      <c r="A903" s="40"/>
      <c r="B903" s="40"/>
      <c r="C903" s="40"/>
    </row>
    <row r="904" ht="15.75" customHeight="1">
      <c r="A904" s="40"/>
      <c r="B904" s="40"/>
      <c r="C904" s="40"/>
    </row>
    <row r="905" ht="15.75" customHeight="1">
      <c r="A905" s="40"/>
      <c r="B905" s="40"/>
      <c r="C905" s="40"/>
    </row>
    <row r="906" ht="15.75" customHeight="1">
      <c r="A906" s="40"/>
      <c r="B906" s="40"/>
      <c r="C906" s="40"/>
    </row>
    <row r="907" ht="15.75" customHeight="1">
      <c r="A907" s="40"/>
      <c r="B907" s="40"/>
      <c r="C907" s="40"/>
    </row>
    <row r="908" ht="15.75" customHeight="1">
      <c r="A908" s="40"/>
      <c r="B908" s="40"/>
      <c r="C908" s="40"/>
    </row>
    <row r="909" ht="15.75" customHeight="1">
      <c r="A909" s="40"/>
      <c r="B909" s="40"/>
      <c r="C909" s="40"/>
    </row>
    <row r="910" ht="15.75" customHeight="1">
      <c r="A910" s="40"/>
      <c r="B910" s="40"/>
      <c r="C910" s="40"/>
    </row>
    <row r="911" ht="15.75" customHeight="1">
      <c r="A911" s="40"/>
      <c r="B911" s="40"/>
      <c r="C911" s="40"/>
    </row>
    <row r="912" ht="15.75" customHeight="1">
      <c r="A912" s="40"/>
      <c r="B912" s="40"/>
      <c r="C912" s="40"/>
    </row>
    <row r="913" ht="15.75" customHeight="1">
      <c r="A913" s="40"/>
      <c r="B913" s="40"/>
      <c r="C913" s="40"/>
    </row>
    <row r="914" ht="15.75" customHeight="1">
      <c r="A914" s="40"/>
      <c r="B914" s="40"/>
      <c r="C914" s="40"/>
    </row>
    <row r="915" ht="15.75" customHeight="1">
      <c r="A915" s="40"/>
      <c r="B915" s="40"/>
      <c r="C915" s="40"/>
    </row>
    <row r="916" ht="15.75" customHeight="1">
      <c r="A916" s="40"/>
      <c r="B916" s="40"/>
      <c r="C916" s="40"/>
    </row>
    <row r="917" ht="15.75" customHeight="1">
      <c r="A917" s="40"/>
      <c r="B917" s="40"/>
      <c r="C917" s="40"/>
    </row>
    <row r="918" ht="15.75" customHeight="1">
      <c r="A918" s="40"/>
      <c r="B918" s="40"/>
      <c r="C918" s="40"/>
    </row>
    <row r="919" ht="15.75" customHeight="1">
      <c r="A919" s="40"/>
      <c r="B919" s="40"/>
      <c r="C919" s="40"/>
    </row>
    <row r="920" ht="15.75" customHeight="1">
      <c r="A920" s="40"/>
      <c r="B920" s="40"/>
      <c r="C920" s="40"/>
    </row>
    <row r="921" ht="15.75" customHeight="1">
      <c r="A921" s="40"/>
      <c r="B921" s="40"/>
      <c r="C921" s="40"/>
    </row>
    <row r="922" ht="15.75" customHeight="1">
      <c r="A922" s="40"/>
      <c r="B922" s="40"/>
      <c r="C922" s="40"/>
    </row>
    <row r="923" ht="15.75" customHeight="1">
      <c r="A923" s="40"/>
      <c r="B923" s="40"/>
      <c r="C923" s="40"/>
    </row>
    <row r="924" ht="15.75" customHeight="1">
      <c r="A924" s="40"/>
      <c r="B924" s="40"/>
      <c r="C924" s="40"/>
    </row>
    <row r="925" ht="15.75" customHeight="1">
      <c r="A925" s="40"/>
      <c r="B925" s="40"/>
      <c r="C925" s="40"/>
    </row>
    <row r="926" ht="15.75" customHeight="1">
      <c r="A926" s="40"/>
      <c r="B926" s="40"/>
      <c r="C926" s="40"/>
    </row>
    <row r="927" ht="15.75" customHeight="1">
      <c r="A927" s="40"/>
      <c r="B927" s="40"/>
      <c r="C927" s="40"/>
    </row>
    <row r="928" ht="15.75" customHeight="1">
      <c r="A928" s="40"/>
      <c r="B928" s="40"/>
      <c r="C928" s="40"/>
    </row>
    <row r="929" ht="15.75" customHeight="1">
      <c r="A929" s="40"/>
      <c r="B929" s="40"/>
      <c r="C929" s="40"/>
    </row>
    <row r="930" ht="15.75" customHeight="1">
      <c r="A930" s="40"/>
      <c r="B930" s="40"/>
      <c r="C930" s="40"/>
    </row>
    <row r="931" ht="15.75" customHeight="1">
      <c r="A931" s="40"/>
      <c r="B931" s="40"/>
      <c r="C931" s="40"/>
    </row>
    <row r="932" ht="15.75" customHeight="1">
      <c r="A932" s="40"/>
      <c r="B932" s="40"/>
      <c r="C932" s="40"/>
    </row>
    <row r="933" ht="15.75" customHeight="1">
      <c r="A933" s="40"/>
      <c r="B933" s="40"/>
      <c r="C933" s="40"/>
    </row>
    <row r="934" ht="15.75" customHeight="1">
      <c r="A934" s="40"/>
      <c r="B934" s="40"/>
      <c r="C934" s="40"/>
    </row>
    <row r="935" ht="15.75" customHeight="1">
      <c r="A935" s="40"/>
      <c r="B935" s="40"/>
      <c r="C935" s="40"/>
    </row>
    <row r="936" ht="15.75" customHeight="1">
      <c r="A936" s="40"/>
      <c r="B936" s="40"/>
      <c r="C936" s="40"/>
    </row>
    <row r="937" ht="15.75" customHeight="1">
      <c r="A937" s="40"/>
      <c r="B937" s="40"/>
      <c r="C937" s="40"/>
    </row>
    <row r="938" ht="15.75" customHeight="1">
      <c r="A938" s="40"/>
      <c r="B938" s="40"/>
      <c r="C938" s="40"/>
    </row>
    <row r="939" ht="15.75" customHeight="1">
      <c r="A939" s="40"/>
      <c r="B939" s="40"/>
      <c r="C939" s="40"/>
    </row>
    <row r="940" ht="15.75" customHeight="1">
      <c r="A940" s="40"/>
      <c r="B940" s="40"/>
      <c r="C940" s="40"/>
    </row>
    <row r="941" ht="15.75" customHeight="1">
      <c r="A941" s="40"/>
      <c r="B941" s="40"/>
      <c r="C941" s="40"/>
    </row>
    <row r="942" ht="15.75" customHeight="1">
      <c r="A942" s="40"/>
      <c r="B942" s="40"/>
      <c r="C942" s="40"/>
    </row>
    <row r="943" ht="15.75" customHeight="1">
      <c r="A943" s="40"/>
      <c r="B943" s="40"/>
      <c r="C943" s="40"/>
    </row>
    <row r="944" ht="15.75" customHeight="1">
      <c r="A944" s="40"/>
      <c r="B944" s="40"/>
      <c r="C944" s="40"/>
    </row>
    <row r="945" ht="15.75" customHeight="1">
      <c r="A945" s="40"/>
      <c r="B945" s="40"/>
      <c r="C945" s="40"/>
    </row>
    <row r="946" ht="15.75" customHeight="1">
      <c r="A946" s="40"/>
      <c r="B946" s="40"/>
      <c r="C946" s="40"/>
    </row>
    <row r="947" ht="15.75" customHeight="1">
      <c r="A947" s="40"/>
      <c r="B947" s="40"/>
      <c r="C947" s="40"/>
    </row>
    <row r="948" ht="15.75" customHeight="1">
      <c r="A948" s="40"/>
      <c r="B948" s="40"/>
      <c r="C948" s="40"/>
    </row>
    <row r="949" ht="15.75" customHeight="1">
      <c r="A949" s="40"/>
      <c r="B949" s="40"/>
      <c r="C949" s="40"/>
    </row>
    <row r="950" ht="15.75" customHeight="1">
      <c r="A950" s="40"/>
      <c r="B950" s="40"/>
      <c r="C950" s="40"/>
    </row>
    <row r="951" ht="15.75" customHeight="1">
      <c r="A951" s="40"/>
      <c r="B951" s="40"/>
      <c r="C951" s="40"/>
    </row>
    <row r="952" ht="15.75" customHeight="1">
      <c r="A952" s="40"/>
      <c r="B952" s="40"/>
      <c r="C952" s="40"/>
    </row>
    <row r="953" ht="15.75" customHeight="1">
      <c r="A953" s="40"/>
      <c r="B953" s="40"/>
      <c r="C953" s="40"/>
    </row>
    <row r="954" ht="15.75" customHeight="1">
      <c r="A954" s="40"/>
      <c r="B954" s="40"/>
      <c r="C954" s="40"/>
    </row>
    <row r="955" ht="15.75" customHeight="1">
      <c r="A955" s="40"/>
      <c r="B955" s="40"/>
      <c r="C955" s="40"/>
    </row>
    <row r="956" ht="15.75" customHeight="1">
      <c r="A956" s="40"/>
      <c r="B956" s="40"/>
      <c r="C956" s="40"/>
    </row>
    <row r="957" ht="15.75" customHeight="1">
      <c r="A957" s="40"/>
      <c r="B957" s="40"/>
      <c r="C957" s="40"/>
    </row>
    <row r="958" ht="15.75" customHeight="1">
      <c r="A958" s="40"/>
      <c r="B958" s="40"/>
      <c r="C958" s="40"/>
    </row>
    <row r="959" ht="15.75" customHeight="1">
      <c r="A959" s="40"/>
      <c r="B959" s="40"/>
      <c r="C959" s="40"/>
    </row>
    <row r="960" ht="15.75" customHeight="1">
      <c r="A960" s="40"/>
      <c r="B960" s="40"/>
      <c r="C960" s="40"/>
    </row>
    <row r="961" ht="15.75" customHeight="1">
      <c r="A961" s="40"/>
      <c r="B961" s="40"/>
      <c r="C961" s="40"/>
    </row>
    <row r="962" ht="15.75" customHeight="1">
      <c r="A962" s="40"/>
      <c r="B962" s="40"/>
      <c r="C962" s="40"/>
    </row>
    <row r="963" ht="15.75" customHeight="1">
      <c r="A963" s="40"/>
      <c r="B963" s="40"/>
      <c r="C963" s="40"/>
    </row>
    <row r="964" ht="15.75" customHeight="1">
      <c r="A964" s="40"/>
      <c r="B964" s="40"/>
      <c r="C964" s="40"/>
    </row>
    <row r="965" ht="15.75" customHeight="1">
      <c r="A965" s="40"/>
      <c r="B965" s="40"/>
      <c r="C965" s="40"/>
    </row>
    <row r="966" ht="15.75" customHeight="1">
      <c r="A966" s="40"/>
      <c r="B966" s="40"/>
      <c r="C966" s="40"/>
    </row>
    <row r="967" ht="15.75" customHeight="1">
      <c r="A967" s="40"/>
      <c r="B967" s="40"/>
      <c r="C967" s="40"/>
    </row>
    <row r="968" ht="15.75" customHeight="1">
      <c r="A968" s="40"/>
      <c r="B968" s="40"/>
      <c r="C968" s="40"/>
    </row>
    <row r="969" ht="15.75" customHeight="1">
      <c r="A969" s="40"/>
      <c r="B969" s="40"/>
      <c r="C969" s="40"/>
    </row>
    <row r="970" ht="15.75" customHeight="1">
      <c r="A970" s="40"/>
      <c r="B970" s="40"/>
      <c r="C970" s="40"/>
    </row>
    <row r="971" ht="15.75" customHeight="1">
      <c r="A971" s="40"/>
      <c r="B971" s="40"/>
      <c r="C971" s="40"/>
    </row>
    <row r="972" ht="15.75" customHeight="1">
      <c r="A972" s="40"/>
      <c r="B972" s="40"/>
      <c r="C972" s="40"/>
    </row>
    <row r="973" ht="15.75" customHeight="1">
      <c r="A973" s="40"/>
      <c r="B973" s="40"/>
      <c r="C973" s="40"/>
    </row>
    <row r="974" ht="15.75" customHeight="1">
      <c r="A974" s="40"/>
      <c r="B974" s="40"/>
      <c r="C974" s="40"/>
    </row>
    <row r="975" ht="15.75" customHeight="1">
      <c r="A975" s="40"/>
      <c r="B975" s="40"/>
      <c r="C975" s="40"/>
    </row>
    <row r="976" ht="15.75" customHeight="1">
      <c r="A976" s="40"/>
      <c r="B976" s="40"/>
      <c r="C976" s="40"/>
    </row>
    <row r="977" ht="15.75" customHeight="1">
      <c r="A977" s="40"/>
      <c r="B977" s="40"/>
      <c r="C977" s="40"/>
    </row>
    <row r="978" ht="15.75" customHeight="1">
      <c r="A978" s="40"/>
      <c r="B978" s="40"/>
      <c r="C978" s="40"/>
    </row>
    <row r="979" ht="15.75" customHeight="1">
      <c r="A979" s="40"/>
      <c r="B979" s="40"/>
      <c r="C979" s="40"/>
    </row>
    <row r="980" ht="15.75" customHeight="1">
      <c r="A980" s="40"/>
      <c r="B980" s="40"/>
      <c r="C980" s="40"/>
    </row>
    <row r="981" ht="15.75" customHeight="1">
      <c r="A981" s="40"/>
      <c r="B981" s="40"/>
      <c r="C981" s="40"/>
    </row>
    <row r="982" ht="15.75" customHeight="1">
      <c r="A982" s="40"/>
      <c r="B982" s="40"/>
      <c r="C982" s="40"/>
    </row>
    <row r="983" ht="15.75" customHeight="1">
      <c r="A983" s="40"/>
      <c r="B983" s="40"/>
      <c r="C983" s="40"/>
    </row>
    <row r="984" ht="15.75" customHeight="1">
      <c r="A984" s="40"/>
      <c r="B984" s="40"/>
      <c r="C984" s="40"/>
    </row>
    <row r="985" ht="15.75" customHeight="1">
      <c r="A985" s="40"/>
      <c r="B985" s="40"/>
      <c r="C985" s="40"/>
    </row>
    <row r="986" ht="15.75" customHeight="1">
      <c r="A986" s="40"/>
      <c r="B986" s="40"/>
      <c r="C986" s="40"/>
    </row>
    <row r="987" ht="15.75" customHeight="1">
      <c r="A987" s="40"/>
      <c r="B987" s="40"/>
      <c r="C987" s="40"/>
    </row>
    <row r="988" ht="15.75" customHeight="1">
      <c r="A988" s="40"/>
      <c r="B988" s="40"/>
      <c r="C988" s="40"/>
    </row>
    <row r="989" ht="15.75" customHeight="1">
      <c r="A989" s="40"/>
      <c r="B989" s="40"/>
      <c r="C989" s="40"/>
    </row>
    <row r="990" ht="15.75" customHeight="1">
      <c r="A990" s="40"/>
      <c r="B990" s="40"/>
      <c r="C990" s="40"/>
    </row>
    <row r="991" ht="15.75" customHeight="1">
      <c r="A991" s="40"/>
      <c r="B991" s="40"/>
      <c r="C991" s="40"/>
    </row>
    <row r="992" ht="15.75" customHeight="1">
      <c r="A992" s="40"/>
      <c r="B992" s="40"/>
      <c r="C992" s="40"/>
    </row>
    <row r="993" ht="15.75" customHeight="1">
      <c r="A993" s="40"/>
      <c r="B993" s="40"/>
      <c r="C993" s="40"/>
    </row>
    <row r="994" ht="15.75" customHeight="1">
      <c r="A994" s="40"/>
      <c r="B994" s="40"/>
      <c r="C994" s="40"/>
    </row>
    <row r="995" ht="15.75" customHeight="1">
      <c r="A995" s="40"/>
      <c r="B995" s="40"/>
      <c r="C995" s="40"/>
    </row>
    <row r="996" ht="15.75" customHeight="1">
      <c r="A996" s="40"/>
      <c r="B996" s="40"/>
      <c r="C996" s="40"/>
    </row>
    <row r="997" ht="15.75" customHeight="1">
      <c r="A997" s="40"/>
      <c r="B997" s="40"/>
      <c r="C997" s="40"/>
    </row>
    <row r="998" ht="15.75" customHeight="1">
      <c r="A998" s="40"/>
      <c r="B998" s="40"/>
      <c r="C998" s="40"/>
    </row>
    <row r="999" ht="15.75" customHeight="1">
      <c r="A999" s="40"/>
      <c r="B999" s="40"/>
      <c r="C999" s="40"/>
    </row>
    <row r="1000" ht="15.75" customHeight="1">
      <c r="A1000" s="40"/>
      <c r="B1000" s="40"/>
      <c r="C1000" s="40"/>
    </row>
    <row r="1001" ht="15.75" customHeight="1">
      <c r="A1001" s="40"/>
      <c r="B1001" s="40"/>
      <c r="C1001" s="40"/>
    </row>
    <row r="1002" ht="15.75" customHeight="1">
      <c r="A1002" s="40"/>
      <c r="B1002" s="40"/>
      <c r="C1002" s="40"/>
    </row>
    <row r="1003" ht="15.75" customHeight="1">
      <c r="A1003" s="40"/>
      <c r="B1003" s="40"/>
      <c r="C1003" s="40"/>
    </row>
    <row r="1004" ht="15.75" customHeight="1">
      <c r="A1004" s="40"/>
      <c r="B1004" s="40"/>
      <c r="C1004" s="40"/>
    </row>
    <row r="1005" ht="15.75" customHeight="1">
      <c r="A1005" s="40"/>
      <c r="B1005" s="40"/>
      <c r="C1005" s="40"/>
    </row>
  </sheetData>
  <mergeCells count="1">
    <mergeCell ref="A75:G75"/>
  </mergeCells>
  <hyperlinks>
    <hyperlink r:id="rId1" ref="A36"/>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28.0"/>
    <col customWidth="1" min="3" max="3" width="117.0"/>
    <col customWidth="1" min="4" max="26" width="10.63"/>
  </cols>
  <sheetData>
    <row r="1" ht="3.75" customHeight="1"/>
    <row r="2" ht="12.75" customHeight="1">
      <c r="A2" s="41" t="s">
        <v>86</v>
      </c>
      <c r="B2" s="27"/>
      <c r="C2" s="28"/>
      <c r="D2" s="22"/>
      <c r="E2" s="22"/>
      <c r="F2" s="22"/>
      <c r="G2" s="22"/>
      <c r="H2" s="22"/>
      <c r="I2" s="22"/>
      <c r="J2" s="22"/>
      <c r="K2" s="22"/>
      <c r="L2" s="22"/>
      <c r="M2" s="22"/>
      <c r="N2" s="22"/>
      <c r="O2" s="22"/>
      <c r="P2" s="22"/>
      <c r="Q2" s="22"/>
      <c r="R2" s="22"/>
      <c r="S2" s="22"/>
      <c r="T2" s="22"/>
      <c r="U2" s="22"/>
      <c r="V2" s="22"/>
      <c r="W2" s="22"/>
      <c r="X2" s="19"/>
      <c r="Y2" s="19"/>
      <c r="Z2" s="19"/>
    </row>
    <row r="3" ht="12.75" customHeight="1">
      <c r="A3" s="42" t="s">
        <v>87</v>
      </c>
      <c r="B3" s="42" t="s">
        <v>88</v>
      </c>
      <c r="C3" s="42" t="s">
        <v>89</v>
      </c>
      <c r="D3" s="22"/>
      <c r="E3" s="22"/>
      <c r="F3" s="22"/>
      <c r="G3" s="22"/>
      <c r="H3" s="22"/>
      <c r="I3" s="22"/>
      <c r="J3" s="22"/>
      <c r="K3" s="22"/>
      <c r="L3" s="22"/>
      <c r="M3" s="22"/>
      <c r="N3" s="22"/>
      <c r="O3" s="22"/>
      <c r="P3" s="22"/>
      <c r="Q3" s="22"/>
      <c r="R3" s="22"/>
      <c r="S3" s="22"/>
      <c r="T3" s="22"/>
      <c r="U3" s="22"/>
      <c r="V3" s="22"/>
      <c r="W3" s="22"/>
      <c r="X3" s="19"/>
      <c r="Y3" s="19"/>
      <c r="Z3" s="19"/>
    </row>
    <row r="4" ht="12.75" customHeight="1">
      <c r="A4" s="43" t="s">
        <v>90</v>
      </c>
      <c r="B4" s="44" t="s">
        <v>91</v>
      </c>
      <c r="C4" s="44" t="s">
        <v>92</v>
      </c>
      <c r="D4" s="22"/>
      <c r="E4" s="22"/>
      <c r="F4" s="22"/>
      <c r="G4" s="22"/>
      <c r="H4" s="22"/>
      <c r="I4" s="22"/>
      <c r="J4" s="22"/>
      <c r="K4" s="22"/>
      <c r="L4" s="22"/>
      <c r="M4" s="22"/>
      <c r="N4" s="22"/>
      <c r="O4" s="22"/>
      <c r="P4" s="22"/>
      <c r="Q4" s="22"/>
      <c r="R4" s="22"/>
      <c r="S4" s="22"/>
      <c r="T4" s="22"/>
      <c r="U4" s="22"/>
      <c r="V4" s="22"/>
      <c r="W4" s="22"/>
      <c r="X4" s="19"/>
      <c r="Y4" s="19"/>
      <c r="Z4" s="19"/>
    </row>
    <row r="5" ht="12.75" customHeight="1">
      <c r="A5" s="43" t="s">
        <v>93</v>
      </c>
      <c r="B5" s="45" t="s">
        <v>94</v>
      </c>
      <c r="C5" s="44" t="s">
        <v>95</v>
      </c>
      <c r="D5" s="22"/>
      <c r="E5" s="22"/>
      <c r="F5" s="22"/>
      <c r="G5" s="22"/>
      <c r="H5" s="22"/>
      <c r="I5" s="22"/>
      <c r="J5" s="22"/>
      <c r="K5" s="22"/>
      <c r="L5" s="22"/>
      <c r="M5" s="22"/>
      <c r="N5" s="22"/>
      <c r="O5" s="22"/>
      <c r="P5" s="22"/>
      <c r="Q5" s="22"/>
      <c r="R5" s="22"/>
      <c r="S5" s="22"/>
      <c r="T5" s="22"/>
      <c r="U5" s="22"/>
      <c r="V5" s="22"/>
      <c r="W5" s="22"/>
      <c r="X5" s="19"/>
      <c r="Y5" s="19"/>
      <c r="Z5" s="19"/>
    </row>
    <row r="6" ht="12.75" customHeight="1">
      <c r="A6" s="43" t="s">
        <v>96</v>
      </c>
      <c r="B6" s="44" t="s">
        <v>97</v>
      </c>
      <c r="C6" s="44" t="s">
        <v>98</v>
      </c>
      <c r="D6" s="22"/>
      <c r="E6" s="22"/>
      <c r="F6" s="22"/>
      <c r="G6" s="22"/>
      <c r="H6" s="22"/>
      <c r="I6" s="22"/>
      <c r="J6" s="22"/>
      <c r="K6" s="22"/>
      <c r="L6" s="22"/>
      <c r="M6" s="22"/>
      <c r="N6" s="22"/>
      <c r="O6" s="22"/>
      <c r="P6" s="22"/>
      <c r="Q6" s="22"/>
      <c r="R6" s="22"/>
      <c r="S6" s="22"/>
      <c r="T6" s="22"/>
      <c r="U6" s="22"/>
      <c r="V6" s="22"/>
      <c r="W6" s="22"/>
      <c r="X6" s="19"/>
      <c r="Y6" s="19"/>
      <c r="Z6" s="19"/>
    </row>
    <row r="7" ht="12.75" customHeight="1">
      <c r="A7" s="43" t="s">
        <v>99</v>
      </c>
      <c r="B7" s="44" t="s">
        <v>100</v>
      </c>
      <c r="C7" s="44" t="s">
        <v>101</v>
      </c>
      <c r="D7" s="22"/>
      <c r="E7" s="22"/>
      <c r="F7" s="22"/>
      <c r="G7" s="22"/>
      <c r="H7" s="22"/>
      <c r="I7" s="22"/>
      <c r="J7" s="22"/>
      <c r="K7" s="22"/>
      <c r="L7" s="22"/>
      <c r="M7" s="22"/>
      <c r="N7" s="22"/>
      <c r="O7" s="22"/>
      <c r="P7" s="22"/>
      <c r="Q7" s="22"/>
      <c r="R7" s="22"/>
      <c r="S7" s="22"/>
      <c r="T7" s="22"/>
      <c r="U7" s="22"/>
      <c r="V7" s="22"/>
      <c r="W7" s="22"/>
      <c r="X7" s="19"/>
      <c r="Y7" s="19"/>
      <c r="Z7" s="19"/>
    </row>
    <row r="8" ht="12.75" customHeight="1">
      <c r="A8" s="43" t="s">
        <v>102</v>
      </c>
      <c r="B8" s="44" t="s">
        <v>103</v>
      </c>
      <c r="C8" s="46" t="s">
        <v>104</v>
      </c>
      <c r="D8" s="22"/>
      <c r="E8" s="22"/>
      <c r="F8" s="22"/>
      <c r="G8" s="22"/>
      <c r="H8" s="22"/>
      <c r="I8" s="22"/>
      <c r="J8" s="22"/>
      <c r="K8" s="22"/>
      <c r="L8" s="22"/>
      <c r="M8" s="22"/>
      <c r="N8" s="22"/>
      <c r="O8" s="22"/>
      <c r="P8" s="22"/>
      <c r="Q8" s="22"/>
      <c r="R8" s="22"/>
      <c r="S8" s="22"/>
      <c r="T8" s="22"/>
      <c r="U8" s="22"/>
      <c r="V8" s="22"/>
      <c r="W8" s="22"/>
      <c r="X8" s="19"/>
      <c r="Y8" s="19"/>
      <c r="Z8" s="19"/>
    </row>
    <row r="9" ht="12.75" customHeight="1">
      <c r="A9" s="43" t="s">
        <v>105</v>
      </c>
      <c r="B9" s="44" t="s">
        <v>106</v>
      </c>
      <c r="C9" s="44" t="s">
        <v>107</v>
      </c>
      <c r="D9" s="22"/>
      <c r="E9" s="22"/>
      <c r="F9" s="22"/>
      <c r="G9" s="22"/>
      <c r="H9" s="22"/>
      <c r="I9" s="22"/>
      <c r="J9" s="22"/>
      <c r="K9" s="22"/>
      <c r="L9" s="22"/>
      <c r="M9" s="22"/>
      <c r="N9" s="22"/>
      <c r="O9" s="22"/>
      <c r="P9" s="22"/>
      <c r="Q9" s="22"/>
      <c r="R9" s="22"/>
      <c r="S9" s="22"/>
      <c r="T9" s="22"/>
      <c r="U9" s="22"/>
      <c r="V9" s="22"/>
      <c r="W9" s="22"/>
      <c r="X9" s="19"/>
      <c r="Y9" s="19"/>
      <c r="Z9" s="19"/>
    </row>
    <row r="10" ht="12.75" customHeight="1">
      <c r="A10" s="47" t="s">
        <v>108</v>
      </c>
      <c r="B10" s="44" t="s">
        <v>109</v>
      </c>
      <c r="C10" s="44" t="s">
        <v>110</v>
      </c>
      <c r="D10" s="22"/>
      <c r="E10" s="22"/>
      <c r="F10" s="22"/>
      <c r="G10" s="22"/>
      <c r="H10" s="22"/>
      <c r="I10" s="22"/>
      <c r="J10" s="22"/>
      <c r="K10" s="22"/>
      <c r="L10" s="22"/>
      <c r="M10" s="22"/>
      <c r="N10" s="22"/>
      <c r="O10" s="22"/>
      <c r="P10" s="22"/>
      <c r="Q10" s="22"/>
      <c r="R10" s="22"/>
      <c r="S10" s="22"/>
      <c r="T10" s="22"/>
      <c r="U10" s="22"/>
      <c r="V10" s="22"/>
      <c r="W10" s="22"/>
      <c r="X10" s="19"/>
      <c r="Y10" s="19"/>
      <c r="Z10" s="19"/>
    </row>
    <row r="11" ht="12.75" customHeight="1">
      <c r="A11" s="43" t="s">
        <v>111</v>
      </c>
      <c r="B11" s="44">
        <v>3.0</v>
      </c>
      <c r="C11" s="44" t="s">
        <v>112</v>
      </c>
      <c r="D11" s="22"/>
      <c r="E11" s="22"/>
      <c r="F11" s="22"/>
      <c r="G11" s="22"/>
      <c r="H11" s="22"/>
      <c r="I11" s="22"/>
      <c r="J11" s="22"/>
      <c r="K11" s="22"/>
      <c r="L11" s="22"/>
      <c r="M11" s="22"/>
      <c r="N11" s="22"/>
      <c r="O11" s="22"/>
      <c r="P11" s="22"/>
      <c r="Q11" s="22"/>
      <c r="R11" s="22"/>
      <c r="S11" s="22"/>
      <c r="T11" s="22"/>
      <c r="U11" s="22"/>
      <c r="V11" s="22"/>
      <c r="W11" s="22"/>
      <c r="X11" s="19"/>
      <c r="Y11" s="19"/>
      <c r="Z11" s="19"/>
    </row>
    <row r="12" ht="12.75" customHeight="1">
      <c r="A12" s="43" t="s">
        <v>113</v>
      </c>
      <c r="B12" s="44" t="s">
        <v>114</v>
      </c>
      <c r="C12" s="48" t="s">
        <v>115</v>
      </c>
      <c r="D12" s="22"/>
      <c r="E12" s="22"/>
      <c r="F12" s="22"/>
      <c r="G12" s="22"/>
      <c r="H12" s="22"/>
      <c r="I12" s="22"/>
      <c r="J12" s="22"/>
      <c r="K12" s="22"/>
      <c r="L12" s="22"/>
      <c r="M12" s="22"/>
      <c r="N12" s="22"/>
      <c r="O12" s="22"/>
      <c r="P12" s="22"/>
      <c r="Q12" s="22"/>
      <c r="R12" s="22"/>
      <c r="S12" s="22"/>
      <c r="T12" s="22"/>
      <c r="U12" s="22"/>
      <c r="V12" s="22"/>
      <c r="W12" s="22"/>
      <c r="X12" s="19"/>
      <c r="Y12" s="19"/>
      <c r="Z12" s="19"/>
    </row>
    <row r="13" ht="12.75" customHeight="1">
      <c r="A13" s="43" t="s">
        <v>116</v>
      </c>
      <c r="B13" s="44" t="s">
        <v>117</v>
      </c>
      <c r="C13" s="44" t="s">
        <v>118</v>
      </c>
      <c r="D13" s="22"/>
      <c r="E13" s="22"/>
      <c r="F13" s="22"/>
      <c r="G13" s="22"/>
      <c r="H13" s="22"/>
      <c r="I13" s="22"/>
      <c r="J13" s="22"/>
      <c r="K13" s="22"/>
      <c r="L13" s="22"/>
      <c r="M13" s="22"/>
      <c r="N13" s="22"/>
      <c r="O13" s="22"/>
      <c r="P13" s="22"/>
      <c r="Q13" s="22"/>
      <c r="R13" s="22"/>
      <c r="S13" s="22"/>
      <c r="T13" s="22"/>
      <c r="U13" s="22"/>
      <c r="V13" s="22"/>
      <c r="W13" s="22"/>
      <c r="X13" s="19"/>
      <c r="Y13" s="19"/>
      <c r="Z13" s="19"/>
    </row>
    <row r="14" ht="12.75" customHeight="1">
      <c r="A14" s="47" t="s">
        <v>119</v>
      </c>
      <c r="B14" s="44" t="s">
        <v>120</v>
      </c>
      <c r="C14" s="49" t="s">
        <v>121</v>
      </c>
      <c r="D14" s="22"/>
      <c r="E14" s="22"/>
      <c r="F14" s="22"/>
      <c r="G14" s="22"/>
      <c r="H14" s="22"/>
      <c r="I14" s="22"/>
      <c r="J14" s="22"/>
      <c r="K14" s="22"/>
      <c r="L14" s="22"/>
      <c r="M14" s="22"/>
      <c r="N14" s="22"/>
      <c r="O14" s="22"/>
      <c r="P14" s="22"/>
      <c r="Q14" s="22"/>
      <c r="R14" s="22"/>
      <c r="S14" s="22"/>
      <c r="T14" s="22"/>
      <c r="U14" s="22"/>
      <c r="V14" s="22"/>
      <c r="W14" s="22"/>
      <c r="X14" s="19"/>
      <c r="Y14" s="19"/>
      <c r="Z14" s="19"/>
    </row>
    <row r="15" ht="12.75" customHeight="1">
      <c r="A15" s="47" t="s">
        <v>122</v>
      </c>
      <c r="B15" s="50" t="s">
        <v>123</v>
      </c>
      <c r="C15" s="51" t="s">
        <v>124</v>
      </c>
      <c r="D15" s="22"/>
      <c r="E15" s="22"/>
      <c r="F15" s="22"/>
      <c r="G15" s="22"/>
      <c r="H15" s="22"/>
      <c r="I15" s="22"/>
      <c r="J15" s="22"/>
      <c r="K15" s="22"/>
      <c r="L15" s="22"/>
      <c r="M15" s="22"/>
      <c r="N15" s="22"/>
      <c r="O15" s="22"/>
      <c r="P15" s="22"/>
      <c r="Q15" s="22"/>
      <c r="R15" s="22"/>
      <c r="S15" s="22"/>
      <c r="T15" s="22"/>
      <c r="U15" s="22"/>
      <c r="V15" s="22"/>
      <c r="W15" s="22"/>
      <c r="X15" s="19"/>
      <c r="Y15" s="19"/>
      <c r="Z15" s="19"/>
    </row>
    <row r="16" ht="12.75" customHeight="1">
      <c r="A16" s="43" t="s">
        <v>125</v>
      </c>
      <c r="B16" s="44" t="s">
        <v>126</v>
      </c>
      <c r="C16" s="52" t="s">
        <v>127</v>
      </c>
      <c r="D16" s="22"/>
      <c r="E16" s="22"/>
      <c r="F16" s="22"/>
      <c r="G16" s="22"/>
      <c r="H16" s="22"/>
      <c r="I16" s="22"/>
      <c r="J16" s="22"/>
      <c r="K16" s="22"/>
      <c r="L16" s="22"/>
      <c r="M16" s="22"/>
      <c r="N16" s="22"/>
      <c r="O16" s="22"/>
      <c r="P16" s="22"/>
      <c r="Q16" s="22"/>
      <c r="R16" s="22"/>
      <c r="S16" s="22"/>
      <c r="T16" s="22"/>
      <c r="U16" s="22"/>
      <c r="V16" s="22"/>
      <c r="W16" s="22"/>
      <c r="X16" s="19"/>
      <c r="Y16" s="19"/>
      <c r="Z16" s="19"/>
    </row>
    <row r="17" ht="12.75" customHeight="1">
      <c r="A17" s="43" t="s">
        <v>128</v>
      </c>
      <c r="B17" s="44" t="s">
        <v>129</v>
      </c>
      <c r="C17" s="44" t="s">
        <v>130</v>
      </c>
      <c r="D17" s="22"/>
      <c r="E17" s="22"/>
      <c r="F17" s="22"/>
      <c r="G17" s="22"/>
      <c r="H17" s="22"/>
      <c r="I17" s="22"/>
      <c r="J17" s="22"/>
      <c r="K17" s="22"/>
      <c r="L17" s="22"/>
      <c r="M17" s="22"/>
      <c r="N17" s="22"/>
      <c r="O17" s="22"/>
      <c r="P17" s="22"/>
      <c r="Q17" s="22"/>
      <c r="R17" s="22"/>
      <c r="S17" s="22"/>
      <c r="T17" s="22"/>
      <c r="U17" s="22"/>
      <c r="V17" s="22"/>
      <c r="W17" s="22"/>
      <c r="X17" s="19"/>
      <c r="Y17" s="19"/>
      <c r="Z17" s="19"/>
    </row>
    <row r="18" ht="12.75" customHeight="1">
      <c r="A18" s="43" t="s">
        <v>131</v>
      </c>
      <c r="B18" s="53">
        <v>100.0</v>
      </c>
      <c r="C18" s="54" t="s">
        <v>132</v>
      </c>
      <c r="D18" s="22"/>
      <c r="E18" s="22"/>
      <c r="F18" s="22"/>
      <c r="G18" s="22"/>
      <c r="H18" s="22"/>
      <c r="I18" s="22"/>
      <c r="J18" s="22"/>
      <c r="K18" s="22"/>
      <c r="L18" s="22"/>
      <c r="M18" s="22"/>
      <c r="N18" s="22"/>
      <c r="O18" s="22"/>
      <c r="P18" s="22"/>
      <c r="Q18" s="22"/>
      <c r="R18" s="22"/>
      <c r="S18" s="22"/>
      <c r="T18" s="22"/>
      <c r="U18" s="22"/>
      <c r="V18" s="22"/>
      <c r="W18" s="22"/>
      <c r="X18" s="19"/>
      <c r="Y18" s="19"/>
      <c r="Z18" s="19"/>
    </row>
    <row r="19" ht="12.75" customHeight="1">
      <c r="A19" s="43" t="s">
        <v>133</v>
      </c>
      <c r="B19" s="53">
        <v>75.0</v>
      </c>
      <c r="C19" s="54" t="s">
        <v>134</v>
      </c>
      <c r="D19" s="22"/>
      <c r="E19" s="22"/>
      <c r="F19" s="22"/>
      <c r="G19" s="22"/>
      <c r="H19" s="22"/>
      <c r="I19" s="22"/>
      <c r="J19" s="22"/>
      <c r="K19" s="22"/>
      <c r="L19" s="22"/>
      <c r="M19" s="22"/>
      <c r="N19" s="22"/>
      <c r="O19" s="22"/>
      <c r="P19" s="22"/>
      <c r="Q19" s="22"/>
      <c r="R19" s="22"/>
      <c r="S19" s="22"/>
      <c r="T19" s="22"/>
      <c r="U19" s="22"/>
      <c r="V19" s="22"/>
      <c r="W19" s="22"/>
      <c r="X19" s="19"/>
      <c r="Y19" s="19"/>
      <c r="Z19" s="19"/>
    </row>
    <row r="20" ht="12.75" customHeight="1">
      <c r="A20" s="47" t="s">
        <v>135</v>
      </c>
      <c r="B20" s="44" t="s">
        <v>136</v>
      </c>
      <c r="C20" s="44" t="s">
        <v>137</v>
      </c>
      <c r="D20" s="22"/>
      <c r="E20" s="22"/>
      <c r="F20" s="22"/>
      <c r="G20" s="22"/>
      <c r="H20" s="22"/>
      <c r="I20" s="22"/>
      <c r="J20" s="22"/>
      <c r="K20" s="22"/>
      <c r="L20" s="22"/>
      <c r="M20" s="22"/>
      <c r="N20" s="22"/>
      <c r="O20" s="22"/>
      <c r="P20" s="22"/>
      <c r="Q20" s="22"/>
      <c r="R20" s="22"/>
      <c r="S20" s="22"/>
      <c r="T20" s="22"/>
      <c r="U20" s="22"/>
      <c r="V20" s="22"/>
      <c r="W20" s="22"/>
      <c r="X20" s="19"/>
      <c r="Y20" s="19"/>
      <c r="Z20" s="19"/>
    </row>
    <row r="21" ht="12.75" customHeight="1">
      <c r="A21" s="43" t="s">
        <v>138</v>
      </c>
      <c r="B21" s="55" t="s">
        <v>139</v>
      </c>
      <c r="C21" s="48" t="s">
        <v>140</v>
      </c>
      <c r="D21" s="22"/>
      <c r="E21" s="22"/>
      <c r="F21" s="22"/>
      <c r="G21" s="22"/>
      <c r="H21" s="22"/>
      <c r="I21" s="22"/>
      <c r="J21" s="22"/>
      <c r="K21" s="22"/>
      <c r="L21" s="22"/>
      <c r="M21" s="22"/>
      <c r="N21" s="22"/>
      <c r="O21" s="22"/>
      <c r="P21" s="22"/>
      <c r="Q21" s="22"/>
      <c r="R21" s="22"/>
      <c r="S21" s="22"/>
      <c r="T21" s="22"/>
      <c r="U21" s="22"/>
      <c r="V21" s="22"/>
      <c r="W21" s="22"/>
      <c r="X21" s="19"/>
      <c r="Y21" s="19"/>
      <c r="Z21" s="19"/>
    </row>
    <row r="22" ht="12.75" customHeight="1">
      <c r="A22" s="43" t="s">
        <v>141</v>
      </c>
      <c r="B22" s="44" t="s">
        <v>142</v>
      </c>
      <c r="C22" s="44" t="s">
        <v>143</v>
      </c>
      <c r="D22" s="22"/>
      <c r="E22" s="22"/>
      <c r="F22" s="22"/>
      <c r="G22" s="22"/>
      <c r="H22" s="22"/>
      <c r="I22" s="22"/>
      <c r="J22" s="22"/>
      <c r="K22" s="22"/>
      <c r="L22" s="22"/>
      <c r="M22" s="22"/>
      <c r="N22" s="22"/>
      <c r="O22" s="22"/>
      <c r="P22" s="22"/>
      <c r="Q22" s="22"/>
      <c r="R22" s="22"/>
      <c r="S22" s="22"/>
      <c r="T22" s="22"/>
      <c r="U22" s="22"/>
      <c r="V22" s="22"/>
      <c r="W22" s="22"/>
      <c r="X22" s="19"/>
      <c r="Y22" s="19"/>
      <c r="Z22" s="19"/>
    </row>
    <row r="23" ht="12.75" customHeight="1">
      <c r="A23" s="43" t="s">
        <v>144</v>
      </c>
      <c r="B23" s="44"/>
      <c r="C23" s="44" t="s">
        <v>145</v>
      </c>
      <c r="D23" s="22"/>
      <c r="E23" s="22"/>
      <c r="F23" s="22"/>
      <c r="G23" s="22"/>
      <c r="H23" s="22"/>
      <c r="I23" s="22"/>
      <c r="J23" s="22"/>
      <c r="K23" s="22"/>
      <c r="L23" s="22"/>
      <c r="M23" s="22"/>
      <c r="N23" s="22"/>
      <c r="O23" s="22"/>
      <c r="P23" s="22"/>
      <c r="Q23" s="22"/>
      <c r="R23" s="22"/>
      <c r="S23" s="22"/>
      <c r="T23" s="22"/>
      <c r="U23" s="22"/>
      <c r="V23" s="22"/>
      <c r="W23" s="22"/>
      <c r="X23" s="19"/>
      <c r="Y23" s="19"/>
      <c r="Z23" s="19"/>
    </row>
    <row r="24" ht="12.75" customHeight="1">
      <c r="A24" s="47" t="s">
        <v>146</v>
      </c>
      <c r="B24" s="44" t="s">
        <v>147</v>
      </c>
      <c r="C24" s="44" t="s">
        <v>148</v>
      </c>
      <c r="D24" s="22"/>
      <c r="E24" s="22"/>
      <c r="F24" s="22"/>
      <c r="G24" s="22"/>
      <c r="H24" s="22"/>
      <c r="I24" s="22"/>
      <c r="J24" s="22"/>
      <c r="K24" s="22"/>
      <c r="L24" s="22"/>
      <c r="M24" s="22"/>
      <c r="N24" s="22"/>
      <c r="O24" s="22"/>
      <c r="P24" s="22"/>
      <c r="Q24" s="22"/>
      <c r="R24" s="22"/>
      <c r="S24" s="22"/>
      <c r="T24" s="22"/>
      <c r="U24" s="22"/>
      <c r="V24" s="22"/>
      <c r="W24" s="22"/>
      <c r="X24" s="19"/>
      <c r="Y24" s="19"/>
      <c r="Z24" s="19"/>
    </row>
    <row r="25" ht="12.75" customHeight="1">
      <c r="A25" s="47" t="s">
        <v>149</v>
      </c>
      <c r="B25" s="44" t="s">
        <v>150</v>
      </c>
      <c r="C25" s="55" t="s">
        <v>151</v>
      </c>
      <c r="D25" s="22"/>
      <c r="E25" s="22"/>
      <c r="F25" s="22"/>
      <c r="G25" s="22"/>
      <c r="H25" s="22"/>
      <c r="I25" s="22"/>
      <c r="J25" s="22"/>
      <c r="K25" s="22"/>
      <c r="L25" s="22"/>
      <c r="M25" s="22"/>
      <c r="N25" s="22"/>
      <c r="O25" s="22"/>
      <c r="P25" s="22"/>
      <c r="Q25" s="22"/>
      <c r="R25" s="22"/>
      <c r="S25" s="22"/>
      <c r="T25" s="22"/>
      <c r="U25" s="22"/>
      <c r="V25" s="22"/>
      <c r="W25" s="22"/>
      <c r="X25" s="19"/>
      <c r="Y25" s="19"/>
      <c r="Z25" s="19"/>
    </row>
    <row r="26" ht="12.75" customHeight="1">
      <c r="A26" s="43" t="s">
        <v>152</v>
      </c>
      <c r="B26" s="44" t="s">
        <v>91</v>
      </c>
      <c r="C26" s="44" t="s">
        <v>153</v>
      </c>
      <c r="D26" s="22"/>
      <c r="E26" s="22"/>
      <c r="F26" s="22"/>
      <c r="G26" s="22"/>
      <c r="H26" s="22"/>
      <c r="I26" s="22"/>
      <c r="J26" s="22"/>
      <c r="K26" s="22"/>
      <c r="L26" s="22"/>
      <c r="M26" s="22"/>
      <c r="N26" s="22"/>
      <c r="O26" s="22"/>
      <c r="P26" s="22"/>
      <c r="Q26" s="22"/>
      <c r="R26" s="22"/>
      <c r="S26" s="22"/>
      <c r="T26" s="22"/>
      <c r="U26" s="22"/>
      <c r="V26" s="22"/>
      <c r="W26" s="22"/>
      <c r="X26" s="19"/>
      <c r="Y26" s="19"/>
      <c r="Z26" s="19"/>
    </row>
    <row r="27" ht="12.75" customHeight="1">
      <c r="A27" s="43" t="s">
        <v>154</v>
      </c>
      <c r="B27" s="56" t="s">
        <v>155</v>
      </c>
      <c r="C27" s="44" t="s">
        <v>156</v>
      </c>
      <c r="D27" s="22"/>
      <c r="E27" s="22"/>
      <c r="F27" s="22"/>
      <c r="G27" s="22"/>
      <c r="H27" s="22"/>
      <c r="I27" s="22"/>
      <c r="J27" s="22"/>
      <c r="K27" s="22"/>
      <c r="L27" s="22"/>
      <c r="M27" s="22"/>
      <c r="N27" s="22"/>
      <c r="O27" s="22"/>
      <c r="P27" s="22"/>
      <c r="Q27" s="22"/>
      <c r="R27" s="22"/>
      <c r="S27" s="22"/>
      <c r="T27" s="22"/>
      <c r="U27" s="22"/>
      <c r="V27" s="22"/>
      <c r="W27" s="22"/>
      <c r="X27" s="19"/>
      <c r="Y27" s="19"/>
      <c r="Z27" s="19"/>
    </row>
    <row r="28" ht="12.75" customHeight="1">
      <c r="A28" s="43" t="s">
        <v>157</v>
      </c>
      <c r="B28" s="56" t="s">
        <v>158</v>
      </c>
      <c r="C28" s="44" t="s">
        <v>159</v>
      </c>
      <c r="D28" s="22"/>
      <c r="E28" s="22"/>
      <c r="F28" s="22"/>
      <c r="G28" s="22"/>
      <c r="H28" s="22"/>
      <c r="I28" s="22"/>
      <c r="J28" s="22"/>
      <c r="K28" s="22"/>
      <c r="L28" s="22"/>
      <c r="M28" s="22"/>
      <c r="N28" s="22"/>
      <c r="O28" s="22"/>
      <c r="P28" s="22"/>
      <c r="Q28" s="22"/>
      <c r="R28" s="22"/>
      <c r="S28" s="22"/>
      <c r="T28" s="22"/>
      <c r="U28" s="22"/>
      <c r="V28" s="22"/>
      <c r="W28" s="22"/>
      <c r="X28" s="19"/>
      <c r="Y28" s="19"/>
      <c r="Z28" s="19"/>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C2"/>
  </mergeCells>
  <hyperlinks>
    <hyperlink r:id="rId1" ref="C12"/>
    <hyperlink r:id="rId2" ref="C21"/>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c r="A1" s="57" t="s">
        <v>160</v>
      </c>
      <c r="B1" s="57" t="s">
        <v>161</v>
      </c>
      <c r="C1" s="57" t="s">
        <v>162</v>
      </c>
    </row>
    <row r="2" ht="12.75" customHeight="1">
      <c r="A2" s="57" t="s">
        <v>163</v>
      </c>
      <c r="B2" s="58" t="s">
        <v>164</v>
      </c>
      <c r="C2" s="58" t="s">
        <v>165</v>
      </c>
    </row>
    <row r="3" ht="12.75" customHeight="1">
      <c r="A3" s="57" t="s">
        <v>163</v>
      </c>
      <c r="B3" s="58" t="s">
        <v>164</v>
      </c>
      <c r="C3" s="58" t="s">
        <v>166</v>
      </c>
    </row>
    <row r="4" ht="12.75" customHeight="1">
      <c r="A4" s="57" t="s">
        <v>163</v>
      </c>
      <c r="B4" s="58" t="s">
        <v>164</v>
      </c>
      <c r="C4" s="58" t="s">
        <v>167</v>
      </c>
    </row>
    <row r="5" ht="12.75" customHeight="1">
      <c r="A5" s="57" t="s">
        <v>163</v>
      </c>
      <c r="B5" s="58" t="s">
        <v>164</v>
      </c>
      <c r="C5" s="58" t="s">
        <v>168</v>
      </c>
    </row>
    <row r="6" ht="12.75" customHeight="1">
      <c r="A6" s="57" t="s">
        <v>163</v>
      </c>
      <c r="B6" s="58" t="s">
        <v>164</v>
      </c>
      <c r="C6" s="58" t="s">
        <v>169</v>
      </c>
    </row>
    <row r="7" ht="12.75" customHeight="1">
      <c r="A7" s="57" t="s">
        <v>163</v>
      </c>
      <c r="B7" s="58" t="s">
        <v>164</v>
      </c>
      <c r="C7" s="58" t="s">
        <v>170</v>
      </c>
    </row>
    <row r="8" ht="12.75" customHeight="1">
      <c r="A8" s="57" t="s">
        <v>163</v>
      </c>
      <c r="B8" s="58" t="s">
        <v>164</v>
      </c>
      <c r="C8" s="58" t="s">
        <v>171</v>
      </c>
    </row>
    <row r="9" ht="12.75" customHeight="1">
      <c r="A9" s="57" t="s">
        <v>163</v>
      </c>
      <c r="B9" s="58" t="s">
        <v>164</v>
      </c>
      <c r="C9" s="58" t="s">
        <v>172</v>
      </c>
    </row>
    <row r="10" ht="12.75" customHeight="1">
      <c r="A10" s="57" t="s">
        <v>163</v>
      </c>
      <c r="B10" s="58" t="s">
        <v>164</v>
      </c>
      <c r="C10" s="58" t="s">
        <v>173</v>
      </c>
    </row>
    <row r="11" ht="12.75" customHeight="1">
      <c r="A11" s="57" t="s">
        <v>163</v>
      </c>
      <c r="B11" s="58" t="s">
        <v>164</v>
      </c>
      <c r="C11" s="58" t="s">
        <v>174</v>
      </c>
    </row>
    <row r="12" ht="12.75" customHeight="1">
      <c r="A12" s="57" t="s">
        <v>163</v>
      </c>
      <c r="B12" s="58" t="s">
        <v>164</v>
      </c>
      <c r="C12" s="58" t="s">
        <v>175</v>
      </c>
    </row>
    <row r="13" ht="12.75" customHeight="1">
      <c r="A13" s="57" t="s">
        <v>163</v>
      </c>
      <c r="B13" s="58" t="s">
        <v>176</v>
      </c>
      <c r="C13" s="58" t="s">
        <v>177</v>
      </c>
    </row>
    <row r="14" ht="12.75" customHeight="1">
      <c r="A14" s="57" t="s">
        <v>163</v>
      </c>
      <c r="B14" s="58" t="s">
        <v>176</v>
      </c>
      <c r="C14" s="58" t="s">
        <v>165</v>
      </c>
    </row>
    <row r="15" ht="12.75" customHeight="1">
      <c r="A15" s="57" t="s">
        <v>163</v>
      </c>
      <c r="B15" s="58" t="s">
        <v>176</v>
      </c>
      <c r="C15" s="58" t="s">
        <v>178</v>
      </c>
    </row>
    <row r="16" ht="12.75" customHeight="1">
      <c r="A16" s="57" t="s">
        <v>163</v>
      </c>
      <c r="B16" s="58" t="s">
        <v>176</v>
      </c>
      <c r="C16" s="58" t="s">
        <v>167</v>
      </c>
    </row>
    <row r="17" ht="12.75" customHeight="1">
      <c r="A17" s="57" t="s">
        <v>163</v>
      </c>
      <c r="B17" s="58" t="s">
        <v>176</v>
      </c>
      <c r="C17" s="58" t="s">
        <v>169</v>
      </c>
    </row>
    <row r="18" ht="12.75" customHeight="1">
      <c r="A18" s="57" t="s">
        <v>163</v>
      </c>
      <c r="B18" s="58" t="s">
        <v>176</v>
      </c>
      <c r="C18" s="58" t="s">
        <v>170</v>
      </c>
    </row>
    <row r="19" ht="12.75" customHeight="1">
      <c r="A19" s="57" t="s">
        <v>163</v>
      </c>
      <c r="B19" s="58" t="s">
        <v>176</v>
      </c>
      <c r="C19" s="58" t="s">
        <v>171</v>
      </c>
    </row>
    <row r="20" ht="12.75" customHeight="1">
      <c r="A20" s="57" t="s">
        <v>163</v>
      </c>
      <c r="B20" s="58" t="s">
        <v>176</v>
      </c>
      <c r="C20" s="58" t="s">
        <v>179</v>
      </c>
    </row>
    <row r="21" ht="12.75" customHeight="1">
      <c r="A21" s="57" t="s">
        <v>163</v>
      </c>
      <c r="B21" s="58" t="s">
        <v>176</v>
      </c>
      <c r="C21" s="58" t="s">
        <v>180</v>
      </c>
    </row>
    <row r="22" ht="12.75" customHeight="1">
      <c r="A22" s="57" t="s">
        <v>163</v>
      </c>
      <c r="B22" s="58" t="s">
        <v>181</v>
      </c>
      <c r="C22" s="58" t="s">
        <v>182</v>
      </c>
    </row>
    <row r="23" ht="12.75" customHeight="1">
      <c r="A23" s="57" t="s">
        <v>163</v>
      </c>
      <c r="B23" s="58" t="s">
        <v>181</v>
      </c>
      <c r="C23" s="58" t="s">
        <v>183</v>
      </c>
    </row>
    <row r="24" ht="12.75" customHeight="1">
      <c r="A24" s="57" t="s">
        <v>163</v>
      </c>
      <c r="B24" s="58" t="s">
        <v>181</v>
      </c>
      <c r="C24" s="58" t="s">
        <v>184</v>
      </c>
    </row>
    <row r="25" ht="12.75" customHeight="1">
      <c r="A25" s="57" t="s">
        <v>163</v>
      </c>
      <c r="B25" s="58" t="s">
        <v>181</v>
      </c>
      <c r="C25" s="58" t="s">
        <v>185</v>
      </c>
    </row>
    <row r="26" ht="12.75" customHeight="1">
      <c r="A26" s="57" t="s">
        <v>163</v>
      </c>
      <c r="B26" s="58" t="s">
        <v>181</v>
      </c>
      <c r="C26" s="58" t="s">
        <v>186</v>
      </c>
    </row>
    <row r="27" ht="12.75" customHeight="1">
      <c r="A27" s="57" t="s">
        <v>163</v>
      </c>
      <c r="B27" s="58" t="s">
        <v>181</v>
      </c>
      <c r="C27" s="58" t="s">
        <v>187</v>
      </c>
    </row>
    <row r="28" ht="12.75" customHeight="1">
      <c r="A28" s="57" t="s">
        <v>163</v>
      </c>
      <c r="B28" s="58" t="s">
        <v>181</v>
      </c>
      <c r="C28" s="58" t="s">
        <v>188</v>
      </c>
    </row>
    <row r="29" ht="12.75" customHeight="1">
      <c r="A29" s="57" t="s">
        <v>163</v>
      </c>
      <c r="B29" s="58" t="s">
        <v>181</v>
      </c>
      <c r="C29" s="58" t="s">
        <v>189</v>
      </c>
    </row>
    <row r="30" ht="12.75" customHeight="1">
      <c r="A30" s="57" t="s">
        <v>163</v>
      </c>
      <c r="B30" s="58" t="s">
        <v>181</v>
      </c>
      <c r="C30" s="58" t="s">
        <v>190</v>
      </c>
    </row>
    <row r="31" ht="12.75" customHeight="1">
      <c r="A31" s="57" t="s">
        <v>163</v>
      </c>
      <c r="B31" s="58" t="s">
        <v>181</v>
      </c>
      <c r="C31" s="58" t="s">
        <v>191</v>
      </c>
    </row>
    <row r="32" ht="12.75" customHeight="1">
      <c r="A32" s="57" t="s">
        <v>163</v>
      </c>
      <c r="B32" s="58" t="s">
        <v>181</v>
      </c>
      <c r="C32" s="58" t="s">
        <v>192</v>
      </c>
    </row>
    <row r="33" ht="12.75" customHeight="1">
      <c r="A33" s="57" t="s">
        <v>163</v>
      </c>
      <c r="B33" s="58" t="s">
        <v>181</v>
      </c>
      <c r="C33" s="58" t="s">
        <v>193</v>
      </c>
    </row>
    <row r="34" ht="12.75" customHeight="1">
      <c r="A34" s="57" t="s">
        <v>163</v>
      </c>
      <c r="B34" s="58" t="s">
        <v>181</v>
      </c>
      <c r="C34" s="58" t="s">
        <v>194</v>
      </c>
    </row>
    <row r="35" ht="12.75" customHeight="1">
      <c r="A35" s="57" t="s">
        <v>163</v>
      </c>
      <c r="B35" s="58" t="s">
        <v>195</v>
      </c>
      <c r="C35" s="58" t="s">
        <v>196</v>
      </c>
    </row>
    <row r="36" ht="12.75" customHeight="1">
      <c r="A36" s="57" t="s">
        <v>163</v>
      </c>
      <c r="B36" s="58" t="s">
        <v>195</v>
      </c>
      <c r="C36" s="58" t="s">
        <v>197</v>
      </c>
    </row>
    <row r="37" ht="12.75" customHeight="1">
      <c r="A37" s="57" t="s">
        <v>163</v>
      </c>
      <c r="B37" s="58" t="s">
        <v>195</v>
      </c>
      <c r="C37" s="58" t="s">
        <v>198</v>
      </c>
    </row>
    <row r="38" ht="12.75" customHeight="1">
      <c r="A38" s="57" t="s">
        <v>163</v>
      </c>
      <c r="B38" s="58" t="s">
        <v>195</v>
      </c>
      <c r="C38" s="58" t="s">
        <v>199</v>
      </c>
    </row>
    <row r="39" ht="12.75" customHeight="1">
      <c r="A39" s="57" t="s">
        <v>163</v>
      </c>
      <c r="B39" s="58" t="s">
        <v>195</v>
      </c>
      <c r="C39" s="58" t="s">
        <v>200</v>
      </c>
    </row>
    <row r="40" ht="12.75" customHeight="1">
      <c r="A40" s="57" t="s">
        <v>163</v>
      </c>
      <c r="B40" s="58" t="s">
        <v>195</v>
      </c>
      <c r="C40" s="58" t="s">
        <v>201</v>
      </c>
    </row>
    <row r="41" ht="12.75" customHeight="1">
      <c r="A41" s="57" t="s">
        <v>163</v>
      </c>
      <c r="B41" s="58" t="s">
        <v>202</v>
      </c>
      <c r="C41" s="58" t="s">
        <v>203</v>
      </c>
    </row>
    <row r="42" ht="12.75" customHeight="1">
      <c r="A42" s="57" t="s">
        <v>163</v>
      </c>
      <c r="B42" s="58" t="s">
        <v>202</v>
      </c>
      <c r="C42" s="58" t="s">
        <v>204</v>
      </c>
    </row>
    <row r="43" ht="12.75" customHeight="1">
      <c r="A43" s="57" t="s">
        <v>163</v>
      </c>
      <c r="B43" s="58" t="s">
        <v>202</v>
      </c>
      <c r="C43" s="58" t="s">
        <v>205</v>
      </c>
    </row>
    <row r="44" ht="12.75" customHeight="1">
      <c r="A44" s="57" t="s">
        <v>163</v>
      </c>
      <c r="B44" s="58" t="s">
        <v>202</v>
      </c>
      <c r="C44" s="58" t="s">
        <v>206</v>
      </c>
    </row>
    <row r="45" ht="12.75" customHeight="1">
      <c r="A45" s="57" t="s">
        <v>163</v>
      </c>
      <c r="B45" s="58" t="s">
        <v>202</v>
      </c>
      <c r="C45" s="58" t="s">
        <v>207</v>
      </c>
    </row>
    <row r="46" ht="12.75" customHeight="1">
      <c r="A46" s="57" t="s">
        <v>163</v>
      </c>
      <c r="B46" s="58" t="s">
        <v>202</v>
      </c>
      <c r="C46" s="58" t="s">
        <v>208</v>
      </c>
    </row>
    <row r="47" ht="12.75" customHeight="1">
      <c r="A47" s="57" t="s">
        <v>163</v>
      </c>
      <c r="B47" s="58" t="s">
        <v>202</v>
      </c>
      <c r="C47" s="58" t="s">
        <v>209</v>
      </c>
    </row>
    <row r="48" ht="12.75" customHeight="1">
      <c r="A48" s="57" t="s">
        <v>163</v>
      </c>
      <c r="B48" s="58" t="s">
        <v>202</v>
      </c>
      <c r="C48" s="58" t="s">
        <v>210</v>
      </c>
    </row>
    <row r="49" ht="12.75" customHeight="1">
      <c r="A49" s="57" t="s">
        <v>163</v>
      </c>
      <c r="B49" s="58" t="s">
        <v>202</v>
      </c>
      <c r="C49" s="58" t="s">
        <v>211</v>
      </c>
    </row>
    <row r="50" ht="12.75" customHeight="1">
      <c r="A50" s="57" t="s">
        <v>163</v>
      </c>
      <c r="B50" s="58" t="s">
        <v>202</v>
      </c>
      <c r="C50" s="58" t="s">
        <v>212</v>
      </c>
    </row>
    <row r="51" ht="12.75" customHeight="1">
      <c r="A51" s="57" t="s">
        <v>163</v>
      </c>
      <c r="B51" s="58" t="s">
        <v>202</v>
      </c>
      <c r="C51" s="58" t="s">
        <v>213</v>
      </c>
    </row>
    <row r="52" ht="12.75" customHeight="1">
      <c r="A52" s="57" t="s">
        <v>163</v>
      </c>
      <c r="B52" s="58" t="s">
        <v>202</v>
      </c>
      <c r="C52" s="58" t="s">
        <v>214</v>
      </c>
    </row>
    <row r="53" ht="12.75" customHeight="1">
      <c r="A53" s="57" t="s">
        <v>163</v>
      </c>
      <c r="B53" s="58" t="s">
        <v>215</v>
      </c>
      <c r="C53" s="58" t="s">
        <v>216</v>
      </c>
    </row>
    <row r="54" ht="12.75" customHeight="1">
      <c r="A54" s="57" t="s">
        <v>163</v>
      </c>
      <c r="B54" s="58" t="s">
        <v>215</v>
      </c>
      <c r="C54" s="58" t="s">
        <v>217</v>
      </c>
    </row>
    <row r="55" ht="12.75" customHeight="1">
      <c r="A55" s="57" t="s">
        <v>163</v>
      </c>
      <c r="B55" s="58" t="s">
        <v>215</v>
      </c>
      <c r="C55" s="58" t="s">
        <v>218</v>
      </c>
    </row>
    <row r="56" ht="12.75" customHeight="1">
      <c r="A56" s="57" t="s">
        <v>163</v>
      </c>
      <c r="B56" s="58" t="s">
        <v>215</v>
      </c>
      <c r="C56" s="58" t="s">
        <v>219</v>
      </c>
    </row>
    <row r="57" ht="12.75" customHeight="1">
      <c r="A57" s="57" t="s">
        <v>163</v>
      </c>
      <c r="B57" s="58" t="s">
        <v>215</v>
      </c>
      <c r="C57" s="58" t="s">
        <v>220</v>
      </c>
    </row>
    <row r="58" ht="12.75" customHeight="1">
      <c r="A58" s="57" t="s">
        <v>163</v>
      </c>
      <c r="B58" s="58" t="s">
        <v>215</v>
      </c>
      <c r="C58" s="58" t="s">
        <v>221</v>
      </c>
    </row>
    <row r="59" ht="12.75" customHeight="1">
      <c r="A59" s="57" t="s">
        <v>163</v>
      </c>
      <c r="B59" s="58" t="s">
        <v>215</v>
      </c>
      <c r="C59" s="58" t="s">
        <v>222</v>
      </c>
    </row>
    <row r="60" ht="12.75" customHeight="1">
      <c r="A60" s="57" t="s">
        <v>163</v>
      </c>
      <c r="B60" s="58" t="s">
        <v>215</v>
      </c>
      <c r="C60" s="58" t="s">
        <v>223</v>
      </c>
    </row>
    <row r="61" ht="12.75" customHeight="1">
      <c r="A61" s="57" t="s">
        <v>163</v>
      </c>
      <c r="B61" s="58" t="s">
        <v>215</v>
      </c>
      <c r="C61" s="58" t="s">
        <v>224</v>
      </c>
    </row>
    <row r="62" ht="12.75" customHeight="1">
      <c r="A62" s="57" t="s">
        <v>163</v>
      </c>
      <c r="B62" s="58" t="s">
        <v>225</v>
      </c>
      <c r="C62" s="58" t="s">
        <v>216</v>
      </c>
    </row>
    <row r="63" ht="12.75" customHeight="1">
      <c r="A63" s="57" t="s">
        <v>163</v>
      </c>
      <c r="B63" s="58" t="s">
        <v>225</v>
      </c>
      <c r="C63" s="58" t="s">
        <v>226</v>
      </c>
    </row>
    <row r="64" ht="12.75" customHeight="1">
      <c r="A64" s="57" t="s">
        <v>163</v>
      </c>
      <c r="B64" s="58" t="s">
        <v>225</v>
      </c>
      <c r="C64" s="58" t="s">
        <v>227</v>
      </c>
    </row>
    <row r="65" ht="12.75" customHeight="1">
      <c r="A65" s="57" t="s">
        <v>163</v>
      </c>
      <c r="B65" s="58" t="s">
        <v>225</v>
      </c>
      <c r="C65" s="58" t="s">
        <v>228</v>
      </c>
    </row>
    <row r="66" ht="12.75" customHeight="1">
      <c r="A66" s="57" t="s">
        <v>163</v>
      </c>
      <c r="B66" s="58" t="s">
        <v>225</v>
      </c>
      <c r="C66" s="58" t="s">
        <v>229</v>
      </c>
    </row>
    <row r="67" ht="12.75" customHeight="1">
      <c r="A67" s="57" t="s">
        <v>163</v>
      </c>
      <c r="B67" s="58" t="s">
        <v>225</v>
      </c>
      <c r="C67" s="58" t="s">
        <v>230</v>
      </c>
    </row>
    <row r="68" ht="12.75" customHeight="1">
      <c r="A68" s="57" t="s">
        <v>163</v>
      </c>
      <c r="B68" s="58" t="s">
        <v>225</v>
      </c>
      <c r="C68" s="58" t="s">
        <v>223</v>
      </c>
    </row>
    <row r="69" ht="12.75" customHeight="1">
      <c r="A69" s="57" t="s">
        <v>163</v>
      </c>
      <c r="B69" s="58" t="s">
        <v>225</v>
      </c>
      <c r="C69" s="58" t="s">
        <v>224</v>
      </c>
    </row>
    <row r="70" ht="12.75" customHeight="1">
      <c r="A70" s="57" t="s">
        <v>163</v>
      </c>
      <c r="B70" s="58" t="s">
        <v>225</v>
      </c>
      <c r="C70" s="58" t="s">
        <v>231</v>
      </c>
    </row>
    <row r="71" ht="12.75" customHeight="1">
      <c r="A71" s="57" t="s">
        <v>163</v>
      </c>
      <c r="B71" s="58" t="s">
        <v>225</v>
      </c>
      <c r="C71" s="58" t="s">
        <v>232</v>
      </c>
    </row>
    <row r="72" ht="12.75" customHeight="1">
      <c r="A72" s="57" t="s">
        <v>163</v>
      </c>
      <c r="B72" s="58" t="s">
        <v>225</v>
      </c>
      <c r="C72" s="58" t="s">
        <v>233</v>
      </c>
    </row>
    <row r="73" ht="12.75" customHeight="1">
      <c r="A73" s="57" t="s">
        <v>163</v>
      </c>
      <c r="B73" s="58" t="s">
        <v>234</v>
      </c>
      <c r="C73" s="58" t="s">
        <v>235</v>
      </c>
    </row>
    <row r="74" ht="12.75" customHeight="1">
      <c r="A74" s="57" t="s">
        <v>163</v>
      </c>
      <c r="B74" s="58" t="s">
        <v>234</v>
      </c>
      <c r="C74" s="58" t="s">
        <v>236</v>
      </c>
    </row>
    <row r="75" ht="12.75" customHeight="1">
      <c r="A75" s="57" t="s">
        <v>163</v>
      </c>
      <c r="B75" s="58" t="s">
        <v>234</v>
      </c>
      <c r="C75" s="58" t="s">
        <v>237</v>
      </c>
    </row>
    <row r="76" ht="12.75" customHeight="1">
      <c r="A76" s="57" t="s">
        <v>163</v>
      </c>
      <c r="B76" s="58" t="s">
        <v>234</v>
      </c>
      <c r="C76" s="58" t="s">
        <v>238</v>
      </c>
    </row>
    <row r="77" ht="12.75" customHeight="1">
      <c r="A77" s="57" t="s">
        <v>163</v>
      </c>
      <c r="B77" s="58" t="s">
        <v>234</v>
      </c>
      <c r="C77" s="58" t="s">
        <v>239</v>
      </c>
    </row>
    <row r="78" ht="12.75" customHeight="1">
      <c r="A78" s="57" t="s">
        <v>163</v>
      </c>
      <c r="B78" s="58" t="s">
        <v>234</v>
      </c>
      <c r="C78" s="58" t="s">
        <v>240</v>
      </c>
    </row>
    <row r="79" ht="12.75" customHeight="1">
      <c r="A79" s="57" t="s">
        <v>163</v>
      </c>
      <c r="B79" s="58" t="s">
        <v>234</v>
      </c>
      <c r="C79" s="58" t="s">
        <v>241</v>
      </c>
    </row>
    <row r="80" ht="12.75" customHeight="1">
      <c r="A80" s="57" t="s">
        <v>163</v>
      </c>
      <c r="B80" s="58" t="s">
        <v>242</v>
      </c>
      <c r="C80" s="58" t="s">
        <v>243</v>
      </c>
    </row>
    <row r="81" ht="12.75" customHeight="1">
      <c r="A81" s="57" t="s">
        <v>163</v>
      </c>
      <c r="B81" s="58" t="s">
        <v>242</v>
      </c>
      <c r="C81" s="58" t="s">
        <v>244</v>
      </c>
    </row>
    <row r="82" ht="12.75" customHeight="1">
      <c r="A82" s="57" t="s">
        <v>163</v>
      </c>
      <c r="B82" s="58" t="s">
        <v>242</v>
      </c>
      <c r="C82" s="58" t="s">
        <v>245</v>
      </c>
    </row>
    <row r="83" ht="12.75" customHeight="1">
      <c r="A83" s="57" t="s">
        <v>163</v>
      </c>
      <c r="B83" s="58" t="s">
        <v>242</v>
      </c>
      <c r="C83" s="58" t="s">
        <v>246</v>
      </c>
    </row>
    <row r="84" ht="12.75" customHeight="1">
      <c r="A84" s="57" t="s">
        <v>163</v>
      </c>
      <c r="B84" s="58" t="s">
        <v>242</v>
      </c>
      <c r="C84" s="58" t="s">
        <v>247</v>
      </c>
    </row>
    <row r="85" ht="12.75" customHeight="1">
      <c r="A85" s="57" t="s">
        <v>163</v>
      </c>
      <c r="B85" s="58" t="s">
        <v>242</v>
      </c>
      <c r="C85" s="58" t="s">
        <v>248</v>
      </c>
    </row>
    <row r="86" ht="12.75" customHeight="1">
      <c r="A86" s="57" t="s">
        <v>163</v>
      </c>
      <c r="B86" s="58" t="s">
        <v>242</v>
      </c>
      <c r="C86" s="58" t="s">
        <v>249</v>
      </c>
    </row>
    <row r="87" ht="12.75" customHeight="1">
      <c r="A87" s="57" t="s">
        <v>163</v>
      </c>
      <c r="B87" s="58" t="s">
        <v>242</v>
      </c>
      <c r="C87" s="58" t="s">
        <v>250</v>
      </c>
    </row>
    <row r="88" ht="12.75" customHeight="1">
      <c r="A88" s="57" t="s">
        <v>163</v>
      </c>
      <c r="B88" s="58" t="s">
        <v>251</v>
      </c>
      <c r="C88" s="58" t="s">
        <v>252</v>
      </c>
    </row>
    <row r="89" ht="12.75" customHeight="1">
      <c r="A89" s="57" t="s">
        <v>163</v>
      </c>
      <c r="B89" s="58" t="s">
        <v>251</v>
      </c>
      <c r="C89" s="58" t="s">
        <v>253</v>
      </c>
    </row>
    <row r="90" ht="12.75" customHeight="1">
      <c r="A90" s="57" t="s">
        <v>163</v>
      </c>
      <c r="B90" s="58" t="s">
        <v>251</v>
      </c>
      <c r="C90" s="58" t="s">
        <v>254</v>
      </c>
    </row>
    <row r="91" ht="12.75" customHeight="1">
      <c r="A91" s="57" t="s">
        <v>163</v>
      </c>
      <c r="B91" s="58" t="s">
        <v>251</v>
      </c>
      <c r="C91" s="58" t="s">
        <v>255</v>
      </c>
    </row>
    <row r="92" ht="12.75" customHeight="1">
      <c r="A92" s="57" t="s">
        <v>163</v>
      </c>
      <c r="B92" s="58" t="s">
        <v>256</v>
      </c>
      <c r="C92" s="58" t="s">
        <v>257</v>
      </c>
    </row>
    <row r="93" ht="12.75" customHeight="1">
      <c r="A93" s="57" t="s">
        <v>163</v>
      </c>
      <c r="B93" s="58" t="s">
        <v>256</v>
      </c>
      <c r="C93" s="58" t="s">
        <v>258</v>
      </c>
    </row>
    <row r="94" ht="12.75" customHeight="1">
      <c r="A94" s="57" t="s">
        <v>163</v>
      </c>
      <c r="B94" s="58" t="s">
        <v>256</v>
      </c>
      <c r="C94" s="58" t="s">
        <v>259</v>
      </c>
    </row>
    <row r="95" ht="12.75" customHeight="1">
      <c r="A95" s="57" t="s">
        <v>163</v>
      </c>
      <c r="B95" s="58" t="s">
        <v>256</v>
      </c>
      <c r="C95" s="58" t="s">
        <v>260</v>
      </c>
    </row>
    <row r="96" ht="12.75" customHeight="1">
      <c r="A96" s="57" t="s">
        <v>163</v>
      </c>
      <c r="B96" s="58" t="s">
        <v>256</v>
      </c>
      <c r="C96" s="58" t="s">
        <v>261</v>
      </c>
    </row>
    <row r="97" ht="12.75" customHeight="1">
      <c r="A97" s="57" t="s">
        <v>163</v>
      </c>
      <c r="B97" s="58" t="s">
        <v>256</v>
      </c>
      <c r="C97" s="58" t="s">
        <v>262</v>
      </c>
    </row>
    <row r="98" ht="12.75" customHeight="1">
      <c r="A98" s="57" t="s">
        <v>163</v>
      </c>
      <c r="B98" s="58" t="s">
        <v>256</v>
      </c>
      <c r="C98" s="58" t="s">
        <v>263</v>
      </c>
    </row>
    <row r="99" ht="12.75" customHeight="1">
      <c r="A99" s="57" t="s">
        <v>163</v>
      </c>
      <c r="B99" s="58" t="s">
        <v>256</v>
      </c>
      <c r="C99" s="58" t="s">
        <v>264</v>
      </c>
    </row>
    <row r="100" ht="12.75" customHeight="1">
      <c r="A100" s="57" t="s">
        <v>163</v>
      </c>
      <c r="B100" s="58" t="s">
        <v>256</v>
      </c>
      <c r="C100" s="58" t="s">
        <v>265</v>
      </c>
    </row>
    <row r="101" ht="12.75" customHeight="1">
      <c r="A101" s="57" t="s">
        <v>163</v>
      </c>
      <c r="B101" s="58" t="s">
        <v>256</v>
      </c>
      <c r="C101" s="58" t="s">
        <v>266</v>
      </c>
    </row>
    <row r="102" ht="12.75" customHeight="1">
      <c r="A102" s="57" t="s">
        <v>163</v>
      </c>
      <c r="B102" s="58" t="s">
        <v>256</v>
      </c>
      <c r="C102" s="58" t="s">
        <v>267</v>
      </c>
    </row>
    <row r="103" ht="12.75" customHeight="1">
      <c r="A103" s="57" t="s">
        <v>163</v>
      </c>
      <c r="B103" s="58" t="s">
        <v>256</v>
      </c>
      <c r="C103" s="58" t="s">
        <v>268</v>
      </c>
    </row>
    <row r="104" ht="12.75" customHeight="1">
      <c r="A104" s="57" t="s">
        <v>163</v>
      </c>
      <c r="B104" s="58" t="s">
        <v>256</v>
      </c>
      <c r="C104" s="58" t="s">
        <v>269</v>
      </c>
    </row>
    <row r="105" ht="12.75" customHeight="1">
      <c r="A105" s="57" t="s">
        <v>163</v>
      </c>
      <c r="B105" s="58" t="s">
        <v>270</v>
      </c>
      <c r="C105" s="58" t="s">
        <v>271</v>
      </c>
    </row>
    <row r="106" ht="12.75" customHeight="1">
      <c r="A106" s="57" t="s">
        <v>163</v>
      </c>
      <c r="B106" s="58" t="s">
        <v>270</v>
      </c>
      <c r="C106" s="58" t="s">
        <v>272</v>
      </c>
    </row>
    <row r="107" ht="12.75" customHeight="1">
      <c r="A107" s="57" t="s">
        <v>163</v>
      </c>
      <c r="B107" s="58" t="s">
        <v>270</v>
      </c>
      <c r="C107" s="58" t="s">
        <v>273</v>
      </c>
    </row>
    <row r="108" ht="12.75" customHeight="1">
      <c r="A108" s="57" t="s">
        <v>163</v>
      </c>
      <c r="B108" s="58" t="s">
        <v>270</v>
      </c>
      <c r="C108" s="58" t="s">
        <v>274</v>
      </c>
    </row>
    <row r="109" ht="12.75" customHeight="1">
      <c r="A109" s="57" t="s">
        <v>163</v>
      </c>
      <c r="B109" s="58" t="s">
        <v>270</v>
      </c>
      <c r="C109" s="58" t="s">
        <v>275</v>
      </c>
    </row>
    <row r="110" ht="12.75" customHeight="1">
      <c r="A110" s="57" t="s">
        <v>163</v>
      </c>
      <c r="B110" s="58" t="s">
        <v>270</v>
      </c>
      <c r="C110" s="58" t="s">
        <v>276</v>
      </c>
    </row>
    <row r="111" ht="12.75" customHeight="1">
      <c r="A111" s="57" t="s">
        <v>163</v>
      </c>
      <c r="B111" s="58" t="s">
        <v>270</v>
      </c>
      <c r="C111" s="58" t="s">
        <v>277</v>
      </c>
    </row>
    <row r="112" ht="12.75" customHeight="1">
      <c r="A112" s="57" t="s">
        <v>163</v>
      </c>
      <c r="B112" s="58" t="s">
        <v>270</v>
      </c>
      <c r="C112" s="58" t="s">
        <v>278</v>
      </c>
    </row>
    <row r="113" ht="12.75" customHeight="1">
      <c r="A113" s="57" t="s">
        <v>163</v>
      </c>
      <c r="B113" s="58" t="s">
        <v>270</v>
      </c>
      <c r="C113" s="58" t="s">
        <v>279</v>
      </c>
    </row>
    <row r="114" ht="12.75" customHeight="1">
      <c r="A114" s="57" t="s">
        <v>163</v>
      </c>
      <c r="B114" s="58" t="s">
        <v>270</v>
      </c>
      <c r="C114" s="58" t="s">
        <v>280</v>
      </c>
    </row>
    <row r="115" ht="12.75" customHeight="1">
      <c r="A115" s="57" t="s">
        <v>163</v>
      </c>
      <c r="B115" s="58" t="s">
        <v>270</v>
      </c>
      <c r="C115" s="58" t="s">
        <v>281</v>
      </c>
    </row>
    <row r="116" ht="12.75" customHeight="1">
      <c r="A116" s="57" t="s">
        <v>163</v>
      </c>
      <c r="B116" s="58" t="s">
        <v>270</v>
      </c>
      <c r="C116" s="58" t="s">
        <v>282</v>
      </c>
    </row>
    <row r="117" ht="12.75" customHeight="1">
      <c r="A117" s="57" t="s">
        <v>163</v>
      </c>
      <c r="B117" s="58" t="s">
        <v>270</v>
      </c>
      <c r="C117" s="58" t="s">
        <v>283</v>
      </c>
    </row>
    <row r="118" ht="12.75" customHeight="1">
      <c r="A118" s="57" t="s">
        <v>163</v>
      </c>
      <c r="B118" s="58" t="s">
        <v>270</v>
      </c>
      <c r="C118" s="58" t="s">
        <v>284</v>
      </c>
    </row>
    <row r="119" ht="12.75" customHeight="1">
      <c r="A119" s="57" t="s">
        <v>163</v>
      </c>
      <c r="B119" s="58" t="s">
        <v>270</v>
      </c>
      <c r="C119" s="58" t="s">
        <v>285</v>
      </c>
    </row>
    <row r="120" ht="12.75" customHeight="1">
      <c r="A120" s="57" t="s">
        <v>163</v>
      </c>
      <c r="B120" s="58" t="s">
        <v>270</v>
      </c>
      <c r="C120" s="58" t="s">
        <v>286</v>
      </c>
    </row>
    <row r="121" ht="12.75" customHeight="1">
      <c r="A121" s="57" t="s">
        <v>163</v>
      </c>
      <c r="B121" s="58" t="s">
        <v>270</v>
      </c>
      <c r="C121" s="58" t="s">
        <v>287</v>
      </c>
    </row>
    <row r="122" ht="12.75" customHeight="1">
      <c r="A122" s="57" t="s">
        <v>163</v>
      </c>
      <c r="B122" s="58" t="s">
        <v>288</v>
      </c>
      <c r="C122" s="58" t="s">
        <v>289</v>
      </c>
    </row>
    <row r="123" ht="12.75" customHeight="1">
      <c r="A123" s="57" t="s">
        <v>163</v>
      </c>
      <c r="B123" s="58" t="s">
        <v>288</v>
      </c>
      <c r="C123" s="58" t="s">
        <v>290</v>
      </c>
    </row>
    <row r="124" ht="12.75" customHeight="1">
      <c r="A124" s="57" t="s">
        <v>163</v>
      </c>
      <c r="B124" s="58" t="s">
        <v>288</v>
      </c>
      <c r="C124" s="58" t="s">
        <v>291</v>
      </c>
    </row>
    <row r="125" ht="12.75" customHeight="1">
      <c r="A125" s="57" t="s">
        <v>163</v>
      </c>
      <c r="B125" s="58" t="s">
        <v>288</v>
      </c>
      <c r="C125" s="58" t="s">
        <v>292</v>
      </c>
    </row>
    <row r="126" ht="12.75" customHeight="1">
      <c r="A126" s="57" t="s">
        <v>163</v>
      </c>
      <c r="B126" s="58" t="s">
        <v>288</v>
      </c>
      <c r="C126" s="58" t="s">
        <v>293</v>
      </c>
    </row>
    <row r="127" ht="12.75" customHeight="1">
      <c r="A127" s="57" t="s">
        <v>163</v>
      </c>
      <c r="B127" s="58" t="s">
        <v>294</v>
      </c>
      <c r="C127" s="58" t="s">
        <v>295</v>
      </c>
    </row>
    <row r="128" ht="12.75" customHeight="1">
      <c r="A128" s="57" t="s">
        <v>163</v>
      </c>
      <c r="B128" s="58" t="s">
        <v>294</v>
      </c>
      <c r="C128" s="58" t="s">
        <v>296</v>
      </c>
    </row>
    <row r="129" ht="12.75" customHeight="1">
      <c r="A129" s="57" t="s">
        <v>163</v>
      </c>
      <c r="B129" s="58" t="s">
        <v>294</v>
      </c>
      <c r="C129" s="58" t="s">
        <v>297</v>
      </c>
    </row>
    <row r="130" ht="12.75" customHeight="1">
      <c r="A130" s="57" t="s">
        <v>163</v>
      </c>
      <c r="B130" s="58" t="s">
        <v>294</v>
      </c>
      <c r="C130" s="58" t="s">
        <v>298</v>
      </c>
    </row>
    <row r="131" ht="12.75" customHeight="1">
      <c r="A131" s="57" t="s">
        <v>163</v>
      </c>
      <c r="B131" s="58" t="s">
        <v>294</v>
      </c>
      <c r="C131" s="58" t="s">
        <v>299</v>
      </c>
    </row>
    <row r="132" ht="12.75" customHeight="1">
      <c r="A132" s="57" t="s">
        <v>163</v>
      </c>
      <c r="B132" s="58" t="s">
        <v>294</v>
      </c>
      <c r="C132" s="58" t="s">
        <v>300</v>
      </c>
    </row>
    <row r="133" ht="12.75" customHeight="1">
      <c r="A133" s="57" t="s">
        <v>163</v>
      </c>
      <c r="B133" s="58" t="s">
        <v>294</v>
      </c>
      <c r="C133" s="58" t="s">
        <v>301</v>
      </c>
    </row>
    <row r="134" ht="12.75" customHeight="1">
      <c r="A134" s="57" t="s">
        <v>163</v>
      </c>
      <c r="B134" s="58" t="s">
        <v>294</v>
      </c>
      <c r="C134" s="58" t="s">
        <v>302</v>
      </c>
    </row>
    <row r="135" ht="12.75" customHeight="1">
      <c r="A135" s="57" t="s">
        <v>163</v>
      </c>
      <c r="B135" s="58" t="s">
        <v>294</v>
      </c>
      <c r="C135" s="58" t="s">
        <v>303</v>
      </c>
    </row>
    <row r="136" ht="12.75" customHeight="1">
      <c r="A136" s="57" t="s">
        <v>163</v>
      </c>
      <c r="B136" s="58" t="s">
        <v>294</v>
      </c>
      <c r="C136" s="58" t="s">
        <v>304</v>
      </c>
    </row>
    <row r="137" ht="12.75" customHeight="1">
      <c r="A137" s="57" t="s">
        <v>163</v>
      </c>
      <c r="B137" s="58" t="s">
        <v>294</v>
      </c>
      <c r="C137" s="58" t="s">
        <v>305</v>
      </c>
    </row>
    <row r="138" ht="12.75" customHeight="1">
      <c r="A138" s="57" t="s">
        <v>163</v>
      </c>
      <c r="B138" s="58" t="s">
        <v>294</v>
      </c>
      <c r="C138" s="58" t="s">
        <v>306</v>
      </c>
    </row>
    <row r="139" ht="12.75" customHeight="1">
      <c r="A139" s="57" t="s">
        <v>163</v>
      </c>
      <c r="B139" s="58" t="s">
        <v>294</v>
      </c>
      <c r="C139" s="58" t="s">
        <v>307</v>
      </c>
    </row>
    <row r="140" ht="12.75" customHeight="1">
      <c r="A140" s="57" t="s">
        <v>163</v>
      </c>
      <c r="B140" s="58" t="s">
        <v>294</v>
      </c>
      <c r="C140" s="58" t="s">
        <v>308</v>
      </c>
    </row>
    <row r="141" ht="12.75" customHeight="1">
      <c r="A141" s="57" t="s">
        <v>163</v>
      </c>
      <c r="B141" s="58" t="s">
        <v>294</v>
      </c>
      <c r="C141" s="58" t="s">
        <v>309</v>
      </c>
    </row>
    <row r="142" ht="12.75" customHeight="1">
      <c r="A142" s="57" t="s">
        <v>163</v>
      </c>
      <c r="B142" s="58" t="s">
        <v>310</v>
      </c>
      <c r="C142" s="58" t="s">
        <v>311</v>
      </c>
    </row>
    <row r="143" ht="12.75" customHeight="1">
      <c r="A143" s="57" t="s">
        <v>163</v>
      </c>
      <c r="B143" s="58" t="s">
        <v>310</v>
      </c>
      <c r="C143" s="58" t="s">
        <v>312</v>
      </c>
    </row>
    <row r="144" ht="12.75" customHeight="1">
      <c r="A144" s="57" t="s">
        <v>163</v>
      </c>
      <c r="B144" s="58" t="s">
        <v>310</v>
      </c>
      <c r="C144" s="58" t="s">
        <v>313</v>
      </c>
    </row>
    <row r="145" ht="12.75" customHeight="1">
      <c r="A145" s="57" t="s">
        <v>163</v>
      </c>
      <c r="B145" s="58" t="s">
        <v>310</v>
      </c>
      <c r="C145" s="58" t="s">
        <v>314</v>
      </c>
    </row>
    <row r="146" ht="12.75" customHeight="1">
      <c r="A146" s="57" t="s">
        <v>163</v>
      </c>
      <c r="B146" s="58" t="s">
        <v>310</v>
      </c>
      <c r="C146" s="58" t="s">
        <v>315</v>
      </c>
    </row>
    <row r="147" ht="12.75" customHeight="1">
      <c r="A147" s="57" t="s">
        <v>163</v>
      </c>
      <c r="B147" s="58" t="s">
        <v>310</v>
      </c>
      <c r="C147" s="58" t="s">
        <v>316</v>
      </c>
    </row>
    <row r="148" ht="12.75" customHeight="1">
      <c r="A148" s="57" t="s">
        <v>163</v>
      </c>
      <c r="B148" s="58" t="s">
        <v>310</v>
      </c>
      <c r="C148" s="58" t="s">
        <v>317</v>
      </c>
    </row>
    <row r="149" ht="12.75" customHeight="1">
      <c r="A149" s="57" t="s">
        <v>163</v>
      </c>
      <c r="B149" s="58" t="s">
        <v>310</v>
      </c>
      <c r="C149" s="58" t="s">
        <v>318</v>
      </c>
    </row>
    <row r="150" ht="12.75" customHeight="1">
      <c r="A150" s="57" t="s">
        <v>163</v>
      </c>
      <c r="B150" s="58" t="s">
        <v>310</v>
      </c>
      <c r="C150" s="58" t="s">
        <v>319</v>
      </c>
    </row>
    <row r="151" ht="12.75" customHeight="1">
      <c r="A151" s="57" t="s">
        <v>163</v>
      </c>
      <c r="B151" s="58" t="s">
        <v>310</v>
      </c>
      <c r="C151" s="58" t="s">
        <v>320</v>
      </c>
    </row>
    <row r="152" ht="12.75" customHeight="1">
      <c r="A152" s="57" t="s">
        <v>163</v>
      </c>
      <c r="B152" s="58" t="s">
        <v>310</v>
      </c>
      <c r="C152" s="58" t="s">
        <v>321</v>
      </c>
    </row>
    <row r="153" ht="12.75" customHeight="1">
      <c r="A153" s="57" t="s">
        <v>163</v>
      </c>
      <c r="B153" s="58" t="s">
        <v>310</v>
      </c>
      <c r="C153" s="58" t="s">
        <v>322</v>
      </c>
    </row>
    <row r="154" ht="12.75" customHeight="1">
      <c r="A154" s="57" t="s">
        <v>163</v>
      </c>
      <c r="B154" s="58" t="s">
        <v>310</v>
      </c>
      <c r="C154" s="58" t="s">
        <v>323</v>
      </c>
    </row>
    <row r="155" ht="12.75" customHeight="1">
      <c r="A155" s="57" t="s">
        <v>163</v>
      </c>
      <c r="B155" s="58" t="s">
        <v>310</v>
      </c>
      <c r="C155" s="58" t="s">
        <v>324</v>
      </c>
    </row>
    <row r="156" ht="12.75" customHeight="1">
      <c r="A156" s="57" t="s">
        <v>163</v>
      </c>
      <c r="B156" s="58" t="s">
        <v>310</v>
      </c>
      <c r="C156" s="58" t="s">
        <v>325</v>
      </c>
    </row>
    <row r="157" ht="12.75" customHeight="1">
      <c r="A157" s="57" t="s">
        <v>163</v>
      </c>
      <c r="B157" s="58" t="s">
        <v>310</v>
      </c>
      <c r="C157" s="58" t="s">
        <v>326</v>
      </c>
    </row>
    <row r="158" ht="12.75" customHeight="1">
      <c r="A158" s="57" t="s">
        <v>163</v>
      </c>
      <c r="B158" s="58" t="s">
        <v>310</v>
      </c>
      <c r="C158" s="58" t="s">
        <v>327</v>
      </c>
    </row>
    <row r="159" ht="12.75" customHeight="1">
      <c r="A159" s="57" t="s">
        <v>163</v>
      </c>
      <c r="B159" s="58" t="s">
        <v>310</v>
      </c>
      <c r="C159" s="58" t="s">
        <v>328</v>
      </c>
    </row>
    <row r="160" ht="12.75" customHeight="1">
      <c r="A160" s="57" t="s">
        <v>163</v>
      </c>
      <c r="B160" s="58" t="s">
        <v>310</v>
      </c>
      <c r="C160" s="58" t="s">
        <v>329</v>
      </c>
    </row>
    <row r="161" ht="12.75" customHeight="1">
      <c r="A161" s="57" t="s">
        <v>163</v>
      </c>
      <c r="B161" s="58" t="s">
        <v>330</v>
      </c>
      <c r="C161" s="58" t="s">
        <v>331</v>
      </c>
    </row>
    <row r="162" ht="12.75" customHeight="1">
      <c r="A162" s="57" t="s">
        <v>163</v>
      </c>
      <c r="B162" s="58" t="s">
        <v>330</v>
      </c>
      <c r="C162" s="58" t="s">
        <v>332</v>
      </c>
    </row>
    <row r="163" ht="12.75" customHeight="1">
      <c r="A163" s="57" t="s">
        <v>163</v>
      </c>
      <c r="B163" s="58" t="s">
        <v>330</v>
      </c>
      <c r="C163" s="58" t="s">
        <v>333</v>
      </c>
    </row>
    <row r="164" ht="12.75" customHeight="1">
      <c r="A164" s="57" t="s">
        <v>163</v>
      </c>
      <c r="B164" s="58" t="s">
        <v>330</v>
      </c>
      <c r="C164" s="58" t="s">
        <v>334</v>
      </c>
    </row>
    <row r="165" ht="12.75" customHeight="1">
      <c r="A165" s="57" t="s">
        <v>163</v>
      </c>
      <c r="B165" s="58" t="s">
        <v>330</v>
      </c>
      <c r="C165" s="58" t="s">
        <v>335</v>
      </c>
    </row>
    <row r="166" ht="12.75" customHeight="1">
      <c r="A166" s="57" t="s">
        <v>163</v>
      </c>
      <c r="B166" s="58" t="s">
        <v>330</v>
      </c>
      <c r="C166" s="58" t="s">
        <v>336</v>
      </c>
    </row>
    <row r="167" ht="12.75" customHeight="1">
      <c r="A167" s="57" t="s">
        <v>163</v>
      </c>
      <c r="B167" s="58" t="s">
        <v>330</v>
      </c>
      <c r="C167" s="58" t="s">
        <v>337</v>
      </c>
    </row>
    <row r="168" ht="12.75" customHeight="1">
      <c r="A168" s="57" t="s">
        <v>163</v>
      </c>
      <c r="B168" s="58" t="s">
        <v>330</v>
      </c>
      <c r="C168" s="58" t="s">
        <v>338</v>
      </c>
    </row>
    <row r="169" ht="12.75" customHeight="1">
      <c r="A169" s="57" t="s">
        <v>163</v>
      </c>
      <c r="B169" s="58" t="s">
        <v>330</v>
      </c>
      <c r="C169" s="58" t="s">
        <v>339</v>
      </c>
    </row>
    <row r="170" ht="12.75" customHeight="1">
      <c r="A170" s="57" t="s">
        <v>163</v>
      </c>
      <c r="B170" s="58" t="s">
        <v>330</v>
      </c>
      <c r="C170" s="58" t="s">
        <v>340</v>
      </c>
    </row>
    <row r="171" ht="12.75" customHeight="1">
      <c r="A171" s="57" t="s">
        <v>163</v>
      </c>
      <c r="B171" s="58" t="s">
        <v>330</v>
      </c>
      <c r="C171" s="58" t="s">
        <v>341</v>
      </c>
    </row>
    <row r="172" ht="12.75" customHeight="1">
      <c r="A172" s="57" t="s">
        <v>163</v>
      </c>
      <c r="B172" s="58" t="s">
        <v>342</v>
      </c>
      <c r="C172" s="58" t="s">
        <v>343</v>
      </c>
    </row>
    <row r="173" ht="12.75" customHeight="1">
      <c r="A173" s="57" t="s">
        <v>163</v>
      </c>
      <c r="B173" s="58" t="s">
        <v>342</v>
      </c>
      <c r="C173" s="58" t="s">
        <v>344</v>
      </c>
    </row>
    <row r="174" ht="12.75" customHeight="1">
      <c r="A174" s="57" t="s">
        <v>163</v>
      </c>
      <c r="B174" s="58" t="s">
        <v>342</v>
      </c>
      <c r="C174" s="58" t="s">
        <v>345</v>
      </c>
    </row>
    <row r="175" ht="12.75" customHeight="1">
      <c r="A175" s="57" t="s">
        <v>163</v>
      </c>
      <c r="B175" s="58" t="s">
        <v>342</v>
      </c>
      <c r="C175" s="58" t="s">
        <v>346</v>
      </c>
    </row>
    <row r="176" ht="12.75" customHeight="1">
      <c r="A176" s="57" t="s">
        <v>163</v>
      </c>
      <c r="B176" s="58" t="s">
        <v>342</v>
      </c>
      <c r="C176" s="58" t="s">
        <v>347</v>
      </c>
    </row>
    <row r="177" ht="12.75" customHeight="1">
      <c r="A177" s="57" t="s">
        <v>163</v>
      </c>
      <c r="B177" s="58" t="s">
        <v>342</v>
      </c>
      <c r="C177" s="58" t="s">
        <v>348</v>
      </c>
    </row>
    <row r="178" ht="12.75" customHeight="1">
      <c r="A178" s="57" t="s">
        <v>163</v>
      </c>
      <c r="B178" s="58" t="s">
        <v>342</v>
      </c>
      <c r="C178" s="58" t="s">
        <v>341</v>
      </c>
    </row>
    <row r="179" ht="12.75" customHeight="1">
      <c r="A179" s="57" t="s">
        <v>163</v>
      </c>
      <c r="B179" s="58" t="s">
        <v>342</v>
      </c>
      <c r="C179" s="58" t="s">
        <v>349</v>
      </c>
    </row>
    <row r="180" ht="12.75" customHeight="1">
      <c r="A180" s="57" t="s">
        <v>163</v>
      </c>
      <c r="B180" s="58" t="s">
        <v>342</v>
      </c>
      <c r="C180" s="58" t="s">
        <v>350</v>
      </c>
    </row>
    <row r="181" ht="12.75" customHeight="1">
      <c r="A181" s="57" t="s">
        <v>163</v>
      </c>
      <c r="B181" s="58" t="s">
        <v>351</v>
      </c>
      <c r="C181" s="58" t="s">
        <v>352</v>
      </c>
    </row>
    <row r="182" ht="12.75" customHeight="1">
      <c r="A182" s="57" t="s">
        <v>163</v>
      </c>
      <c r="B182" s="58" t="s">
        <v>351</v>
      </c>
      <c r="C182" s="58" t="s">
        <v>353</v>
      </c>
    </row>
    <row r="183" ht="12.75" customHeight="1">
      <c r="A183" s="57" t="s">
        <v>163</v>
      </c>
      <c r="B183" s="58" t="s">
        <v>351</v>
      </c>
      <c r="C183" s="58" t="s">
        <v>354</v>
      </c>
    </row>
    <row r="184" ht="12.75" customHeight="1">
      <c r="A184" s="57" t="s">
        <v>163</v>
      </c>
      <c r="B184" s="58" t="s">
        <v>351</v>
      </c>
      <c r="C184" s="58" t="s">
        <v>355</v>
      </c>
    </row>
    <row r="185" ht="12.75" customHeight="1">
      <c r="A185" s="57" t="s">
        <v>163</v>
      </c>
      <c r="B185" s="58" t="s">
        <v>351</v>
      </c>
      <c r="C185" s="58" t="s">
        <v>356</v>
      </c>
    </row>
    <row r="186" ht="12.75" customHeight="1">
      <c r="A186" s="57" t="s">
        <v>163</v>
      </c>
      <c r="B186" s="58" t="s">
        <v>351</v>
      </c>
      <c r="C186" s="58" t="s">
        <v>357</v>
      </c>
    </row>
    <row r="187" ht="12.75" customHeight="1">
      <c r="A187" s="57" t="s">
        <v>163</v>
      </c>
      <c r="B187" s="58" t="s">
        <v>351</v>
      </c>
      <c r="C187" s="58" t="s">
        <v>358</v>
      </c>
    </row>
    <row r="188" ht="12.75" customHeight="1">
      <c r="A188" s="57" t="s">
        <v>163</v>
      </c>
      <c r="B188" s="58" t="s">
        <v>351</v>
      </c>
      <c r="C188" s="58" t="s">
        <v>359</v>
      </c>
    </row>
    <row r="189" ht="12.75" customHeight="1">
      <c r="A189" s="57" t="s">
        <v>163</v>
      </c>
      <c r="B189" s="58" t="s">
        <v>351</v>
      </c>
      <c r="C189" s="58" t="s">
        <v>341</v>
      </c>
    </row>
    <row r="190" ht="12.75" customHeight="1">
      <c r="A190" s="57" t="s">
        <v>360</v>
      </c>
      <c r="B190" s="58" t="s">
        <v>294</v>
      </c>
      <c r="C190" s="58" t="s">
        <v>295</v>
      </c>
    </row>
    <row r="191" ht="12.75" customHeight="1">
      <c r="A191" s="57" t="s">
        <v>360</v>
      </c>
      <c r="B191" s="58" t="s">
        <v>294</v>
      </c>
      <c r="C191" s="58" t="s">
        <v>361</v>
      </c>
    </row>
    <row r="192" ht="12.75" customHeight="1">
      <c r="A192" s="57" t="s">
        <v>360</v>
      </c>
      <c r="B192" s="58" t="s">
        <v>294</v>
      </c>
      <c r="C192" s="58" t="s">
        <v>296</v>
      </c>
    </row>
    <row r="193" ht="12.75" customHeight="1">
      <c r="A193" s="57" t="s">
        <v>360</v>
      </c>
      <c r="B193" s="58" t="s">
        <v>294</v>
      </c>
      <c r="C193" s="58" t="s">
        <v>297</v>
      </c>
    </row>
    <row r="194" ht="12.75" customHeight="1">
      <c r="A194" s="57" t="s">
        <v>360</v>
      </c>
      <c r="B194" s="58" t="s">
        <v>294</v>
      </c>
      <c r="C194" s="58" t="s">
        <v>362</v>
      </c>
    </row>
    <row r="195" ht="12.75" customHeight="1">
      <c r="A195" s="57" t="s">
        <v>360</v>
      </c>
      <c r="B195" s="58" t="s">
        <v>294</v>
      </c>
      <c r="C195" s="58" t="s">
        <v>300</v>
      </c>
    </row>
    <row r="196" ht="12.75" customHeight="1">
      <c r="A196" s="57" t="s">
        <v>360</v>
      </c>
      <c r="B196" s="58" t="s">
        <v>294</v>
      </c>
      <c r="C196" s="58" t="s">
        <v>288</v>
      </c>
    </row>
    <row r="197" ht="12.75" customHeight="1">
      <c r="A197" s="57" t="s">
        <v>360</v>
      </c>
      <c r="B197" s="58" t="s">
        <v>294</v>
      </c>
      <c r="C197" s="58" t="s">
        <v>302</v>
      </c>
    </row>
    <row r="198" ht="12.75" customHeight="1">
      <c r="A198" s="57" t="s">
        <v>360</v>
      </c>
      <c r="B198" s="58" t="s">
        <v>294</v>
      </c>
      <c r="C198" s="58" t="s">
        <v>363</v>
      </c>
    </row>
    <row r="199" ht="12.75" customHeight="1">
      <c r="A199" s="57" t="s">
        <v>360</v>
      </c>
      <c r="B199" s="58" t="s">
        <v>294</v>
      </c>
      <c r="C199" s="58" t="s">
        <v>304</v>
      </c>
    </row>
    <row r="200" ht="12.75" customHeight="1">
      <c r="A200" s="57" t="s">
        <v>360</v>
      </c>
      <c r="B200" s="58" t="s">
        <v>294</v>
      </c>
      <c r="C200" s="58" t="s">
        <v>364</v>
      </c>
    </row>
    <row r="201" ht="12.75" customHeight="1">
      <c r="A201" s="57" t="s">
        <v>360</v>
      </c>
      <c r="B201" s="58" t="s">
        <v>294</v>
      </c>
      <c r="C201" s="58" t="s">
        <v>365</v>
      </c>
    </row>
    <row r="202" ht="12.75" customHeight="1">
      <c r="A202" s="57" t="s">
        <v>360</v>
      </c>
      <c r="B202" s="58" t="s">
        <v>294</v>
      </c>
      <c r="C202" s="58" t="s">
        <v>306</v>
      </c>
    </row>
    <row r="203" ht="12.75" customHeight="1">
      <c r="A203" s="57" t="s">
        <v>360</v>
      </c>
      <c r="B203" s="58" t="s">
        <v>294</v>
      </c>
      <c r="C203" s="58" t="s">
        <v>366</v>
      </c>
    </row>
    <row r="204" ht="12.75" customHeight="1">
      <c r="A204" s="57" t="s">
        <v>360</v>
      </c>
      <c r="B204" s="58" t="s">
        <v>294</v>
      </c>
      <c r="C204" s="58" t="s">
        <v>367</v>
      </c>
    </row>
    <row r="205" ht="12.75" customHeight="1">
      <c r="A205" s="57" t="s">
        <v>360</v>
      </c>
      <c r="B205" s="58" t="s">
        <v>294</v>
      </c>
      <c r="C205" s="58" t="s">
        <v>309</v>
      </c>
    </row>
    <row r="206" ht="12.75" customHeight="1">
      <c r="A206" s="57" t="s">
        <v>360</v>
      </c>
      <c r="B206" s="58" t="s">
        <v>256</v>
      </c>
      <c r="C206" s="58" t="s">
        <v>258</v>
      </c>
    </row>
    <row r="207" ht="12.75" customHeight="1">
      <c r="A207" s="57" t="s">
        <v>360</v>
      </c>
      <c r="B207" s="58" t="s">
        <v>256</v>
      </c>
      <c r="C207" s="58" t="s">
        <v>368</v>
      </c>
    </row>
    <row r="208" ht="12.75" customHeight="1">
      <c r="A208" s="57" t="s">
        <v>360</v>
      </c>
      <c r="B208" s="58" t="s">
        <v>256</v>
      </c>
      <c r="C208" s="58" t="s">
        <v>369</v>
      </c>
    </row>
    <row r="209" ht="12.75" customHeight="1">
      <c r="A209" s="57" t="s">
        <v>360</v>
      </c>
      <c r="B209" s="58" t="s">
        <v>256</v>
      </c>
      <c r="C209" s="58" t="s">
        <v>370</v>
      </c>
    </row>
    <row r="210" ht="12.75" customHeight="1">
      <c r="A210" s="57" t="s">
        <v>360</v>
      </c>
      <c r="B210" s="58" t="s">
        <v>256</v>
      </c>
      <c r="C210" s="58" t="s">
        <v>263</v>
      </c>
    </row>
    <row r="211" ht="12.75" customHeight="1">
      <c r="A211" s="57" t="s">
        <v>360</v>
      </c>
      <c r="B211" s="58" t="s">
        <v>256</v>
      </c>
      <c r="C211" s="58" t="s">
        <v>371</v>
      </c>
    </row>
    <row r="212" ht="12.75" customHeight="1">
      <c r="A212" s="57" t="s">
        <v>360</v>
      </c>
      <c r="B212" s="58" t="s">
        <v>256</v>
      </c>
      <c r="C212" s="58" t="s">
        <v>372</v>
      </c>
    </row>
    <row r="213" ht="12.75" customHeight="1">
      <c r="A213" s="57" t="s">
        <v>360</v>
      </c>
      <c r="B213" s="58" t="s">
        <v>256</v>
      </c>
      <c r="C213" s="58" t="s">
        <v>373</v>
      </c>
    </row>
    <row r="214" ht="12.75" customHeight="1">
      <c r="A214" s="57" t="s">
        <v>360</v>
      </c>
      <c r="B214" s="58" t="s">
        <v>256</v>
      </c>
      <c r="C214" s="58" t="s">
        <v>269</v>
      </c>
    </row>
    <row r="215" ht="12.75" customHeight="1">
      <c r="A215" s="57" t="s">
        <v>360</v>
      </c>
      <c r="B215" s="58" t="s">
        <v>181</v>
      </c>
      <c r="C215" s="58" t="s">
        <v>374</v>
      </c>
    </row>
    <row r="216" ht="12.75" customHeight="1">
      <c r="A216" s="57" t="s">
        <v>360</v>
      </c>
      <c r="B216" s="58" t="s">
        <v>181</v>
      </c>
      <c r="C216" s="58" t="s">
        <v>375</v>
      </c>
    </row>
    <row r="217" ht="12.75" customHeight="1">
      <c r="A217" s="57" t="s">
        <v>360</v>
      </c>
      <c r="B217" s="58" t="s">
        <v>181</v>
      </c>
      <c r="C217" s="58" t="s">
        <v>376</v>
      </c>
    </row>
    <row r="218" ht="12.75" customHeight="1">
      <c r="A218" s="57" t="s">
        <v>360</v>
      </c>
      <c r="B218" s="58" t="s">
        <v>181</v>
      </c>
      <c r="C218" s="58" t="s">
        <v>187</v>
      </c>
    </row>
    <row r="219" ht="12.75" customHeight="1">
      <c r="A219" s="57" t="s">
        <v>360</v>
      </c>
      <c r="B219" s="58" t="s">
        <v>181</v>
      </c>
      <c r="C219" s="58" t="s">
        <v>377</v>
      </c>
    </row>
    <row r="220" ht="12.75" customHeight="1">
      <c r="A220" s="57" t="s">
        <v>360</v>
      </c>
      <c r="B220" s="58" t="s">
        <v>181</v>
      </c>
      <c r="C220" s="58" t="s">
        <v>188</v>
      </c>
    </row>
    <row r="221" ht="12.75" customHeight="1">
      <c r="A221" s="57" t="s">
        <v>360</v>
      </c>
      <c r="B221" s="58" t="s">
        <v>181</v>
      </c>
      <c r="C221" s="58" t="s">
        <v>378</v>
      </c>
    </row>
    <row r="222" ht="12.75" customHeight="1">
      <c r="A222" s="57" t="s">
        <v>360</v>
      </c>
      <c r="B222" s="58" t="s">
        <v>181</v>
      </c>
      <c r="C222" s="58" t="s">
        <v>379</v>
      </c>
    </row>
    <row r="223" ht="12.75" customHeight="1">
      <c r="A223" s="57" t="s">
        <v>360</v>
      </c>
      <c r="B223" s="58" t="s">
        <v>181</v>
      </c>
      <c r="C223" s="58" t="s">
        <v>191</v>
      </c>
    </row>
    <row r="224" ht="12.75" customHeight="1">
      <c r="A224" s="57" t="s">
        <v>360</v>
      </c>
      <c r="B224" s="58" t="s">
        <v>181</v>
      </c>
      <c r="C224" s="58" t="s">
        <v>194</v>
      </c>
    </row>
    <row r="225" ht="12.75" customHeight="1">
      <c r="A225" s="57" t="s">
        <v>360</v>
      </c>
      <c r="B225" s="58" t="s">
        <v>181</v>
      </c>
      <c r="C225" s="58" t="s">
        <v>380</v>
      </c>
    </row>
    <row r="226" ht="12.75" customHeight="1">
      <c r="A226" s="57" t="s">
        <v>360</v>
      </c>
      <c r="B226" s="58" t="s">
        <v>215</v>
      </c>
      <c r="C226" s="58" t="s">
        <v>381</v>
      </c>
    </row>
    <row r="227" ht="12.75" customHeight="1">
      <c r="A227" s="57" t="s">
        <v>360</v>
      </c>
      <c r="B227" s="58" t="s">
        <v>215</v>
      </c>
      <c r="C227" s="58" t="s">
        <v>382</v>
      </c>
    </row>
    <row r="228" ht="12.75" customHeight="1">
      <c r="A228" s="57" t="s">
        <v>360</v>
      </c>
      <c r="B228" s="58" t="s">
        <v>215</v>
      </c>
      <c r="C228" s="58" t="s">
        <v>223</v>
      </c>
    </row>
    <row r="229" ht="12.75" customHeight="1">
      <c r="A229" s="57" t="s">
        <v>360</v>
      </c>
      <c r="B229" s="58" t="s">
        <v>215</v>
      </c>
      <c r="C229" s="58" t="s">
        <v>383</v>
      </c>
    </row>
    <row r="230" ht="12.75" customHeight="1">
      <c r="A230" s="57" t="s">
        <v>360</v>
      </c>
      <c r="B230" s="58" t="s">
        <v>215</v>
      </c>
      <c r="C230" s="58" t="s">
        <v>384</v>
      </c>
    </row>
    <row r="231" ht="12.75" customHeight="1">
      <c r="A231" s="57" t="s">
        <v>360</v>
      </c>
      <c r="B231" s="58" t="s">
        <v>215</v>
      </c>
      <c r="C231" s="58" t="s">
        <v>385</v>
      </c>
    </row>
    <row r="232" ht="12.75" customHeight="1">
      <c r="A232" s="57" t="s">
        <v>360</v>
      </c>
      <c r="B232" s="58" t="s">
        <v>386</v>
      </c>
      <c r="C232" s="58" t="s">
        <v>387</v>
      </c>
    </row>
    <row r="233" ht="12.75" customHeight="1">
      <c r="A233" s="57" t="s">
        <v>360</v>
      </c>
      <c r="B233" s="58" t="s">
        <v>386</v>
      </c>
      <c r="C233" s="58" t="s">
        <v>388</v>
      </c>
    </row>
    <row r="234" ht="12.75" customHeight="1">
      <c r="A234" s="57" t="s">
        <v>360</v>
      </c>
      <c r="B234" s="58" t="s">
        <v>386</v>
      </c>
      <c r="C234" s="58" t="s">
        <v>389</v>
      </c>
    </row>
    <row r="235" ht="12.75" customHeight="1">
      <c r="A235" s="57" t="s">
        <v>360</v>
      </c>
      <c r="B235" s="58" t="s">
        <v>386</v>
      </c>
      <c r="C235" s="58" t="s">
        <v>390</v>
      </c>
    </row>
    <row r="236" ht="12.75" customHeight="1">
      <c r="A236" s="57" t="s">
        <v>360</v>
      </c>
      <c r="B236" s="58" t="s">
        <v>386</v>
      </c>
      <c r="C236" s="58" t="s">
        <v>391</v>
      </c>
    </row>
    <row r="237" ht="12.75" customHeight="1">
      <c r="A237" s="57" t="s">
        <v>360</v>
      </c>
      <c r="B237" s="58" t="s">
        <v>392</v>
      </c>
      <c r="C237" s="58" t="s">
        <v>393</v>
      </c>
    </row>
    <row r="238" ht="12.75" customHeight="1">
      <c r="A238" s="57" t="s">
        <v>360</v>
      </c>
      <c r="B238" s="58" t="s">
        <v>392</v>
      </c>
      <c r="C238" s="58" t="s">
        <v>394</v>
      </c>
    </row>
    <row r="239" ht="12.75" customHeight="1">
      <c r="A239" s="57" t="s">
        <v>360</v>
      </c>
      <c r="B239" s="58" t="s">
        <v>392</v>
      </c>
      <c r="C239" s="58" t="s">
        <v>208</v>
      </c>
    </row>
    <row r="240" ht="12.75" customHeight="1">
      <c r="A240" s="57" t="s">
        <v>360</v>
      </c>
      <c r="B240" s="58" t="s">
        <v>392</v>
      </c>
      <c r="C240" s="58" t="s">
        <v>395</v>
      </c>
    </row>
    <row r="241" ht="12.75" customHeight="1">
      <c r="A241" s="57" t="s">
        <v>360</v>
      </c>
      <c r="B241" s="58" t="s">
        <v>392</v>
      </c>
      <c r="C241" s="58" t="s">
        <v>210</v>
      </c>
    </row>
    <row r="242" ht="12.75" customHeight="1">
      <c r="A242" s="57" t="s">
        <v>360</v>
      </c>
      <c r="B242" s="58" t="s">
        <v>392</v>
      </c>
      <c r="C242" s="58" t="s">
        <v>211</v>
      </c>
    </row>
    <row r="243" ht="12.75" customHeight="1">
      <c r="A243" s="57" t="s">
        <v>360</v>
      </c>
      <c r="B243" s="58" t="s">
        <v>392</v>
      </c>
      <c r="C243" s="58" t="s">
        <v>212</v>
      </c>
    </row>
    <row r="244" ht="12.75" customHeight="1">
      <c r="A244" s="57" t="s">
        <v>360</v>
      </c>
      <c r="B244" s="58" t="s">
        <v>392</v>
      </c>
      <c r="C244" s="58" t="s">
        <v>213</v>
      </c>
    </row>
    <row r="245" ht="12.75" customHeight="1">
      <c r="A245" s="57" t="s">
        <v>360</v>
      </c>
      <c r="B245" s="58" t="s">
        <v>270</v>
      </c>
      <c r="C245" s="58" t="s">
        <v>272</v>
      </c>
    </row>
    <row r="246" ht="12.75" customHeight="1">
      <c r="A246" s="57" t="s">
        <v>360</v>
      </c>
      <c r="B246" s="58" t="s">
        <v>270</v>
      </c>
      <c r="C246" s="58" t="s">
        <v>396</v>
      </c>
    </row>
    <row r="247" ht="12.75" customHeight="1">
      <c r="A247" s="57" t="s">
        <v>360</v>
      </c>
      <c r="B247" s="58" t="s">
        <v>270</v>
      </c>
      <c r="C247" s="58" t="s">
        <v>397</v>
      </c>
    </row>
    <row r="248" ht="12.75" customHeight="1">
      <c r="A248" s="57" t="s">
        <v>360</v>
      </c>
      <c r="B248" s="58" t="s">
        <v>270</v>
      </c>
      <c r="C248" s="58" t="s">
        <v>398</v>
      </c>
    </row>
    <row r="249" ht="12.75" customHeight="1">
      <c r="A249" s="57" t="s">
        <v>360</v>
      </c>
      <c r="B249" s="58" t="s">
        <v>270</v>
      </c>
      <c r="C249" s="58" t="s">
        <v>399</v>
      </c>
    </row>
    <row r="250" ht="12.75" customHeight="1">
      <c r="A250" s="57" t="s">
        <v>360</v>
      </c>
      <c r="B250" s="58" t="s">
        <v>270</v>
      </c>
      <c r="C250" s="58" t="s">
        <v>400</v>
      </c>
    </row>
    <row r="251" ht="12.75" customHeight="1">
      <c r="A251" s="57" t="s">
        <v>360</v>
      </c>
      <c r="B251" s="58" t="s">
        <v>270</v>
      </c>
      <c r="C251" s="58" t="s">
        <v>401</v>
      </c>
    </row>
    <row r="252" ht="12.75" customHeight="1">
      <c r="A252" s="57" t="s">
        <v>360</v>
      </c>
      <c r="B252" s="58" t="s">
        <v>270</v>
      </c>
      <c r="C252" s="58" t="s">
        <v>402</v>
      </c>
    </row>
    <row r="253" ht="12.75" customHeight="1">
      <c r="A253" s="57" t="s">
        <v>360</v>
      </c>
      <c r="B253" s="58" t="s">
        <v>270</v>
      </c>
      <c r="C253" s="58" t="s">
        <v>403</v>
      </c>
    </row>
    <row r="254" ht="12.75" customHeight="1">
      <c r="A254" s="57" t="s">
        <v>360</v>
      </c>
      <c r="B254" s="58" t="s">
        <v>270</v>
      </c>
      <c r="C254" s="58" t="s">
        <v>285</v>
      </c>
    </row>
    <row r="255" ht="12.75" customHeight="1">
      <c r="A255" s="57" t="s">
        <v>360</v>
      </c>
      <c r="B255" s="58" t="s">
        <v>234</v>
      </c>
      <c r="C255" s="58" t="s">
        <v>404</v>
      </c>
    </row>
    <row r="256" ht="12.75" customHeight="1">
      <c r="A256" s="57" t="s">
        <v>360</v>
      </c>
      <c r="B256" s="58" t="s">
        <v>234</v>
      </c>
      <c r="C256" s="58" t="s">
        <v>387</v>
      </c>
    </row>
    <row r="257" ht="12.75" customHeight="1">
      <c r="A257" s="57" t="s">
        <v>360</v>
      </c>
      <c r="B257" s="58" t="s">
        <v>234</v>
      </c>
      <c r="C257" s="58" t="s">
        <v>405</v>
      </c>
    </row>
    <row r="258" ht="12.75" customHeight="1">
      <c r="A258" s="57" t="s">
        <v>360</v>
      </c>
      <c r="B258" s="58" t="s">
        <v>234</v>
      </c>
      <c r="C258" s="58" t="s">
        <v>406</v>
      </c>
    </row>
    <row r="259" ht="12.75" customHeight="1">
      <c r="A259" s="57" t="s">
        <v>360</v>
      </c>
      <c r="B259" s="58" t="s">
        <v>234</v>
      </c>
      <c r="C259" s="58" t="s">
        <v>240</v>
      </c>
    </row>
    <row r="260" ht="12.75" customHeight="1">
      <c r="A260" s="57" t="s">
        <v>360</v>
      </c>
      <c r="B260" s="58" t="s">
        <v>407</v>
      </c>
      <c r="C260" s="58" t="s">
        <v>408</v>
      </c>
    </row>
    <row r="261" ht="12.75" customHeight="1">
      <c r="A261" s="57" t="s">
        <v>360</v>
      </c>
      <c r="B261" s="58" t="s">
        <v>407</v>
      </c>
      <c r="C261" s="58" t="s">
        <v>409</v>
      </c>
    </row>
    <row r="262" ht="12.75" customHeight="1">
      <c r="A262" s="57" t="s">
        <v>360</v>
      </c>
      <c r="B262" s="58" t="s">
        <v>407</v>
      </c>
      <c r="C262" s="58" t="s">
        <v>410</v>
      </c>
    </row>
    <row r="263" ht="12.75" customHeight="1">
      <c r="A263" s="57" t="s">
        <v>360</v>
      </c>
      <c r="B263" s="58" t="s">
        <v>407</v>
      </c>
      <c r="C263" s="58" t="s">
        <v>194</v>
      </c>
    </row>
    <row r="264" ht="12.75" customHeight="1">
      <c r="A264" s="57" t="s">
        <v>360</v>
      </c>
      <c r="B264" s="58" t="s">
        <v>195</v>
      </c>
      <c r="C264" s="58" t="s">
        <v>411</v>
      </c>
    </row>
    <row r="265" ht="12.75" customHeight="1">
      <c r="A265" s="57" t="s">
        <v>360</v>
      </c>
      <c r="B265" s="58" t="s">
        <v>195</v>
      </c>
      <c r="C265" s="58" t="s">
        <v>412</v>
      </c>
    </row>
    <row r="266" ht="12.75" customHeight="1">
      <c r="A266" s="57" t="s">
        <v>360</v>
      </c>
      <c r="B266" s="58" t="s">
        <v>195</v>
      </c>
      <c r="C266" s="58" t="s">
        <v>413</v>
      </c>
    </row>
    <row r="267" ht="12.75" customHeight="1">
      <c r="A267" s="57" t="s">
        <v>360</v>
      </c>
      <c r="B267" s="58" t="s">
        <v>195</v>
      </c>
      <c r="C267" s="58" t="s">
        <v>414</v>
      </c>
    </row>
    <row r="268" ht="12.75" customHeight="1">
      <c r="A268" s="57" t="s">
        <v>360</v>
      </c>
      <c r="B268" s="58" t="s">
        <v>195</v>
      </c>
      <c r="C268" s="58" t="s">
        <v>415</v>
      </c>
    </row>
    <row r="269" ht="12.75" customHeight="1">
      <c r="A269" s="57" t="s">
        <v>360</v>
      </c>
      <c r="B269" s="58" t="s">
        <v>251</v>
      </c>
      <c r="C269" s="58" t="s">
        <v>416</v>
      </c>
    </row>
    <row r="270" ht="12.75" customHeight="1">
      <c r="A270" s="57" t="s">
        <v>360</v>
      </c>
      <c r="B270" s="58" t="s">
        <v>251</v>
      </c>
      <c r="C270" s="58" t="s">
        <v>406</v>
      </c>
    </row>
    <row r="271" ht="12.75" customHeight="1">
      <c r="A271" s="57" t="s">
        <v>360</v>
      </c>
      <c r="B271" s="58" t="s">
        <v>251</v>
      </c>
      <c r="C271" s="58" t="s">
        <v>417</v>
      </c>
    </row>
    <row r="272" ht="12.75" customHeight="1">
      <c r="A272" s="57" t="s">
        <v>360</v>
      </c>
      <c r="B272" s="58" t="s">
        <v>251</v>
      </c>
      <c r="C272" s="58" t="s">
        <v>418</v>
      </c>
    </row>
    <row r="273" ht="12.75" customHeight="1">
      <c r="A273" s="57" t="s">
        <v>360</v>
      </c>
      <c r="B273" s="58" t="s">
        <v>419</v>
      </c>
      <c r="C273" s="58" t="s">
        <v>420</v>
      </c>
    </row>
    <row r="274" ht="12.75" customHeight="1">
      <c r="A274" s="57" t="s">
        <v>360</v>
      </c>
      <c r="B274" s="58" t="s">
        <v>419</v>
      </c>
      <c r="C274" s="58" t="s">
        <v>421</v>
      </c>
    </row>
    <row r="275" ht="12.75" customHeight="1">
      <c r="A275" s="57" t="s">
        <v>360</v>
      </c>
      <c r="B275" s="58" t="s">
        <v>419</v>
      </c>
      <c r="C275" s="58" t="s">
        <v>422</v>
      </c>
    </row>
    <row r="276" ht="12.75" customHeight="1">
      <c r="A276" s="57" t="s">
        <v>360</v>
      </c>
      <c r="B276" s="58" t="s">
        <v>419</v>
      </c>
      <c r="C276" s="58" t="s">
        <v>423</v>
      </c>
    </row>
    <row r="277" ht="12.75" customHeight="1">
      <c r="A277" s="57" t="s">
        <v>360</v>
      </c>
      <c r="B277" s="58" t="s">
        <v>419</v>
      </c>
      <c r="C277" s="58" t="s">
        <v>424</v>
      </c>
    </row>
    <row r="278" ht="12.75" customHeight="1">
      <c r="A278" s="57" t="s">
        <v>360</v>
      </c>
      <c r="B278" s="58" t="s">
        <v>419</v>
      </c>
      <c r="C278" s="58" t="s">
        <v>425</v>
      </c>
    </row>
    <row r="279" ht="12.75" customHeight="1">
      <c r="A279" s="57" t="s">
        <v>360</v>
      </c>
      <c r="B279" s="58" t="s">
        <v>419</v>
      </c>
      <c r="C279" s="58" t="s">
        <v>426</v>
      </c>
    </row>
    <row r="280" ht="12.75" customHeight="1">
      <c r="A280" s="57" t="s">
        <v>360</v>
      </c>
      <c r="B280" s="58" t="s">
        <v>427</v>
      </c>
      <c r="C280" s="58" t="s">
        <v>428</v>
      </c>
    </row>
    <row r="281" ht="12.75" customHeight="1">
      <c r="A281" s="57" t="s">
        <v>360</v>
      </c>
      <c r="B281" s="58" t="s">
        <v>427</v>
      </c>
      <c r="C281" s="58" t="s">
        <v>429</v>
      </c>
    </row>
    <row r="282" ht="12.75" customHeight="1">
      <c r="A282" s="57" t="s">
        <v>360</v>
      </c>
      <c r="B282" s="58" t="s">
        <v>427</v>
      </c>
      <c r="C282" s="58" t="s">
        <v>430</v>
      </c>
    </row>
    <row r="283" ht="12.75" customHeight="1">
      <c r="A283" s="57" t="s">
        <v>360</v>
      </c>
      <c r="B283" s="58" t="s">
        <v>427</v>
      </c>
      <c r="C283" s="58" t="s">
        <v>336</v>
      </c>
    </row>
    <row r="284" ht="12.75" customHeight="1">
      <c r="A284" s="57" t="s">
        <v>360</v>
      </c>
      <c r="B284" s="58" t="s">
        <v>427</v>
      </c>
      <c r="C284" s="58" t="s">
        <v>431</v>
      </c>
    </row>
    <row r="285" ht="12.75" customHeight="1">
      <c r="A285" s="57" t="s">
        <v>360</v>
      </c>
      <c r="B285" s="58" t="s">
        <v>427</v>
      </c>
      <c r="C285" s="58" t="s">
        <v>339</v>
      </c>
    </row>
    <row r="286" ht="12.75" customHeight="1">
      <c r="A286" s="57" t="s">
        <v>360</v>
      </c>
      <c r="B286" s="58" t="s">
        <v>427</v>
      </c>
      <c r="C286" s="58" t="s">
        <v>432</v>
      </c>
    </row>
    <row r="287" ht="12.75" customHeight="1">
      <c r="A287" s="57" t="s">
        <v>433</v>
      </c>
      <c r="B287" s="58" t="s">
        <v>294</v>
      </c>
      <c r="C287" s="58" t="s">
        <v>256</v>
      </c>
    </row>
    <row r="288" ht="12.75" customHeight="1">
      <c r="A288" s="57" t="s">
        <v>433</v>
      </c>
      <c r="B288" s="58" t="s">
        <v>294</v>
      </c>
      <c r="C288" s="58" t="s">
        <v>295</v>
      </c>
    </row>
    <row r="289" ht="12.75" customHeight="1">
      <c r="A289" s="57" t="s">
        <v>433</v>
      </c>
      <c r="B289" s="58" t="s">
        <v>294</v>
      </c>
      <c r="C289" s="58" t="s">
        <v>434</v>
      </c>
    </row>
    <row r="290" ht="12.75" customHeight="1">
      <c r="A290" s="57" t="s">
        <v>433</v>
      </c>
      <c r="B290" s="58" t="s">
        <v>294</v>
      </c>
      <c r="C290" s="58" t="s">
        <v>435</v>
      </c>
    </row>
    <row r="291" ht="12.75" customHeight="1">
      <c r="A291" s="57" t="s">
        <v>433</v>
      </c>
      <c r="B291" s="58" t="s">
        <v>294</v>
      </c>
      <c r="C291" s="58" t="s">
        <v>296</v>
      </c>
    </row>
    <row r="292" ht="12.75" customHeight="1">
      <c r="A292" s="57" t="s">
        <v>433</v>
      </c>
      <c r="B292" s="58" t="s">
        <v>294</v>
      </c>
      <c r="C292" s="58" t="s">
        <v>299</v>
      </c>
    </row>
    <row r="293" ht="12.75" customHeight="1">
      <c r="A293" s="57" t="s">
        <v>433</v>
      </c>
      <c r="B293" s="58" t="s">
        <v>294</v>
      </c>
      <c r="C293" s="58" t="s">
        <v>300</v>
      </c>
    </row>
    <row r="294" ht="12.75" customHeight="1">
      <c r="A294" s="57" t="s">
        <v>433</v>
      </c>
      <c r="B294" s="58" t="s">
        <v>294</v>
      </c>
      <c r="C294" s="58" t="s">
        <v>288</v>
      </c>
    </row>
    <row r="295" ht="12.75" customHeight="1">
      <c r="A295" s="57" t="s">
        <v>433</v>
      </c>
      <c r="B295" s="58" t="s">
        <v>294</v>
      </c>
      <c r="C295" s="58" t="s">
        <v>436</v>
      </c>
    </row>
    <row r="296" ht="12.75" customHeight="1">
      <c r="A296" s="57" t="s">
        <v>433</v>
      </c>
      <c r="B296" s="58" t="s">
        <v>294</v>
      </c>
      <c r="C296" s="58" t="s">
        <v>437</v>
      </c>
    </row>
    <row r="297" ht="12.75" customHeight="1">
      <c r="A297" s="57" t="s">
        <v>433</v>
      </c>
      <c r="B297" s="58" t="s">
        <v>294</v>
      </c>
      <c r="C297" s="58" t="s">
        <v>306</v>
      </c>
    </row>
    <row r="298" ht="12.75" customHeight="1">
      <c r="A298" s="57" t="s">
        <v>433</v>
      </c>
      <c r="B298" s="58" t="s">
        <v>294</v>
      </c>
      <c r="C298" s="58" t="s">
        <v>366</v>
      </c>
    </row>
    <row r="299" ht="12.75" customHeight="1">
      <c r="A299" s="57" t="s">
        <v>433</v>
      </c>
      <c r="B299" s="58" t="s">
        <v>294</v>
      </c>
      <c r="C299" s="58" t="s">
        <v>367</v>
      </c>
    </row>
    <row r="300" ht="12.75" customHeight="1">
      <c r="A300" s="57" t="s">
        <v>433</v>
      </c>
      <c r="B300" s="58" t="s">
        <v>294</v>
      </c>
      <c r="C300" s="58" t="s">
        <v>438</v>
      </c>
    </row>
    <row r="301" ht="12.75" customHeight="1">
      <c r="A301" s="57" t="s">
        <v>433</v>
      </c>
      <c r="B301" s="58" t="s">
        <v>294</v>
      </c>
      <c r="C301" s="58" t="s">
        <v>309</v>
      </c>
    </row>
    <row r="302" ht="12.75" customHeight="1">
      <c r="A302" s="57" t="s">
        <v>433</v>
      </c>
      <c r="B302" s="58" t="s">
        <v>439</v>
      </c>
      <c r="C302" s="58" t="s">
        <v>440</v>
      </c>
    </row>
    <row r="303" ht="12.75" customHeight="1">
      <c r="A303" s="57" t="s">
        <v>433</v>
      </c>
      <c r="B303" s="58" t="s">
        <v>439</v>
      </c>
      <c r="C303" s="58" t="s">
        <v>441</v>
      </c>
    </row>
    <row r="304" ht="12.75" customHeight="1">
      <c r="A304" s="57" t="s">
        <v>433</v>
      </c>
      <c r="B304" s="58" t="s">
        <v>439</v>
      </c>
      <c r="C304" s="58" t="s">
        <v>215</v>
      </c>
    </row>
    <row r="305" ht="12.75" customHeight="1">
      <c r="A305" s="57" t="s">
        <v>433</v>
      </c>
      <c r="B305" s="58" t="s">
        <v>439</v>
      </c>
      <c r="C305" s="58" t="s">
        <v>228</v>
      </c>
    </row>
    <row r="306" ht="12.75" customHeight="1">
      <c r="A306" s="57" t="s">
        <v>433</v>
      </c>
      <c r="B306" s="58" t="s">
        <v>439</v>
      </c>
      <c r="C306" s="58" t="s">
        <v>229</v>
      </c>
    </row>
    <row r="307" ht="12.75" customHeight="1">
      <c r="A307" s="57" t="s">
        <v>433</v>
      </c>
      <c r="B307" s="58" t="s">
        <v>439</v>
      </c>
      <c r="C307" s="58" t="s">
        <v>222</v>
      </c>
    </row>
    <row r="308" ht="12.75" customHeight="1">
      <c r="A308" s="57" t="s">
        <v>433</v>
      </c>
      <c r="B308" s="58" t="s">
        <v>439</v>
      </c>
      <c r="C308" s="58" t="s">
        <v>234</v>
      </c>
    </row>
    <row r="309" ht="12.75" customHeight="1">
      <c r="A309" s="57" t="s">
        <v>433</v>
      </c>
      <c r="B309" s="58" t="s">
        <v>439</v>
      </c>
      <c r="C309" s="58" t="s">
        <v>176</v>
      </c>
    </row>
    <row r="310" ht="12.75" customHeight="1">
      <c r="A310" s="57" t="s">
        <v>433</v>
      </c>
      <c r="B310" s="58" t="s">
        <v>439</v>
      </c>
      <c r="C310" s="58" t="s">
        <v>241</v>
      </c>
    </row>
    <row r="311" ht="12.75" customHeight="1">
      <c r="A311" s="57" t="s">
        <v>433</v>
      </c>
      <c r="B311" s="58" t="s">
        <v>439</v>
      </c>
      <c r="C311" s="58" t="s">
        <v>391</v>
      </c>
    </row>
    <row r="312" ht="12.75" customHeight="1">
      <c r="A312" s="57" t="s">
        <v>433</v>
      </c>
      <c r="B312" s="58" t="s">
        <v>164</v>
      </c>
      <c r="C312" s="58" t="s">
        <v>440</v>
      </c>
    </row>
    <row r="313" ht="12.75" customHeight="1">
      <c r="A313" s="57" t="s">
        <v>433</v>
      </c>
      <c r="B313" s="58" t="s">
        <v>164</v>
      </c>
      <c r="C313" s="58" t="s">
        <v>441</v>
      </c>
    </row>
    <row r="314" ht="12.75" customHeight="1">
      <c r="A314" s="57" t="s">
        <v>433</v>
      </c>
      <c r="B314" s="58" t="s">
        <v>181</v>
      </c>
      <c r="C314" s="58" t="s">
        <v>442</v>
      </c>
    </row>
    <row r="315" ht="12.75" customHeight="1">
      <c r="A315" s="57" t="s">
        <v>433</v>
      </c>
      <c r="B315" s="58" t="s">
        <v>181</v>
      </c>
      <c r="C315" s="58" t="s">
        <v>184</v>
      </c>
    </row>
    <row r="316" ht="12.75" customHeight="1">
      <c r="A316" s="57" t="s">
        <v>433</v>
      </c>
      <c r="B316" s="58" t="s">
        <v>181</v>
      </c>
      <c r="C316" s="58" t="s">
        <v>185</v>
      </c>
    </row>
    <row r="317" ht="12.75" customHeight="1">
      <c r="A317" s="57" t="s">
        <v>433</v>
      </c>
      <c r="B317" s="58" t="s">
        <v>181</v>
      </c>
      <c r="C317" s="58" t="s">
        <v>187</v>
      </c>
    </row>
    <row r="318" ht="12.75" customHeight="1">
      <c r="A318" s="57" t="s">
        <v>433</v>
      </c>
      <c r="B318" s="58" t="s">
        <v>181</v>
      </c>
      <c r="C318" s="58" t="s">
        <v>188</v>
      </c>
    </row>
    <row r="319" ht="12.75" customHeight="1">
      <c r="A319" s="57" t="s">
        <v>433</v>
      </c>
      <c r="B319" s="58" t="s">
        <v>181</v>
      </c>
      <c r="C319" s="58" t="s">
        <v>378</v>
      </c>
    </row>
    <row r="320" ht="12.75" customHeight="1">
      <c r="A320" s="57" t="s">
        <v>433</v>
      </c>
      <c r="B320" s="58" t="s">
        <v>181</v>
      </c>
      <c r="C320" s="58" t="s">
        <v>194</v>
      </c>
    </row>
    <row r="321" ht="12.75" customHeight="1">
      <c r="A321" s="57" t="s">
        <v>433</v>
      </c>
      <c r="B321" s="58" t="s">
        <v>254</v>
      </c>
      <c r="C321" s="58" t="s">
        <v>204</v>
      </c>
    </row>
    <row r="322" ht="12.75" customHeight="1">
      <c r="A322" s="57" t="s">
        <v>433</v>
      </c>
      <c r="B322" s="58" t="s">
        <v>254</v>
      </c>
      <c r="C322" s="58" t="s">
        <v>443</v>
      </c>
    </row>
    <row r="323" ht="12.75" customHeight="1">
      <c r="A323" s="57" t="s">
        <v>433</v>
      </c>
      <c r="B323" s="58" t="s">
        <v>246</v>
      </c>
      <c r="C323" s="58" t="s">
        <v>444</v>
      </c>
    </row>
    <row r="324" ht="12.75" customHeight="1">
      <c r="A324" s="57" t="s">
        <v>433</v>
      </c>
      <c r="B324" s="58" t="s">
        <v>246</v>
      </c>
      <c r="C324" s="58" t="s">
        <v>445</v>
      </c>
    </row>
    <row r="325" ht="12.75" customHeight="1">
      <c r="A325" s="57" t="s">
        <v>433</v>
      </c>
      <c r="B325" s="58" t="s">
        <v>246</v>
      </c>
      <c r="C325" s="58" t="s">
        <v>446</v>
      </c>
    </row>
    <row r="326" ht="12.75" customHeight="1">
      <c r="A326" s="57" t="s">
        <v>433</v>
      </c>
      <c r="B326" s="58" t="s">
        <v>246</v>
      </c>
      <c r="C326" s="58" t="s">
        <v>447</v>
      </c>
    </row>
    <row r="327" ht="12.75" customHeight="1">
      <c r="A327" s="57" t="s">
        <v>433</v>
      </c>
      <c r="B327" s="58" t="s">
        <v>246</v>
      </c>
      <c r="C327" s="58" t="s">
        <v>248</v>
      </c>
    </row>
    <row r="328" ht="12.75" customHeight="1">
      <c r="A328" s="57" t="s">
        <v>433</v>
      </c>
      <c r="B328" s="58" t="s">
        <v>246</v>
      </c>
      <c r="C328" s="58" t="s">
        <v>448</v>
      </c>
    </row>
    <row r="329" ht="12.75" customHeight="1">
      <c r="A329" s="57" t="s">
        <v>433</v>
      </c>
      <c r="B329" s="58" t="s">
        <v>449</v>
      </c>
      <c r="C329" s="58" t="s">
        <v>203</v>
      </c>
    </row>
    <row r="330" ht="12.75" customHeight="1">
      <c r="A330" s="57" t="s">
        <v>433</v>
      </c>
      <c r="B330" s="58" t="s">
        <v>449</v>
      </c>
      <c r="C330" s="58" t="s">
        <v>205</v>
      </c>
    </row>
    <row r="331" ht="12.75" customHeight="1">
      <c r="A331" s="57" t="s">
        <v>433</v>
      </c>
      <c r="B331" s="58" t="s">
        <v>449</v>
      </c>
      <c r="C331" s="58" t="s">
        <v>206</v>
      </c>
    </row>
    <row r="332" ht="12.75" customHeight="1">
      <c r="A332" s="57" t="s">
        <v>433</v>
      </c>
      <c r="B332" s="58" t="s">
        <v>449</v>
      </c>
      <c r="C332" s="58" t="s">
        <v>208</v>
      </c>
    </row>
    <row r="333" ht="12.75" customHeight="1">
      <c r="A333" s="57" t="s">
        <v>433</v>
      </c>
      <c r="B333" s="58" t="s">
        <v>449</v>
      </c>
      <c r="C333" s="58" t="s">
        <v>395</v>
      </c>
    </row>
    <row r="334" ht="12.75" customHeight="1">
      <c r="A334" s="57" t="s">
        <v>433</v>
      </c>
      <c r="B334" s="58" t="s">
        <v>449</v>
      </c>
      <c r="C334" s="58" t="s">
        <v>195</v>
      </c>
    </row>
    <row r="335" ht="12.75" customHeight="1">
      <c r="A335" s="57" t="s">
        <v>433</v>
      </c>
      <c r="B335" s="58" t="s">
        <v>449</v>
      </c>
      <c r="C335" s="58" t="s">
        <v>210</v>
      </c>
    </row>
    <row r="336" ht="12.75" customHeight="1">
      <c r="A336" s="57" t="s">
        <v>433</v>
      </c>
      <c r="B336" s="58" t="s">
        <v>449</v>
      </c>
      <c r="C336" s="58" t="s">
        <v>211</v>
      </c>
    </row>
    <row r="337" ht="12.75" customHeight="1">
      <c r="A337" s="57" t="s">
        <v>433</v>
      </c>
      <c r="B337" s="58" t="s">
        <v>449</v>
      </c>
      <c r="C337" s="58" t="s">
        <v>212</v>
      </c>
    </row>
    <row r="338" ht="12.75" customHeight="1">
      <c r="A338" s="57" t="s">
        <v>433</v>
      </c>
      <c r="B338" s="58" t="s">
        <v>449</v>
      </c>
      <c r="C338" s="58" t="s">
        <v>213</v>
      </c>
    </row>
    <row r="339" ht="12.75" customHeight="1">
      <c r="A339" s="57" t="s">
        <v>433</v>
      </c>
      <c r="B339" s="58" t="s">
        <v>270</v>
      </c>
      <c r="C339" s="58" t="s">
        <v>450</v>
      </c>
    </row>
    <row r="340" ht="12.75" customHeight="1">
      <c r="A340" s="57" t="s">
        <v>433</v>
      </c>
      <c r="B340" s="58" t="s">
        <v>270</v>
      </c>
      <c r="C340" s="58" t="s">
        <v>397</v>
      </c>
    </row>
    <row r="341" ht="12.75" customHeight="1">
      <c r="A341" s="57" t="s">
        <v>433</v>
      </c>
      <c r="B341" s="58" t="s">
        <v>270</v>
      </c>
      <c r="C341" s="58" t="s">
        <v>451</v>
      </c>
    </row>
    <row r="342" ht="12.75" customHeight="1">
      <c r="A342" s="57" t="s">
        <v>433</v>
      </c>
      <c r="B342" s="58" t="s">
        <v>270</v>
      </c>
      <c r="C342" s="58" t="s">
        <v>279</v>
      </c>
    </row>
    <row r="343" ht="12.75" customHeight="1">
      <c r="A343" s="57" t="s">
        <v>433</v>
      </c>
      <c r="B343" s="58" t="s">
        <v>270</v>
      </c>
      <c r="C343" s="58" t="s">
        <v>402</v>
      </c>
    </row>
    <row r="344" ht="12.75" customHeight="1">
      <c r="A344" s="57" t="s">
        <v>433</v>
      </c>
      <c r="B344" s="58" t="s">
        <v>270</v>
      </c>
      <c r="C344" s="58" t="s">
        <v>452</v>
      </c>
    </row>
    <row r="345" ht="12.75" customHeight="1">
      <c r="A345" s="57" t="s">
        <v>433</v>
      </c>
      <c r="B345" s="58" t="s">
        <v>270</v>
      </c>
      <c r="C345" s="58" t="s">
        <v>284</v>
      </c>
    </row>
    <row r="346" ht="12.75" customHeight="1">
      <c r="A346" s="57" t="s">
        <v>433</v>
      </c>
      <c r="B346" s="58" t="s">
        <v>270</v>
      </c>
      <c r="C346" s="58" t="s">
        <v>285</v>
      </c>
    </row>
    <row r="347" ht="12.75" customHeight="1">
      <c r="A347" s="57" t="s">
        <v>433</v>
      </c>
      <c r="B347" s="58" t="s">
        <v>270</v>
      </c>
      <c r="C347" s="58" t="s">
        <v>453</v>
      </c>
    </row>
    <row r="348" ht="12.75" customHeight="1">
      <c r="A348" s="57" t="s">
        <v>433</v>
      </c>
      <c r="B348" s="58" t="s">
        <v>251</v>
      </c>
      <c r="C348" s="58" t="s">
        <v>252</v>
      </c>
    </row>
    <row r="349" ht="12.75" customHeight="1">
      <c r="A349" s="57" t="s">
        <v>433</v>
      </c>
      <c r="B349" s="58" t="s">
        <v>251</v>
      </c>
      <c r="C349" s="58" t="s">
        <v>253</v>
      </c>
    </row>
    <row r="350" ht="12.75" customHeight="1">
      <c r="A350" s="57" t="s">
        <v>433</v>
      </c>
      <c r="B350" s="58" t="s">
        <v>251</v>
      </c>
      <c r="C350" s="58" t="s">
        <v>454</v>
      </c>
    </row>
    <row r="351" ht="12.75" customHeight="1">
      <c r="A351" s="57" t="s">
        <v>433</v>
      </c>
      <c r="B351" s="58" t="s">
        <v>251</v>
      </c>
      <c r="C351" s="58" t="s">
        <v>455</v>
      </c>
    </row>
    <row r="352" ht="12.75" customHeight="1">
      <c r="A352" s="57" t="s">
        <v>433</v>
      </c>
      <c r="B352" s="58" t="s">
        <v>251</v>
      </c>
      <c r="C352" s="58" t="s">
        <v>418</v>
      </c>
    </row>
    <row r="353" ht="12.75" customHeight="1">
      <c r="A353" s="57" t="s">
        <v>433</v>
      </c>
      <c r="B353" s="58" t="s">
        <v>456</v>
      </c>
      <c r="C353" s="58" t="s">
        <v>457</v>
      </c>
    </row>
    <row r="354" ht="12.75" customHeight="1">
      <c r="A354" s="57" t="s">
        <v>433</v>
      </c>
      <c r="B354" s="58" t="s">
        <v>456</v>
      </c>
      <c r="C354" s="58" t="s">
        <v>458</v>
      </c>
    </row>
    <row r="355" ht="12.75" customHeight="1">
      <c r="A355" s="57" t="s">
        <v>433</v>
      </c>
      <c r="B355" s="58" t="s">
        <v>456</v>
      </c>
      <c r="C355" s="58" t="s">
        <v>459</v>
      </c>
    </row>
    <row r="356" ht="12.75" customHeight="1">
      <c r="A356" s="57" t="s">
        <v>433</v>
      </c>
      <c r="B356" s="58" t="s">
        <v>456</v>
      </c>
      <c r="C356" s="58" t="s">
        <v>460</v>
      </c>
    </row>
    <row r="357" ht="12.75" customHeight="1">
      <c r="A357" s="57" t="s">
        <v>433</v>
      </c>
      <c r="B357" s="58" t="s">
        <v>456</v>
      </c>
      <c r="C357" s="58" t="s">
        <v>461</v>
      </c>
    </row>
    <row r="358" ht="12.75" customHeight="1">
      <c r="A358" s="57" t="s">
        <v>433</v>
      </c>
      <c r="B358" s="58" t="s">
        <v>462</v>
      </c>
      <c r="C358" s="58" t="s">
        <v>351</v>
      </c>
    </row>
    <row r="359" ht="12.75" customHeight="1">
      <c r="A359" s="57" t="s">
        <v>433</v>
      </c>
      <c r="B359" s="58" t="s">
        <v>462</v>
      </c>
      <c r="C359" s="58" t="s">
        <v>430</v>
      </c>
    </row>
    <row r="360" ht="12.75" customHeight="1">
      <c r="A360" s="57" t="s">
        <v>433</v>
      </c>
      <c r="B360" s="58" t="s">
        <v>462</v>
      </c>
      <c r="C360" s="58" t="s">
        <v>336</v>
      </c>
    </row>
    <row r="361" ht="12.75" customHeight="1">
      <c r="A361" s="57" t="s">
        <v>433</v>
      </c>
      <c r="B361" s="58" t="s">
        <v>462</v>
      </c>
      <c r="C361" s="58" t="s">
        <v>339</v>
      </c>
    </row>
    <row r="362" ht="12.75" customHeight="1">
      <c r="A362" s="57" t="s">
        <v>433</v>
      </c>
      <c r="B362" s="58" t="s">
        <v>462</v>
      </c>
      <c r="C362" s="58" t="s">
        <v>341</v>
      </c>
    </row>
    <row r="363" ht="12.75" customHeight="1">
      <c r="A363" s="57" t="s">
        <v>433</v>
      </c>
      <c r="B363" s="58" t="s">
        <v>463</v>
      </c>
      <c r="C363" s="58" t="s">
        <v>464</v>
      </c>
    </row>
    <row r="364" ht="12.75" customHeight="1">
      <c r="A364" s="57" t="s">
        <v>433</v>
      </c>
      <c r="B364" s="58" t="s">
        <v>463</v>
      </c>
      <c r="C364" s="58" t="s">
        <v>465</v>
      </c>
    </row>
    <row r="365" ht="12.75" customHeight="1">
      <c r="A365" s="57" t="s">
        <v>433</v>
      </c>
      <c r="B365" s="58" t="s">
        <v>463</v>
      </c>
      <c r="C365" s="58" t="s">
        <v>466</v>
      </c>
    </row>
    <row r="366" ht="12.75" customHeight="1">
      <c r="A366" s="57" t="s">
        <v>433</v>
      </c>
      <c r="B366" s="58" t="s">
        <v>463</v>
      </c>
      <c r="C366" s="58" t="s">
        <v>467</v>
      </c>
    </row>
    <row r="367" ht="12.75" customHeight="1">
      <c r="A367" s="57" t="s">
        <v>433</v>
      </c>
      <c r="B367" s="58" t="s">
        <v>463</v>
      </c>
      <c r="C367" s="58" t="s">
        <v>468</v>
      </c>
    </row>
    <row r="368" ht="12.75" customHeight="1">
      <c r="A368" s="57" t="s">
        <v>433</v>
      </c>
      <c r="B368" s="58" t="s">
        <v>463</v>
      </c>
      <c r="C368" s="58" t="s">
        <v>469</v>
      </c>
    </row>
    <row r="369" ht="12.75" customHeight="1">
      <c r="A369" s="57" t="s">
        <v>433</v>
      </c>
      <c r="B369" s="58" t="s">
        <v>463</v>
      </c>
      <c r="C369" s="58" t="s">
        <v>470</v>
      </c>
    </row>
    <row r="370" ht="12.75" customHeight="1">
      <c r="A370" s="57" t="s">
        <v>433</v>
      </c>
      <c r="B370" s="58" t="s">
        <v>463</v>
      </c>
      <c r="C370" s="58" t="s">
        <v>471</v>
      </c>
    </row>
    <row r="371" ht="12.75" customHeight="1">
      <c r="A371" s="57" t="s">
        <v>472</v>
      </c>
      <c r="B371" s="58" t="s">
        <v>473</v>
      </c>
      <c r="C371" s="58" t="s">
        <v>474</v>
      </c>
    </row>
    <row r="372" ht="12.75" customHeight="1">
      <c r="A372" s="57" t="s">
        <v>472</v>
      </c>
      <c r="B372" s="58" t="s">
        <v>473</v>
      </c>
      <c r="C372" s="58" t="s">
        <v>475</v>
      </c>
    </row>
    <row r="373" ht="12.75" customHeight="1">
      <c r="A373" s="57" t="s">
        <v>472</v>
      </c>
      <c r="B373" s="58" t="s">
        <v>473</v>
      </c>
      <c r="C373" s="58" t="s">
        <v>476</v>
      </c>
    </row>
    <row r="374" ht="12.75" customHeight="1">
      <c r="A374" s="57" t="s">
        <v>472</v>
      </c>
      <c r="B374" s="58" t="s">
        <v>473</v>
      </c>
      <c r="C374" s="58" t="s">
        <v>477</v>
      </c>
    </row>
    <row r="375" ht="12.75" customHeight="1">
      <c r="A375" s="57" t="s">
        <v>472</v>
      </c>
      <c r="B375" s="58" t="s">
        <v>473</v>
      </c>
      <c r="C375" s="58" t="s">
        <v>478</v>
      </c>
    </row>
    <row r="376" ht="12.75" customHeight="1">
      <c r="A376" s="57" t="s">
        <v>472</v>
      </c>
      <c r="B376" s="58" t="s">
        <v>473</v>
      </c>
      <c r="C376" s="58" t="s">
        <v>479</v>
      </c>
    </row>
    <row r="377" ht="12.75" customHeight="1">
      <c r="A377" s="57" t="s">
        <v>472</v>
      </c>
      <c r="B377" s="58" t="s">
        <v>473</v>
      </c>
      <c r="C377" s="58" t="s">
        <v>480</v>
      </c>
    </row>
    <row r="378" ht="12.75" customHeight="1">
      <c r="A378" s="57" t="s">
        <v>472</v>
      </c>
      <c r="B378" s="58" t="s">
        <v>473</v>
      </c>
      <c r="C378" s="58" t="s">
        <v>481</v>
      </c>
    </row>
    <row r="379" ht="12.75" customHeight="1">
      <c r="A379" s="57" t="s">
        <v>472</v>
      </c>
      <c r="B379" s="58" t="s">
        <v>473</v>
      </c>
      <c r="C379" s="58" t="s">
        <v>482</v>
      </c>
    </row>
    <row r="380" ht="12.75" customHeight="1">
      <c r="A380" s="57" t="s">
        <v>472</v>
      </c>
      <c r="B380" s="58" t="s">
        <v>473</v>
      </c>
      <c r="C380" s="58" t="s">
        <v>483</v>
      </c>
    </row>
    <row r="381" ht="12.75" customHeight="1">
      <c r="A381" s="57" t="s">
        <v>472</v>
      </c>
      <c r="B381" s="58" t="s">
        <v>473</v>
      </c>
      <c r="C381" s="58" t="s">
        <v>484</v>
      </c>
    </row>
    <row r="382" ht="12.75" customHeight="1">
      <c r="A382" s="57" t="s">
        <v>472</v>
      </c>
      <c r="B382" s="58" t="s">
        <v>473</v>
      </c>
      <c r="C382" s="58" t="s">
        <v>485</v>
      </c>
    </row>
    <row r="383" ht="12.75" customHeight="1">
      <c r="A383" s="57" t="s">
        <v>472</v>
      </c>
      <c r="B383" s="58" t="s">
        <v>486</v>
      </c>
      <c r="C383" s="58" t="s">
        <v>487</v>
      </c>
    </row>
    <row r="384" ht="12.75" customHeight="1">
      <c r="A384" s="57" t="s">
        <v>472</v>
      </c>
      <c r="B384" s="58" t="s">
        <v>486</v>
      </c>
      <c r="C384" s="58" t="s">
        <v>488</v>
      </c>
    </row>
    <row r="385" ht="12.75" customHeight="1">
      <c r="A385" s="57" t="s">
        <v>472</v>
      </c>
      <c r="B385" s="58" t="s">
        <v>486</v>
      </c>
      <c r="C385" s="58" t="s">
        <v>489</v>
      </c>
    </row>
    <row r="386" ht="12.75" customHeight="1">
      <c r="A386" s="57" t="s">
        <v>472</v>
      </c>
      <c r="B386" s="58" t="s">
        <v>486</v>
      </c>
      <c r="C386" s="58" t="s">
        <v>490</v>
      </c>
    </row>
    <row r="387" ht="12.75" customHeight="1">
      <c r="A387" s="57" t="s">
        <v>472</v>
      </c>
      <c r="B387" s="58" t="s">
        <v>486</v>
      </c>
      <c r="C387" s="58" t="s">
        <v>491</v>
      </c>
    </row>
    <row r="388" ht="12.75" customHeight="1">
      <c r="A388" s="57" t="s">
        <v>472</v>
      </c>
      <c r="B388" s="58" t="s">
        <v>486</v>
      </c>
      <c r="C388" s="58" t="s">
        <v>492</v>
      </c>
    </row>
    <row r="389" ht="12.75" customHeight="1">
      <c r="A389" s="57" t="s">
        <v>472</v>
      </c>
      <c r="B389" s="58" t="s">
        <v>486</v>
      </c>
      <c r="C389" s="58" t="s">
        <v>493</v>
      </c>
    </row>
    <row r="390" ht="12.75" customHeight="1">
      <c r="A390" s="57" t="s">
        <v>472</v>
      </c>
      <c r="B390" s="58" t="s">
        <v>486</v>
      </c>
      <c r="C390" s="58" t="s">
        <v>494</v>
      </c>
    </row>
    <row r="391" ht="12.75" customHeight="1">
      <c r="A391" s="57" t="s">
        <v>472</v>
      </c>
      <c r="B391" s="58" t="s">
        <v>486</v>
      </c>
      <c r="C391" s="58" t="s">
        <v>495</v>
      </c>
    </row>
    <row r="392" ht="12.75" customHeight="1">
      <c r="A392" s="57" t="s">
        <v>472</v>
      </c>
      <c r="B392" s="58" t="s">
        <v>486</v>
      </c>
      <c r="C392" s="58" t="s">
        <v>496</v>
      </c>
    </row>
    <row r="393" ht="12.75" customHeight="1">
      <c r="A393" s="57" t="s">
        <v>472</v>
      </c>
      <c r="B393" s="58" t="s">
        <v>497</v>
      </c>
      <c r="C393" s="58" t="s">
        <v>498</v>
      </c>
    </row>
    <row r="394" ht="12.75" customHeight="1">
      <c r="A394" s="57" t="s">
        <v>472</v>
      </c>
      <c r="B394" s="58" t="s">
        <v>497</v>
      </c>
      <c r="C394" s="58" t="s">
        <v>499</v>
      </c>
    </row>
    <row r="395" ht="12.75" customHeight="1">
      <c r="A395" s="57" t="s">
        <v>472</v>
      </c>
      <c r="B395" s="58" t="s">
        <v>497</v>
      </c>
      <c r="C395" s="58" t="s">
        <v>500</v>
      </c>
    </row>
    <row r="396" ht="12.75" customHeight="1">
      <c r="A396" s="57" t="s">
        <v>472</v>
      </c>
      <c r="B396" s="58" t="s">
        <v>497</v>
      </c>
      <c r="C396" s="58" t="s">
        <v>501</v>
      </c>
    </row>
    <row r="397" ht="12.75" customHeight="1">
      <c r="A397" s="57" t="s">
        <v>472</v>
      </c>
      <c r="B397" s="58" t="s">
        <v>497</v>
      </c>
      <c r="C397" s="58" t="s">
        <v>502</v>
      </c>
    </row>
    <row r="398" ht="12.75" customHeight="1">
      <c r="A398" s="57" t="s">
        <v>472</v>
      </c>
      <c r="B398" s="58" t="s">
        <v>497</v>
      </c>
      <c r="C398" s="58" t="s">
        <v>503</v>
      </c>
    </row>
    <row r="399" ht="12.75" customHeight="1">
      <c r="A399" s="57" t="s">
        <v>472</v>
      </c>
      <c r="B399" s="58" t="s">
        <v>497</v>
      </c>
      <c r="C399" s="58" t="s">
        <v>504</v>
      </c>
    </row>
    <row r="400" ht="12.75" customHeight="1">
      <c r="A400" s="57" t="s">
        <v>472</v>
      </c>
      <c r="B400" s="58" t="s">
        <v>497</v>
      </c>
      <c r="C400" s="58" t="s">
        <v>505</v>
      </c>
    </row>
    <row r="401" ht="12.75" customHeight="1">
      <c r="A401" s="57" t="s">
        <v>472</v>
      </c>
      <c r="B401" s="58" t="s">
        <v>497</v>
      </c>
      <c r="C401" s="58" t="s">
        <v>506</v>
      </c>
    </row>
    <row r="402" ht="12.75" customHeight="1">
      <c r="A402" s="57" t="s">
        <v>472</v>
      </c>
      <c r="B402" s="58" t="s">
        <v>497</v>
      </c>
      <c r="C402" s="58" t="s">
        <v>507</v>
      </c>
    </row>
    <row r="403" ht="12.75" customHeight="1">
      <c r="A403" s="57" t="s">
        <v>472</v>
      </c>
      <c r="B403" s="58" t="s">
        <v>508</v>
      </c>
      <c r="C403" s="58" t="s">
        <v>509</v>
      </c>
    </row>
    <row r="404" ht="12.75" customHeight="1">
      <c r="A404" s="57" t="s">
        <v>472</v>
      </c>
      <c r="B404" s="58" t="s">
        <v>508</v>
      </c>
      <c r="C404" s="58" t="s">
        <v>510</v>
      </c>
    </row>
    <row r="405" ht="12.75" customHeight="1">
      <c r="A405" s="57" t="s">
        <v>472</v>
      </c>
      <c r="B405" s="58" t="s">
        <v>508</v>
      </c>
      <c r="C405" s="58" t="s">
        <v>511</v>
      </c>
    </row>
    <row r="406" ht="12.75" customHeight="1">
      <c r="A406" s="57" t="s">
        <v>472</v>
      </c>
      <c r="B406" s="58" t="s">
        <v>508</v>
      </c>
      <c r="C406" s="58" t="s">
        <v>512</v>
      </c>
    </row>
    <row r="407" ht="12.75" customHeight="1">
      <c r="A407" s="57" t="s">
        <v>472</v>
      </c>
      <c r="B407" s="58" t="s">
        <v>508</v>
      </c>
      <c r="C407" s="58" t="s">
        <v>513</v>
      </c>
    </row>
    <row r="408" ht="12.75" customHeight="1">
      <c r="A408" s="57" t="s">
        <v>472</v>
      </c>
      <c r="B408" s="58" t="s">
        <v>508</v>
      </c>
      <c r="C408" s="58" t="s">
        <v>514</v>
      </c>
    </row>
    <row r="409" ht="12.75" customHeight="1">
      <c r="A409" s="57" t="s">
        <v>472</v>
      </c>
      <c r="B409" s="58" t="s">
        <v>508</v>
      </c>
      <c r="C409" s="58" t="s">
        <v>515</v>
      </c>
    </row>
    <row r="410" ht="12.75" customHeight="1">
      <c r="A410" s="57" t="s">
        <v>472</v>
      </c>
      <c r="B410" s="58" t="s">
        <v>516</v>
      </c>
      <c r="C410" s="58" t="s">
        <v>517</v>
      </c>
    </row>
    <row r="411" ht="12.75" customHeight="1">
      <c r="A411" s="57" t="s">
        <v>472</v>
      </c>
      <c r="B411" s="58" t="s">
        <v>516</v>
      </c>
      <c r="C411" s="58" t="s">
        <v>518</v>
      </c>
    </row>
    <row r="412" ht="12.75" customHeight="1">
      <c r="A412" s="57" t="s">
        <v>472</v>
      </c>
      <c r="B412" s="58" t="s">
        <v>516</v>
      </c>
      <c r="C412" s="58" t="s">
        <v>519</v>
      </c>
    </row>
    <row r="413" ht="12.75" customHeight="1">
      <c r="A413" s="57" t="s">
        <v>472</v>
      </c>
      <c r="B413" s="58" t="s">
        <v>516</v>
      </c>
      <c r="C413" s="58" t="s">
        <v>520</v>
      </c>
    </row>
    <row r="414" ht="12.75" customHeight="1">
      <c r="A414" s="57" t="s">
        <v>472</v>
      </c>
      <c r="B414" s="58" t="s">
        <v>516</v>
      </c>
      <c r="C414" s="58" t="s">
        <v>521</v>
      </c>
    </row>
    <row r="415" ht="12.75" customHeight="1">
      <c r="A415" s="57" t="s">
        <v>472</v>
      </c>
      <c r="B415" s="58" t="s">
        <v>516</v>
      </c>
      <c r="C415" s="58" t="s">
        <v>522</v>
      </c>
    </row>
    <row r="416" ht="12.75" customHeight="1">
      <c r="A416" s="57" t="s">
        <v>472</v>
      </c>
      <c r="B416" s="58" t="s">
        <v>523</v>
      </c>
      <c r="C416" s="58" t="s">
        <v>524</v>
      </c>
    </row>
    <row r="417" ht="12.75" customHeight="1">
      <c r="A417" s="57" t="s">
        <v>472</v>
      </c>
      <c r="B417" s="58" t="s">
        <v>523</v>
      </c>
      <c r="C417" s="58" t="s">
        <v>525</v>
      </c>
    </row>
    <row r="418" ht="12.75" customHeight="1">
      <c r="A418" s="57" t="s">
        <v>472</v>
      </c>
      <c r="B418" s="58" t="s">
        <v>523</v>
      </c>
      <c r="C418" s="58" t="s">
        <v>526</v>
      </c>
    </row>
    <row r="419" ht="12.75" customHeight="1">
      <c r="A419" s="57" t="s">
        <v>472</v>
      </c>
      <c r="B419" s="58" t="s">
        <v>523</v>
      </c>
      <c r="C419" s="58" t="s">
        <v>527</v>
      </c>
    </row>
    <row r="420" ht="12.75" customHeight="1">
      <c r="A420" s="57" t="s">
        <v>472</v>
      </c>
      <c r="B420" s="58" t="s">
        <v>523</v>
      </c>
      <c r="C420" s="58" t="s">
        <v>528</v>
      </c>
    </row>
    <row r="421" ht="12.75" customHeight="1">
      <c r="A421" s="57" t="s">
        <v>472</v>
      </c>
      <c r="B421" s="58" t="s">
        <v>523</v>
      </c>
      <c r="C421" s="58" t="s">
        <v>529</v>
      </c>
    </row>
    <row r="422" ht="12.75" customHeight="1">
      <c r="A422" s="57" t="s">
        <v>472</v>
      </c>
      <c r="B422" s="58" t="s">
        <v>523</v>
      </c>
      <c r="C422" s="58" t="s">
        <v>530</v>
      </c>
    </row>
    <row r="423" ht="12.75" customHeight="1">
      <c r="A423" s="57" t="s">
        <v>472</v>
      </c>
      <c r="B423" s="58" t="s">
        <v>523</v>
      </c>
      <c r="C423" s="58" t="s">
        <v>531</v>
      </c>
    </row>
    <row r="424" ht="12.75" customHeight="1">
      <c r="A424" s="57" t="s">
        <v>472</v>
      </c>
      <c r="B424" s="58" t="s">
        <v>523</v>
      </c>
      <c r="C424" s="58" t="s">
        <v>532</v>
      </c>
    </row>
    <row r="425" ht="12.75" customHeight="1">
      <c r="A425" s="57" t="s">
        <v>472</v>
      </c>
      <c r="B425" s="58" t="s">
        <v>533</v>
      </c>
      <c r="C425" s="58" t="s">
        <v>534</v>
      </c>
    </row>
    <row r="426" ht="12.75" customHeight="1">
      <c r="A426" s="57" t="s">
        <v>472</v>
      </c>
      <c r="B426" s="58" t="s">
        <v>533</v>
      </c>
      <c r="C426" s="58" t="s">
        <v>535</v>
      </c>
    </row>
    <row r="427" ht="12.75" customHeight="1">
      <c r="A427" s="57" t="s">
        <v>472</v>
      </c>
      <c r="B427" s="58" t="s">
        <v>533</v>
      </c>
      <c r="C427" s="58" t="s">
        <v>536</v>
      </c>
    </row>
    <row r="428" ht="12.75" customHeight="1">
      <c r="A428" s="57" t="s">
        <v>472</v>
      </c>
      <c r="B428" s="58" t="s">
        <v>533</v>
      </c>
      <c r="C428" s="58" t="s">
        <v>537</v>
      </c>
    </row>
    <row r="429" ht="12.75" customHeight="1">
      <c r="A429" s="57" t="s">
        <v>472</v>
      </c>
      <c r="B429" s="58" t="s">
        <v>538</v>
      </c>
      <c r="C429" s="58" t="s">
        <v>539</v>
      </c>
    </row>
    <row r="430" ht="12.75" customHeight="1">
      <c r="A430" s="57" t="s">
        <v>472</v>
      </c>
      <c r="B430" s="58" t="s">
        <v>538</v>
      </c>
      <c r="C430" s="58" t="s">
        <v>540</v>
      </c>
    </row>
    <row r="431" ht="12.75" customHeight="1">
      <c r="A431" s="57" t="s">
        <v>472</v>
      </c>
      <c r="B431" s="58" t="s">
        <v>538</v>
      </c>
      <c r="C431" s="58" t="s">
        <v>541</v>
      </c>
    </row>
    <row r="432" ht="12.75" customHeight="1">
      <c r="A432" s="57" t="s">
        <v>472</v>
      </c>
      <c r="B432" s="58" t="s">
        <v>538</v>
      </c>
      <c r="C432" s="58" t="s">
        <v>542</v>
      </c>
    </row>
    <row r="433" ht="12.75" customHeight="1">
      <c r="A433" s="57" t="s">
        <v>472</v>
      </c>
      <c r="B433" s="58" t="s">
        <v>538</v>
      </c>
      <c r="C433" s="58" t="s">
        <v>543</v>
      </c>
    </row>
    <row r="434" ht="12.75" customHeight="1">
      <c r="A434" s="57" t="s">
        <v>472</v>
      </c>
      <c r="B434" s="58" t="s">
        <v>538</v>
      </c>
      <c r="C434" s="58" t="s">
        <v>544</v>
      </c>
    </row>
    <row r="435" ht="12.75" customHeight="1">
      <c r="A435" s="57" t="s">
        <v>472</v>
      </c>
      <c r="B435" s="58" t="s">
        <v>538</v>
      </c>
      <c r="C435" s="58" t="s">
        <v>545</v>
      </c>
    </row>
    <row r="436" ht="12.75" customHeight="1">
      <c r="A436" s="57" t="s">
        <v>472</v>
      </c>
      <c r="B436" s="58" t="s">
        <v>546</v>
      </c>
      <c r="C436" s="58" t="s">
        <v>547</v>
      </c>
    </row>
    <row r="437" ht="12.75" customHeight="1">
      <c r="A437" s="57" t="s">
        <v>472</v>
      </c>
      <c r="B437" s="58" t="s">
        <v>546</v>
      </c>
      <c r="C437" s="58" t="s">
        <v>548</v>
      </c>
    </row>
    <row r="438" ht="12.75" customHeight="1">
      <c r="A438" s="57" t="s">
        <v>472</v>
      </c>
      <c r="B438" s="58" t="s">
        <v>546</v>
      </c>
      <c r="C438" s="58" t="s">
        <v>549</v>
      </c>
    </row>
    <row r="439" ht="12.75" customHeight="1">
      <c r="A439" s="57" t="s">
        <v>472</v>
      </c>
      <c r="B439" s="58" t="s">
        <v>546</v>
      </c>
      <c r="C439" s="58" t="s">
        <v>550</v>
      </c>
    </row>
    <row r="440" ht="12.75" customHeight="1">
      <c r="A440" s="57" t="s">
        <v>472</v>
      </c>
      <c r="B440" s="58" t="s">
        <v>546</v>
      </c>
      <c r="C440" s="58" t="s">
        <v>551</v>
      </c>
    </row>
    <row r="441" ht="12.75" customHeight="1">
      <c r="A441" s="57" t="s">
        <v>472</v>
      </c>
      <c r="B441" s="58" t="s">
        <v>546</v>
      </c>
      <c r="C441" s="58" t="s">
        <v>552</v>
      </c>
    </row>
    <row r="442" ht="12.75" customHeight="1">
      <c r="A442" s="57" t="s">
        <v>472</v>
      </c>
      <c r="B442" s="58" t="s">
        <v>546</v>
      </c>
      <c r="C442" s="58" t="s">
        <v>553</v>
      </c>
    </row>
    <row r="443" ht="12.75" customHeight="1">
      <c r="A443" s="57" t="s">
        <v>472</v>
      </c>
      <c r="B443" s="58" t="s">
        <v>546</v>
      </c>
      <c r="C443" s="58" t="s">
        <v>554</v>
      </c>
    </row>
    <row r="444" ht="12.75" customHeight="1">
      <c r="A444" s="57" t="s">
        <v>472</v>
      </c>
      <c r="B444" s="58" t="s">
        <v>546</v>
      </c>
      <c r="C444" s="58" t="s">
        <v>555</v>
      </c>
    </row>
    <row r="445" ht="12.75" customHeight="1">
      <c r="A445" s="57" t="s">
        <v>472</v>
      </c>
      <c r="B445" s="58" t="s">
        <v>546</v>
      </c>
      <c r="C445" s="58" t="s">
        <v>556</v>
      </c>
    </row>
    <row r="446" ht="12.75" customHeight="1">
      <c r="A446" s="57" t="s">
        <v>472</v>
      </c>
      <c r="B446" s="58" t="s">
        <v>557</v>
      </c>
      <c r="C446" s="58" t="s">
        <v>558</v>
      </c>
    </row>
    <row r="447" ht="12.75" customHeight="1">
      <c r="A447" s="57" t="s">
        <v>472</v>
      </c>
      <c r="B447" s="58" t="s">
        <v>557</v>
      </c>
      <c r="C447" s="58" t="s">
        <v>559</v>
      </c>
    </row>
    <row r="448" ht="12.75" customHeight="1">
      <c r="A448" s="57" t="s">
        <v>472</v>
      </c>
      <c r="B448" s="58" t="s">
        <v>557</v>
      </c>
      <c r="C448" s="58" t="s">
        <v>560</v>
      </c>
    </row>
    <row r="449" ht="12.75" customHeight="1">
      <c r="A449" s="57" t="s">
        <v>472</v>
      </c>
      <c r="B449" s="58" t="s">
        <v>557</v>
      </c>
      <c r="C449" s="58" t="s">
        <v>561</v>
      </c>
    </row>
    <row r="450" ht="12.75" customHeight="1">
      <c r="A450" s="57" t="s">
        <v>472</v>
      </c>
      <c r="B450" s="58" t="s">
        <v>557</v>
      </c>
      <c r="C450" s="58" t="s">
        <v>562</v>
      </c>
    </row>
    <row r="451" ht="12.75" customHeight="1">
      <c r="A451" s="57" t="s">
        <v>472</v>
      </c>
      <c r="B451" s="58" t="s">
        <v>557</v>
      </c>
      <c r="C451" s="58" t="s">
        <v>563</v>
      </c>
    </row>
    <row r="452" ht="12.75" customHeight="1">
      <c r="A452" s="57" t="s">
        <v>472</v>
      </c>
      <c r="B452" s="58" t="s">
        <v>557</v>
      </c>
      <c r="C452" s="58" t="s">
        <v>519</v>
      </c>
    </row>
    <row r="453" ht="12.75" customHeight="1">
      <c r="A453" s="57" t="s">
        <v>472</v>
      </c>
      <c r="B453" s="58" t="s">
        <v>557</v>
      </c>
      <c r="C453" s="58" t="s">
        <v>564</v>
      </c>
    </row>
    <row r="454" ht="12.75" customHeight="1">
      <c r="A454" s="57" t="s">
        <v>472</v>
      </c>
      <c r="B454" s="58" t="s">
        <v>557</v>
      </c>
      <c r="C454" s="58" t="s">
        <v>565</v>
      </c>
    </row>
    <row r="455" ht="12.75" customHeight="1">
      <c r="A455" s="57" t="s">
        <v>472</v>
      </c>
      <c r="B455" s="58" t="s">
        <v>566</v>
      </c>
      <c r="C455" s="58" t="s">
        <v>567</v>
      </c>
    </row>
    <row r="456" ht="12.75" customHeight="1">
      <c r="A456" s="57" t="s">
        <v>472</v>
      </c>
      <c r="B456" s="58" t="s">
        <v>566</v>
      </c>
      <c r="C456" s="58" t="s">
        <v>568</v>
      </c>
    </row>
    <row r="457" ht="12.75" customHeight="1">
      <c r="A457" s="57" t="s">
        <v>472</v>
      </c>
      <c r="B457" s="58" t="s">
        <v>566</v>
      </c>
      <c r="C457" s="58" t="s">
        <v>569</v>
      </c>
    </row>
    <row r="458" ht="12.75" customHeight="1">
      <c r="A458" s="57" t="s">
        <v>472</v>
      </c>
      <c r="B458" s="58" t="s">
        <v>566</v>
      </c>
      <c r="C458" s="58" t="s">
        <v>570</v>
      </c>
    </row>
    <row r="459" ht="12.75" customHeight="1">
      <c r="A459" s="57" t="s">
        <v>472</v>
      </c>
      <c r="B459" s="58" t="s">
        <v>566</v>
      </c>
      <c r="C459" s="58" t="s">
        <v>571</v>
      </c>
    </row>
    <row r="460" ht="12.75" customHeight="1">
      <c r="A460" s="57" t="s">
        <v>472</v>
      </c>
      <c r="B460" s="58" t="s">
        <v>566</v>
      </c>
      <c r="C460" s="58" t="s">
        <v>572</v>
      </c>
    </row>
    <row r="461" ht="12.75" customHeight="1">
      <c r="A461" s="57" t="s">
        <v>472</v>
      </c>
      <c r="B461" s="58" t="s">
        <v>566</v>
      </c>
      <c r="C461" s="58" t="s">
        <v>573</v>
      </c>
    </row>
    <row r="462" ht="12.75" customHeight="1">
      <c r="A462" s="57" t="s">
        <v>472</v>
      </c>
      <c r="B462" s="58" t="s">
        <v>566</v>
      </c>
      <c r="C462" s="58" t="s">
        <v>300</v>
      </c>
    </row>
    <row r="463" ht="12.75" customHeight="1">
      <c r="A463" s="57" t="s">
        <v>472</v>
      </c>
      <c r="B463" s="58" t="s">
        <v>566</v>
      </c>
      <c r="C463" s="58" t="s">
        <v>574</v>
      </c>
    </row>
    <row r="464" ht="12.75" customHeight="1">
      <c r="A464" s="57" t="s">
        <v>472</v>
      </c>
      <c r="B464" s="58" t="s">
        <v>575</v>
      </c>
      <c r="C464" s="58" t="s">
        <v>576</v>
      </c>
    </row>
    <row r="465" ht="12.75" customHeight="1">
      <c r="A465" s="57" t="s">
        <v>472</v>
      </c>
      <c r="B465" s="58" t="s">
        <v>575</v>
      </c>
      <c r="C465" s="58" t="s">
        <v>577</v>
      </c>
    </row>
    <row r="466" ht="12.75" customHeight="1">
      <c r="A466" s="57" t="s">
        <v>472</v>
      </c>
      <c r="B466" s="58" t="s">
        <v>575</v>
      </c>
      <c r="C466" s="58" t="s">
        <v>578</v>
      </c>
    </row>
    <row r="467" ht="12.75" customHeight="1">
      <c r="A467" s="57" t="s">
        <v>472</v>
      </c>
      <c r="B467" s="58" t="s">
        <v>575</v>
      </c>
      <c r="C467" s="58" t="s">
        <v>579</v>
      </c>
    </row>
    <row r="468" ht="12.75" customHeight="1">
      <c r="A468" s="57" t="s">
        <v>472</v>
      </c>
      <c r="B468" s="58" t="s">
        <v>575</v>
      </c>
      <c r="C468" s="58" t="s">
        <v>580</v>
      </c>
    </row>
    <row r="469" ht="12.75" customHeight="1">
      <c r="A469" s="57" t="s">
        <v>472</v>
      </c>
      <c r="B469" s="58" t="s">
        <v>575</v>
      </c>
      <c r="C469" s="58" t="s">
        <v>581</v>
      </c>
    </row>
    <row r="470" ht="12.75" customHeight="1">
      <c r="A470" s="57" t="s">
        <v>472</v>
      </c>
      <c r="B470" s="58" t="s">
        <v>582</v>
      </c>
      <c r="C470" s="58" t="s">
        <v>583</v>
      </c>
    </row>
    <row r="471" ht="12.75" customHeight="1">
      <c r="A471" s="57" t="s">
        <v>472</v>
      </c>
      <c r="B471" s="58" t="s">
        <v>582</v>
      </c>
      <c r="C471" s="58" t="s">
        <v>584</v>
      </c>
    </row>
    <row r="472" ht="12.75" customHeight="1">
      <c r="A472" s="57" t="s">
        <v>472</v>
      </c>
      <c r="B472" s="58" t="s">
        <v>582</v>
      </c>
      <c r="C472" s="58" t="s">
        <v>585</v>
      </c>
    </row>
    <row r="473" ht="12.75" customHeight="1">
      <c r="A473" s="57" t="s">
        <v>472</v>
      </c>
      <c r="B473" s="58" t="s">
        <v>582</v>
      </c>
      <c r="C473" s="58" t="s">
        <v>586</v>
      </c>
    </row>
    <row r="474" ht="12.75" customHeight="1">
      <c r="A474" s="57" t="s">
        <v>472</v>
      </c>
      <c r="B474" s="58" t="s">
        <v>582</v>
      </c>
      <c r="C474" s="58" t="s">
        <v>587</v>
      </c>
    </row>
    <row r="475" ht="12.75" customHeight="1">
      <c r="A475" s="57" t="s">
        <v>472</v>
      </c>
      <c r="B475" s="58" t="s">
        <v>582</v>
      </c>
      <c r="C475" s="58" t="s">
        <v>588</v>
      </c>
    </row>
    <row r="476" ht="12.75" customHeight="1">
      <c r="A476" s="57" t="s">
        <v>472</v>
      </c>
      <c r="B476" s="58" t="s">
        <v>582</v>
      </c>
      <c r="C476" s="58" t="s">
        <v>589</v>
      </c>
    </row>
    <row r="477" ht="12.75" customHeight="1">
      <c r="A477" s="57" t="s">
        <v>590</v>
      </c>
      <c r="B477" s="58" t="s">
        <v>591</v>
      </c>
      <c r="C477" s="58" t="s">
        <v>592</v>
      </c>
    </row>
    <row r="478" ht="12.75" customHeight="1">
      <c r="A478" s="57" t="s">
        <v>590</v>
      </c>
      <c r="B478" s="58" t="s">
        <v>591</v>
      </c>
      <c r="C478" s="58" t="s">
        <v>593</v>
      </c>
    </row>
    <row r="479" ht="12.75" customHeight="1">
      <c r="A479" s="57" t="s">
        <v>590</v>
      </c>
      <c r="B479" s="58" t="s">
        <v>591</v>
      </c>
      <c r="C479" s="58" t="s">
        <v>594</v>
      </c>
    </row>
    <row r="480" ht="12.75" customHeight="1">
      <c r="A480" s="57" t="s">
        <v>590</v>
      </c>
      <c r="B480" s="58" t="s">
        <v>591</v>
      </c>
      <c r="C480" s="58" t="s">
        <v>595</v>
      </c>
    </row>
    <row r="481" ht="12.75" customHeight="1">
      <c r="A481" s="57" t="s">
        <v>590</v>
      </c>
      <c r="B481" s="58" t="s">
        <v>591</v>
      </c>
      <c r="C481" s="58" t="s">
        <v>596</v>
      </c>
    </row>
    <row r="482" ht="12.75" customHeight="1">
      <c r="A482" s="57" t="s">
        <v>590</v>
      </c>
      <c r="B482" s="58" t="s">
        <v>591</v>
      </c>
      <c r="C482" s="58" t="s">
        <v>427</v>
      </c>
    </row>
    <row r="483" ht="12.75" customHeight="1">
      <c r="A483" s="57" t="s">
        <v>590</v>
      </c>
      <c r="B483" s="58" t="s">
        <v>591</v>
      </c>
      <c r="C483" s="58" t="s">
        <v>597</v>
      </c>
    </row>
    <row r="484" ht="12.75" customHeight="1">
      <c r="A484" s="57" t="s">
        <v>590</v>
      </c>
      <c r="B484" s="58" t="s">
        <v>591</v>
      </c>
      <c r="C484" s="58" t="s">
        <v>463</v>
      </c>
    </row>
    <row r="485" ht="12.75" customHeight="1">
      <c r="A485" s="57" t="s">
        <v>590</v>
      </c>
      <c r="B485" s="58" t="s">
        <v>598</v>
      </c>
      <c r="C485" s="58" t="s">
        <v>599</v>
      </c>
    </row>
    <row r="486" ht="12.75" customHeight="1">
      <c r="A486" s="57" t="s">
        <v>590</v>
      </c>
      <c r="B486" s="58" t="s">
        <v>598</v>
      </c>
      <c r="C486" s="58" t="s">
        <v>593</v>
      </c>
    </row>
    <row r="487" ht="12.75" customHeight="1">
      <c r="A487" s="57" t="s">
        <v>590</v>
      </c>
      <c r="B487" s="58" t="s">
        <v>598</v>
      </c>
      <c r="C487" s="58" t="s">
        <v>594</v>
      </c>
    </row>
    <row r="488" ht="12.75" customHeight="1">
      <c r="A488" s="57" t="s">
        <v>590</v>
      </c>
      <c r="B488" s="58" t="s">
        <v>598</v>
      </c>
      <c r="C488" s="58" t="s">
        <v>595</v>
      </c>
    </row>
    <row r="489" ht="12.75" customHeight="1">
      <c r="A489" s="57" t="s">
        <v>590</v>
      </c>
      <c r="B489" s="58" t="s">
        <v>598</v>
      </c>
      <c r="C489" s="58" t="s">
        <v>600</v>
      </c>
    </row>
    <row r="490" ht="12.75" customHeight="1">
      <c r="A490" s="57" t="s">
        <v>590</v>
      </c>
      <c r="B490" s="58" t="s">
        <v>598</v>
      </c>
      <c r="C490" s="58" t="s">
        <v>427</v>
      </c>
    </row>
    <row r="491" ht="12.75" customHeight="1">
      <c r="A491" s="57" t="s">
        <v>590</v>
      </c>
      <c r="B491" s="58" t="s">
        <v>598</v>
      </c>
      <c r="C491" s="58" t="s">
        <v>601</v>
      </c>
    </row>
    <row r="492" ht="12.75" customHeight="1">
      <c r="A492" s="57" t="s">
        <v>590</v>
      </c>
      <c r="B492" s="58" t="s">
        <v>598</v>
      </c>
      <c r="C492" s="58" t="s">
        <v>463</v>
      </c>
    </row>
    <row r="493" ht="12.75" customHeight="1">
      <c r="A493" s="57" t="s">
        <v>590</v>
      </c>
      <c r="B493" s="58" t="s">
        <v>602</v>
      </c>
      <c r="C493" s="58" t="s">
        <v>603</v>
      </c>
    </row>
    <row r="494" ht="12.75" customHeight="1">
      <c r="A494" s="57" t="s">
        <v>590</v>
      </c>
      <c r="B494" s="58" t="s">
        <v>602</v>
      </c>
      <c r="C494" s="58" t="s">
        <v>604</v>
      </c>
    </row>
    <row r="495" ht="12.75" customHeight="1">
      <c r="A495" s="57" t="s">
        <v>590</v>
      </c>
      <c r="B495" s="58" t="s">
        <v>602</v>
      </c>
      <c r="C495" s="58" t="s">
        <v>605</v>
      </c>
    </row>
    <row r="496" ht="12.75" customHeight="1">
      <c r="A496" s="57" t="s">
        <v>590</v>
      </c>
      <c r="B496" s="58" t="s">
        <v>602</v>
      </c>
      <c r="C496" s="58" t="s">
        <v>463</v>
      </c>
    </row>
    <row r="497" ht="12.75" customHeight="1">
      <c r="A497" s="57" t="s">
        <v>590</v>
      </c>
      <c r="B497" s="58" t="s">
        <v>606</v>
      </c>
      <c r="C497" s="58" t="s">
        <v>607</v>
      </c>
    </row>
    <row r="498" ht="12.75" customHeight="1">
      <c r="A498" s="57" t="s">
        <v>590</v>
      </c>
      <c r="B498" s="58" t="s">
        <v>606</v>
      </c>
      <c r="C498" s="58" t="s">
        <v>608</v>
      </c>
    </row>
    <row r="499" ht="12.75" customHeight="1">
      <c r="A499" s="57" t="s">
        <v>590</v>
      </c>
      <c r="B499" s="58" t="s">
        <v>606</v>
      </c>
      <c r="C499" s="58" t="s">
        <v>609</v>
      </c>
    </row>
    <row r="500" ht="12.75" customHeight="1">
      <c r="A500" s="57" t="s">
        <v>590</v>
      </c>
      <c r="B500" s="58" t="s">
        <v>610</v>
      </c>
      <c r="C500" s="58" t="s">
        <v>608</v>
      </c>
    </row>
    <row r="501" ht="12.75" customHeight="1">
      <c r="A501" s="57" t="s">
        <v>590</v>
      </c>
      <c r="B501" s="58" t="s">
        <v>610</v>
      </c>
      <c r="C501" s="58" t="s">
        <v>611</v>
      </c>
    </row>
    <row r="502" ht="12.75" customHeight="1">
      <c r="A502" s="57" t="s">
        <v>590</v>
      </c>
      <c r="B502" s="58" t="s">
        <v>610</v>
      </c>
      <c r="C502" s="58" t="s">
        <v>612</v>
      </c>
    </row>
    <row r="503" ht="12.75" customHeight="1">
      <c r="A503" s="57" t="s">
        <v>590</v>
      </c>
      <c r="B503" s="58" t="s">
        <v>610</v>
      </c>
      <c r="C503" s="58" t="s">
        <v>613</v>
      </c>
    </row>
    <row r="504" ht="12.75" customHeight="1">
      <c r="A504" s="57" t="s">
        <v>590</v>
      </c>
      <c r="B504" s="58" t="s">
        <v>614</v>
      </c>
      <c r="C504" s="58" t="s">
        <v>508</v>
      </c>
    </row>
    <row r="505" ht="12.75" customHeight="1">
      <c r="A505" s="57" t="s">
        <v>590</v>
      </c>
      <c r="B505" s="58" t="s">
        <v>614</v>
      </c>
      <c r="C505" s="58" t="s">
        <v>593</v>
      </c>
    </row>
    <row r="506" ht="12.75" customHeight="1">
      <c r="A506" s="57" t="s">
        <v>590</v>
      </c>
      <c r="B506" s="58" t="s">
        <v>614</v>
      </c>
      <c r="C506" s="58" t="s">
        <v>615</v>
      </c>
    </row>
    <row r="507" ht="12.75" customHeight="1">
      <c r="A507" s="57" t="s">
        <v>590</v>
      </c>
      <c r="B507" s="58" t="s">
        <v>614</v>
      </c>
      <c r="C507" s="58" t="s">
        <v>616</v>
      </c>
    </row>
    <row r="508" ht="12.75" customHeight="1">
      <c r="A508" s="57" t="s">
        <v>590</v>
      </c>
      <c r="B508" s="58" t="s">
        <v>614</v>
      </c>
      <c r="C508" s="58" t="s">
        <v>427</v>
      </c>
    </row>
    <row r="509" ht="12.75" customHeight="1">
      <c r="A509" s="57" t="s">
        <v>590</v>
      </c>
      <c r="B509" s="58" t="s">
        <v>614</v>
      </c>
      <c r="C509" s="58" t="s">
        <v>612</v>
      </c>
    </row>
    <row r="510" ht="12.75" customHeight="1">
      <c r="A510" s="57" t="s">
        <v>590</v>
      </c>
      <c r="B510" s="58" t="s">
        <v>614</v>
      </c>
      <c r="C510" s="58" t="s">
        <v>463</v>
      </c>
    </row>
    <row r="511" ht="12.75" customHeight="1">
      <c r="A511" s="57" t="s">
        <v>617</v>
      </c>
      <c r="B511" s="58" t="s">
        <v>618</v>
      </c>
      <c r="C511" s="58" t="s">
        <v>619</v>
      </c>
    </row>
    <row r="512" ht="12.75" customHeight="1">
      <c r="A512" s="57" t="s">
        <v>617</v>
      </c>
      <c r="B512" s="58" t="s">
        <v>618</v>
      </c>
      <c r="C512" s="58" t="s">
        <v>620</v>
      </c>
    </row>
    <row r="513" ht="12.75" customHeight="1">
      <c r="A513" s="57" t="s">
        <v>617</v>
      </c>
      <c r="B513" s="58" t="s">
        <v>618</v>
      </c>
      <c r="C513" s="58" t="s">
        <v>621</v>
      </c>
    </row>
    <row r="514" ht="12.75" customHeight="1">
      <c r="A514" s="57" t="s">
        <v>617</v>
      </c>
      <c r="B514" s="58" t="s">
        <v>618</v>
      </c>
      <c r="C514" s="58" t="s">
        <v>622</v>
      </c>
    </row>
    <row r="515" ht="12.75" customHeight="1">
      <c r="A515" s="57" t="s">
        <v>617</v>
      </c>
      <c r="B515" s="58" t="s">
        <v>618</v>
      </c>
      <c r="C515" s="58" t="s">
        <v>623</v>
      </c>
    </row>
    <row r="516" ht="12.75" customHeight="1">
      <c r="A516" s="57" t="s">
        <v>617</v>
      </c>
      <c r="B516" s="58" t="s">
        <v>618</v>
      </c>
      <c r="C516" s="58" t="s">
        <v>624</v>
      </c>
    </row>
    <row r="517" ht="12.75" customHeight="1">
      <c r="A517" s="57" t="s">
        <v>617</v>
      </c>
      <c r="B517" s="58" t="s">
        <v>618</v>
      </c>
      <c r="C517" s="58" t="s">
        <v>625</v>
      </c>
    </row>
    <row r="518" ht="12.75" customHeight="1">
      <c r="A518" s="57" t="s">
        <v>617</v>
      </c>
      <c r="B518" s="58" t="s">
        <v>618</v>
      </c>
      <c r="C518" s="58" t="s">
        <v>626</v>
      </c>
    </row>
    <row r="519" ht="12.75" customHeight="1">
      <c r="A519" s="57" t="s">
        <v>617</v>
      </c>
      <c r="B519" s="58" t="s">
        <v>618</v>
      </c>
      <c r="C519" s="58" t="s">
        <v>627</v>
      </c>
    </row>
    <row r="520" ht="12.75" customHeight="1">
      <c r="A520" s="57" t="s">
        <v>617</v>
      </c>
      <c r="B520" s="58" t="s">
        <v>618</v>
      </c>
      <c r="C520" s="58" t="s">
        <v>628</v>
      </c>
    </row>
    <row r="521" ht="12.75" customHeight="1">
      <c r="A521" s="57" t="s">
        <v>617</v>
      </c>
      <c r="B521" s="58" t="s">
        <v>618</v>
      </c>
      <c r="C521" s="58" t="s">
        <v>629</v>
      </c>
    </row>
    <row r="522" ht="12.75" customHeight="1">
      <c r="A522" s="57" t="s">
        <v>617</v>
      </c>
      <c r="B522" s="58" t="s">
        <v>618</v>
      </c>
      <c r="C522" s="58" t="s">
        <v>630</v>
      </c>
    </row>
    <row r="523" ht="12.75" customHeight="1">
      <c r="A523" s="57" t="s">
        <v>617</v>
      </c>
      <c r="B523" s="58" t="s">
        <v>631</v>
      </c>
      <c r="C523" s="58" t="s">
        <v>632</v>
      </c>
    </row>
    <row r="524" ht="12.75" customHeight="1">
      <c r="A524" s="57" t="s">
        <v>617</v>
      </c>
      <c r="B524" s="58" t="s">
        <v>631</v>
      </c>
      <c r="C524" s="58" t="s">
        <v>633</v>
      </c>
    </row>
    <row r="525" ht="12.75" customHeight="1">
      <c r="A525" s="57" t="s">
        <v>617</v>
      </c>
      <c r="B525" s="58" t="s">
        <v>631</v>
      </c>
      <c r="C525" s="58" t="s">
        <v>634</v>
      </c>
    </row>
    <row r="526" ht="12.75" customHeight="1">
      <c r="A526" s="57" t="s">
        <v>617</v>
      </c>
      <c r="B526" s="58" t="s">
        <v>631</v>
      </c>
      <c r="C526" s="58" t="s">
        <v>635</v>
      </c>
    </row>
    <row r="527" ht="12.75" customHeight="1">
      <c r="A527" s="57" t="s">
        <v>617</v>
      </c>
      <c r="B527" s="58" t="s">
        <v>631</v>
      </c>
      <c r="C527" s="58" t="s">
        <v>636</v>
      </c>
    </row>
    <row r="528" ht="12.75" customHeight="1">
      <c r="A528" s="57" t="s">
        <v>617</v>
      </c>
      <c r="B528" s="58" t="s">
        <v>631</v>
      </c>
      <c r="C528" s="58" t="s">
        <v>637</v>
      </c>
    </row>
    <row r="529" ht="12.75" customHeight="1">
      <c r="A529" s="57" t="s">
        <v>617</v>
      </c>
      <c r="B529" s="58" t="s">
        <v>631</v>
      </c>
      <c r="C529" s="58" t="s">
        <v>638</v>
      </c>
    </row>
    <row r="530" ht="12.75" customHeight="1">
      <c r="A530" s="57" t="s">
        <v>617</v>
      </c>
      <c r="B530" s="58" t="s">
        <v>631</v>
      </c>
      <c r="C530" s="58" t="s">
        <v>639</v>
      </c>
    </row>
    <row r="531" ht="12.75" customHeight="1">
      <c r="A531" s="57" t="s">
        <v>617</v>
      </c>
      <c r="B531" s="58" t="s">
        <v>631</v>
      </c>
      <c r="C531" s="58" t="s">
        <v>640</v>
      </c>
    </row>
    <row r="532" ht="12.75" customHeight="1">
      <c r="A532" s="57" t="s">
        <v>617</v>
      </c>
      <c r="B532" s="58" t="s">
        <v>631</v>
      </c>
      <c r="C532" s="58" t="s">
        <v>641</v>
      </c>
    </row>
    <row r="533" ht="12.75" customHeight="1">
      <c r="A533" s="57" t="s">
        <v>617</v>
      </c>
      <c r="B533" s="58" t="s">
        <v>631</v>
      </c>
      <c r="C533" s="58" t="s">
        <v>642</v>
      </c>
    </row>
    <row r="534" ht="12.75" customHeight="1">
      <c r="A534" s="57" t="s">
        <v>617</v>
      </c>
      <c r="B534" s="58" t="s">
        <v>631</v>
      </c>
      <c r="C534" s="58" t="s">
        <v>643</v>
      </c>
    </row>
    <row r="535" ht="12.75" customHeight="1">
      <c r="A535" s="57" t="s">
        <v>617</v>
      </c>
      <c r="B535" s="58" t="s">
        <v>631</v>
      </c>
      <c r="C535" s="58" t="s">
        <v>644</v>
      </c>
    </row>
    <row r="536" ht="12.75" customHeight="1">
      <c r="A536" s="57" t="s">
        <v>617</v>
      </c>
      <c r="B536" s="58" t="s">
        <v>631</v>
      </c>
      <c r="C536" s="58" t="s">
        <v>645</v>
      </c>
    </row>
    <row r="537" ht="12.75" customHeight="1">
      <c r="A537" s="57" t="s">
        <v>617</v>
      </c>
      <c r="B537" s="58" t="s">
        <v>631</v>
      </c>
      <c r="C537" s="58" t="s">
        <v>646</v>
      </c>
    </row>
    <row r="538" ht="12.75" customHeight="1">
      <c r="A538" s="57" t="s">
        <v>617</v>
      </c>
      <c r="B538" s="58" t="s">
        <v>631</v>
      </c>
      <c r="C538" s="58" t="s">
        <v>647</v>
      </c>
    </row>
    <row r="539" ht="12.75" customHeight="1">
      <c r="A539" s="57" t="s">
        <v>617</v>
      </c>
      <c r="B539" s="58" t="s">
        <v>631</v>
      </c>
      <c r="C539" s="58" t="s">
        <v>648</v>
      </c>
    </row>
    <row r="540" ht="12.75" customHeight="1">
      <c r="A540" s="57" t="s">
        <v>617</v>
      </c>
      <c r="B540" s="58" t="s">
        <v>649</v>
      </c>
      <c r="C540" s="58" t="s">
        <v>650</v>
      </c>
    </row>
    <row r="541" ht="12.75" customHeight="1">
      <c r="A541" s="57" t="s">
        <v>617</v>
      </c>
      <c r="B541" s="58" t="s">
        <v>649</v>
      </c>
      <c r="C541" s="58" t="s">
        <v>651</v>
      </c>
    </row>
    <row r="542" ht="12.75" customHeight="1">
      <c r="A542" s="57" t="s">
        <v>617</v>
      </c>
      <c r="B542" s="58" t="s">
        <v>649</v>
      </c>
      <c r="C542" s="58" t="s">
        <v>652</v>
      </c>
    </row>
    <row r="543" ht="12.75" customHeight="1">
      <c r="A543" s="57" t="s">
        <v>617</v>
      </c>
      <c r="B543" s="58" t="s">
        <v>649</v>
      </c>
      <c r="C543" s="58" t="s">
        <v>653</v>
      </c>
    </row>
    <row r="544" ht="12.75" customHeight="1">
      <c r="A544" s="57" t="s">
        <v>617</v>
      </c>
      <c r="B544" s="58" t="s">
        <v>649</v>
      </c>
      <c r="C544" s="58" t="s">
        <v>654</v>
      </c>
    </row>
    <row r="545" ht="12.75" customHeight="1">
      <c r="A545" s="57" t="s">
        <v>617</v>
      </c>
      <c r="B545" s="58" t="s">
        <v>649</v>
      </c>
      <c r="C545" s="58" t="s">
        <v>655</v>
      </c>
    </row>
    <row r="546" ht="12.75" customHeight="1">
      <c r="A546" s="57" t="s">
        <v>617</v>
      </c>
      <c r="B546" s="58" t="s">
        <v>649</v>
      </c>
      <c r="C546" s="58" t="s">
        <v>656</v>
      </c>
    </row>
    <row r="547" ht="12.75" customHeight="1">
      <c r="A547" s="57" t="s">
        <v>617</v>
      </c>
      <c r="B547" s="58" t="s">
        <v>649</v>
      </c>
      <c r="C547" s="58" t="s">
        <v>657</v>
      </c>
    </row>
    <row r="548" ht="12.75" customHeight="1">
      <c r="A548" s="57" t="s">
        <v>617</v>
      </c>
      <c r="B548" s="58" t="s">
        <v>649</v>
      </c>
      <c r="C548" s="58" t="s">
        <v>658</v>
      </c>
    </row>
    <row r="549" ht="12.75" customHeight="1">
      <c r="A549" s="57" t="s">
        <v>617</v>
      </c>
      <c r="B549" s="58" t="s">
        <v>649</v>
      </c>
      <c r="C549" s="58" t="s">
        <v>659</v>
      </c>
    </row>
    <row r="550" ht="12.75" customHeight="1">
      <c r="A550" s="57" t="s">
        <v>617</v>
      </c>
      <c r="B550" s="58" t="s">
        <v>660</v>
      </c>
      <c r="C550" s="58" t="s">
        <v>661</v>
      </c>
    </row>
    <row r="551" ht="12.75" customHeight="1">
      <c r="A551" s="57" t="s">
        <v>617</v>
      </c>
      <c r="B551" s="58" t="s">
        <v>660</v>
      </c>
      <c r="C551" s="58" t="s">
        <v>662</v>
      </c>
    </row>
    <row r="552" ht="12.75" customHeight="1">
      <c r="A552" s="57" t="s">
        <v>617</v>
      </c>
      <c r="B552" s="58" t="s">
        <v>660</v>
      </c>
      <c r="C552" s="58" t="s">
        <v>663</v>
      </c>
    </row>
    <row r="553" ht="12.75" customHeight="1">
      <c r="A553" s="57" t="s">
        <v>617</v>
      </c>
      <c r="B553" s="58" t="s">
        <v>660</v>
      </c>
      <c r="C553" s="58" t="s">
        <v>664</v>
      </c>
    </row>
    <row r="554" ht="12.75" customHeight="1">
      <c r="A554" s="57" t="s">
        <v>617</v>
      </c>
      <c r="B554" s="58" t="s">
        <v>660</v>
      </c>
      <c r="C554" s="58" t="s">
        <v>665</v>
      </c>
    </row>
    <row r="555" ht="12.75" customHeight="1">
      <c r="A555" s="57" t="s">
        <v>617</v>
      </c>
      <c r="B555" s="58" t="s">
        <v>660</v>
      </c>
      <c r="C555" s="58" t="s">
        <v>666</v>
      </c>
    </row>
    <row r="556" ht="12.75" customHeight="1">
      <c r="A556" s="57" t="s">
        <v>617</v>
      </c>
      <c r="B556" s="58" t="s">
        <v>660</v>
      </c>
      <c r="C556" s="58" t="s">
        <v>667</v>
      </c>
    </row>
    <row r="557" ht="12.75" customHeight="1">
      <c r="A557" s="57" t="s">
        <v>617</v>
      </c>
      <c r="B557" s="58" t="s">
        <v>660</v>
      </c>
      <c r="C557" s="58" t="s">
        <v>668</v>
      </c>
    </row>
    <row r="558" ht="12.75" customHeight="1">
      <c r="A558" s="57" t="s">
        <v>617</v>
      </c>
      <c r="B558" s="58" t="s">
        <v>660</v>
      </c>
      <c r="C558" s="58" t="s">
        <v>669</v>
      </c>
    </row>
    <row r="559" ht="12.75" customHeight="1">
      <c r="A559" s="57" t="s">
        <v>617</v>
      </c>
      <c r="B559" s="58" t="s">
        <v>660</v>
      </c>
      <c r="C559" s="58" t="s">
        <v>670</v>
      </c>
    </row>
    <row r="560" ht="12.75" customHeight="1">
      <c r="A560" s="57" t="s">
        <v>617</v>
      </c>
      <c r="B560" s="58" t="s">
        <v>660</v>
      </c>
      <c r="C560" s="58" t="s">
        <v>671</v>
      </c>
    </row>
    <row r="561" ht="12.75" customHeight="1">
      <c r="A561" s="57" t="s">
        <v>617</v>
      </c>
      <c r="B561" s="58" t="s">
        <v>660</v>
      </c>
      <c r="C561" s="58" t="s">
        <v>672</v>
      </c>
    </row>
    <row r="562" ht="12.75" customHeight="1">
      <c r="A562" s="57" t="s">
        <v>617</v>
      </c>
      <c r="B562" s="58" t="s">
        <v>660</v>
      </c>
      <c r="C562" s="58" t="s">
        <v>673</v>
      </c>
    </row>
    <row r="563" ht="12.75" customHeight="1">
      <c r="A563" s="57" t="s">
        <v>617</v>
      </c>
      <c r="B563" s="58" t="s">
        <v>660</v>
      </c>
      <c r="C563" s="58" t="s">
        <v>674</v>
      </c>
    </row>
    <row r="564" ht="12.75" customHeight="1">
      <c r="A564" s="57" t="s">
        <v>617</v>
      </c>
      <c r="B564" s="58" t="s">
        <v>660</v>
      </c>
      <c r="C564" s="58" t="s">
        <v>675</v>
      </c>
    </row>
    <row r="565" ht="12.75" customHeight="1">
      <c r="A565" s="57" t="s">
        <v>617</v>
      </c>
      <c r="B565" s="58" t="s">
        <v>676</v>
      </c>
      <c r="C565" s="58" t="s">
        <v>677</v>
      </c>
    </row>
    <row r="566" ht="12.75" customHeight="1">
      <c r="A566" s="57" t="s">
        <v>617</v>
      </c>
      <c r="B566" s="58" t="s">
        <v>676</v>
      </c>
      <c r="C566" s="58" t="s">
        <v>678</v>
      </c>
    </row>
    <row r="567" ht="12.75" customHeight="1">
      <c r="A567" s="57" t="s">
        <v>617</v>
      </c>
      <c r="B567" s="58" t="s">
        <v>676</v>
      </c>
      <c r="C567" s="58" t="s">
        <v>679</v>
      </c>
    </row>
    <row r="568" ht="12.75" customHeight="1">
      <c r="A568" s="57" t="s">
        <v>617</v>
      </c>
      <c r="B568" s="58" t="s">
        <v>676</v>
      </c>
      <c r="C568" s="58" t="s">
        <v>297</v>
      </c>
    </row>
    <row r="569" ht="12.75" customHeight="1">
      <c r="A569" s="57" t="s">
        <v>617</v>
      </c>
      <c r="B569" s="58" t="s">
        <v>676</v>
      </c>
      <c r="C569" s="58" t="s">
        <v>293</v>
      </c>
    </row>
    <row r="570" ht="12.75" customHeight="1">
      <c r="A570" s="57" t="s">
        <v>617</v>
      </c>
      <c r="B570" s="58" t="s">
        <v>676</v>
      </c>
      <c r="C570" s="58" t="s">
        <v>680</v>
      </c>
    </row>
    <row r="571" ht="12.75" customHeight="1">
      <c r="A571" s="57" t="s">
        <v>617</v>
      </c>
      <c r="B571" s="58" t="s">
        <v>676</v>
      </c>
      <c r="C571" s="58" t="s">
        <v>681</v>
      </c>
    </row>
    <row r="572" ht="12.75" customHeight="1">
      <c r="A572" s="57" t="s">
        <v>617</v>
      </c>
      <c r="B572" s="58" t="s">
        <v>682</v>
      </c>
      <c r="C572" s="58" t="s">
        <v>683</v>
      </c>
    </row>
    <row r="573" ht="12.75" customHeight="1">
      <c r="A573" s="57" t="s">
        <v>617</v>
      </c>
      <c r="B573" s="58" t="s">
        <v>682</v>
      </c>
      <c r="C573" s="58" t="s">
        <v>684</v>
      </c>
    </row>
    <row r="574" ht="12.75" customHeight="1">
      <c r="A574" s="57" t="s">
        <v>617</v>
      </c>
      <c r="B574" s="58" t="s">
        <v>682</v>
      </c>
      <c r="C574" s="58" t="s">
        <v>654</v>
      </c>
    </row>
    <row r="575" ht="12.75" customHeight="1">
      <c r="A575" s="57" t="s">
        <v>617</v>
      </c>
      <c r="B575" s="58" t="s">
        <v>682</v>
      </c>
      <c r="C575" s="58" t="s">
        <v>657</v>
      </c>
    </row>
    <row r="576" ht="12.75" customHeight="1">
      <c r="A576" s="57" t="s">
        <v>617</v>
      </c>
      <c r="B576" s="58" t="s">
        <v>682</v>
      </c>
      <c r="C576" s="58" t="s">
        <v>655</v>
      </c>
    </row>
    <row r="577" ht="12.75" customHeight="1">
      <c r="A577" s="57" t="s">
        <v>617</v>
      </c>
      <c r="B577" s="58" t="s">
        <v>682</v>
      </c>
      <c r="C577" s="58" t="s">
        <v>685</v>
      </c>
    </row>
    <row r="578" ht="12.75" customHeight="1">
      <c r="A578" s="57" t="s">
        <v>617</v>
      </c>
      <c r="B578" s="58" t="s">
        <v>682</v>
      </c>
      <c r="C578" s="58" t="s">
        <v>686</v>
      </c>
    </row>
    <row r="579" ht="12.75" customHeight="1">
      <c r="A579" s="57" t="s">
        <v>617</v>
      </c>
      <c r="B579" s="58" t="s">
        <v>682</v>
      </c>
      <c r="C579" s="58" t="s">
        <v>687</v>
      </c>
    </row>
    <row r="580" ht="12.75" customHeight="1">
      <c r="A580" s="57" t="s">
        <v>617</v>
      </c>
      <c r="B580" s="58" t="s">
        <v>682</v>
      </c>
      <c r="C580" s="58" t="s">
        <v>653</v>
      </c>
    </row>
    <row r="581" ht="12.75" customHeight="1">
      <c r="A581" s="57" t="s">
        <v>617</v>
      </c>
      <c r="B581" s="58" t="s">
        <v>682</v>
      </c>
      <c r="C581" s="58" t="s">
        <v>688</v>
      </c>
    </row>
    <row r="582" ht="12.75" customHeight="1">
      <c r="A582" s="57" t="s">
        <v>617</v>
      </c>
      <c r="B582" s="58" t="s">
        <v>682</v>
      </c>
      <c r="C582" s="58" t="s">
        <v>689</v>
      </c>
    </row>
    <row r="583" ht="12.75" customHeight="1">
      <c r="A583" s="57" t="s">
        <v>617</v>
      </c>
      <c r="B583" s="58" t="s">
        <v>682</v>
      </c>
      <c r="C583" s="58" t="s">
        <v>690</v>
      </c>
    </row>
    <row r="584" ht="12.75" customHeight="1">
      <c r="A584" s="57" t="s">
        <v>617</v>
      </c>
      <c r="B584" s="58" t="s">
        <v>682</v>
      </c>
      <c r="C584" s="58" t="s">
        <v>691</v>
      </c>
    </row>
    <row r="585" ht="12.75" customHeight="1">
      <c r="A585" s="57" t="s">
        <v>617</v>
      </c>
      <c r="B585" s="58" t="s">
        <v>692</v>
      </c>
      <c r="C585" s="58" t="s">
        <v>693</v>
      </c>
    </row>
    <row r="586" ht="12.75" customHeight="1">
      <c r="A586" s="57" t="s">
        <v>617</v>
      </c>
      <c r="B586" s="58" t="s">
        <v>692</v>
      </c>
      <c r="C586" s="58" t="s">
        <v>694</v>
      </c>
    </row>
    <row r="587" ht="12.75" customHeight="1">
      <c r="A587" s="57" t="s">
        <v>617</v>
      </c>
      <c r="B587" s="58" t="s">
        <v>692</v>
      </c>
      <c r="C587" s="58" t="s">
        <v>695</v>
      </c>
    </row>
    <row r="588" ht="12.75" customHeight="1">
      <c r="A588" s="57" t="s">
        <v>617</v>
      </c>
      <c r="B588" s="58" t="s">
        <v>692</v>
      </c>
      <c r="C588" s="58" t="s">
        <v>659</v>
      </c>
    </row>
    <row r="589" ht="12.75" customHeight="1">
      <c r="A589" s="57" t="s">
        <v>617</v>
      </c>
      <c r="B589" s="58" t="s">
        <v>692</v>
      </c>
      <c r="C589" s="58" t="s">
        <v>696</v>
      </c>
    </row>
    <row r="590" ht="12.75" customHeight="1">
      <c r="A590" s="57" t="s">
        <v>617</v>
      </c>
      <c r="B590" s="58" t="s">
        <v>692</v>
      </c>
      <c r="C590" s="58" t="s">
        <v>652</v>
      </c>
    </row>
    <row r="591" ht="12.75" customHeight="1">
      <c r="A591" s="57" t="s">
        <v>617</v>
      </c>
      <c r="B591" s="58" t="s">
        <v>692</v>
      </c>
      <c r="C591" s="58" t="s">
        <v>697</v>
      </c>
    </row>
    <row r="592" ht="12.75" customHeight="1">
      <c r="A592" s="57" t="s">
        <v>617</v>
      </c>
      <c r="B592" s="58" t="s">
        <v>692</v>
      </c>
      <c r="C592" s="58" t="s">
        <v>641</v>
      </c>
    </row>
    <row r="593" ht="12.75" customHeight="1">
      <c r="A593" s="57" t="s">
        <v>617</v>
      </c>
      <c r="B593" s="58" t="s">
        <v>692</v>
      </c>
      <c r="C593" s="58" t="s">
        <v>698</v>
      </c>
    </row>
    <row r="594" ht="12.75" customHeight="1">
      <c r="A594" s="57" t="s">
        <v>617</v>
      </c>
      <c r="B594" s="58" t="s">
        <v>692</v>
      </c>
      <c r="C594" s="58" t="s">
        <v>699</v>
      </c>
    </row>
    <row r="595" ht="12.75" customHeight="1">
      <c r="A595" s="57" t="s">
        <v>617</v>
      </c>
      <c r="B595" s="58" t="s">
        <v>692</v>
      </c>
      <c r="C595" s="58" t="s">
        <v>700</v>
      </c>
    </row>
    <row r="596" ht="12.75" customHeight="1">
      <c r="A596" s="57" t="s">
        <v>617</v>
      </c>
      <c r="B596" s="58" t="s">
        <v>701</v>
      </c>
      <c r="C596" s="58" t="s">
        <v>702</v>
      </c>
    </row>
    <row r="597" ht="12.75" customHeight="1">
      <c r="A597" s="57" t="s">
        <v>617</v>
      </c>
      <c r="B597" s="58" t="s">
        <v>701</v>
      </c>
      <c r="C597" s="58" t="s">
        <v>703</v>
      </c>
    </row>
    <row r="598" ht="12.75" customHeight="1">
      <c r="A598" s="57" t="s">
        <v>617</v>
      </c>
      <c r="B598" s="58" t="s">
        <v>701</v>
      </c>
      <c r="C598" s="58" t="s">
        <v>704</v>
      </c>
    </row>
    <row r="599" ht="12.75" customHeight="1">
      <c r="A599" s="57" t="s">
        <v>617</v>
      </c>
      <c r="B599" s="58" t="s">
        <v>701</v>
      </c>
      <c r="C599" s="58" t="s">
        <v>705</v>
      </c>
    </row>
    <row r="600" ht="12.75" customHeight="1">
      <c r="A600" s="57" t="s">
        <v>617</v>
      </c>
      <c r="B600" s="58" t="s">
        <v>701</v>
      </c>
      <c r="C600" s="58" t="s">
        <v>706</v>
      </c>
    </row>
    <row r="601" ht="12.75" customHeight="1">
      <c r="A601" s="57" t="s">
        <v>617</v>
      </c>
      <c r="B601" s="58" t="s">
        <v>701</v>
      </c>
      <c r="C601" s="58" t="s">
        <v>707</v>
      </c>
    </row>
    <row r="602" ht="12.75" customHeight="1">
      <c r="A602" s="57" t="s">
        <v>617</v>
      </c>
      <c r="B602" s="58" t="s">
        <v>708</v>
      </c>
      <c r="C602" s="58" t="s">
        <v>709</v>
      </c>
    </row>
    <row r="603" ht="12.75" customHeight="1">
      <c r="A603" s="57" t="s">
        <v>617</v>
      </c>
      <c r="B603" s="58" t="s">
        <v>708</v>
      </c>
      <c r="C603" s="58" t="s">
        <v>710</v>
      </c>
    </row>
    <row r="604" ht="12.75" customHeight="1">
      <c r="A604" s="57" t="s">
        <v>617</v>
      </c>
      <c r="B604" s="58" t="s">
        <v>708</v>
      </c>
      <c r="C604" s="58" t="s">
        <v>711</v>
      </c>
    </row>
    <row r="605" ht="12.75" customHeight="1">
      <c r="A605" s="57" t="s">
        <v>617</v>
      </c>
      <c r="B605" s="58" t="s">
        <v>708</v>
      </c>
      <c r="C605" s="58" t="s">
        <v>712</v>
      </c>
    </row>
    <row r="606" ht="12.75" customHeight="1">
      <c r="A606" s="57" t="s">
        <v>617</v>
      </c>
      <c r="B606" s="58" t="s">
        <v>708</v>
      </c>
      <c r="C606" s="58" t="s">
        <v>713</v>
      </c>
    </row>
    <row r="607" ht="12.75" customHeight="1">
      <c r="A607" s="57" t="s">
        <v>617</v>
      </c>
      <c r="B607" s="58" t="s">
        <v>708</v>
      </c>
      <c r="C607" s="58" t="s">
        <v>714</v>
      </c>
    </row>
    <row r="608" ht="12.75" customHeight="1">
      <c r="A608" s="57" t="s">
        <v>617</v>
      </c>
      <c r="B608" s="58" t="s">
        <v>715</v>
      </c>
      <c r="C608" s="58" t="s">
        <v>716</v>
      </c>
    </row>
    <row r="609" ht="12.75" customHeight="1">
      <c r="A609" s="57" t="s">
        <v>617</v>
      </c>
      <c r="B609" s="58" t="s">
        <v>715</v>
      </c>
      <c r="C609" s="58" t="s">
        <v>717</v>
      </c>
    </row>
    <row r="610" ht="12.75" customHeight="1">
      <c r="A610" s="57" t="s">
        <v>617</v>
      </c>
      <c r="B610" s="58" t="s">
        <v>715</v>
      </c>
      <c r="C610" s="58" t="s">
        <v>718</v>
      </c>
    </row>
    <row r="611" ht="12.75" customHeight="1">
      <c r="A611" s="57" t="s">
        <v>617</v>
      </c>
      <c r="B611" s="58" t="s">
        <v>715</v>
      </c>
      <c r="C611" s="58" t="s">
        <v>719</v>
      </c>
    </row>
    <row r="612" ht="12.75" customHeight="1">
      <c r="A612" s="57" t="s">
        <v>617</v>
      </c>
      <c r="B612" s="58" t="s">
        <v>715</v>
      </c>
      <c r="C612" s="58" t="s">
        <v>720</v>
      </c>
    </row>
    <row r="613" ht="12.75" customHeight="1">
      <c r="A613" s="57" t="s">
        <v>617</v>
      </c>
      <c r="B613" s="58" t="s">
        <v>715</v>
      </c>
      <c r="C613" s="58" t="s">
        <v>721</v>
      </c>
    </row>
    <row r="614" ht="12.75" customHeight="1">
      <c r="A614" s="57" t="s">
        <v>617</v>
      </c>
      <c r="B614" s="58" t="s">
        <v>715</v>
      </c>
      <c r="C614" s="58" t="s">
        <v>722</v>
      </c>
    </row>
    <row r="615" ht="12.75" customHeight="1">
      <c r="A615" s="57" t="s">
        <v>617</v>
      </c>
      <c r="B615" s="58" t="s">
        <v>715</v>
      </c>
      <c r="C615" s="58" t="s">
        <v>723</v>
      </c>
    </row>
    <row r="616" ht="12.75" customHeight="1">
      <c r="A616" s="57" t="s">
        <v>617</v>
      </c>
      <c r="B616" s="58" t="s">
        <v>715</v>
      </c>
      <c r="C616" s="58" t="s">
        <v>724</v>
      </c>
    </row>
    <row r="617" ht="12.75" customHeight="1">
      <c r="A617" s="57" t="s">
        <v>617</v>
      </c>
      <c r="B617" s="58" t="s">
        <v>715</v>
      </c>
      <c r="C617" s="58" t="s">
        <v>725</v>
      </c>
    </row>
    <row r="618" ht="12.75" customHeight="1">
      <c r="A618" s="57" t="s">
        <v>617</v>
      </c>
      <c r="B618" s="58" t="s">
        <v>715</v>
      </c>
      <c r="C618" s="58" t="s">
        <v>726</v>
      </c>
    </row>
    <row r="619" ht="12.75" customHeight="1">
      <c r="A619" s="57" t="s">
        <v>617</v>
      </c>
      <c r="B619" s="58" t="s">
        <v>715</v>
      </c>
      <c r="C619" s="58" t="s">
        <v>727</v>
      </c>
    </row>
    <row r="620" ht="12.75" customHeight="1">
      <c r="A620" s="57" t="s">
        <v>617</v>
      </c>
      <c r="B620" s="58" t="s">
        <v>728</v>
      </c>
      <c r="C620" s="58" t="s">
        <v>729</v>
      </c>
    </row>
    <row r="621" ht="12.75" customHeight="1">
      <c r="A621" s="57" t="s">
        <v>617</v>
      </c>
      <c r="B621" s="58" t="s">
        <v>728</v>
      </c>
      <c r="C621" s="58" t="s">
        <v>730</v>
      </c>
    </row>
    <row r="622" ht="12.75" customHeight="1">
      <c r="A622" s="57" t="s">
        <v>617</v>
      </c>
      <c r="B622" s="58" t="s">
        <v>728</v>
      </c>
      <c r="C622" s="58" t="s">
        <v>731</v>
      </c>
    </row>
    <row r="623" ht="12.75" customHeight="1">
      <c r="A623" s="57" t="s">
        <v>617</v>
      </c>
      <c r="B623" s="58" t="s">
        <v>732</v>
      </c>
      <c r="C623" s="58" t="s">
        <v>733</v>
      </c>
    </row>
    <row r="624" ht="12.75" customHeight="1">
      <c r="A624" s="57" t="s">
        <v>617</v>
      </c>
      <c r="B624" s="58" t="s">
        <v>732</v>
      </c>
      <c r="C624" s="58" t="s">
        <v>734</v>
      </c>
    </row>
    <row r="625" ht="12.75" customHeight="1">
      <c r="A625" s="57" t="s">
        <v>617</v>
      </c>
      <c r="B625" s="58" t="s">
        <v>732</v>
      </c>
      <c r="C625" s="58" t="s">
        <v>735</v>
      </c>
    </row>
    <row r="626" ht="12.75" customHeight="1">
      <c r="A626" s="57" t="s">
        <v>617</v>
      </c>
      <c r="B626" s="58" t="s">
        <v>732</v>
      </c>
      <c r="C626" s="58" t="s">
        <v>736</v>
      </c>
    </row>
    <row r="627" ht="12.75" customHeight="1">
      <c r="A627" s="57" t="s">
        <v>617</v>
      </c>
      <c r="B627" s="58" t="s">
        <v>732</v>
      </c>
      <c r="C627" s="58" t="s">
        <v>737</v>
      </c>
    </row>
    <row r="628" ht="12.75" customHeight="1">
      <c r="A628" s="57" t="s">
        <v>617</v>
      </c>
      <c r="B628" s="58" t="s">
        <v>732</v>
      </c>
      <c r="C628" s="58" t="s">
        <v>738</v>
      </c>
    </row>
    <row r="629" ht="12.75" customHeight="1">
      <c r="A629" s="57" t="s">
        <v>617</v>
      </c>
      <c r="B629" s="58" t="s">
        <v>732</v>
      </c>
      <c r="C629" s="58" t="s">
        <v>739</v>
      </c>
    </row>
    <row r="630" ht="12.75" customHeight="1">
      <c r="A630" s="57" t="s">
        <v>617</v>
      </c>
      <c r="B630" s="58" t="s">
        <v>732</v>
      </c>
      <c r="C630" s="58" t="s">
        <v>740</v>
      </c>
    </row>
    <row r="631" ht="12.75" customHeight="1">
      <c r="A631" s="57" t="s">
        <v>617</v>
      </c>
      <c r="B631" s="58" t="s">
        <v>732</v>
      </c>
      <c r="C631" s="58" t="s">
        <v>741</v>
      </c>
    </row>
    <row r="632" ht="12.75" customHeight="1">
      <c r="A632" s="57" t="s">
        <v>617</v>
      </c>
      <c r="B632" s="58" t="s">
        <v>732</v>
      </c>
      <c r="C632" s="58" t="s">
        <v>742</v>
      </c>
    </row>
    <row r="633" ht="12.75" customHeight="1">
      <c r="A633" s="57" t="s">
        <v>617</v>
      </c>
      <c r="B633" s="58" t="s">
        <v>732</v>
      </c>
      <c r="C633" s="58" t="s">
        <v>743</v>
      </c>
    </row>
    <row r="634" ht="12.75" customHeight="1">
      <c r="A634" s="57" t="s">
        <v>617</v>
      </c>
      <c r="B634" s="58" t="s">
        <v>732</v>
      </c>
      <c r="C634" s="58" t="s">
        <v>744</v>
      </c>
    </row>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63"/>
  </cols>
  <sheetData>
    <row r="1" ht="12.75" customHeight="1">
      <c r="A1" s="59" t="s">
        <v>161</v>
      </c>
      <c r="B1" s="59" t="s">
        <v>63</v>
      </c>
    </row>
    <row r="2" ht="12.75" customHeight="1">
      <c r="A2" s="59" t="s">
        <v>294</v>
      </c>
      <c r="B2" s="60" t="s">
        <v>745</v>
      </c>
    </row>
    <row r="3" ht="12.75" customHeight="1">
      <c r="A3" s="59" t="s">
        <v>294</v>
      </c>
      <c r="B3" s="60" t="s">
        <v>746</v>
      </c>
    </row>
    <row r="4" ht="12.75" customHeight="1">
      <c r="A4" s="59" t="s">
        <v>294</v>
      </c>
      <c r="B4" s="60" t="s">
        <v>747</v>
      </c>
    </row>
    <row r="5" ht="12.75" customHeight="1">
      <c r="A5" s="59" t="s">
        <v>294</v>
      </c>
      <c r="B5" s="60" t="s">
        <v>748</v>
      </c>
    </row>
    <row r="6" ht="12.75" customHeight="1">
      <c r="A6" s="59" t="s">
        <v>256</v>
      </c>
      <c r="B6" s="60" t="s">
        <v>745</v>
      </c>
    </row>
    <row r="7" ht="12.75" customHeight="1">
      <c r="A7" s="59" t="s">
        <v>256</v>
      </c>
      <c r="B7" s="60" t="s">
        <v>746</v>
      </c>
    </row>
    <row r="8" ht="12.75" customHeight="1">
      <c r="A8" s="59" t="s">
        <v>256</v>
      </c>
      <c r="B8" s="60" t="s">
        <v>747</v>
      </c>
    </row>
    <row r="9" ht="12.75" customHeight="1">
      <c r="A9" s="59" t="s">
        <v>256</v>
      </c>
      <c r="B9" s="60" t="s">
        <v>748</v>
      </c>
    </row>
    <row r="10" ht="12.75" customHeight="1">
      <c r="A10" s="59" t="s">
        <v>288</v>
      </c>
      <c r="B10" s="60" t="s">
        <v>745</v>
      </c>
    </row>
    <row r="11" ht="12.75" customHeight="1">
      <c r="A11" s="59" t="s">
        <v>288</v>
      </c>
      <c r="B11" s="60" t="s">
        <v>746</v>
      </c>
    </row>
    <row r="12" ht="12.75" customHeight="1">
      <c r="A12" s="59" t="s">
        <v>288</v>
      </c>
      <c r="B12" s="60" t="s">
        <v>747</v>
      </c>
    </row>
    <row r="13" ht="12.75" customHeight="1">
      <c r="A13" s="59" t="s">
        <v>288</v>
      </c>
      <c r="B13" s="60" t="s">
        <v>748</v>
      </c>
    </row>
    <row r="14" ht="12.75" customHeight="1">
      <c r="A14" s="59" t="s">
        <v>310</v>
      </c>
      <c r="B14" s="60" t="s">
        <v>745</v>
      </c>
    </row>
    <row r="15" ht="12.75" customHeight="1">
      <c r="A15" s="59" t="s">
        <v>310</v>
      </c>
      <c r="B15" s="60" t="s">
        <v>746</v>
      </c>
    </row>
    <row r="16" ht="12.75" customHeight="1">
      <c r="A16" s="59" t="s">
        <v>310</v>
      </c>
      <c r="B16" s="60" t="s">
        <v>747</v>
      </c>
    </row>
    <row r="17" ht="12.75" customHeight="1">
      <c r="A17" s="59" t="s">
        <v>310</v>
      </c>
      <c r="B17" s="60" t="s">
        <v>748</v>
      </c>
    </row>
    <row r="18" ht="12.75" customHeight="1">
      <c r="A18" s="59" t="s">
        <v>749</v>
      </c>
      <c r="B18" s="60" t="s">
        <v>745</v>
      </c>
    </row>
    <row r="19" ht="12.75" customHeight="1">
      <c r="A19" s="59" t="s">
        <v>749</v>
      </c>
      <c r="B19" s="60" t="s">
        <v>746</v>
      </c>
    </row>
    <row r="20" ht="12.75" customHeight="1">
      <c r="A20" s="59" t="s">
        <v>749</v>
      </c>
      <c r="B20" s="60" t="s">
        <v>747</v>
      </c>
    </row>
    <row r="21" ht="12.75" customHeight="1">
      <c r="A21" s="59" t="s">
        <v>749</v>
      </c>
      <c r="B21" s="60" t="s">
        <v>748</v>
      </c>
    </row>
    <row r="22" ht="12.75" customHeight="1">
      <c r="A22" s="59" t="s">
        <v>270</v>
      </c>
      <c r="B22" s="60">
        <v>5.0</v>
      </c>
    </row>
    <row r="23" ht="12.75" customHeight="1">
      <c r="A23" s="59" t="s">
        <v>270</v>
      </c>
      <c r="B23" s="60">
        <v>5.5</v>
      </c>
    </row>
    <row r="24" ht="12.75" customHeight="1">
      <c r="A24" s="59" t="s">
        <v>270</v>
      </c>
      <c r="B24" s="60">
        <v>6.0</v>
      </c>
    </row>
    <row r="25" ht="12.75" customHeight="1">
      <c r="A25" s="59" t="s">
        <v>270</v>
      </c>
      <c r="B25" s="60">
        <v>6.5</v>
      </c>
    </row>
    <row r="26" ht="12.75" customHeight="1">
      <c r="A26" s="59" t="s">
        <v>270</v>
      </c>
      <c r="B26" s="60">
        <v>7.0</v>
      </c>
    </row>
    <row r="27" ht="12.75" customHeight="1">
      <c r="A27" s="59" t="s">
        <v>270</v>
      </c>
      <c r="B27" s="60">
        <v>7.5</v>
      </c>
    </row>
    <row r="28" ht="12.75" customHeight="1">
      <c r="A28" s="59" t="s">
        <v>270</v>
      </c>
      <c r="B28" s="60">
        <v>8.0</v>
      </c>
    </row>
    <row r="29" ht="12.75" customHeight="1">
      <c r="A29" s="59" t="s">
        <v>270</v>
      </c>
      <c r="B29" s="60">
        <v>8.5</v>
      </c>
    </row>
    <row r="30" ht="12.75" customHeight="1">
      <c r="A30" s="59" t="s">
        <v>270</v>
      </c>
      <c r="B30" s="60">
        <v>9.0</v>
      </c>
    </row>
    <row r="31" ht="12.75" customHeight="1">
      <c r="A31" s="59" t="s">
        <v>270</v>
      </c>
      <c r="B31" s="60">
        <v>9.5</v>
      </c>
    </row>
    <row r="32" ht="12.75" customHeight="1">
      <c r="A32" s="59" t="s">
        <v>270</v>
      </c>
      <c r="B32" s="60">
        <v>10.0</v>
      </c>
    </row>
    <row r="33" ht="12.75" customHeight="1">
      <c r="A33" s="59" t="s">
        <v>270</v>
      </c>
      <c r="B33" s="60">
        <v>10.5</v>
      </c>
    </row>
    <row r="34" ht="12.75" customHeight="1">
      <c r="A34" s="59" t="s">
        <v>270</v>
      </c>
      <c r="B34" s="60">
        <v>11.0</v>
      </c>
    </row>
    <row r="35" ht="12.75" customHeight="1">
      <c r="A35" s="59" t="s">
        <v>270</v>
      </c>
      <c r="B35" s="60">
        <v>11.5</v>
      </c>
    </row>
    <row r="36" ht="12.75" customHeight="1">
      <c r="A36" s="59" t="s">
        <v>270</v>
      </c>
      <c r="B36" s="60">
        <v>12.0</v>
      </c>
    </row>
    <row r="37" ht="12.75" customHeight="1">
      <c r="A37" s="59" t="s">
        <v>270</v>
      </c>
      <c r="B37" s="60">
        <v>12.5</v>
      </c>
    </row>
    <row r="38" ht="12.75" customHeight="1">
      <c r="A38" s="59" t="s">
        <v>270</v>
      </c>
      <c r="B38" s="60">
        <v>13.0</v>
      </c>
    </row>
    <row r="39" ht="12.75" customHeight="1">
      <c r="A39" s="59" t="s">
        <v>270</v>
      </c>
      <c r="B39" s="60" t="s">
        <v>750</v>
      </c>
    </row>
    <row r="40" ht="12.75" customHeight="1">
      <c r="A40" s="59" t="s">
        <v>270</v>
      </c>
      <c r="B40" s="60" t="s">
        <v>751</v>
      </c>
    </row>
    <row r="41" ht="12.75" customHeight="1">
      <c r="A41" s="59" t="s">
        <v>270</v>
      </c>
      <c r="B41" s="60" t="s">
        <v>752</v>
      </c>
    </row>
    <row r="42" ht="12.75" customHeight="1">
      <c r="A42" s="59" t="s">
        <v>270</v>
      </c>
      <c r="B42" s="60" t="s">
        <v>753</v>
      </c>
    </row>
    <row r="43" ht="12.75" customHeight="1">
      <c r="A43" s="59" t="s">
        <v>270</v>
      </c>
      <c r="B43" s="60" t="s">
        <v>754</v>
      </c>
    </row>
    <row r="44" ht="12.75" customHeight="1">
      <c r="A44" s="59" t="s">
        <v>270</v>
      </c>
      <c r="B44" s="60" t="s">
        <v>755</v>
      </c>
    </row>
    <row r="45" ht="12.75" customHeight="1">
      <c r="A45" s="59" t="s">
        <v>270</v>
      </c>
      <c r="B45" s="60" t="s">
        <v>756</v>
      </c>
    </row>
    <row r="46" ht="12.75" customHeight="1">
      <c r="A46" s="59" t="s">
        <v>270</v>
      </c>
      <c r="B46" s="60" t="s">
        <v>757</v>
      </c>
    </row>
    <row r="47" ht="12.75" customHeight="1">
      <c r="A47" s="59" t="s">
        <v>270</v>
      </c>
      <c r="B47" s="60" t="s">
        <v>758</v>
      </c>
    </row>
    <row r="48" ht="12.75" customHeight="1">
      <c r="A48" s="59" t="s">
        <v>270</v>
      </c>
      <c r="B48" s="60" t="s">
        <v>759</v>
      </c>
    </row>
    <row r="49" ht="12.75" customHeight="1">
      <c r="A49" s="59" t="s">
        <v>270</v>
      </c>
      <c r="B49" s="60" t="s">
        <v>760</v>
      </c>
    </row>
    <row r="50" ht="12.75" customHeight="1">
      <c r="A50" s="59" t="s">
        <v>270</v>
      </c>
      <c r="B50" s="60" t="s">
        <v>761</v>
      </c>
    </row>
    <row r="51" ht="12.75" customHeight="1">
      <c r="A51" s="59" t="s">
        <v>270</v>
      </c>
      <c r="B51" s="60" t="s">
        <v>762</v>
      </c>
    </row>
    <row r="52" ht="12.75" customHeight="1">
      <c r="A52" s="59" t="s">
        <v>270</v>
      </c>
      <c r="B52" s="60" t="s">
        <v>763</v>
      </c>
    </row>
    <row r="53" ht="12.75" customHeight="1">
      <c r="A53" s="59" t="s">
        <v>270</v>
      </c>
      <c r="B53" s="60" t="s">
        <v>764</v>
      </c>
    </row>
    <row r="54" ht="12.75" customHeight="1">
      <c r="A54" s="59" t="s">
        <v>270</v>
      </c>
      <c r="B54" s="60" t="s">
        <v>765</v>
      </c>
    </row>
    <row r="55" ht="12.75" customHeight="1">
      <c r="A55" s="59" t="s">
        <v>270</v>
      </c>
      <c r="B55" s="60" t="s">
        <v>766</v>
      </c>
    </row>
    <row r="56" ht="12.75" customHeight="1">
      <c r="A56" s="59" t="s">
        <v>270</v>
      </c>
      <c r="B56" s="60" t="s">
        <v>767</v>
      </c>
    </row>
    <row r="57" ht="12.75" customHeight="1">
      <c r="A57" s="59" t="s">
        <v>270</v>
      </c>
      <c r="B57" s="60" t="s">
        <v>768</v>
      </c>
    </row>
    <row r="58" ht="12.75" customHeight="1">
      <c r="A58" s="59" t="s">
        <v>270</v>
      </c>
      <c r="B58" s="60" t="s">
        <v>769</v>
      </c>
    </row>
    <row r="59" ht="12.75" customHeight="1">
      <c r="A59" s="59" t="s">
        <v>270</v>
      </c>
      <c r="B59" s="60" t="s">
        <v>770</v>
      </c>
    </row>
    <row r="60" ht="12.75" customHeight="1">
      <c r="A60" s="59" t="s">
        <v>270</v>
      </c>
      <c r="B60" s="60" t="s">
        <v>771</v>
      </c>
    </row>
    <row r="61" ht="12.75" customHeight="1">
      <c r="A61" s="59" t="s">
        <v>270</v>
      </c>
      <c r="B61" s="60" t="s">
        <v>772</v>
      </c>
    </row>
    <row r="62" ht="12.75" customHeight="1">
      <c r="A62" s="59" t="s">
        <v>270</v>
      </c>
      <c r="B62" s="60" t="s">
        <v>773</v>
      </c>
    </row>
    <row r="63" ht="12.75" customHeight="1">
      <c r="A63" s="59" t="s">
        <v>270</v>
      </c>
      <c r="B63" s="60" t="s">
        <v>774</v>
      </c>
    </row>
    <row r="64" ht="12.75" customHeight="1">
      <c r="A64" s="59" t="s">
        <v>270</v>
      </c>
      <c r="B64" s="60" t="s">
        <v>775</v>
      </c>
    </row>
    <row r="65" ht="12.75" customHeight="1">
      <c r="A65" s="59" t="s">
        <v>270</v>
      </c>
      <c r="B65" s="60" t="s">
        <v>776</v>
      </c>
    </row>
    <row r="66" ht="12.75" customHeight="1">
      <c r="A66" s="59" t="s">
        <v>270</v>
      </c>
      <c r="B66" s="60" t="s">
        <v>777</v>
      </c>
    </row>
    <row r="67" ht="12.75" customHeight="1">
      <c r="A67" s="59" t="s">
        <v>270</v>
      </c>
      <c r="B67" s="60" t="s">
        <v>778</v>
      </c>
    </row>
    <row r="68" ht="12.75" customHeight="1">
      <c r="A68" s="59" t="s">
        <v>270</v>
      </c>
      <c r="B68" s="60" t="s">
        <v>779</v>
      </c>
    </row>
    <row r="69" ht="12.75" customHeight="1">
      <c r="A69" s="59" t="s">
        <v>270</v>
      </c>
      <c r="B69" s="60" t="s">
        <v>780</v>
      </c>
    </row>
    <row r="70" ht="12.75" customHeight="1">
      <c r="A70" s="59" t="s">
        <v>270</v>
      </c>
      <c r="B70" s="60" t="s">
        <v>781</v>
      </c>
    </row>
    <row r="71" ht="12.75" customHeight="1">
      <c r="A71" s="59" t="s">
        <v>270</v>
      </c>
      <c r="B71" s="60" t="s">
        <v>782</v>
      </c>
    </row>
    <row r="72" ht="12.75" customHeight="1">
      <c r="A72" s="59" t="s">
        <v>270</v>
      </c>
      <c r="B72" s="60" t="s">
        <v>783</v>
      </c>
    </row>
    <row r="73" ht="12.75" customHeight="1">
      <c r="A73" s="59" t="s">
        <v>270</v>
      </c>
      <c r="B73" s="60" t="s">
        <v>784</v>
      </c>
    </row>
    <row r="74" ht="12.75" customHeight="1">
      <c r="A74" s="59" t="s">
        <v>270</v>
      </c>
      <c r="B74" s="60" t="s">
        <v>785</v>
      </c>
    </row>
    <row r="75" ht="12.75" customHeight="1">
      <c r="A75" s="59" t="s">
        <v>270</v>
      </c>
      <c r="B75" s="60" t="s">
        <v>786</v>
      </c>
    </row>
    <row r="76" ht="12.75" customHeight="1">
      <c r="A76" s="59" t="s">
        <v>270</v>
      </c>
      <c r="B76" s="60" t="s">
        <v>787</v>
      </c>
    </row>
    <row r="77" ht="12.75" customHeight="1">
      <c r="A77" s="59" t="s">
        <v>270</v>
      </c>
      <c r="B77" s="60" t="s">
        <v>788</v>
      </c>
    </row>
    <row r="78" ht="12.75" customHeight="1">
      <c r="A78" s="59" t="s">
        <v>270</v>
      </c>
      <c r="B78" s="60" t="s">
        <v>789</v>
      </c>
    </row>
    <row r="79" ht="12.75" customHeight="1">
      <c r="A79" s="59" t="s">
        <v>270</v>
      </c>
      <c r="B79" s="60" t="s">
        <v>790</v>
      </c>
    </row>
    <row r="80" ht="12.75" customHeight="1">
      <c r="A80" s="59" t="s">
        <v>270</v>
      </c>
      <c r="B80" s="60" t="s">
        <v>791</v>
      </c>
    </row>
    <row r="81" ht="12.75" customHeight="1">
      <c r="A81" s="59" t="s">
        <v>270</v>
      </c>
      <c r="B81" s="60" t="s">
        <v>792</v>
      </c>
    </row>
    <row r="82" ht="12.75" customHeight="1">
      <c r="A82" s="59" t="s">
        <v>270</v>
      </c>
      <c r="B82" s="60" t="s">
        <v>793</v>
      </c>
    </row>
    <row r="83" ht="12.75" customHeight="1">
      <c r="A83" s="59" t="s">
        <v>270</v>
      </c>
      <c r="B83" s="60" t="s">
        <v>794</v>
      </c>
    </row>
    <row r="84" ht="12.75" customHeight="1">
      <c r="A84" s="59" t="s">
        <v>270</v>
      </c>
      <c r="B84" s="60" t="s">
        <v>795</v>
      </c>
    </row>
    <row r="85" ht="12.75" customHeight="1">
      <c r="A85" s="59" t="s">
        <v>270</v>
      </c>
      <c r="B85" s="60" t="s">
        <v>796</v>
      </c>
    </row>
    <row r="86" ht="12.75" customHeight="1">
      <c r="A86" s="59" t="s">
        <v>270</v>
      </c>
      <c r="B86" s="60" t="s">
        <v>797</v>
      </c>
    </row>
    <row r="87" ht="12.75" customHeight="1">
      <c r="A87" s="59" t="s">
        <v>270</v>
      </c>
      <c r="B87" s="60" t="s">
        <v>798</v>
      </c>
    </row>
    <row r="88" ht="12.75" customHeight="1">
      <c r="A88" s="59" t="s">
        <v>270</v>
      </c>
      <c r="B88" s="60" t="s">
        <v>799</v>
      </c>
    </row>
    <row r="89" ht="12.75" customHeight="1">
      <c r="A89" s="59" t="s">
        <v>270</v>
      </c>
      <c r="B89" s="60" t="s">
        <v>800</v>
      </c>
    </row>
    <row r="90" ht="12.75" customHeight="1">
      <c r="A90" s="59" t="s">
        <v>270</v>
      </c>
      <c r="B90" s="60" t="s">
        <v>801</v>
      </c>
    </row>
    <row r="91" ht="12.75" customHeight="1">
      <c r="A91" s="59" t="s">
        <v>270</v>
      </c>
      <c r="B91" s="60" t="s">
        <v>802</v>
      </c>
    </row>
    <row r="92" ht="12.75" customHeight="1">
      <c r="A92" s="59" t="s">
        <v>164</v>
      </c>
      <c r="B92" s="60">
        <v>0.0</v>
      </c>
    </row>
    <row r="93" ht="12.75" customHeight="1">
      <c r="A93" s="59" t="s">
        <v>164</v>
      </c>
      <c r="B93" s="60">
        <v>0.0</v>
      </c>
    </row>
    <row r="94" ht="12.75" customHeight="1">
      <c r="A94" s="59" t="s">
        <v>164</v>
      </c>
      <c r="B94" s="60">
        <v>2.0</v>
      </c>
    </row>
    <row r="95" ht="12.75" customHeight="1">
      <c r="A95" s="59" t="s">
        <v>164</v>
      </c>
      <c r="B95" s="60">
        <v>4.0</v>
      </c>
    </row>
    <row r="96" ht="12.75" customHeight="1">
      <c r="A96" s="59" t="s">
        <v>164</v>
      </c>
      <c r="B96" s="60">
        <v>6.0</v>
      </c>
    </row>
    <row r="97" ht="12.75" customHeight="1">
      <c r="A97" s="59" t="s">
        <v>164</v>
      </c>
      <c r="B97" s="60">
        <v>8.0</v>
      </c>
    </row>
    <row r="98" ht="12.75" customHeight="1">
      <c r="A98" s="59" t="s">
        <v>164</v>
      </c>
      <c r="B98" s="60">
        <v>10.0</v>
      </c>
    </row>
    <row r="99" ht="12.75" customHeight="1">
      <c r="A99" s="59" t="s">
        <v>164</v>
      </c>
      <c r="B99" s="60">
        <v>12.0</v>
      </c>
    </row>
    <row r="100" ht="12.75" customHeight="1">
      <c r="A100" s="59" t="s">
        <v>164</v>
      </c>
      <c r="B100" s="60" t="s">
        <v>803</v>
      </c>
    </row>
    <row r="101" ht="12.75" customHeight="1">
      <c r="A101" s="59" t="s">
        <v>164</v>
      </c>
      <c r="B101" s="60" t="s">
        <v>804</v>
      </c>
    </row>
    <row r="102" ht="12.75" customHeight="1">
      <c r="A102" s="59" t="s">
        <v>164</v>
      </c>
      <c r="B102" s="60" t="s">
        <v>76</v>
      </c>
    </row>
    <row r="103" ht="12.75" customHeight="1">
      <c r="A103" s="59" t="s">
        <v>164</v>
      </c>
      <c r="B103" s="60" t="s">
        <v>80</v>
      </c>
    </row>
    <row r="104" ht="12.75" customHeight="1">
      <c r="A104" s="59" t="s">
        <v>164</v>
      </c>
      <c r="B104" s="60" t="s">
        <v>83</v>
      </c>
    </row>
    <row r="105" ht="12.75" customHeight="1">
      <c r="A105" s="59" t="s">
        <v>164</v>
      </c>
      <c r="B105" s="60" t="s">
        <v>85</v>
      </c>
    </row>
    <row r="106" ht="12.75" customHeight="1">
      <c r="A106" s="59" t="s">
        <v>164</v>
      </c>
      <c r="B106" s="60" t="s">
        <v>805</v>
      </c>
    </row>
    <row r="107" ht="12.75" customHeight="1">
      <c r="A107" s="59" t="s">
        <v>164</v>
      </c>
      <c r="B107" s="60" t="s">
        <v>806</v>
      </c>
    </row>
    <row r="108" ht="12.75" customHeight="1">
      <c r="A108" s="59" t="s">
        <v>164</v>
      </c>
      <c r="B108" s="60" t="s">
        <v>807</v>
      </c>
    </row>
    <row r="109" ht="12.75" customHeight="1">
      <c r="A109" s="59" t="s">
        <v>164</v>
      </c>
      <c r="B109" s="60" t="s">
        <v>753</v>
      </c>
    </row>
    <row r="110" ht="12.75" customHeight="1">
      <c r="A110" s="59" t="s">
        <v>164</v>
      </c>
      <c r="B110" s="60" t="s">
        <v>757</v>
      </c>
    </row>
    <row r="111" ht="12.75" customHeight="1">
      <c r="A111" s="59" t="s">
        <v>164</v>
      </c>
      <c r="B111" s="60" t="s">
        <v>761</v>
      </c>
    </row>
    <row r="112" ht="12.75" customHeight="1">
      <c r="A112" s="59" t="s">
        <v>164</v>
      </c>
      <c r="B112" s="60" t="s">
        <v>765</v>
      </c>
    </row>
    <row r="113" ht="12.75" customHeight="1">
      <c r="A113" s="59" t="s">
        <v>164</v>
      </c>
      <c r="B113" s="60" t="s">
        <v>808</v>
      </c>
    </row>
    <row r="114" ht="12.75" customHeight="1">
      <c r="A114" s="59" t="s">
        <v>164</v>
      </c>
      <c r="B114" s="60" t="s">
        <v>809</v>
      </c>
    </row>
    <row r="115" ht="12.75" customHeight="1">
      <c r="A115" s="59" t="s">
        <v>164</v>
      </c>
      <c r="B115" s="60" t="s">
        <v>810</v>
      </c>
    </row>
    <row r="116" ht="12.75" customHeight="1">
      <c r="A116" s="59" t="s">
        <v>164</v>
      </c>
      <c r="B116" s="60" t="s">
        <v>811</v>
      </c>
    </row>
    <row r="117" ht="12.75" customHeight="1">
      <c r="A117" s="59" t="s">
        <v>164</v>
      </c>
      <c r="B117" s="60" t="s">
        <v>812</v>
      </c>
    </row>
    <row r="118" ht="12.75" customHeight="1">
      <c r="A118" s="59" t="s">
        <v>164</v>
      </c>
      <c r="B118" s="60" t="s">
        <v>813</v>
      </c>
    </row>
    <row r="119" ht="12.75" customHeight="1">
      <c r="A119" s="59" t="s">
        <v>164</v>
      </c>
      <c r="B119" s="60" t="s">
        <v>814</v>
      </c>
    </row>
    <row r="120" ht="12.75" customHeight="1">
      <c r="A120" s="59" t="s">
        <v>164</v>
      </c>
      <c r="B120" s="60" t="s">
        <v>815</v>
      </c>
    </row>
    <row r="121" ht="12.75" customHeight="1">
      <c r="A121" s="59" t="s">
        <v>164</v>
      </c>
      <c r="B121" s="60" t="s">
        <v>816</v>
      </c>
    </row>
    <row r="122" ht="12.75" customHeight="1">
      <c r="A122" s="59" t="s">
        <v>164</v>
      </c>
      <c r="B122" s="60" t="s">
        <v>771</v>
      </c>
    </row>
    <row r="123" ht="12.75" customHeight="1">
      <c r="A123" s="59" t="s">
        <v>164</v>
      </c>
      <c r="B123" s="60" t="s">
        <v>775</v>
      </c>
    </row>
    <row r="124" ht="12.75" customHeight="1">
      <c r="A124" s="59" t="s">
        <v>164</v>
      </c>
      <c r="B124" s="60" t="s">
        <v>779</v>
      </c>
    </row>
    <row r="125" ht="12.75" customHeight="1">
      <c r="A125" s="59" t="s">
        <v>164</v>
      </c>
      <c r="B125" s="60" t="s">
        <v>783</v>
      </c>
    </row>
    <row r="126" ht="12.75" customHeight="1">
      <c r="A126" s="59" t="s">
        <v>164</v>
      </c>
      <c r="B126" s="60" t="s">
        <v>817</v>
      </c>
    </row>
    <row r="127" ht="12.75" customHeight="1">
      <c r="A127" s="59" t="s">
        <v>164</v>
      </c>
      <c r="B127" s="60" t="s">
        <v>818</v>
      </c>
    </row>
    <row r="128" ht="12.75" customHeight="1">
      <c r="A128" s="59" t="s">
        <v>164</v>
      </c>
      <c r="B128" s="60" t="s">
        <v>819</v>
      </c>
    </row>
    <row r="129" ht="12.75" customHeight="1">
      <c r="A129" s="59" t="s">
        <v>164</v>
      </c>
      <c r="B129" s="60" t="s">
        <v>820</v>
      </c>
    </row>
    <row r="130" ht="12.75" customHeight="1">
      <c r="A130" s="59" t="s">
        <v>164</v>
      </c>
      <c r="B130" s="60" t="s">
        <v>821</v>
      </c>
    </row>
    <row r="131" ht="12.75" customHeight="1">
      <c r="A131" s="59" t="s">
        <v>164</v>
      </c>
      <c r="B131" s="60" t="s">
        <v>822</v>
      </c>
    </row>
    <row r="132" ht="12.75" customHeight="1">
      <c r="A132" s="59" t="s">
        <v>164</v>
      </c>
      <c r="B132" s="60" t="s">
        <v>823</v>
      </c>
    </row>
    <row r="133" ht="12.75" customHeight="1">
      <c r="A133" s="59" t="s">
        <v>164</v>
      </c>
      <c r="B133" s="60" t="s">
        <v>824</v>
      </c>
    </row>
    <row r="134" ht="12.75" customHeight="1">
      <c r="A134" s="59" t="s">
        <v>164</v>
      </c>
      <c r="B134" s="60" t="s">
        <v>825</v>
      </c>
    </row>
    <row r="135" ht="12.75" customHeight="1">
      <c r="A135" s="59" t="s">
        <v>164</v>
      </c>
      <c r="B135" s="60" t="s">
        <v>788</v>
      </c>
    </row>
    <row r="136" ht="12.75" customHeight="1">
      <c r="A136" s="59" t="s">
        <v>164</v>
      </c>
      <c r="B136" s="60" t="s">
        <v>792</v>
      </c>
    </row>
    <row r="137" ht="12.75" customHeight="1">
      <c r="A137" s="59" t="s">
        <v>164</v>
      </c>
      <c r="B137" s="60" t="s">
        <v>796</v>
      </c>
    </row>
    <row r="138" ht="12.75" customHeight="1">
      <c r="A138" s="59" t="s">
        <v>164</v>
      </c>
      <c r="B138" s="60" t="s">
        <v>800</v>
      </c>
    </row>
    <row r="139" ht="12.75" customHeight="1">
      <c r="A139" s="59" t="s">
        <v>164</v>
      </c>
      <c r="B139" s="60" t="s">
        <v>826</v>
      </c>
    </row>
    <row r="140" ht="12.75" customHeight="1">
      <c r="A140" s="59" t="s">
        <v>164</v>
      </c>
      <c r="B140" s="60" t="s">
        <v>827</v>
      </c>
    </row>
    <row r="141" ht="12.75" customHeight="1">
      <c r="A141" s="59" t="s">
        <v>164</v>
      </c>
      <c r="B141" s="60" t="s">
        <v>828</v>
      </c>
    </row>
    <row r="142" ht="12.75" customHeight="1">
      <c r="A142" s="59" t="s">
        <v>164</v>
      </c>
      <c r="B142" s="60" t="s">
        <v>829</v>
      </c>
    </row>
    <row r="143" ht="12.75" customHeight="1">
      <c r="A143" s="59" t="s">
        <v>164</v>
      </c>
      <c r="B143" s="60" t="s">
        <v>830</v>
      </c>
    </row>
    <row r="144" ht="12.75" customHeight="1">
      <c r="A144" s="59" t="s">
        <v>164</v>
      </c>
      <c r="B144" s="60" t="s">
        <v>831</v>
      </c>
    </row>
    <row r="145" ht="12.75" customHeight="1">
      <c r="A145" s="59" t="s">
        <v>164</v>
      </c>
      <c r="B145" s="60" t="s">
        <v>832</v>
      </c>
    </row>
    <row r="146" ht="12.75" customHeight="1">
      <c r="A146" s="59" t="s">
        <v>164</v>
      </c>
      <c r="B146" s="60" t="s">
        <v>833</v>
      </c>
    </row>
    <row r="147" ht="12.75" customHeight="1">
      <c r="A147" s="59" t="s">
        <v>164</v>
      </c>
      <c r="B147" s="60" t="s">
        <v>834</v>
      </c>
    </row>
    <row r="148" ht="12.75" customHeight="1">
      <c r="A148" s="59" t="s">
        <v>164</v>
      </c>
      <c r="B148" s="60">
        <v>14.0</v>
      </c>
    </row>
    <row r="149" ht="12.75" customHeight="1">
      <c r="A149" s="59" t="s">
        <v>164</v>
      </c>
      <c r="B149" s="60" t="s">
        <v>835</v>
      </c>
    </row>
    <row r="150" ht="12.75" customHeight="1">
      <c r="A150" s="59" t="s">
        <v>164</v>
      </c>
      <c r="B150" s="60">
        <v>16.0</v>
      </c>
    </row>
    <row r="151" ht="12.75" customHeight="1">
      <c r="A151" s="59" t="s">
        <v>164</v>
      </c>
      <c r="B151" s="60" t="s">
        <v>836</v>
      </c>
    </row>
    <row r="152" ht="12.75" customHeight="1">
      <c r="A152" s="59" t="s">
        <v>164</v>
      </c>
      <c r="B152" s="60">
        <v>18.0</v>
      </c>
    </row>
    <row r="153" ht="12.75" customHeight="1">
      <c r="A153" s="59" t="s">
        <v>164</v>
      </c>
      <c r="B153" s="60" t="s">
        <v>837</v>
      </c>
    </row>
    <row r="154" ht="12.75" customHeight="1">
      <c r="A154" s="59" t="s">
        <v>164</v>
      </c>
      <c r="B154" s="60">
        <v>20.0</v>
      </c>
    </row>
    <row r="155" ht="12.75" customHeight="1">
      <c r="A155" s="59" t="s">
        <v>164</v>
      </c>
      <c r="B155" s="60" t="s">
        <v>838</v>
      </c>
    </row>
    <row r="156" ht="12.75" customHeight="1">
      <c r="A156" s="59" t="s">
        <v>164</v>
      </c>
      <c r="B156" s="60">
        <v>22.0</v>
      </c>
    </row>
    <row r="157" ht="12.75" customHeight="1">
      <c r="A157" s="59" t="s">
        <v>164</v>
      </c>
      <c r="B157" s="60" t="s">
        <v>839</v>
      </c>
    </row>
    <row r="158" ht="12.75" customHeight="1">
      <c r="A158" s="59" t="s">
        <v>164</v>
      </c>
      <c r="B158" s="60">
        <v>24.0</v>
      </c>
    </row>
    <row r="159" ht="12.75" customHeight="1">
      <c r="A159" s="59" t="s">
        <v>164</v>
      </c>
      <c r="B159" s="60" t="s">
        <v>840</v>
      </c>
    </row>
    <row r="160" ht="12.75" customHeight="1">
      <c r="A160" s="59" t="s">
        <v>164</v>
      </c>
      <c r="B160" s="60">
        <v>26.0</v>
      </c>
    </row>
    <row r="161" ht="12.75" customHeight="1">
      <c r="A161" s="59" t="s">
        <v>164</v>
      </c>
      <c r="B161" s="60" t="s">
        <v>841</v>
      </c>
    </row>
    <row r="162" ht="12.75" customHeight="1">
      <c r="A162" s="59" t="s">
        <v>164</v>
      </c>
      <c r="B162" s="60">
        <v>28.0</v>
      </c>
    </row>
    <row r="163" ht="12.75" customHeight="1">
      <c r="A163" s="59" t="s">
        <v>164</v>
      </c>
      <c r="B163" s="60" t="s">
        <v>842</v>
      </c>
    </row>
    <row r="164" ht="12.75" customHeight="1">
      <c r="A164" s="59" t="s">
        <v>164</v>
      </c>
      <c r="B164" s="60">
        <v>30.0</v>
      </c>
    </row>
    <row r="165" ht="12.75" customHeight="1">
      <c r="A165" s="59" t="s">
        <v>164</v>
      </c>
      <c r="B165" s="60" t="s">
        <v>843</v>
      </c>
    </row>
    <row r="166" ht="12.75" customHeight="1">
      <c r="A166" s="59" t="s">
        <v>164</v>
      </c>
      <c r="B166" s="60">
        <v>32.0</v>
      </c>
    </row>
    <row r="167" ht="12.75" customHeight="1">
      <c r="A167" s="59" t="s">
        <v>164</v>
      </c>
      <c r="B167" s="60" t="s">
        <v>844</v>
      </c>
    </row>
    <row r="168" ht="12.75" customHeight="1">
      <c r="A168" s="59" t="s">
        <v>164</v>
      </c>
      <c r="B168" s="60" t="s">
        <v>845</v>
      </c>
    </row>
    <row r="169" ht="12.75" customHeight="1">
      <c r="A169" s="59" t="s">
        <v>164</v>
      </c>
      <c r="B169" s="60" t="s">
        <v>846</v>
      </c>
    </row>
    <row r="170" ht="12.75" customHeight="1">
      <c r="A170" s="59" t="s">
        <v>164</v>
      </c>
      <c r="B170" s="60" t="s">
        <v>847</v>
      </c>
    </row>
    <row r="171" ht="12.75" customHeight="1">
      <c r="A171" s="59" t="s">
        <v>164</v>
      </c>
      <c r="B171" s="60" t="s">
        <v>848</v>
      </c>
    </row>
    <row r="172" ht="12.75" customHeight="1">
      <c r="A172" s="59" t="s">
        <v>164</v>
      </c>
      <c r="B172" s="60" t="s">
        <v>849</v>
      </c>
    </row>
    <row r="173" ht="12.75" customHeight="1">
      <c r="A173" s="59" t="s">
        <v>164</v>
      </c>
      <c r="B173" s="60" t="s">
        <v>850</v>
      </c>
    </row>
    <row r="174" ht="12.75" customHeight="1">
      <c r="A174" s="59" t="s">
        <v>164</v>
      </c>
      <c r="B174" s="60" t="s">
        <v>851</v>
      </c>
    </row>
    <row r="175" ht="12.75" customHeight="1">
      <c r="A175" s="59" t="s">
        <v>164</v>
      </c>
      <c r="B175" s="60" t="s">
        <v>852</v>
      </c>
    </row>
    <row r="176" ht="12.75" customHeight="1">
      <c r="A176" s="59" t="s">
        <v>164</v>
      </c>
      <c r="B176" s="60" t="s">
        <v>853</v>
      </c>
    </row>
    <row r="177" ht="12.75" customHeight="1">
      <c r="A177" s="59" t="s">
        <v>164</v>
      </c>
      <c r="B177" s="60" t="s">
        <v>854</v>
      </c>
    </row>
    <row r="178" ht="12.75" customHeight="1">
      <c r="A178" s="59" t="s">
        <v>164</v>
      </c>
      <c r="B178" s="60" t="s">
        <v>855</v>
      </c>
    </row>
    <row r="179" ht="12.75" customHeight="1">
      <c r="A179" s="59" t="s">
        <v>164</v>
      </c>
      <c r="B179" s="60" t="s">
        <v>856</v>
      </c>
    </row>
    <row r="180" ht="12.75" customHeight="1">
      <c r="A180" s="59" t="s">
        <v>164</v>
      </c>
      <c r="B180" s="60" t="s">
        <v>857</v>
      </c>
    </row>
    <row r="181" ht="12.75" customHeight="1">
      <c r="A181" s="59" t="s">
        <v>164</v>
      </c>
      <c r="B181" s="60" t="s">
        <v>858</v>
      </c>
    </row>
    <row r="182" ht="12.75" customHeight="1">
      <c r="A182" s="59" t="s">
        <v>164</v>
      </c>
      <c r="B182" s="60" t="s">
        <v>859</v>
      </c>
    </row>
    <row r="183" ht="12.75" customHeight="1">
      <c r="A183" s="59" t="s">
        <v>164</v>
      </c>
      <c r="B183" s="60" t="s">
        <v>860</v>
      </c>
    </row>
    <row r="184" ht="12.75" customHeight="1">
      <c r="A184" s="59" t="s">
        <v>164</v>
      </c>
      <c r="B184" s="60" t="s">
        <v>861</v>
      </c>
    </row>
    <row r="185" ht="12.75" customHeight="1">
      <c r="A185" s="59" t="s">
        <v>164</v>
      </c>
      <c r="B185" s="60" t="s">
        <v>862</v>
      </c>
    </row>
    <row r="186" ht="12.75" customHeight="1">
      <c r="A186" s="59" t="s">
        <v>164</v>
      </c>
      <c r="B186" s="60" t="s">
        <v>863</v>
      </c>
    </row>
    <row r="187" ht="12.75" customHeight="1">
      <c r="A187" s="59" t="s">
        <v>164</v>
      </c>
      <c r="B187" s="60" t="s">
        <v>864</v>
      </c>
    </row>
    <row r="188" ht="12.75" customHeight="1">
      <c r="A188" s="59" t="s">
        <v>164</v>
      </c>
      <c r="B188" s="60" t="s">
        <v>865</v>
      </c>
    </row>
    <row r="189" ht="12.75" customHeight="1">
      <c r="A189" s="59" t="s">
        <v>164</v>
      </c>
      <c r="B189" s="60" t="s">
        <v>866</v>
      </c>
    </row>
    <row r="190" ht="12.75" customHeight="1">
      <c r="A190" s="59" t="s">
        <v>164</v>
      </c>
      <c r="B190" s="60" t="s">
        <v>867</v>
      </c>
    </row>
    <row r="191" ht="12.75" customHeight="1">
      <c r="A191" s="59" t="s">
        <v>164</v>
      </c>
      <c r="B191" s="60" t="s">
        <v>868</v>
      </c>
    </row>
    <row r="192" ht="12.75" customHeight="1">
      <c r="A192" s="59" t="s">
        <v>164</v>
      </c>
      <c r="B192" s="60" t="s">
        <v>869</v>
      </c>
    </row>
    <row r="193" ht="12.75" customHeight="1">
      <c r="A193" s="59" t="s">
        <v>164</v>
      </c>
      <c r="B193" s="60" t="s">
        <v>870</v>
      </c>
    </row>
    <row r="194" ht="12.75" customHeight="1">
      <c r="A194" s="59" t="s">
        <v>164</v>
      </c>
      <c r="B194" s="60" t="s">
        <v>871</v>
      </c>
    </row>
    <row r="195" ht="12.75" customHeight="1">
      <c r="A195" s="59" t="s">
        <v>164</v>
      </c>
      <c r="B195" s="60" t="s">
        <v>872</v>
      </c>
    </row>
    <row r="196" ht="12.75" customHeight="1">
      <c r="A196" s="59" t="s">
        <v>164</v>
      </c>
      <c r="B196" s="60" t="s">
        <v>873</v>
      </c>
    </row>
    <row r="197" ht="12.75" customHeight="1">
      <c r="A197" s="59" t="s">
        <v>164</v>
      </c>
      <c r="B197" s="60" t="s">
        <v>874</v>
      </c>
    </row>
    <row r="198" ht="12.75" customHeight="1">
      <c r="A198" s="59" t="s">
        <v>164</v>
      </c>
      <c r="B198" s="60" t="s">
        <v>875</v>
      </c>
    </row>
    <row r="199" ht="12.75" customHeight="1">
      <c r="A199" s="59" t="s">
        <v>164</v>
      </c>
      <c r="B199" s="60" t="s">
        <v>876</v>
      </c>
    </row>
    <row r="200" ht="12.75" customHeight="1">
      <c r="A200" s="59" t="s">
        <v>164</v>
      </c>
      <c r="B200" s="60" t="s">
        <v>877</v>
      </c>
    </row>
    <row r="201" ht="12.75" customHeight="1">
      <c r="A201" s="59" t="s">
        <v>164</v>
      </c>
      <c r="B201" s="60" t="s">
        <v>878</v>
      </c>
    </row>
    <row r="202" ht="12.75" customHeight="1">
      <c r="A202" s="59" t="s">
        <v>164</v>
      </c>
      <c r="B202" s="60" t="s">
        <v>879</v>
      </c>
    </row>
    <row r="203" ht="12.75" customHeight="1">
      <c r="A203" s="59" t="s">
        <v>164</v>
      </c>
      <c r="B203" s="60" t="s">
        <v>880</v>
      </c>
    </row>
    <row r="204" ht="12.75" customHeight="1">
      <c r="A204" s="59" t="s">
        <v>164</v>
      </c>
      <c r="B204" s="60" t="s">
        <v>881</v>
      </c>
    </row>
    <row r="205" ht="12.75" customHeight="1">
      <c r="A205" s="59" t="s">
        <v>164</v>
      </c>
      <c r="B205" s="60" t="s">
        <v>882</v>
      </c>
    </row>
    <row r="206" ht="12.75" customHeight="1">
      <c r="A206" s="59" t="s">
        <v>164</v>
      </c>
      <c r="B206" s="60" t="s">
        <v>883</v>
      </c>
    </row>
    <row r="207" ht="12.75" customHeight="1">
      <c r="A207" s="59" t="s">
        <v>164</v>
      </c>
      <c r="B207" s="60" t="s">
        <v>884</v>
      </c>
    </row>
    <row r="208" ht="12.75" customHeight="1">
      <c r="A208" s="59" t="s">
        <v>164</v>
      </c>
      <c r="B208" s="60" t="s">
        <v>885</v>
      </c>
    </row>
    <row r="209" ht="12.75" customHeight="1">
      <c r="A209" s="59" t="s">
        <v>164</v>
      </c>
      <c r="B209" s="60" t="s">
        <v>886</v>
      </c>
    </row>
    <row r="210" ht="12.75" customHeight="1">
      <c r="A210" s="59" t="s">
        <v>164</v>
      </c>
      <c r="B210" s="60" t="s">
        <v>887</v>
      </c>
    </row>
    <row r="211" ht="12.75" customHeight="1">
      <c r="A211" s="59" t="s">
        <v>164</v>
      </c>
      <c r="B211" s="60" t="s">
        <v>888</v>
      </c>
    </row>
    <row r="212" ht="12.75" customHeight="1">
      <c r="A212" s="59" t="s">
        <v>164</v>
      </c>
      <c r="B212" s="60" t="s">
        <v>889</v>
      </c>
    </row>
    <row r="213" ht="12.75" customHeight="1">
      <c r="A213" s="59" t="s">
        <v>164</v>
      </c>
      <c r="B213" s="60" t="s">
        <v>890</v>
      </c>
    </row>
    <row r="214" ht="12.75" customHeight="1">
      <c r="A214" s="59" t="s">
        <v>164</v>
      </c>
      <c r="B214" s="60" t="s">
        <v>891</v>
      </c>
    </row>
    <row r="215" ht="12.75" customHeight="1">
      <c r="A215" s="59" t="s">
        <v>164</v>
      </c>
      <c r="B215" s="60" t="s">
        <v>892</v>
      </c>
    </row>
    <row r="216" ht="12.75" customHeight="1">
      <c r="A216" s="59" t="s">
        <v>164</v>
      </c>
      <c r="B216" s="60" t="s">
        <v>893</v>
      </c>
    </row>
    <row r="217" ht="12.75" customHeight="1">
      <c r="A217" s="59" t="s">
        <v>164</v>
      </c>
      <c r="B217" s="60" t="s">
        <v>894</v>
      </c>
    </row>
    <row r="218" ht="12.75" customHeight="1">
      <c r="A218" s="59" t="s">
        <v>164</v>
      </c>
      <c r="B218" s="60" t="s">
        <v>895</v>
      </c>
    </row>
    <row r="219" ht="12.75" customHeight="1">
      <c r="A219" s="59" t="s">
        <v>164</v>
      </c>
      <c r="B219" s="60" t="s">
        <v>896</v>
      </c>
    </row>
    <row r="220" ht="12.75" customHeight="1">
      <c r="A220" s="59" t="s">
        <v>164</v>
      </c>
      <c r="B220" s="60" t="s">
        <v>897</v>
      </c>
    </row>
    <row r="221" ht="12.75" customHeight="1">
      <c r="A221" s="59" t="s">
        <v>164</v>
      </c>
      <c r="B221" s="60" t="s">
        <v>898</v>
      </c>
    </row>
    <row r="222" ht="12.75" customHeight="1">
      <c r="A222" s="59" t="s">
        <v>164</v>
      </c>
      <c r="B222" s="60" t="s">
        <v>899</v>
      </c>
    </row>
    <row r="223" ht="12.75" customHeight="1">
      <c r="A223" s="59" t="s">
        <v>164</v>
      </c>
      <c r="B223" s="60" t="s">
        <v>900</v>
      </c>
    </row>
    <row r="224" ht="12.75" customHeight="1">
      <c r="A224" s="59" t="s">
        <v>164</v>
      </c>
      <c r="B224" s="60" t="s">
        <v>901</v>
      </c>
    </row>
    <row r="225" ht="12.75" customHeight="1">
      <c r="A225" s="59" t="s">
        <v>164</v>
      </c>
      <c r="B225" s="60" t="s">
        <v>902</v>
      </c>
    </row>
    <row r="226" ht="12.75" customHeight="1">
      <c r="A226" s="59" t="s">
        <v>164</v>
      </c>
      <c r="B226" s="60" t="s">
        <v>903</v>
      </c>
    </row>
    <row r="227" ht="12.75" customHeight="1">
      <c r="A227" s="59" t="s">
        <v>164</v>
      </c>
      <c r="B227" s="60" t="s">
        <v>904</v>
      </c>
    </row>
    <row r="228" ht="12.75" customHeight="1">
      <c r="A228" s="59" t="s">
        <v>164</v>
      </c>
      <c r="B228" s="60" t="s">
        <v>905</v>
      </c>
    </row>
    <row r="229" ht="12.75" customHeight="1">
      <c r="A229" s="59" t="s">
        <v>164</v>
      </c>
      <c r="B229" s="60" t="s">
        <v>906</v>
      </c>
    </row>
    <row r="230" ht="12.75" customHeight="1">
      <c r="A230" s="59" t="s">
        <v>164</v>
      </c>
      <c r="B230" s="60" t="s">
        <v>907</v>
      </c>
    </row>
    <row r="231" ht="12.75" customHeight="1">
      <c r="A231" s="59" t="s">
        <v>164</v>
      </c>
      <c r="B231" s="60" t="s">
        <v>908</v>
      </c>
    </row>
    <row r="232" ht="12.75" customHeight="1">
      <c r="A232" s="59" t="s">
        <v>164</v>
      </c>
      <c r="B232" s="60" t="s">
        <v>909</v>
      </c>
    </row>
    <row r="233" ht="12.75" customHeight="1">
      <c r="A233" s="59" t="s">
        <v>164</v>
      </c>
      <c r="B233" s="60" t="s">
        <v>910</v>
      </c>
    </row>
    <row r="234" ht="12.75" customHeight="1">
      <c r="A234" s="59" t="s">
        <v>164</v>
      </c>
      <c r="B234" s="60" t="s">
        <v>911</v>
      </c>
    </row>
    <row r="235" ht="12.75" customHeight="1">
      <c r="A235" s="59" t="s">
        <v>164</v>
      </c>
      <c r="B235" s="60" t="s">
        <v>912</v>
      </c>
    </row>
    <row r="236" ht="12.75" customHeight="1">
      <c r="A236" s="59" t="s">
        <v>164</v>
      </c>
      <c r="B236" s="60" t="s">
        <v>913</v>
      </c>
    </row>
    <row r="237" ht="12.75" customHeight="1">
      <c r="A237" s="59" t="s">
        <v>164</v>
      </c>
      <c r="B237" s="60" t="s">
        <v>914</v>
      </c>
    </row>
    <row r="238" ht="12.75" customHeight="1">
      <c r="A238" s="59" t="s">
        <v>164</v>
      </c>
      <c r="B238" s="60" t="s">
        <v>915</v>
      </c>
    </row>
    <row r="239" ht="12.75" customHeight="1">
      <c r="A239" s="59" t="s">
        <v>164</v>
      </c>
      <c r="B239" s="60" t="s">
        <v>916</v>
      </c>
    </row>
    <row r="240" ht="12.75" customHeight="1">
      <c r="A240" s="59" t="s">
        <v>164</v>
      </c>
      <c r="B240" s="60" t="s">
        <v>917</v>
      </c>
    </row>
    <row r="241" ht="12.75" customHeight="1">
      <c r="A241" s="59" t="s">
        <v>164</v>
      </c>
      <c r="B241" s="60" t="s">
        <v>918</v>
      </c>
    </row>
    <row r="242" ht="12.75" customHeight="1">
      <c r="A242" s="59" t="s">
        <v>164</v>
      </c>
      <c r="B242" s="60" t="s">
        <v>919</v>
      </c>
    </row>
    <row r="243" ht="12.75" customHeight="1">
      <c r="A243" s="59" t="s">
        <v>164</v>
      </c>
      <c r="B243" s="60" t="s">
        <v>920</v>
      </c>
    </row>
    <row r="244" ht="12.75" customHeight="1">
      <c r="A244" s="59" t="s">
        <v>164</v>
      </c>
      <c r="B244" s="60" t="s">
        <v>921</v>
      </c>
    </row>
    <row r="245" ht="12.75" customHeight="1">
      <c r="A245" s="59" t="s">
        <v>164</v>
      </c>
      <c r="B245" s="60" t="s">
        <v>922</v>
      </c>
    </row>
    <row r="246" ht="12.75" customHeight="1">
      <c r="A246" s="59" t="s">
        <v>164</v>
      </c>
      <c r="B246" s="60" t="s">
        <v>923</v>
      </c>
    </row>
    <row r="247" ht="12.75" customHeight="1">
      <c r="A247" s="59" t="s">
        <v>164</v>
      </c>
      <c r="B247" s="60" t="s">
        <v>924</v>
      </c>
    </row>
    <row r="248" ht="12.75" customHeight="1">
      <c r="A248" s="59" t="s">
        <v>164</v>
      </c>
      <c r="B248" s="60" t="s">
        <v>925</v>
      </c>
    </row>
    <row r="249" ht="12.75" customHeight="1">
      <c r="A249" s="59" t="s">
        <v>164</v>
      </c>
      <c r="B249" s="60" t="s">
        <v>926</v>
      </c>
    </row>
    <row r="250" ht="12.75" customHeight="1">
      <c r="A250" s="59" t="s">
        <v>164</v>
      </c>
      <c r="B250" s="60" t="s">
        <v>927</v>
      </c>
    </row>
    <row r="251" ht="12.75" customHeight="1">
      <c r="A251" s="59" t="s">
        <v>164</v>
      </c>
      <c r="B251" s="60" t="s">
        <v>928</v>
      </c>
    </row>
    <row r="252" ht="12.75" customHeight="1">
      <c r="A252" s="59" t="s">
        <v>164</v>
      </c>
      <c r="B252" s="60" t="s">
        <v>929</v>
      </c>
    </row>
    <row r="253" ht="12.75" customHeight="1">
      <c r="A253" s="59" t="s">
        <v>164</v>
      </c>
      <c r="B253" s="60" t="s">
        <v>930</v>
      </c>
    </row>
    <row r="254" ht="12.75" customHeight="1">
      <c r="A254" s="59" t="s">
        <v>164</v>
      </c>
      <c r="B254" s="60" t="s">
        <v>931</v>
      </c>
    </row>
    <row r="255" ht="12.75" customHeight="1">
      <c r="A255" s="59" t="s">
        <v>164</v>
      </c>
      <c r="B255" s="60" t="s">
        <v>932</v>
      </c>
    </row>
    <row r="256" ht="12.75" customHeight="1">
      <c r="A256" s="59" t="s">
        <v>164</v>
      </c>
      <c r="B256" s="60" t="s">
        <v>933</v>
      </c>
    </row>
    <row r="257" ht="12.75" customHeight="1">
      <c r="A257" s="59" t="s">
        <v>164</v>
      </c>
      <c r="B257" s="60" t="s">
        <v>934</v>
      </c>
    </row>
    <row r="258" ht="12.75" customHeight="1">
      <c r="A258" s="59" t="s">
        <v>164</v>
      </c>
      <c r="B258" s="60" t="s">
        <v>935</v>
      </c>
    </row>
    <row r="259" ht="12.75" customHeight="1">
      <c r="A259" s="59" t="s">
        <v>164</v>
      </c>
      <c r="B259" s="60" t="s">
        <v>936</v>
      </c>
    </row>
    <row r="260" ht="12.75" customHeight="1">
      <c r="A260" s="59" t="s">
        <v>164</v>
      </c>
      <c r="B260" s="60" t="s">
        <v>937</v>
      </c>
    </row>
    <row r="261" ht="12.75" customHeight="1">
      <c r="A261" s="59" t="s">
        <v>164</v>
      </c>
      <c r="B261" s="60" t="s">
        <v>938</v>
      </c>
    </row>
    <row r="262" ht="12.75" customHeight="1">
      <c r="A262" s="59" t="s">
        <v>164</v>
      </c>
      <c r="B262" s="60" t="s">
        <v>939</v>
      </c>
    </row>
    <row r="263" ht="12.75" customHeight="1">
      <c r="A263" s="59" t="s">
        <v>164</v>
      </c>
      <c r="B263" s="60" t="s">
        <v>940</v>
      </c>
    </row>
    <row r="264" ht="12.75" customHeight="1">
      <c r="A264" s="59" t="s">
        <v>164</v>
      </c>
      <c r="B264" s="60" t="s">
        <v>941</v>
      </c>
    </row>
    <row r="265" ht="12.75" customHeight="1">
      <c r="A265" s="59" t="s">
        <v>164</v>
      </c>
      <c r="B265" s="60" t="s">
        <v>942</v>
      </c>
    </row>
    <row r="266" ht="12.75" customHeight="1">
      <c r="A266" s="59" t="s">
        <v>164</v>
      </c>
      <c r="B266" s="60" t="s">
        <v>943</v>
      </c>
    </row>
    <row r="267" ht="12.75" customHeight="1">
      <c r="A267" s="59" t="s">
        <v>164</v>
      </c>
      <c r="B267" s="60" t="s">
        <v>944</v>
      </c>
    </row>
    <row r="268" ht="12.75" customHeight="1">
      <c r="A268" s="59" t="s">
        <v>164</v>
      </c>
      <c r="B268" s="60" t="s">
        <v>945</v>
      </c>
    </row>
    <row r="269" ht="12.75" customHeight="1">
      <c r="A269" s="59" t="s">
        <v>164</v>
      </c>
      <c r="B269" s="60" t="s">
        <v>946</v>
      </c>
    </row>
    <row r="270" ht="12.75" customHeight="1">
      <c r="A270" s="59" t="s">
        <v>164</v>
      </c>
      <c r="B270" s="60" t="s">
        <v>947</v>
      </c>
    </row>
    <row r="271" ht="12.75" customHeight="1">
      <c r="A271" s="59" t="s">
        <v>164</v>
      </c>
      <c r="B271" s="60" t="s">
        <v>948</v>
      </c>
    </row>
    <row r="272" ht="12.75" customHeight="1">
      <c r="A272" s="59" t="s">
        <v>164</v>
      </c>
      <c r="B272" s="60" t="s">
        <v>949</v>
      </c>
    </row>
    <row r="273" ht="12.75" customHeight="1">
      <c r="A273" s="59" t="s">
        <v>164</v>
      </c>
      <c r="B273" s="60" t="s">
        <v>950</v>
      </c>
    </row>
    <row r="274" ht="12.75" customHeight="1">
      <c r="A274" s="59" t="s">
        <v>164</v>
      </c>
      <c r="B274" s="60" t="s">
        <v>951</v>
      </c>
    </row>
    <row r="275" ht="12.75" customHeight="1">
      <c r="A275" s="59" t="s">
        <v>164</v>
      </c>
      <c r="B275" s="60" t="s">
        <v>952</v>
      </c>
    </row>
    <row r="276" ht="12.75" customHeight="1">
      <c r="A276" s="59" t="s">
        <v>164</v>
      </c>
      <c r="B276" s="60" t="s">
        <v>953</v>
      </c>
    </row>
    <row r="277" ht="12.75" customHeight="1">
      <c r="A277" s="59" t="s">
        <v>164</v>
      </c>
      <c r="B277" s="60" t="s">
        <v>954</v>
      </c>
    </row>
    <row r="278" ht="12.75" customHeight="1">
      <c r="A278" s="59" t="s">
        <v>164</v>
      </c>
      <c r="B278" s="60" t="s">
        <v>955</v>
      </c>
    </row>
    <row r="279" ht="12.75" customHeight="1">
      <c r="A279" s="59" t="s">
        <v>164</v>
      </c>
      <c r="B279" s="60" t="s">
        <v>956</v>
      </c>
    </row>
    <row r="280" ht="12.75" customHeight="1">
      <c r="A280" s="59" t="s">
        <v>164</v>
      </c>
      <c r="B280" s="60" t="s">
        <v>957</v>
      </c>
    </row>
    <row r="281" ht="12.75" customHeight="1">
      <c r="A281" s="59" t="s">
        <v>164</v>
      </c>
      <c r="B281" s="60" t="s">
        <v>958</v>
      </c>
    </row>
    <row r="282" ht="12.75" customHeight="1">
      <c r="A282" s="59" t="s">
        <v>164</v>
      </c>
      <c r="B282" s="60" t="s">
        <v>959</v>
      </c>
    </row>
    <row r="283" ht="12.75" customHeight="1">
      <c r="A283" s="59" t="s">
        <v>164</v>
      </c>
      <c r="B283" s="60" t="s">
        <v>960</v>
      </c>
    </row>
    <row r="284" ht="12.75" customHeight="1">
      <c r="A284" s="59" t="s">
        <v>164</v>
      </c>
      <c r="B284" s="60" t="s">
        <v>961</v>
      </c>
    </row>
    <row r="285" ht="12.75" customHeight="1">
      <c r="A285" s="59" t="s">
        <v>164</v>
      </c>
      <c r="B285" s="60" t="s">
        <v>962</v>
      </c>
    </row>
    <row r="286" ht="12.75" customHeight="1">
      <c r="A286" s="59" t="s">
        <v>164</v>
      </c>
      <c r="B286" s="60" t="s">
        <v>963</v>
      </c>
    </row>
    <row r="287" ht="12.75" customHeight="1">
      <c r="A287" s="59" t="s">
        <v>164</v>
      </c>
      <c r="B287" s="60" t="s">
        <v>964</v>
      </c>
    </row>
    <row r="288" ht="12.75" customHeight="1">
      <c r="A288" s="59" t="s">
        <v>164</v>
      </c>
      <c r="B288" s="60" t="s">
        <v>965</v>
      </c>
    </row>
    <row r="289" ht="12.75" customHeight="1">
      <c r="A289" s="59" t="s">
        <v>164</v>
      </c>
      <c r="B289" s="60" t="s">
        <v>966</v>
      </c>
    </row>
    <row r="290" ht="12.75" customHeight="1">
      <c r="A290" s="59" t="s">
        <v>164</v>
      </c>
      <c r="B290" s="60" t="s">
        <v>967</v>
      </c>
    </row>
    <row r="291" ht="12.75" customHeight="1">
      <c r="A291" s="59" t="s">
        <v>164</v>
      </c>
      <c r="B291" s="60" t="s">
        <v>968</v>
      </c>
    </row>
    <row r="292" ht="12.75" customHeight="1">
      <c r="A292" s="59" t="s">
        <v>164</v>
      </c>
      <c r="B292" s="60" t="s">
        <v>969</v>
      </c>
    </row>
    <row r="293" ht="12.75" customHeight="1">
      <c r="A293" s="59" t="s">
        <v>164</v>
      </c>
      <c r="B293" s="60" t="s">
        <v>970</v>
      </c>
    </row>
    <row r="294" ht="12.75" customHeight="1">
      <c r="A294" s="59" t="s">
        <v>164</v>
      </c>
      <c r="B294" s="60" t="s">
        <v>971</v>
      </c>
    </row>
    <row r="295" ht="12.75" customHeight="1">
      <c r="A295" s="59" t="s">
        <v>164</v>
      </c>
      <c r="B295" s="60" t="s">
        <v>972</v>
      </c>
    </row>
    <row r="296" ht="12.75" customHeight="1">
      <c r="A296" s="59" t="s">
        <v>164</v>
      </c>
      <c r="B296" s="60" t="s">
        <v>973</v>
      </c>
    </row>
    <row r="297" ht="12.75" customHeight="1">
      <c r="A297" s="59" t="s">
        <v>164</v>
      </c>
      <c r="B297" s="60" t="s">
        <v>974</v>
      </c>
    </row>
    <row r="298" ht="12.75" customHeight="1">
      <c r="A298" s="59" t="s">
        <v>164</v>
      </c>
      <c r="B298" s="60" t="s">
        <v>975</v>
      </c>
    </row>
    <row r="299" ht="12.75" customHeight="1">
      <c r="A299" s="59" t="s">
        <v>164</v>
      </c>
      <c r="B299" s="60" t="s">
        <v>976</v>
      </c>
    </row>
    <row r="300" ht="12.75" customHeight="1">
      <c r="A300" s="59" t="s">
        <v>164</v>
      </c>
      <c r="B300" s="60" t="s">
        <v>977</v>
      </c>
    </row>
    <row r="301" ht="12.75" customHeight="1">
      <c r="A301" s="59" t="s">
        <v>164</v>
      </c>
      <c r="B301" s="60" t="s">
        <v>978</v>
      </c>
    </row>
    <row r="302" ht="12.75" customHeight="1">
      <c r="A302" s="59" t="s">
        <v>164</v>
      </c>
      <c r="B302" s="60" t="s">
        <v>979</v>
      </c>
    </row>
    <row r="303" ht="12.75" customHeight="1">
      <c r="A303" s="59" t="s">
        <v>164</v>
      </c>
      <c r="B303" s="60" t="s">
        <v>980</v>
      </c>
    </row>
    <row r="304" ht="12.75" customHeight="1">
      <c r="A304" s="59" t="s">
        <v>164</v>
      </c>
      <c r="B304" s="60" t="s">
        <v>981</v>
      </c>
    </row>
    <row r="305" ht="12.75" customHeight="1">
      <c r="A305" s="59" t="s">
        <v>164</v>
      </c>
      <c r="B305" s="60" t="s">
        <v>982</v>
      </c>
    </row>
    <row r="306" ht="12.75" customHeight="1">
      <c r="A306" s="59" t="s">
        <v>164</v>
      </c>
      <c r="B306" s="60" t="s">
        <v>983</v>
      </c>
    </row>
    <row r="307" ht="12.75" customHeight="1">
      <c r="A307" s="59" t="s">
        <v>164</v>
      </c>
      <c r="B307" s="60" t="s">
        <v>984</v>
      </c>
    </row>
    <row r="308" ht="12.75" customHeight="1">
      <c r="A308" s="59" t="s">
        <v>164</v>
      </c>
      <c r="B308" s="60" t="s">
        <v>985</v>
      </c>
    </row>
    <row r="309" ht="12.75" customHeight="1">
      <c r="A309" s="59" t="s">
        <v>164</v>
      </c>
      <c r="B309" s="60" t="s">
        <v>986</v>
      </c>
    </row>
    <row r="310" ht="12.75" customHeight="1">
      <c r="A310" s="59" t="s">
        <v>164</v>
      </c>
      <c r="B310" s="60" t="s">
        <v>987</v>
      </c>
    </row>
    <row r="311" ht="12.75" customHeight="1">
      <c r="A311" s="59" t="s">
        <v>164</v>
      </c>
      <c r="B311" s="60" t="s">
        <v>988</v>
      </c>
    </row>
    <row r="312" ht="12.75" customHeight="1">
      <c r="A312" s="59" t="s">
        <v>164</v>
      </c>
      <c r="B312" s="60" t="s">
        <v>989</v>
      </c>
    </row>
    <row r="313" ht="12.75" customHeight="1">
      <c r="A313" s="59" t="s">
        <v>164</v>
      </c>
      <c r="B313" s="60" t="s">
        <v>990</v>
      </c>
    </row>
    <row r="314" ht="12.75" customHeight="1">
      <c r="A314" s="59" t="s">
        <v>164</v>
      </c>
      <c r="B314" s="60" t="s">
        <v>991</v>
      </c>
    </row>
    <row r="315" ht="12.75" customHeight="1">
      <c r="A315" s="59" t="s">
        <v>164</v>
      </c>
      <c r="B315" s="60" t="s">
        <v>992</v>
      </c>
    </row>
    <row r="316" ht="12.75" customHeight="1">
      <c r="A316" s="59" t="s">
        <v>164</v>
      </c>
      <c r="B316" s="60" t="s">
        <v>993</v>
      </c>
    </row>
    <row r="317" ht="12.75" customHeight="1">
      <c r="A317" s="59" t="s">
        <v>164</v>
      </c>
      <c r="B317" s="60" t="s">
        <v>994</v>
      </c>
    </row>
    <row r="318" ht="12.75" customHeight="1">
      <c r="A318" s="59" t="s">
        <v>164</v>
      </c>
      <c r="B318" s="60" t="s">
        <v>995</v>
      </c>
    </row>
    <row r="319" ht="12.75" customHeight="1">
      <c r="A319" s="59" t="s">
        <v>164</v>
      </c>
      <c r="B319" s="60" t="s">
        <v>996</v>
      </c>
    </row>
    <row r="320" ht="12.75" customHeight="1">
      <c r="A320" s="59" t="s">
        <v>164</v>
      </c>
      <c r="B320" s="60" t="s">
        <v>997</v>
      </c>
    </row>
    <row r="321" ht="12.75" customHeight="1">
      <c r="A321" s="59" t="s">
        <v>164</v>
      </c>
      <c r="B321" s="60" t="s">
        <v>998</v>
      </c>
    </row>
    <row r="322" ht="12.75" customHeight="1">
      <c r="A322" s="59" t="s">
        <v>164</v>
      </c>
      <c r="B322" s="60" t="s">
        <v>999</v>
      </c>
    </row>
    <row r="323" ht="12.75" customHeight="1">
      <c r="A323" s="59" t="s">
        <v>164</v>
      </c>
      <c r="B323" s="60" t="s">
        <v>1000</v>
      </c>
    </row>
    <row r="324" ht="12.75" customHeight="1">
      <c r="A324" s="59" t="s">
        <v>164</v>
      </c>
      <c r="B324" s="60" t="s">
        <v>1001</v>
      </c>
    </row>
    <row r="325" ht="12.75" customHeight="1">
      <c r="A325" s="59" t="s">
        <v>164</v>
      </c>
      <c r="B325" s="60" t="s">
        <v>1002</v>
      </c>
    </row>
    <row r="326" ht="12.75" customHeight="1">
      <c r="A326" s="59" t="s">
        <v>164</v>
      </c>
      <c r="B326" s="60" t="s">
        <v>1003</v>
      </c>
    </row>
    <row r="327" ht="12.75" customHeight="1">
      <c r="A327" s="59" t="s">
        <v>164</v>
      </c>
      <c r="B327" s="60" t="s">
        <v>1004</v>
      </c>
    </row>
    <row r="328" ht="12.75" customHeight="1">
      <c r="A328" s="59" t="s">
        <v>164</v>
      </c>
      <c r="B328" s="60" t="s">
        <v>1005</v>
      </c>
    </row>
    <row r="329" ht="12.75" customHeight="1">
      <c r="A329" s="59" t="s">
        <v>164</v>
      </c>
      <c r="B329" s="60" t="s">
        <v>1006</v>
      </c>
    </row>
    <row r="330" ht="12.75" customHeight="1">
      <c r="A330" s="59" t="s">
        <v>164</v>
      </c>
      <c r="B330" s="60" t="s">
        <v>1007</v>
      </c>
    </row>
    <row r="331" ht="12.75" customHeight="1">
      <c r="A331" s="59" t="s">
        <v>164</v>
      </c>
      <c r="B331" s="60" t="s">
        <v>1008</v>
      </c>
    </row>
    <row r="332" ht="12.75" customHeight="1">
      <c r="A332" s="59" t="s">
        <v>164</v>
      </c>
      <c r="B332" s="60" t="s">
        <v>1009</v>
      </c>
    </row>
    <row r="333" ht="12.75" customHeight="1">
      <c r="A333" s="59" t="s">
        <v>164</v>
      </c>
      <c r="B333" s="60" t="s">
        <v>1010</v>
      </c>
    </row>
    <row r="334" ht="12.75" customHeight="1">
      <c r="A334" s="59" t="s">
        <v>164</v>
      </c>
      <c r="B334" s="60" t="s">
        <v>1011</v>
      </c>
    </row>
    <row r="335" ht="12.75" customHeight="1">
      <c r="A335" s="59" t="s">
        <v>164</v>
      </c>
      <c r="B335" s="60" t="s">
        <v>1012</v>
      </c>
    </row>
    <row r="336" ht="12.75" customHeight="1">
      <c r="A336" s="59" t="s">
        <v>164</v>
      </c>
      <c r="B336" s="60" t="s">
        <v>1013</v>
      </c>
    </row>
    <row r="337" ht="12.75" customHeight="1">
      <c r="A337" s="59" t="s">
        <v>164</v>
      </c>
      <c r="B337" s="60" t="s">
        <v>1014</v>
      </c>
    </row>
    <row r="338" ht="12.75" customHeight="1">
      <c r="A338" s="59" t="s">
        <v>164</v>
      </c>
      <c r="B338" s="60" t="s">
        <v>1015</v>
      </c>
    </row>
    <row r="339" ht="12.75" customHeight="1">
      <c r="A339" s="59" t="s">
        <v>164</v>
      </c>
      <c r="B339" s="60" t="s">
        <v>1016</v>
      </c>
    </row>
    <row r="340" ht="12.75" customHeight="1">
      <c r="A340" s="59" t="s">
        <v>164</v>
      </c>
      <c r="B340" s="60" t="s">
        <v>1017</v>
      </c>
    </row>
    <row r="341" ht="12.75" customHeight="1">
      <c r="A341" s="59" t="s">
        <v>164</v>
      </c>
      <c r="B341" s="60" t="s">
        <v>1018</v>
      </c>
    </row>
    <row r="342" ht="12.75" customHeight="1">
      <c r="A342" s="59" t="s">
        <v>164</v>
      </c>
      <c r="B342" s="60" t="s">
        <v>1019</v>
      </c>
    </row>
    <row r="343" ht="12.75" customHeight="1">
      <c r="A343" s="59" t="s">
        <v>164</v>
      </c>
      <c r="B343" s="60" t="s">
        <v>1020</v>
      </c>
    </row>
    <row r="344" ht="12.75" customHeight="1">
      <c r="A344" s="59" t="s">
        <v>164</v>
      </c>
      <c r="B344" s="60" t="s">
        <v>1021</v>
      </c>
    </row>
    <row r="345" ht="12.75" customHeight="1">
      <c r="A345" s="59" t="s">
        <v>164</v>
      </c>
      <c r="B345" s="60" t="s">
        <v>1022</v>
      </c>
    </row>
    <row r="346" ht="12.75" customHeight="1">
      <c r="A346" s="59" t="s">
        <v>164</v>
      </c>
      <c r="B346" s="60" t="s">
        <v>1023</v>
      </c>
    </row>
    <row r="347" ht="12.75" customHeight="1">
      <c r="A347" s="59" t="s">
        <v>164</v>
      </c>
      <c r="B347" s="60" t="s">
        <v>1024</v>
      </c>
    </row>
    <row r="348" ht="12.75" customHeight="1">
      <c r="A348" s="59" t="s">
        <v>164</v>
      </c>
      <c r="B348" s="60" t="s">
        <v>1025</v>
      </c>
    </row>
    <row r="349" ht="12.75" customHeight="1">
      <c r="A349" s="59" t="s">
        <v>164</v>
      </c>
      <c r="B349" s="60" t="s">
        <v>1026</v>
      </c>
    </row>
    <row r="350" ht="12.75" customHeight="1">
      <c r="A350" s="59" t="s">
        <v>164</v>
      </c>
      <c r="B350" s="60" t="s">
        <v>1027</v>
      </c>
    </row>
    <row r="351" ht="12.75" customHeight="1">
      <c r="A351" s="59" t="s">
        <v>164</v>
      </c>
      <c r="B351" s="60" t="s">
        <v>1028</v>
      </c>
    </row>
    <row r="352" ht="12.75" customHeight="1">
      <c r="A352" s="59" t="s">
        <v>164</v>
      </c>
      <c r="B352" s="60" t="s">
        <v>1029</v>
      </c>
    </row>
    <row r="353" ht="12.75" customHeight="1">
      <c r="A353" s="59" t="s">
        <v>164</v>
      </c>
      <c r="B353" s="60" t="s">
        <v>1030</v>
      </c>
    </row>
    <row r="354" ht="12.75" customHeight="1">
      <c r="A354" s="59" t="s">
        <v>164</v>
      </c>
      <c r="B354" s="60" t="s">
        <v>1031</v>
      </c>
    </row>
    <row r="355" ht="12.75" customHeight="1">
      <c r="A355" s="59" t="s">
        <v>164</v>
      </c>
      <c r="B355" s="60" t="s">
        <v>1032</v>
      </c>
    </row>
    <row r="356" ht="12.75" customHeight="1">
      <c r="A356" s="59" t="s">
        <v>164</v>
      </c>
      <c r="B356" s="60" t="s">
        <v>1033</v>
      </c>
    </row>
    <row r="357" ht="12.75" customHeight="1">
      <c r="A357" s="59" t="s">
        <v>164</v>
      </c>
      <c r="B357" s="60" t="s">
        <v>1034</v>
      </c>
    </row>
    <row r="358" ht="12.75" customHeight="1">
      <c r="A358" s="59" t="s">
        <v>164</v>
      </c>
      <c r="B358" s="60" t="s">
        <v>1035</v>
      </c>
    </row>
    <row r="359" ht="12.75" customHeight="1">
      <c r="A359" s="59" t="s">
        <v>164</v>
      </c>
      <c r="B359" s="60" t="s">
        <v>1036</v>
      </c>
    </row>
    <row r="360" ht="12.75" customHeight="1">
      <c r="A360" s="59" t="s">
        <v>164</v>
      </c>
      <c r="B360" s="60" t="s">
        <v>1037</v>
      </c>
    </row>
    <row r="361" ht="12.75" customHeight="1">
      <c r="A361" s="59" t="s">
        <v>164</v>
      </c>
      <c r="B361" s="60" t="s">
        <v>1038</v>
      </c>
    </row>
    <row r="362" ht="12.75" customHeight="1">
      <c r="A362" s="59" t="s">
        <v>164</v>
      </c>
      <c r="B362" s="60" t="s">
        <v>1039</v>
      </c>
    </row>
    <row r="363" ht="12.75" customHeight="1">
      <c r="A363" s="59" t="s">
        <v>164</v>
      </c>
      <c r="B363" s="60" t="s">
        <v>1040</v>
      </c>
    </row>
    <row r="364" ht="12.75" customHeight="1">
      <c r="A364" s="59" t="s">
        <v>164</v>
      </c>
      <c r="B364" s="60" t="s">
        <v>1041</v>
      </c>
    </row>
    <row r="365" ht="12.75" customHeight="1">
      <c r="A365" s="59" t="s">
        <v>164</v>
      </c>
      <c r="B365" s="60" t="s">
        <v>1042</v>
      </c>
    </row>
    <row r="366" ht="12.75" customHeight="1">
      <c r="A366" s="59" t="s">
        <v>164</v>
      </c>
      <c r="B366" s="60" t="s">
        <v>1043</v>
      </c>
    </row>
    <row r="367" ht="12.75" customHeight="1">
      <c r="A367" s="59" t="s">
        <v>164</v>
      </c>
      <c r="B367" s="60" t="s">
        <v>1044</v>
      </c>
    </row>
    <row r="368" ht="12.75" customHeight="1">
      <c r="A368" s="59" t="s">
        <v>164</v>
      </c>
      <c r="B368" s="60" t="s">
        <v>1045</v>
      </c>
    </row>
    <row r="369" ht="12.75" customHeight="1">
      <c r="A369" s="59" t="s">
        <v>164</v>
      </c>
      <c r="B369" s="60" t="s">
        <v>1046</v>
      </c>
    </row>
    <row r="370" ht="12.75" customHeight="1">
      <c r="A370" s="59" t="s">
        <v>164</v>
      </c>
      <c r="B370" s="60" t="s">
        <v>1047</v>
      </c>
    </row>
    <row r="371" ht="12.75" customHeight="1">
      <c r="A371" s="59" t="s">
        <v>164</v>
      </c>
      <c r="B371" s="60" t="s">
        <v>1048</v>
      </c>
    </row>
    <row r="372" ht="12.75" customHeight="1">
      <c r="A372" s="59" t="s">
        <v>164</v>
      </c>
      <c r="B372" s="60" t="s">
        <v>1049</v>
      </c>
    </row>
    <row r="373" ht="12.75" customHeight="1">
      <c r="A373" s="59" t="s">
        <v>164</v>
      </c>
      <c r="B373" s="60" t="s">
        <v>1050</v>
      </c>
    </row>
    <row r="374" ht="12.75" customHeight="1">
      <c r="A374" s="59" t="s">
        <v>164</v>
      </c>
      <c r="B374" s="60" t="s">
        <v>1051</v>
      </c>
    </row>
    <row r="375" ht="12.75" customHeight="1">
      <c r="A375" s="59" t="s">
        <v>164</v>
      </c>
      <c r="B375" s="60" t="s">
        <v>1052</v>
      </c>
    </row>
    <row r="376" ht="12.75" customHeight="1">
      <c r="A376" s="59" t="s">
        <v>164</v>
      </c>
      <c r="B376" s="60" t="s">
        <v>1053</v>
      </c>
    </row>
    <row r="377" ht="12.75" customHeight="1">
      <c r="A377" s="59" t="s">
        <v>164</v>
      </c>
      <c r="B377" s="60" t="s">
        <v>1054</v>
      </c>
    </row>
    <row r="378" ht="12.75" customHeight="1">
      <c r="A378" s="59" t="s">
        <v>164</v>
      </c>
      <c r="B378" s="60" t="s">
        <v>1055</v>
      </c>
    </row>
    <row r="379" ht="12.75" customHeight="1">
      <c r="A379" s="59" t="s">
        <v>164</v>
      </c>
      <c r="B379" s="60" t="s">
        <v>1056</v>
      </c>
    </row>
    <row r="380" ht="12.75" customHeight="1">
      <c r="A380" s="59" t="s">
        <v>164</v>
      </c>
      <c r="B380" s="60" t="s">
        <v>1057</v>
      </c>
    </row>
    <row r="381" ht="12.75" customHeight="1">
      <c r="A381" s="59" t="s">
        <v>164</v>
      </c>
      <c r="B381" s="60" t="s">
        <v>1058</v>
      </c>
    </row>
    <row r="382" ht="12.75" customHeight="1">
      <c r="A382" s="59" t="s">
        <v>164</v>
      </c>
      <c r="B382" s="60" t="s">
        <v>1059</v>
      </c>
    </row>
    <row r="383" ht="12.75" customHeight="1">
      <c r="A383" s="59" t="s">
        <v>164</v>
      </c>
      <c r="B383" s="60" t="s">
        <v>1060</v>
      </c>
    </row>
    <row r="384" ht="12.75" customHeight="1">
      <c r="A384" s="59" t="s">
        <v>164</v>
      </c>
      <c r="B384" s="60" t="s">
        <v>1061</v>
      </c>
    </row>
    <row r="385" ht="12.75" customHeight="1">
      <c r="A385" s="59" t="s">
        <v>164</v>
      </c>
      <c r="B385" s="60" t="s">
        <v>1062</v>
      </c>
    </row>
    <row r="386" ht="12.75" customHeight="1">
      <c r="A386" s="59" t="s">
        <v>164</v>
      </c>
      <c r="B386" s="60" t="s">
        <v>1063</v>
      </c>
    </row>
    <row r="387" ht="12.75" customHeight="1">
      <c r="A387" s="59" t="s">
        <v>164</v>
      </c>
      <c r="B387" s="60" t="s">
        <v>1064</v>
      </c>
    </row>
    <row r="388" ht="12.75" customHeight="1">
      <c r="A388" s="59" t="s">
        <v>164</v>
      </c>
      <c r="B388" s="60" t="s">
        <v>1065</v>
      </c>
    </row>
    <row r="389" ht="12.75" customHeight="1">
      <c r="A389" s="59" t="s">
        <v>164</v>
      </c>
      <c r="B389" s="60" t="s">
        <v>1066</v>
      </c>
    </row>
    <row r="390" ht="12.75" customHeight="1">
      <c r="A390" s="59" t="s">
        <v>164</v>
      </c>
      <c r="B390" s="60" t="s">
        <v>1067</v>
      </c>
    </row>
    <row r="391" ht="12.75" customHeight="1">
      <c r="A391" s="59" t="s">
        <v>164</v>
      </c>
      <c r="B391" s="60" t="s">
        <v>1068</v>
      </c>
    </row>
    <row r="392" ht="12.75" customHeight="1">
      <c r="A392" s="59" t="s">
        <v>164</v>
      </c>
      <c r="B392" s="60" t="s">
        <v>1069</v>
      </c>
    </row>
    <row r="393" ht="12.75" customHeight="1">
      <c r="A393" s="59" t="s">
        <v>164</v>
      </c>
      <c r="B393" s="60" t="s">
        <v>1070</v>
      </c>
    </row>
    <row r="394" ht="12.75" customHeight="1">
      <c r="A394" s="59" t="s">
        <v>164</v>
      </c>
      <c r="B394" s="60" t="s">
        <v>1071</v>
      </c>
    </row>
    <row r="395" ht="12.75" customHeight="1">
      <c r="A395" s="59" t="s">
        <v>164</v>
      </c>
      <c r="B395" s="60" t="s">
        <v>1072</v>
      </c>
    </row>
    <row r="396" ht="12.75" customHeight="1">
      <c r="A396" s="59" t="s">
        <v>164</v>
      </c>
      <c r="B396" s="60" t="s">
        <v>1073</v>
      </c>
    </row>
    <row r="397" ht="12.75" customHeight="1">
      <c r="A397" s="59" t="s">
        <v>164</v>
      </c>
      <c r="B397" s="60" t="s">
        <v>1074</v>
      </c>
    </row>
    <row r="398" ht="12.75" customHeight="1">
      <c r="A398" s="59" t="s">
        <v>164</v>
      </c>
      <c r="B398" s="60" t="s">
        <v>1075</v>
      </c>
    </row>
    <row r="399" ht="12.75" customHeight="1">
      <c r="A399" s="59" t="s">
        <v>164</v>
      </c>
      <c r="B399" s="60" t="s">
        <v>1076</v>
      </c>
    </row>
    <row r="400" ht="12.75" customHeight="1">
      <c r="A400" s="59" t="s">
        <v>164</v>
      </c>
      <c r="B400" s="60" t="s">
        <v>1077</v>
      </c>
    </row>
    <row r="401" ht="12.75" customHeight="1">
      <c r="A401" s="59" t="s">
        <v>164</v>
      </c>
      <c r="B401" s="60" t="s">
        <v>1078</v>
      </c>
    </row>
    <row r="402" ht="12.75" customHeight="1">
      <c r="A402" s="59" t="s">
        <v>164</v>
      </c>
      <c r="B402" s="60" t="s">
        <v>1079</v>
      </c>
    </row>
    <row r="403" ht="12.75" customHeight="1">
      <c r="A403" s="59" t="s">
        <v>164</v>
      </c>
      <c r="B403" s="60" t="s">
        <v>1080</v>
      </c>
    </row>
    <row r="404" ht="12.75" customHeight="1">
      <c r="A404" s="59" t="s">
        <v>164</v>
      </c>
      <c r="B404" s="60" t="s">
        <v>1081</v>
      </c>
    </row>
    <row r="405" ht="12.75" customHeight="1">
      <c r="A405" s="59" t="s">
        <v>164</v>
      </c>
      <c r="B405" s="60" t="s">
        <v>1082</v>
      </c>
    </row>
    <row r="406" ht="12.75" customHeight="1">
      <c r="A406" s="59" t="s">
        <v>164</v>
      </c>
      <c r="B406" s="60" t="s">
        <v>1083</v>
      </c>
    </row>
    <row r="407" ht="12.75" customHeight="1">
      <c r="A407" s="59" t="s">
        <v>164</v>
      </c>
      <c r="B407" s="60" t="s">
        <v>1084</v>
      </c>
    </row>
    <row r="408" ht="12.75" customHeight="1">
      <c r="A408" s="59" t="s">
        <v>164</v>
      </c>
      <c r="B408" s="60" t="s">
        <v>1085</v>
      </c>
    </row>
    <row r="409" ht="12.75" customHeight="1">
      <c r="A409" s="59" t="s">
        <v>164</v>
      </c>
      <c r="B409" s="60" t="s">
        <v>1086</v>
      </c>
    </row>
    <row r="410" ht="12.75" customHeight="1">
      <c r="A410" s="59" t="s">
        <v>164</v>
      </c>
      <c r="B410" s="60" t="s">
        <v>1087</v>
      </c>
    </row>
    <row r="411" ht="12.75" customHeight="1">
      <c r="A411" s="59" t="s">
        <v>164</v>
      </c>
      <c r="B411" s="60" t="s">
        <v>1088</v>
      </c>
    </row>
    <row r="412" ht="12.75" customHeight="1">
      <c r="A412" s="59" t="s">
        <v>164</v>
      </c>
      <c r="B412" s="60" t="s">
        <v>1089</v>
      </c>
    </row>
    <row r="413" ht="12.75" customHeight="1">
      <c r="A413" s="59" t="s">
        <v>164</v>
      </c>
      <c r="B413" s="60" t="s">
        <v>1090</v>
      </c>
    </row>
    <row r="414" ht="12.75" customHeight="1">
      <c r="A414" s="59" t="s">
        <v>164</v>
      </c>
      <c r="B414" s="60" t="s">
        <v>1091</v>
      </c>
    </row>
    <row r="415" ht="12.75" customHeight="1">
      <c r="A415" s="59" t="s">
        <v>164</v>
      </c>
      <c r="B415" s="60" t="s">
        <v>1092</v>
      </c>
    </row>
    <row r="416" ht="12.75" customHeight="1">
      <c r="A416" s="59" t="s">
        <v>164</v>
      </c>
      <c r="B416" s="60" t="s">
        <v>1093</v>
      </c>
    </row>
    <row r="417" ht="12.75" customHeight="1">
      <c r="A417" s="59" t="s">
        <v>164</v>
      </c>
      <c r="B417" s="60" t="s">
        <v>1094</v>
      </c>
    </row>
    <row r="418" ht="12.75" customHeight="1">
      <c r="A418" s="59" t="s">
        <v>164</v>
      </c>
      <c r="B418" s="60" t="s">
        <v>1095</v>
      </c>
    </row>
    <row r="419" ht="12.75" customHeight="1">
      <c r="A419" s="59" t="s">
        <v>164</v>
      </c>
      <c r="B419" s="60" t="s">
        <v>1096</v>
      </c>
    </row>
    <row r="420" ht="12.75" customHeight="1">
      <c r="A420" s="59" t="s">
        <v>164</v>
      </c>
      <c r="B420" s="60" t="s">
        <v>1097</v>
      </c>
    </row>
    <row r="421" ht="12.75" customHeight="1">
      <c r="A421" s="59" t="s">
        <v>164</v>
      </c>
      <c r="B421" s="60" t="s">
        <v>1098</v>
      </c>
    </row>
    <row r="422" ht="12.75" customHeight="1">
      <c r="A422" s="59" t="s">
        <v>164</v>
      </c>
      <c r="B422" s="60" t="s">
        <v>1099</v>
      </c>
    </row>
    <row r="423" ht="12.75" customHeight="1">
      <c r="A423" s="59" t="s">
        <v>164</v>
      </c>
      <c r="B423" s="60" t="s">
        <v>1100</v>
      </c>
    </row>
    <row r="424" ht="12.75" customHeight="1">
      <c r="A424" s="59" t="s">
        <v>164</v>
      </c>
      <c r="B424" s="60" t="s">
        <v>1101</v>
      </c>
    </row>
    <row r="425" ht="12.75" customHeight="1">
      <c r="A425" s="59" t="s">
        <v>164</v>
      </c>
      <c r="B425" s="60" t="s">
        <v>1102</v>
      </c>
    </row>
    <row r="426" ht="12.75" customHeight="1">
      <c r="A426" s="59" t="s">
        <v>164</v>
      </c>
      <c r="B426" s="60" t="s">
        <v>1103</v>
      </c>
    </row>
    <row r="427" ht="12.75" customHeight="1">
      <c r="A427" s="59" t="s">
        <v>164</v>
      </c>
      <c r="B427" s="60" t="s">
        <v>1104</v>
      </c>
    </row>
    <row r="428" ht="12.75" customHeight="1">
      <c r="A428" s="59" t="s">
        <v>164</v>
      </c>
      <c r="B428" s="60" t="s">
        <v>1105</v>
      </c>
    </row>
    <row r="429" ht="12.75" customHeight="1">
      <c r="A429" s="59" t="s">
        <v>164</v>
      </c>
      <c r="B429" s="60" t="s">
        <v>1106</v>
      </c>
    </row>
    <row r="430" ht="12.75" customHeight="1">
      <c r="A430" s="59" t="s">
        <v>164</v>
      </c>
      <c r="B430" s="60" t="s">
        <v>1107</v>
      </c>
    </row>
    <row r="431" ht="12.75" customHeight="1">
      <c r="A431" s="59" t="s">
        <v>164</v>
      </c>
      <c r="B431" s="60" t="s">
        <v>1108</v>
      </c>
    </row>
    <row r="432" ht="12.75" customHeight="1">
      <c r="A432" s="59" t="s">
        <v>164</v>
      </c>
      <c r="B432" s="60" t="s">
        <v>1109</v>
      </c>
    </row>
    <row r="433" ht="12.75" customHeight="1">
      <c r="A433" s="59" t="s">
        <v>164</v>
      </c>
      <c r="B433" s="60" t="s">
        <v>1110</v>
      </c>
    </row>
    <row r="434" ht="12.75" customHeight="1">
      <c r="A434" s="59" t="s">
        <v>164</v>
      </c>
      <c r="B434" s="60" t="s">
        <v>1111</v>
      </c>
    </row>
    <row r="435" ht="12.75" customHeight="1">
      <c r="A435" s="59" t="s">
        <v>164</v>
      </c>
      <c r="B435" s="60" t="s">
        <v>1112</v>
      </c>
    </row>
    <row r="436" ht="12.75" customHeight="1">
      <c r="A436" s="59" t="s">
        <v>164</v>
      </c>
      <c r="B436" s="60" t="s">
        <v>1113</v>
      </c>
    </row>
    <row r="437" ht="12.75" customHeight="1">
      <c r="A437" s="59" t="s">
        <v>164</v>
      </c>
      <c r="B437" s="60" t="s">
        <v>1114</v>
      </c>
    </row>
    <row r="438" ht="12.75" customHeight="1">
      <c r="A438" s="59" t="s">
        <v>164</v>
      </c>
      <c r="B438" s="60" t="s">
        <v>1115</v>
      </c>
    </row>
    <row r="439" ht="12.75" customHeight="1">
      <c r="A439" s="59" t="s">
        <v>164</v>
      </c>
      <c r="B439" s="60" t="s">
        <v>1116</v>
      </c>
    </row>
    <row r="440" ht="12.75" customHeight="1">
      <c r="A440" s="59" t="s">
        <v>164</v>
      </c>
      <c r="B440" s="60" t="s">
        <v>1117</v>
      </c>
    </row>
    <row r="441" ht="12.75" customHeight="1">
      <c r="A441" s="59" t="s">
        <v>164</v>
      </c>
      <c r="B441" s="60" t="s">
        <v>1118</v>
      </c>
    </row>
    <row r="442" ht="12.75" customHeight="1">
      <c r="A442" s="59" t="s">
        <v>164</v>
      </c>
      <c r="B442" s="60" t="s">
        <v>1119</v>
      </c>
    </row>
    <row r="443" ht="12.75" customHeight="1">
      <c r="A443" s="59" t="s">
        <v>164</v>
      </c>
      <c r="B443" s="60" t="s">
        <v>1120</v>
      </c>
    </row>
    <row r="444" ht="12.75" customHeight="1">
      <c r="A444" s="59" t="s">
        <v>164</v>
      </c>
      <c r="B444" s="60" t="s">
        <v>1121</v>
      </c>
    </row>
    <row r="445" ht="12.75" customHeight="1">
      <c r="A445" s="59" t="s">
        <v>164</v>
      </c>
      <c r="B445" s="60" t="s">
        <v>1122</v>
      </c>
    </row>
    <row r="446" ht="12.75" customHeight="1">
      <c r="A446" s="59" t="s">
        <v>164</v>
      </c>
      <c r="B446" s="60" t="s">
        <v>1123</v>
      </c>
    </row>
    <row r="447" ht="12.75" customHeight="1">
      <c r="A447" s="59" t="s">
        <v>164</v>
      </c>
      <c r="B447" s="60" t="s">
        <v>1124</v>
      </c>
    </row>
    <row r="448" ht="12.75" customHeight="1">
      <c r="A448" s="59" t="s">
        <v>164</v>
      </c>
      <c r="B448" s="60" t="s">
        <v>1125</v>
      </c>
    </row>
    <row r="449" ht="12.75" customHeight="1">
      <c r="A449" s="59" t="s">
        <v>164</v>
      </c>
      <c r="B449" s="60" t="s">
        <v>1126</v>
      </c>
    </row>
    <row r="450" ht="12.75" customHeight="1">
      <c r="A450" s="59" t="s">
        <v>164</v>
      </c>
      <c r="B450" s="60" t="s">
        <v>1127</v>
      </c>
    </row>
    <row r="451" ht="12.75" customHeight="1">
      <c r="A451" s="59" t="s">
        <v>164</v>
      </c>
      <c r="B451" s="60" t="s">
        <v>1128</v>
      </c>
    </row>
    <row r="452" ht="12.75" customHeight="1">
      <c r="A452" s="59" t="s">
        <v>164</v>
      </c>
      <c r="B452" s="60" t="s">
        <v>1129</v>
      </c>
    </row>
    <row r="453" ht="12.75" customHeight="1">
      <c r="A453" s="59" t="s">
        <v>164</v>
      </c>
      <c r="B453" s="60" t="s">
        <v>1130</v>
      </c>
    </row>
    <row r="454" ht="12.75" customHeight="1">
      <c r="A454" s="59" t="s">
        <v>164</v>
      </c>
      <c r="B454" s="60" t="s">
        <v>1131</v>
      </c>
    </row>
    <row r="455" ht="12.75" customHeight="1">
      <c r="A455" s="59" t="s">
        <v>164</v>
      </c>
      <c r="B455" s="60" t="s">
        <v>1132</v>
      </c>
    </row>
    <row r="456" ht="12.75" customHeight="1">
      <c r="A456" s="59" t="s">
        <v>164</v>
      </c>
      <c r="B456" s="60" t="s">
        <v>1133</v>
      </c>
    </row>
    <row r="457" ht="12.75" customHeight="1">
      <c r="A457" s="59" t="s">
        <v>164</v>
      </c>
      <c r="B457" s="60" t="s">
        <v>1134</v>
      </c>
    </row>
    <row r="458" ht="12.75" customHeight="1">
      <c r="A458" s="59" t="s">
        <v>164</v>
      </c>
      <c r="B458" s="60" t="s">
        <v>1135</v>
      </c>
    </row>
    <row r="459" ht="12.75" customHeight="1">
      <c r="A459" s="59" t="s">
        <v>164</v>
      </c>
      <c r="B459" s="60" t="s">
        <v>1136</v>
      </c>
    </row>
    <row r="460" ht="12.75" customHeight="1">
      <c r="A460" s="59" t="s">
        <v>164</v>
      </c>
      <c r="B460" s="60" t="s">
        <v>1137</v>
      </c>
    </row>
    <row r="461" ht="12.75" customHeight="1">
      <c r="A461" s="59" t="s">
        <v>164</v>
      </c>
      <c r="B461" s="60" t="s">
        <v>1138</v>
      </c>
    </row>
    <row r="462" ht="12.75" customHeight="1">
      <c r="A462" s="59" t="s">
        <v>164</v>
      </c>
      <c r="B462" s="60" t="s">
        <v>1139</v>
      </c>
    </row>
    <row r="463" ht="12.75" customHeight="1">
      <c r="A463" s="59" t="s">
        <v>164</v>
      </c>
      <c r="B463" s="60" t="s">
        <v>1140</v>
      </c>
    </row>
    <row r="464" ht="12.75" customHeight="1">
      <c r="A464" s="59" t="s">
        <v>164</v>
      </c>
      <c r="B464" s="60" t="s">
        <v>1141</v>
      </c>
    </row>
    <row r="465" ht="12.75" customHeight="1">
      <c r="A465" s="59" t="s">
        <v>164</v>
      </c>
      <c r="B465" s="60" t="s">
        <v>1142</v>
      </c>
    </row>
    <row r="466" ht="12.75" customHeight="1">
      <c r="A466" s="59" t="s">
        <v>164</v>
      </c>
      <c r="B466" s="60" t="s">
        <v>1143</v>
      </c>
    </row>
    <row r="467" ht="12.75" customHeight="1">
      <c r="A467" s="59" t="s">
        <v>164</v>
      </c>
      <c r="B467" s="60" t="s">
        <v>1144</v>
      </c>
    </row>
    <row r="468" ht="12.75" customHeight="1">
      <c r="A468" s="59" t="s">
        <v>164</v>
      </c>
      <c r="B468" s="60" t="s">
        <v>1145</v>
      </c>
    </row>
    <row r="469" ht="12.75" customHeight="1">
      <c r="A469" s="59" t="s">
        <v>164</v>
      </c>
      <c r="B469" s="60" t="s">
        <v>1146</v>
      </c>
    </row>
    <row r="470" ht="12.75" customHeight="1">
      <c r="A470" s="59" t="s">
        <v>164</v>
      </c>
      <c r="B470" s="60" t="s">
        <v>1147</v>
      </c>
    </row>
    <row r="471" ht="12.75" customHeight="1">
      <c r="A471" s="59" t="s">
        <v>164</v>
      </c>
      <c r="B471" s="60" t="s">
        <v>1148</v>
      </c>
    </row>
    <row r="472" ht="12.75" customHeight="1">
      <c r="A472" s="59" t="s">
        <v>164</v>
      </c>
      <c r="B472" s="60" t="s">
        <v>1149</v>
      </c>
    </row>
    <row r="473" ht="12.75" customHeight="1">
      <c r="A473" s="59" t="s">
        <v>164</v>
      </c>
      <c r="B473" s="60" t="s">
        <v>1150</v>
      </c>
    </row>
    <row r="474" ht="12.75" customHeight="1">
      <c r="A474" s="59" t="s">
        <v>164</v>
      </c>
      <c r="B474" s="60" t="s">
        <v>1151</v>
      </c>
    </row>
    <row r="475" ht="12.75" customHeight="1">
      <c r="A475" s="59" t="s">
        <v>164</v>
      </c>
      <c r="B475" s="60" t="s">
        <v>1152</v>
      </c>
    </row>
    <row r="476" ht="12.75" customHeight="1">
      <c r="A476" s="59" t="s">
        <v>164</v>
      </c>
      <c r="B476" s="60" t="s">
        <v>1153</v>
      </c>
    </row>
    <row r="477" ht="12.75" customHeight="1">
      <c r="A477" s="59" t="s">
        <v>164</v>
      </c>
      <c r="B477" s="60" t="s">
        <v>1154</v>
      </c>
    </row>
    <row r="478" ht="12.75" customHeight="1">
      <c r="A478" s="59" t="s">
        <v>164</v>
      </c>
      <c r="B478" s="60" t="s">
        <v>1155</v>
      </c>
    </row>
    <row r="479" ht="12.75" customHeight="1">
      <c r="A479" s="59" t="s">
        <v>164</v>
      </c>
      <c r="B479" s="60" t="s">
        <v>1156</v>
      </c>
    </row>
    <row r="480" ht="12.75" customHeight="1">
      <c r="A480" s="59" t="s">
        <v>164</v>
      </c>
      <c r="B480" s="60" t="s">
        <v>1157</v>
      </c>
    </row>
    <row r="481" ht="12.75" customHeight="1">
      <c r="A481" s="59" t="s">
        <v>164</v>
      </c>
      <c r="B481" s="60" t="s">
        <v>1158</v>
      </c>
    </row>
    <row r="482" ht="12.75" customHeight="1">
      <c r="A482" s="59" t="s">
        <v>164</v>
      </c>
      <c r="B482" s="60" t="s">
        <v>1159</v>
      </c>
    </row>
    <row r="483" ht="12.75" customHeight="1">
      <c r="A483" s="59" t="s">
        <v>164</v>
      </c>
      <c r="B483" s="60" t="s">
        <v>1160</v>
      </c>
    </row>
    <row r="484" ht="12.75" customHeight="1">
      <c r="A484" s="59" t="s">
        <v>164</v>
      </c>
      <c r="B484" s="60" t="s">
        <v>1161</v>
      </c>
    </row>
    <row r="485" ht="12.75" customHeight="1">
      <c r="A485" s="59" t="s">
        <v>164</v>
      </c>
      <c r="B485" s="60" t="s">
        <v>1162</v>
      </c>
    </row>
    <row r="486" ht="12.75" customHeight="1">
      <c r="A486" s="59" t="s">
        <v>164</v>
      </c>
      <c r="B486" s="60" t="s">
        <v>1163</v>
      </c>
    </row>
    <row r="487" ht="12.75" customHeight="1">
      <c r="A487" s="59" t="s">
        <v>164</v>
      </c>
      <c r="B487" s="60" t="s">
        <v>1164</v>
      </c>
    </row>
    <row r="488" ht="12.75" customHeight="1">
      <c r="A488" s="59" t="s">
        <v>164</v>
      </c>
      <c r="B488" s="60" t="s">
        <v>1165</v>
      </c>
    </row>
    <row r="489" ht="12.75" customHeight="1">
      <c r="A489" s="59" t="s">
        <v>164</v>
      </c>
      <c r="B489" s="60" t="s">
        <v>1166</v>
      </c>
    </row>
    <row r="490" ht="12.75" customHeight="1">
      <c r="A490" s="59" t="s">
        <v>164</v>
      </c>
      <c r="B490" s="60" t="s">
        <v>1167</v>
      </c>
    </row>
    <row r="491" ht="12.75" customHeight="1">
      <c r="A491" s="59" t="s">
        <v>164</v>
      </c>
      <c r="B491" s="60" t="s">
        <v>1168</v>
      </c>
    </row>
    <row r="492" ht="12.75" customHeight="1">
      <c r="A492" s="59" t="s">
        <v>164</v>
      </c>
      <c r="B492" s="60" t="s">
        <v>1169</v>
      </c>
    </row>
    <row r="493" ht="12.75" customHeight="1">
      <c r="A493" s="59" t="s">
        <v>164</v>
      </c>
      <c r="B493" s="60" t="s">
        <v>1170</v>
      </c>
    </row>
    <row r="494" ht="12.75" customHeight="1">
      <c r="A494" s="59" t="s">
        <v>164</v>
      </c>
      <c r="B494" s="60" t="s">
        <v>1171</v>
      </c>
    </row>
    <row r="495" ht="12.75" customHeight="1">
      <c r="A495" s="59" t="s">
        <v>164</v>
      </c>
      <c r="B495" s="60" t="s">
        <v>1172</v>
      </c>
    </row>
    <row r="496" ht="12.75" customHeight="1">
      <c r="A496" s="59" t="s">
        <v>164</v>
      </c>
      <c r="B496" s="60" t="s">
        <v>1173</v>
      </c>
    </row>
    <row r="497" ht="12.75" customHeight="1">
      <c r="A497" s="59" t="s">
        <v>164</v>
      </c>
      <c r="B497" s="60" t="s">
        <v>1174</v>
      </c>
    </row>
    <row r="498" ht="12.75" customHeight="1">
      <c r="A498" s="59" t="s">
        <v>164</v>
      </c>
      <c r="B498" s="60" t="s">
        <v>1175</v>
      </c>
    </row>
    <row r="499" ht="12.75" customHeight="1">
      <c r="A499" s="59" t="s">
        <v>164</v>
      </c>
      <c r="B499" s="60" t="s">
        <v>1176</v>
      </c>
    </row>
    <row r="500" ht="12.75" customHeight="1">
      <c r="A500" s="59" t="s">
        <v>164</v>
      </c>
      <c r="B500" s="60" t="s">
        <v>1177</v>
      </c>
    </row>
    <row r="501" ht="12.75" customHeight="1">
      <c r="A501" s="59" t="s">
        <v>164</v>
      </c>
      <c r="B501" s="60" t="s">
        <v>1178</v>
      </c>
    </row>
    <row r="502" ht="12.75" customHeight="1">
      <c r="A502" s="59" t="s">
        <v>164</v>
      </c>
      <c r="B502" s="60" t="s">
        <v>1179</v>
      </c>
    </row>
    <row r="503" ht="12.75" customHeight="1">
      <c r="A503" s="59" t="s">
        <v>164</v>
      </c>
      <c r="B503" s="60" t="s">
        <v>1180</v>
      </c>
    </row>
    <row r="504" ht="12.75" customHeight="1">
      <c r="A504" s="59" t="s">
        <v>164</v>
      </c>
      <c r="B504" s="60" t="s">
        <v>1181</v>
      </c>
    </row>
    <row r="505" ht="12.75" customHeight="1">
      <c r="A505" s="59" t="s">
        <v>164</v>
      </c>
      <c r="B505" s="60" t="s">
        <v>1182</v>
      </c>
    </row>
    <row r="506" ht="12.75" customHeight="1">
      <c r="A506" s="59" t="s">
        <v>164</v>
      </c>
      <c r="B506" s="60" t="s">
        <v>1183</v>
      </c>
    </row>
    <row r="507" ht="12.75" customHeight="1">
      <c r="A507" s="59" t="s">
        <v>164</v>
      </c>
      <c r="B507" s="60" t="s">
        <v>1184</v>
      </c>
    </row>
    <row r="508" ht="12.75" customHeight="1">
      <c r="A508" s="59" t="s">
        <v>164</v>
      </c>
      <c r="B508" s="60" t="s">
        <v>1185</v>
      </c>
    </row>
    <row r="509" ht="12.75" customHeight="1">
      <c r="A509" s="59" t="s">
        <v>164</v>
      </c>
      <c r="B509" s="60" t="s">
        <v>1186</v>
      </c>
    </row>
    <row r="510" ht="12.75" customHeight="1">
      <c r="A510" s="59" t="s">
        <v>164</v>
      </c>
      <c r="B510" s="60" t="s">
        <v>1187</v>
      </c>
    </row>
    <row r="511" ht="12.75" customHeight="1">
      <c r="A511" s="59" t="s">
        <v>164</v>
      </c>
      <c r="B511" s="60" t="s">
        <v>1188</v>
      </c>
    </row>
    <row r="512" ht="12.75" customHeight="1">
      <c r="A512" s="59" t="s">
        <v>164</v>
      </c>
      <c r="B512" s="60" t="s">
        <v>1189</v>
      </c>
    </row>
    <row r="513" ht="12.75" customHeight="1">
      <c r="A513" s="59" t="s">
        <v>164</v>
      </c>
      <c r="B513" s="60" t="s">
        <v>1190</v>
      </c>
    </row>
    <row r="514" ht="12.75" customHeight="1">
      <c r="A514" s="59" t="s">
        <v>164</v>
      </c>
      <c r="B514" s="60" t="s">
        <v>1191</v>
      </c>
    </row>
    <row r="515" ht="12.75" customHeight="1">
      <c r="A515" s="59" t="s">
        <v>164</v>
      </c>
      <c r="B515" s="60" t="s">
        <v>1192</v>
      </c>
    </row>
    <row r="516" ht="12.75" customHeight="1">
      <c r="A516" s="59" t="s">
        <v>176</v>
      </c>
      <c r="B516" s="60">
        <v>0.0</v>
      </c>
    </row>
    <row r="517" ht="12.75" customHeight="1">
      <c r="A517" s="59" t="s">
        <v>176</v>
      </c>
      <c r="B517" s="60">
        <v>0.0</v>
      </c>
    </row>
    <row r="518" ht="12.75" customHeight="1">
      <c r="A518" s="59" t="s">
        <v>176</v>
      </c>
      <c r="B518" s="60">
        <v>2.0</v>
      </c>
    </row>
    <row r="519" ht="12.75" customHeight="1">
      <c r="A519" s="59" t="s">
        <v>176</v>
      </c>
      <c r="B519" s="60">
        <v>4.0</v>
      </c>
    </row>
    <row r="520" ht="12.75" customHeight="1">
      <c r="A520" s="59" t="s">
        <v>176</v>
      </c>
      <c r="B520" s="60">
        <v>6.0</v>
      </c>
    </row>
    <row r="521" ht="12.75" customHeight="1">
      <c r="A521" s="59" t="s">
        <v>176</v>
      </c>
      <c r="B521" s="60">
        <v>8.0</v>
      </c>
    </row>
    <row r="522" ht="12.75" customHeight="1">
      <c r="A522" s="59" t="s">
        <v>176</v>
      </c>
      <c r="B522" s="60">
        <v>10.0</v>
      </c>
    </row>
    <row r="523" ht="12.75" customHeight="1">
      <c r="A523" s="59" t="s">
        <v>176</v>
      </c>
      <c r="B523" s="60">
        <v>12.0</v>
      </c>
    </row>
    <row r="524" ht="12.75" customHeight="1">
      <c r="A524" s="59" t="s">
        <v>176</v>
      </c>
      <c r="B524" s="60" t="s">
        <v>803</v>
      </c>
    </row>
    <row r="525" ht="12.75" customHeight="1">
      <c r="A525" s="59" t="s">
        <v>176</v>
      </c>
      <c r="B525" s="60" t="s">
        <v>804</v>
      </c>
    </row>
    <row r="526" ht="12.75" customHeight="1">
      <c r="A526" s="59" t="s">
        <v>176</v>
      </c>
      <c r="B526" s="60" t="s">
        <v>76</v>
      </c>
    </row>
    <row r="527" ht="12.75" customHeight="1">
      <c r="A527" s="59" t="s">
        <v>176</v>
      </c>
      <c r="B527" s="60" t="s">
        <v>80</v>
      </c>
    </row>
    <row r="528" ht="12.75" customHeight="1">
      <c r="A528" s="59" t="s">
        <v>176</v>
      </c>
      <c r="B528" s="60" t="s">
        <v>83</v>
      </c>
    </row>
    <row r="529" ht="12.75" customHeight="1">
      <c r="A529" s="59" t="s">
        <v>176</v>
      </c>
      <c r="B529" s="60" t="s">
        <v>85</v>
      </c>
    </row>
    <row r="530" ht="12.75" customHeight="1">
      <c r="A530" s="59" t="s">
        <v>176</v>
      </c>
      <c r="B530" s="60" t="s">
        <v>805</v>
      </c>
    </row>
    <row r="531" ht="12.75" customHeight="1">
      <c r="A531" s="59" t="s">
        <v>176</v>
      </c>
      <c r="B531" s="60" t="s">
        <v>806</v>
      </c>
    </row>
    <row r="532" ht="12.75" customHeight="1">
      <c r="A532" s="59" t="s">
        <v>176</v>
      </c>
      <c r="B532" s="60" t="s">
        <v>807</v>
      </c>
    </row>
    <row r="533" ht="12.75" customHeight="1">
      <c r="A533" s="59" t="s">
        <v>176</v>
      </c>
      <c r="B533" s="60" t="s">
        <v>753</v>
      </c>
    </row>
    <row r="534" ht="12.75" customHeight="1">
      <c r="A534" s="59" t="s">
        <v>176</v>
      </c>
      <c r="B534" s="60" t="s">
        <v>757</v>
      </c>
    </row>
    <row r="535" ht="12.75" customHeight="1">
      <c r="A535" s="59" t="s">
        <v>176</v>
      </c>
      <c r="B535" s="60" t="s">
        <v>761</v>
      </c>
    </row>
    <row r="536" ht="12.75" customHeight="1">
      <c r="A536" s="59" t="s">
        <v>176</v>
      </c>
      <c r="B536" s="60" t="s">
        <v>765</v>
      </c>
    </row>
    <row r="537" ht="12.75" customHeight="1">
      <c r="A537" s="59" t="s">
        <v>176</v>
      </c>
      <c r="B537" s="60" t="s">
        <v>808</v>
      </c>
    </row>
    <row r="538" ht="12.75" customHeight="1">
      <c r="A538" s="59" t="s">
        <v>176</v>
      </c>
      <c r="B538" s="60" t="s">
        <v>809</v>
      </c>
    </row>
    <row r="539" ht="12.75" customHeight="1">
      <c r="A539" s="59" t="s">
        <v>176</v>
      </c>
      <c r="B539" s="60" t="s">
        <v>810</v>
      </c>
    </row>
    <row r="540" ht="12.75" customHeight="1">
      <c r="A540" s="59" t="s">
        <v>176</v>
      </c>
      <c r="B540" s="60" t="s">
        <v>811</v>
      </c>
    </row>
    <row r="541" ht="12.75" customHeight="1">
      <c r="A541" s="59" t="s">
        <v>176</v>
      </c>
      <c r="B541" s="60" t="s">
        <v>812</v>
      </c>
    </row>
    <row r="542" ht="12.75" customHeight="1">
      <c r="A542" s="59" t="s">
        <v>176</v>
      </c>
      <c r="B542" s="60" t="s">
        <v>813</v>
      </c>
    </row>
    <row r="543" ht="12.75" customHeight="1">
      <c r="A543" s="59" t="s">
        <v>176</v>
      </c>
      <c r="B543" s="60" t="s">
        <v>814</v>
      </c>
    </row>
    <row r="544" ht="12.75" customHeight="1">
      <c r="A544" s="59" t="s">
        <v>176</v>
      </c>
      <c r="B544" s="60" t="s">
        <v>815</v>
      </c>
    </row>
    <row r="545" ht="12.75" customHeight="1">
      <c r="A545" s="59" t="s">
        <v>176</v>
      </c>
      <c r="B545" s="60" t="s">
        <v>816</v>
      </c>
    </row>
    <row r="546" ht="12.75" customHeight="1">
      <c r="A546" s="59" t="s">
        <v>176</v>
      </c>
      <c r="B546" s="60" t="s">
        <v>771</v>
      </c>
    </row>
    <row r="547" ht="12.75" customHeight="1">
      <c r="A547" s="59" t="s">
        <v>176</v>
      </c>
      <c r="B547" s="60" t="s">
        <v>775</v>
      </c>
    </row>
    <row r="548" ht="12.75" customHeight="1">
      <c r="A548" s="59" t="s">
        <v>176</v>
      </c>
      <c r="B548" s="60" t="s">
        <v>779</v>
      </c>
    </row>
    <row r="549" ht="12.75" customHeight="1">
      <c r="A549" s="59" t="s">
        <v>176</v>
      </c>
      <c r="B549" s="60" t="s">
        <v>783</v>
      </c>
    </row>
    <row r="550" ht="12.75" customHeight="1">
      <c r="A550" s="59" t="s">
        <v>176</v>
      </c>
      <c r="B550" s="60" t="s">
        <v>817</v>
      </c>
    </row>
    <row r="551" ht="12.75" customHeight="1">
      <c r="A551" s="59" t="s">
        <v>176</v>
      </c>
      <c r="B551" s="60" t="s">
        <v>818</v>
      </c>
    </row>
    <row r="552" ht="12.75" customHeight="1">
      <c r="A552" s="59" t="s">
        <v>176</v>
      </c>
      <c r="B552" s="60" t="s">
        <v>819</v>
      </c>
    </row>
    <row r="553" ht="12.75" customHeight="1">
      <c r="A553" s="59" t="s">
        <v>176</v>
      </c>
      <c r="B553" s="60" t="s">
        <v>820</v>
      </c>
    </row>
    <row r="554" ht="12.75" customHeight="1">
      <c r="A554" s="59" t="s">
        <v>176</v>
      </c>
      <c r="B554" s="60" t="s">
        <v>821</v>
      </c>
    </row>
    <row r="555" ht="12.75" customHeight="1">
      <c r="A555" s="59" t="s">
        <v>176</v>
      </c>
      <c r="B555" s="60" t="s">
        <v>822</v>
      </c>
    </row>
    <row r="556" ht="12.75" customHeight="1">
      <c r="A556" s="59" t="s">
        <v>176</v>
      </c>
      <c r="B556" s="60" t="s">
        <v>823</v>
      </c>
    </row>
    <row r="557" ht="12.75" customHeight="1">
      <c r="A557" s="59" t="s">
        <v>176</v>
      </c>
      <c r="B557" s="60" t="s">
        <v>824</v>
      </c>
    </row>
    <row r="558" ht="12.75" customHeight="1">
      <c r="A558" s="59" t="s">
        <v>176</v>
      </c>
      <c r="B558" s="60" t="s">
        <v>825</v>
      </c>
    </row>
    <row r="559" ht="12.75" customHeight="1">
      <c r="A559" s="59" t="s">
        <v>176</v>
      </c>
      <c r="B559" s="60" t="s">
        <v>788</v>
      </c>
    </row>
    <row r="560" ht="12.75" customHeight="1">
      <c r="A560" s="59" t="s">
        <v>176</v>
      </c>
      <c r="B560" s="60" t="s">
        <v>792</v>
      </c>
    </row>
    <row r="561" ht="12.75" customHeight="1">
      <c r="A561" s="59" t="s">
        <v>176</v>
      </c>
      <c r="B561" s="60" t="s">
        <v>796</v>
      </c>
    </row>
    <row r="562" ht="12.75" customHeight="1">
      <c r="A562" s="59" t="s">
        <v>176</v>
      </c>
      <c r="B562" s="60" t="s">
        <v>800</v>
      </c>
    </row>
    <row r="563" ht="12.75" customHeight="1">
      <c r="A563" s="59" t="s">
        <v>176</v>
      </c>
      <c r="B563" s="60" t="s">
        <v>826</v>
      </c>
    </row>
    <row r="564" ht="12.75" customHeight="1">
      <c r="A564" s="59" t="s">
        <v>176</v>
      </c>
      <c r="B564" s="60" t="s">
        <v>827</v>
      </c>
    </row>
    <row r="565" ht="12.75" customHeight="1">
      <c r="A565" s="59" t="s">
        <v>176</v>
      </c>
      <c r="B565" s="60" t="s">
        <v>828</v>
      </c>
    </row>
    <row r="566" ht="12.75" customHeight="1">
      <c r="A566" s="59" t="s">
        <v>176</v>
      </c>
      <c r="B566" s="60" t="s">
        <v>829</v>
      </c>
    </row>
    <row r="567" ht="12.75" customHeight="1">
      <c r="A567" s="59" t="s">
        <v>176</v>
      </c>
      <c r="B567" s="60" t="s">
        <v>830</v>
      </c>
    </row>
    <row r="568" ht="12.75" customHeight="1">
      <c r="A568" s="59" t="s">
        <v>176</v>
      </c>
      <c r="B568" s="60" t="s">
        <v>831</v>
      </c>
    </row>
    <row r="569" ht="12.75" customHeight="1">
      <c r="A569" s="59" t="s">
        <v>176</v>
      </c>
      <c r="B569" s="60" t="s">
        <v>832</v>
      </c>
    </row>
    <row r="570" ht="12.75" customHeight="1">
      <c r="A570" s="59" t="s">
        <v>176</v>
      </c>
      <c r="B570" s="60" t="s">
        <v>833</v>
      </c>
    </row>
    <row r="571" ht="12.75" customHeight="1">
      <c r="A571" s="59" t="s">
        <v>176</v>
      </c>
      <c r="B571" s="60" t="s">
        <v>834</v>
      </c>
    </row>
    <row r="572" ht="12.75" customHeight="1">
      <c r="A572" s="59" t="s">
        <v>176</v>
      </c>
      <c r="B572" s="60">
        <v>14.0</v>
      </c>
    </row>
    <row r="573" ht="12.75" customHeight="1">
      <c r="A573" s="59" t="s">
        <v>176</v>
      </c>
      <c r="B573" s="60" t="s">
        <v>835</v>
      </c>
    </row>
    <row r="574" ht="12.75" customHeight="1">
      <c r="A574" s="59" t="s">
        <v>176</v>
      </c>
      <c r="B574" s="60">
        <v>16.0</v>
      </c>
    </row>
    <row r="575" ht="12.75" customHeight="1">
      <c r="A575" s="59" t="s">
        <v>176</v>
      </c>
      <c r="B575" s="60" t="s">
        <v>836</v>
      </c>
    </row>
    <row r="576" ht="12.75" customHeight="1">
      <c r="A576" s="59" t="s">
        <v>176</v>
      </c>
      <c r="B576" s="60">
        <v>18.0</v>
      </c>
    </row>
    <row r="577" ht="12.75" customHeight="1">
      <c r="A577" s="59" t="s">
        <v>176</v>
      </c>
      <c r="B577" s="60" t="s">
        <v>837</v>
      </c>
    </row>
    <row r="578" ht="12.75" customHeight="1">
      <c r="A578" s="59" t="s">
        <v>176</v>
      </c>
      <c r="B578" s="60">
        <v>20.0</v>
      </c>
    </row>
    <row r="579" ht="12.75" customHeight="1">
      <c r="A579" s="59" t="s">
        <v>176</v>
      </c>
      <c r="B579" s="60" t="s">
        <v>838</v>
      </c>
    </row>
    <row r="580" ht="12.75" customHeight="1">
      <c r="A580" s="59" t="s">
        <v>176</v>
      </c>
      <c r="B580" s="60">
        <v>22.0</v>
      </c>
    </row>
    <row r="581" ht="12.75" customHeight="1">
      <c r="A581" s="59" t="s">
        <v>176</v>
      </c>
      <c r="B581" s="60" t="s">
        <v>839</v>
      </c>
    </row>
    <row r="582" ht="12.75" customHeight="1">
      <c r="A582" s="59" t="s">
        <v>176</v>
      </c>
      <c r="B582" s="60">
        <v>24.0</v>
      </c>
    </row>
    <row r="583" ht="12.75" customHeight="1">
      <c r="A583" s="59" t="s">
        <v>176</v>
      </c>
      <c r="B583" s="60" t="s">
        <v>840</v>
      </c>
    </row>
    <row r="584" ht="12.75" customHeight="1">
      <c r="A584" s="59" t="s">
        <v>176</v>
      </c>
      <c r="B584" s="60">
        <v>26.0</v>
      </c>
    </row>
    <row r="585" ht="12.75" customHeight="1">
      <c r="A585" s="59" t="s">
        <v>176</v>
      </c>
      <c r="B585" s="60" t="s">
        <v>841</v>
      </c>
    </row>
    <row r="586" ht="12.75" customHeight="1">
      <c r="A586" s="59" t="s">
        <v>176</v>
      </c>
      <c r="B586" s="60">
        <v>28.0</v>
      </c>
    </row>
    <row r="587" ht="12.75" customHeight="1">
      <c r="A587" s="59" t="s">
        <v>176</v>
      </c>
      <c r="B587" s="60" t="s">
        <v>842</v>
      </c>
    </row>
    <row r="588" ht="12.75" customHeight="1">
      <c r="A588" s="59" t="s">
        <v>176</v>
      </c>
      <c r="B588" s="60">
        <v>30.0</v>
      </c>
    </row>
    <row r="589" ht="12.75" customHeight="1">
      <c r="A589" s="59" t="s">
        <v>176</v>
      </c>
      <c r="B589" s="60" t="s">
        <v>843</v>
      </c>
    </row>
    <row r="590" ht="12.75" customHeight="1">
      <c r="A590" s="59" t="s">
        <v>176</v>
      </c>
      <c r="B590" s="60">
        <v>32.0</v>
      </c>
    </row>
    <row r="591" ht="12.75" customHeight="1">
      <c r="A591" s="59" t="s">
        <v>176</v>
      </c>
      <c r="B591" s="60" t="s">
        <v>844</v>
      </c>
    </row>
    <row r="592" ht="12.75" customHeight="1">
      <c r="A592" s="59" t="s">
        <v>176</v>
      </c>
      <c r="B592" s="60" t="s">
        <v>845</v>
      </c>
    </row>
    <row r="593" ht="12.75" customHeight="1">
      <c r="A593" s="59" t="s">
        <v>176</v>
      </c>
      <c r="B593" s="60" t="s">
        <v>846</v>
      </c>
    </row>
    <row r="594" ht="12.75" customHeight="1">
      <c r="A594" s="59" t="s">
        <v>176</v>
      </c>
      <c r="B594" s="60" t="s">
        <v>847</v>
      </c>
    </row>
    <row r="595" ht="12.75" customHeight="1">
      <c r="A595" s="59" t="s">
        <v>176</v>
      </c>
      <c r="B595" s="60" t="s">
        <v>848</v>
      </c>
    </row>
    <row r="596" ht="12.75" customHeight="1">
      <c r="A596" s="59" t="s">
        <v>176</v>
      </c>
      <c r="B596" s="60" t="s">
        <v>849</v>
      </c>
    </row>
    <row r="597" ht="12.75" customHeight="1">
      <c r="A597" s="59" t="s">
        <v>176</v>
      </c>
      <c r="B597" s="60" t="s">
        <v>850</v>
      </c>
    </row>
    <row r="598" ht="12.75" customHeight="1">
      <c r="A598" s="59" t="s">
        <v>176</v>
      </c>
      <c r="B598" s="60" t="s">
        <v>851</v>
      </c>
    </row>
    <row r="599" ht="12.75" customHeight="1">
      <c r="A599" s="59" t="s">
        <v>176</v>
      </c>
      <c r="B599" s="60" t="s">
        <v>852</v>
      </c>
    </row>
    <row r="600" ht="12.75" customHeight="1">
      <c r="A600" s="59" t="s">
        <v>176</v>
      </c>
      <c r="B600" s="60" t="s">
        <v>853</v>
      </c>
    </row>
    <row r="601" ht="12.75" customHeight="1">
      <c r="A601" s="59" t="s">
        <v>176</v>
      </c>
      <c r="B601" s="60" t="s">
        <v>854</v>
      </c>
    </row>
    <row r="602" ht="12.75" customHeight="1">
      <c r="A602" s="59" t="s">
        <v>176</v>
      </c>
      <c r="B602" s="60" t="s">
        <v>855</v>
      </c>
    </row>
    <row r="603" ht="12.75" customHeight="1">
      <c r="A603" s="59" t="s">
        <v>176</v>
      </c>
      <c r="B603" s="60" t="s">
        <v>856</v>
      </c>
    </row>
    <row r="604" ht="12.75" customHeight="1">
      <c r="A604" s="59" t="s">
        <v>176</v>
      </c>
      <c r="B604" s="60" t="s">
        <v>857</v>
      </c>
    </row>
    <row r="605" ht="12.75" customHeight="1">
      <c r="A605" s="59" t="s">
        <v>176</v>
      </c>
      <c r="B605" s="60" t="s">
        <v>858</v>
      </c>
    </row>
    <row r="606" ht="12.75" customHeight="1">
      <c r="A606" s="59" t="s">
        <v>176</v>
      </c>
      <c r="B606" s="60" t="s">
        <v>859</v>
      </c>
    </row>
    <row r="607" ht="12.75" customHeight="1">
      <c r="A607" s="59" t="s">
        <v>176</v>
      </c>
      <c r="B607" s="60" t="s">
        <v>860</v>
      </c>
    </row>
    <row r="608" ht="12.75" customHeight="1">
      <c r="A608" s="59" t="s">
        <v>176</v>
      </c>
      <c r="B608" s="60" t="s">
        <v>861</v>
      </c>
    </row>
    <row r="609" ht="12.75" customHeight="1">
      <c r="A609" s="59" t="s">
        <v>176</v>
      </c>
      <c r="B609" s="60" t="s">
        <v>862</v>
      </c>
    </row>
    <row r="610" ht="12.75" customHeight="1">
      <c r="A610" s="59" t="s">
        <v>176</v>
      </c>
      <c r="B610" s="60" t="s">
        <v>863</v>
      </c>
    </row>
    <row r="611" ht="12.75" customHeight="1">
      <c r="A611" s="59" t="s">
        <v>176</v>
      </c>
      <c r="B611" s="60" t="s">
        <v>864</v>
      </c>
    </row>
    <row r="612" ht="12.75" customHeight="1">
      <c r="A612" s="59" t="s">
        <v>176</v>
      </c>
      <c r="B612" s="60" t="s">
        <v>865</v>
      </c>
    </row>
    <row r="613" ht="12.75" customHeight="1">
      <c r="A613" s="59" t="s">
        <v>176</v>
      </c>
      <c r="B613" s="60" t="s">
        <v>866</v>
      </c>
    </row>
    <row r="614" ht="12.75" customHeight="1">
      <c r="A614" s="59" t="s">
        <v>176</v>
      </c>
      <c r="B614" s="60" t="s">
        <v>867</v>
      </c>
    </row>
    <row r="615" ht="12.75" customHeight="1">
      <c r="A615" s="59" t="s">
        <v>176</v>
      </c>
      <c r="B615" s="60" t="s">
        <v>868</v>
      </c>
    </row>
    <row r="616" ht="12.75" customHeight="1">
      <c r="A616" s="59" t="s">
        <v>176</v>
      </c>
      <c r="B616" s="60" t="s">
        <v>869</v>
      </c>
    </row>
    <row r="617" ht="12.75" customHeight="1">
      <c r="A617" s="59" t="s">
        <v>176</v>
      </c>
      <c r="B617" s="60" t="s">
        <v>870</v>
      </c>
    </row>
    <row r="618" ht="12.75" customHeight="1">
      <c r="A618" s="59" t="s">
        <v>176</v>
      </c>
      <c r="B618" s="60" t="s">
        <v>871</v>
      </c>
    </row>
    <row r="619" ht="12.75" customHeight="1">
      <c r="A619" s="59" t="s">
        <v>176</v>
      </c>
      <c r="B619" s="60" t="s">
        <v>872</v>
      </c>
    </row>
    <row r="620" ht="12.75" customHeight="1">
      <c r="A620" s="59" t="s">
        <v>176</v>
      </c>
      <c r="B620" s="60" t="s">
        <v>873</v>
      </c>
    </row>
    <row r="621" ht="12.75" customHeight="1">
      <c r="A621" s="59" t="s">
        <v>176</v>
      </c>
      <c r="B621" s="60" t="s">
        <v>874</v>
      </c>
    </row>
    <row r="622" ht="12.75" customHeight="1">
      <c r="A622" s="59" t="s">
        <v>176</v>
      </c>
      <c r="B622" s="60" t="s">
        <v>875</v>
      </c>
    </row>
    <row r="623" ht="12.75" customHeight="1">
      <c r="A623" s="59" t="s">
        <v>176</v>
      </c>
      <c r="B623" s="60" t="s">
        <v>876</v>
      </c>
    </row>
    <row r="624" ht="12.75" customHeight="1">
      <c r="A624" s="59" t="s">
        <v>176</v>
      </c>
      <c r="B624" s="60" t="s">
        <v>877</v>
      </c>
    </row>
    <row r="625" ht="12.75" customHeight="1">
      <c r="A625" s="59" t="s">
        <v>176</v>
      </c>
      <c r="B625" s="60" t="s">
        <v>878</v>
      </c>
    </row>
    <row r="626" ht="12.75" customHeight="1">
      <c r="A626" s="59" t="s">
        <v>176</v>
      </c>
      <c r="B626" s="60" t="s">
        <v>879</v>
      </c>
    </row>
    <row r="627" ht="12.75" customHeight="1">
      <c r="A627" s="59" t="s">
        <v>176</v>
      </c>
      <c r="B627" s="60" t="s">
        <v>880</v>
      </c>
    </row>
    <row r="628" ht="12.75" customHeight="1">
      <c r="A628" s="59" t="s">
        <v>176</v>
      </c>
      <c r="B628" s="60" t="s">
        <v>881</v>
      </c>
    </row>
    <row r="629" ht="12.75" customHeight="1">
      <c r="A629" s="59" t="s">
        <v>176</v>
      </c>
      <c r="B629" s="60" t="s">
        <v>882</v>
      </c>
    </row>
    <row r="630" ht="12.75" customHeight="1">
      <c r="A630" s="59" t="s">
        <v>176</v>
      </c>
      <c r="B630" s="60" t="s">
        <v>883</v>
      </c>
    </row>
    <row r="631" ht="12.75" customHeight="1">
      <c r="A631" s="59" t="s">
        <v>176</v>
      </c>
      <c r="B631" s="60" t="s">
        <v>884</v>
      </c>
    </row>
    <row r="632" ht="12.75" customHeight="1">
      <c r="A632" s="59" t="s">
        <v>176</v>
      </c>
      <c r="B632" s="60" t="s">
        <v>885</v>
      </c>
    </row>
    <row r="633" ht="12.75" customHeight="1">
      <c r="A633" s="59" t="s">
        <v>176</v>
      </c>
      <c r="B633" s="60" t="s">
        <v>886</v>
      </c>
    </row>
    <row r="634" ht="12.75" customHeight="1">
      <c r="A634" s="59" t="s">
        <v>176</v>
      </c>
      <c r="B634" s="60" t="s">
        <v>887</v>
      </c>
    </row>
    <row r="635" ht="12.75" customHeight="1">
      <c r="A635" s="59" t="s">
        <v>176</v>
      </c>
      <c r="B635" s="60" t="s">
        <v>888</v>
      </c>
    </row>
    <row r="636" ht="12.75" customHeight="1">
      <c r="A636" s="59" t="s">
        <v>176</v>
      </c>
      <c r="B636" s="60" t="s">
        <v>889</v>
      </c>
    </row>
    <row r="637" ht="12.75" customHeight="1">
      <c r="A637" s="59" t="s">
        <v>176</v>
      </c>
      <c r="B637" s="60" t="s">
        <v>890</v>
      </c>
    </row>
    <row r="638" ht="12.75" customHeight="1">
      <c r="A638" s="59" t="s">
        <v>176</v>
      </c>
      <c r="B638" s="60" t="s">
        <v>891</v>
      </c>
    </row>
    <row r="639" ht="12.75" customHeight="1">
      <c r="A639" s="59" t="s">
        <v>176</v>
      </c>
      <c r="B639" s="60" t="s">
        <v>892</v>
      </c>
    </row>
    <row r="640" ht="12.75" customHeight="1">
      <c r="A640" s="59" t="s">
        <v>176</v>
      </c>
      <c r="B640" s="60" t="s">
        <v>893</v>
      </c>
    </row>
    <row r="641" ht="12.75" customHeight="1">
      <c r="A641" s="59" t="s">
        <v>176</v>
      </c>
      <c r="B641" s="60" t="s">
        <v>894</v>
      </c>
    </row>
    <row r="642" ht="12.75" customHeight="1">
      <c r="A642" s="59" t="s">
        <v>176</v>
      </c>
      <c r="B642" s="60" t="s">
        <v>895</v>
      </c>
    </row>
    <row r="643" ht="12.75" customHeight="1">
      <c r="A643" s="59" t="s">
        <v>176</v>
      </c>
      <c r="B643" s="60" t="s">
        <v>896</v>
      </c>
    </row>
    <row r="644" ht="12.75" customHeight="1">
      <c r="A644" s="59" t="s">
        <v>176</v>
      </c>
      <c r="B644" s="60" t="s">
        <v>897</v>
      </c>
    </row>
    <row r="645" ht="12.75" customHeight="1">
      <c r="A645" s="59" t="s">
        <v>176</v>
      </c>
      <c r="B645" s="60" t="s">
        <v>898</v>
      </c>
    </row>
    <row r="646" ht="12.75" customHeight="1">
      <c r="A646" s="59" t="s">
        <v>176</v>
      </c>
      <c r="B646" s="60" t="s">
        <v>899</v>
      </c>
    </row>
    <row r="647" ht="12.75" customHeight="1">
      <c r="A647" s="59" t="s">
        <v>176</v>
      </c>
      <c r="B647" s="60" t="s">
        <v>900</v>
      </c>
    </row>
    <row r="648" ht="12.75" customHeight="1">
      <c r="A648" s="59" t="s">
        <v>176</v>
      </c>
      <c r="B648" s="60" t="s">
        <v>901</v>
      </c>
    </row>
    <row r="649" ht="12.75" customHeight="1">
      <c r="A649" s="59" t="s">
        <v>176</v>
      </c>
      <c r="B649" s="60" t="s">
        <v>902</v>
      </c>
    </row>
    <row r="650" ht="12.75" customHeight="1">
      <c r="A650" s="59" t="s">
        <v>176</v>
      </c>
      <c r="B650" s="60" t="s">
        <v>903</v>
      </c>
    </row>
    <row r="651" ht="12.75" customHeight="1">
      <c r="A651" s="59" t="s">
        <v>176</v>
      </c>
      <c r="B651" s="60" t="s">
        <v>904</v>
      </c>
    </row>
    <row r="652" ht="12.75" customHeight="1">
      <c r="A652" s="59" t="s">
        <v>176</v>
      </c>
      <c r="B652" s="60" t="s">
        <v>905</v>
      </c>
    </row>
    <row r="653" ht="12.75" customHeight="1">
      <c r="A653" s="59" t="s">
        <v>176</v>
      </c>
      <c r="B653" s="60" t="s">
        <v>906</v>
      </c>
    </row>
    <row r="654" ht="12.75" customHeight="1">
      <c r="A654" s="59" t="s">
        <v>176</v>
      </c>
      <c r="B654" s="60" t="s">
        <v>907</v>
      </c>
    </row>
    <row r="655" ht="12.75" customHeight="1">
      <c r="A655" s="59" t="s">
        <v>176</v>
      </c>
      <c r="B655" s="60" t="s">
        <v>908</v>
      </c>
    </row>
    <row r="656" ht="12.75" customHeight="1">
      <c r="A656" s="59" t="s">
        <v>176</v>
      </c>
      <c r="B656" s="60" t="s">
        <v>909</v>
      </c>
    </row>
    <row r="657" ht="12.75" customHeight="1">
      <c r="A657" s="59" t="s">
        <v>176</v>
      </c>
      <c r="B657" s="60" t="s">
        <v>910</v>
      </c>
    </row>
    <row r="658" ht="12.75" customHeight="1">
      <c r="A658" s="59" t="s">
        <v>176</v>
      </c>
      <c r="B658" s="60" t="s">
        <v>911</v>
      </c>
    </row>
    <row r="659" ht="12.75" customHeight="1">
      <c r="A659" s="59" t="s">
        <v>176</v>
      </c>
      <c r="B659" s="60" t="s">
        <v>912</v>
      </c>
    </row>
    <row r="660" ht="12.75" customHeight="1">
      <c r="A660" s="59" t="s">
        <v>176</v>
      </c>
      <c r="B660" s="60" t="s">
        <v>913</v>
      </c>
    </row>
    <row r="661" ht="12.75" customHeight="1">
      <c r="A661" s="59" t="s">
        <v>176</v>
      </c>
      <c r="B661" s="60" t="s">
        <v>914</v>
      </c>
    </row>
    <row r="662" ht="12.75" customHeight="1">
      <c r="A662" s="59" t="s">
        <v>176</v>
      </c>
      <c r="B662" s="60" t="s">
        <v>915</v>
      </c>
    </row>
    <row r="663" ht="12.75" customHeight="1">
      <c r="A663" s="59" t="s">
        <v>176</v>
      </c>
      <c r="B663" s="60" t="s">
        <v>916</v>
      </c>
    </row>
    <row r="664" ht="12.75" customHeight="1">
      <c r="A664" s="59" t="s">
        <v>176</v>
      </c>
      <c r="B664" s="60" t="s">
        <v>917</v>
      </c>
    </row>
    <row r="665" ht="12.75" customHeight="1">
      <c r="A665" s="59" t="s">
        <v>176</v>
      </c>
      <c r="B665" s="60" t="s">
        <v>918</v>
      </c>
    </row>
    <row r="666" ht="12.75" customHeight="1">
      <c r="A666" s="59" t="s">
        <v>176</v>
      </c>
      <c r="B666" s="60" t="s">
        <v>919</v>
      </c>
    </row>
    <row r="667" ht="12.75" customHeight="1">
      <c r="A667" s="59" t="s">
        <v>176</v>
      </c>
      <c r="B667" s="60" t="s">
        <v>920</v>
      </c>
    </row>
    <row r="668" ht="12.75" customHeight="1">
      <c r="A668" s="59" t="s">
        <v>176</v>
      </c>
      <c r="B668" s="60" t="s">
        <v>921</v>
      </c>
    </row>
    <row r="669" ht="12.75" customHeight="1">
      <c r="A669" s="59" t="s">
        <v>176</v>
      </c>
      <c r="B669" s="60" t="s">
        <v>922</v>
      </c>
    </row>
    <row r="670" ht="12.75" customHeight="1">
      <c r="A670" s="59" t="s">
        <v>176</v>
      </c>
      <c r="B670" s="60" t="s">
        <v>923</v>
      </c>
    </row>
    <row r="671" ht="12.75" customHeight="1">
      <c r="A671" s="59" t="s">
        <v>176</v>
      </c>
      <c r="B671" s="60" t="s">
        <v>924</v>
      </c>
    </row>
    <row r="672" ht="12.75" customHeight="1">
      <c r="A672" s="59" t="s">
        <v>176</v>
      </c>
      <c r="B672" s="60" t="s">
        <v>925</v>
      </c>
    </row>
    <row r="673" ht="12.75" customHeight="1">
      <c r="A673" s="59" t="s">
        <v>176</v>
      </c>
      <c r="B673" s="60" t="s">
        <v>926</v>
      </c>
    </row>
    <row r="674" ht="12.75" customHeight="1">
      <c r="A674" s="59" t="s">
        <v>176</v>
      </c>
      <c r="B674" s="60" t="s">
        <v>927</v>
      </c>
    </row>
    <row r="675" ht="12.75" customHeight="1">
      <c r="A675" s="59" t="s">
        <v>176</v>
      </c>
      <c r="B675" s="60" t="s">
        <v>928</v>
      </c>
    </row>
    <row r="676" ht="12.75" customHeight="1">
      <c r="A676" s="59" t="s">
        <v>176</v>
      </c>
      <c r="B676" s="60" t="s">
        <v>929</v>
      </c>
    </row>
    <row r="677" ht="12.75" customHeight="1">
      <c r="A677" s="59" t="s">
        <v>176</v>
      </c>
      <c r="B677" s="60" t="s">
        <v>930</v>
      </c>
    </row>
    <row r="678" ht="12.75" customHeight="1">
      <c r="A678" s="59" t="s">
        <v>176</v>
      </c>
      <c r="B678" s="60" t="s">
        <v>931</v>
      </c>
    </row>
    <row r="679" ht="12.75" customHeight="1">
      <c r="A679" s="59" t="s">
        <v>176</v>
      </c>
      <c r="B679" s="60" t="s">
        <v>932</v>
      </c>
    </row>
    <row r="680" ht="12.75" customHeight="1">
      <c r="A680" s="59" t="s">
        <v>176</v>
      </c>
      <c r="B680" s="60" t="s">
        <v>933</v>
      </c>
    </row>
    <row r="681" ht="12.75" customHeight="1">
      <c r="A681" s="59" t="s">
        <v>176</v>
      </c>
      <c r="B681" s="60" t="s">
        <v>934</v>
      </c>
    </row>
    <row r="682" ht="12.75" customHeight="1">
      <c r="A682" s="59" t="s">
        <v>176</v>
      </c>
      <c r="B682" s="60" t="s">
        <v>935</v>
      </c>
    </row>
    <row r="683" ht="12.75" customHeight="1">
      <c r="A683" s="59" t="s">
        <v>176</v>
      </c>
      <c r="B683" s="60" t="s">
        <v>936</v>
      </c>
    </row>
    <row r="684" ht="12.75" customHeight="1">
      <c r="A684" s="59" t="s">
        <v>176</v>
      </c>
      <c r="B684" s="60" t="s">
        <v>937</v>
      </c>
    </row>
    <row r="685" ht="12.75" customHeight="1">
      <c r="A685" s="59" t="s">
        <v>176</v>
      </c>
      <c r="B685" s="60" t="s">
        <v>938</v>
      </c>
    </row>
    <row r="686" ht="12.75" customHeight="1">
      <c r="A686" s="59" t="s">
        <v>176</v>
      </c>
      <c r="B686" s="60" t="s">
        <v>939</v>
      </c>
    </row>
    <row r="687" ht="12.75" customHeight="1">
      <c r="A687" s="59" t="s">
        <v>176</v>
      </c>
      <c r="B687" s="60" t="s">
        <v>940</v>
      </c>
    </row>
    <row r="688" ht="12.75" customHeight="1">
      <c r="A688" s="59" t="s">
        <v>176</v>
      </c>
      <c r="B688" s="60" t="s">
        <v>941</v>
      </c>
    </row>
    <row r="689" ht="12.75" customHeight="1">
      <c r="A689" s="59" t="s">
        <v>176</v>
      </c>
      <c r="B689" s="60" t="s">
        <v>942</v>
      </c>
    </row>
    <row r="690" ht="12.75" customHeight="1">
      <c r="A690" s="59" t="s">
        <v>176</v>
      </c>
      <c r="B690" s="60" t="s">
        <v>943</v>
      </c>
    </row>
    <row r="691" ht="12.75" customHeight="1">
      <c r="A691" s="59" t="s">
        <v>176</v>
      </c>
      <c r="B691" s="60" t="s">
        <v>944</v>
      </c>
    </row>
    <row r="692" ht="12.75" customHeight="1">
      <c r="A692" s="59" t="s">
        <v>176</v>
      </c>
      <c r="B692" s="60" t="s">
        <v>945</v>
      </c>
    </row>
    <row r="693" ht="12.75" customHeight="1">
      <c r="A693" s="59" t="s">
        <v>176</v>
      </c>
      <c r="B693" s="60" t="s">
        <v>946</v>
      </c>
    </row>
    <row r="694" ht="12.75" customHeight="1">
      <c r="A694" s="59" t="s">
        <v>176</v>
      </c>
      <c r="B694" s="60" t="s">
        <v>947</v>
      </c>
    </row>
    <row r="695" ht="12.75" customHeight="1">
      <c r="A695" s="59" t="s">
        <v>176</v>
      </c>
      <c r="B695" s="60" t="s">
        <v>948</v>
      </c>
    </row>
    <row r="696" ht="12.75" customHeight="1">
      <c r="A696" s="59" t="s">
        <v>176</v>
      </c>
      <c r="B696" s="60" t="s">
        <v>949</v>
      </c>
    </row>
    <row r="697" ht="12.75" customHeight="1">
      <c r="A697" s="59" t="s">
        <v>176</v>
      </c>
      <c r="B697" s="60" t="s">
        <v>950</v>
      </c>
    </row>
    <row r="698" ht="12.75" customHeight="1">
      <c r="A698" s="59" t="s">
        <v>176</v>
      </c>
      <c r="B698" s="60" t="s">
        <v>951</v>
      </c>
    </row>
    <row r="699" ht="12.75" customHeight="1">
      <c r="A699" s="59" t="s">
        <v>176</v>
      </c>
      <c r="B699" s="60" t="s">
        <v>952</v>
      </c>
    </row>
    <row r="700" ht="12.75" customHeight="1">
      <c r="A700" s="59" t="s">
        <v>176</v>
      </c>
      <c r="B700" s="60" t="s">
        <v>953</v>
      </c>
    </row>
    <row r="701" ht="12.75" customHeight="1">
      <c r="A701" s="59" t="s">
        <v>176</v>
      </c>
      <c r="B701" s="60" t="s">
        <v>954</v>
      </c>
    </row>
    <row r="702" ht="12.75" customHeight="1">
      <c r="A702" s="59" t="s">
        <v>176</v>
      </c>
      <c r="B702" s="60" t="s">
        <v>955</v>
      </c>
    </row>
    <row r="703" ht="12.75" customHeight="1">
      <c r="A703" s="59" t="s">
        <v>176</v>
      </c>
      <c r="B703" s="60" t="s">
        <v>956</v>
      </c>
    </row>
    <row r="704" ht="12.75" customHeight="1">
      <c r="A704" s="59" t="s">
        <v>176</v>
      </c>
      <c r="B704" s="60" t="s">
        <v>957</v>
      </c>
    </row>
    <row r="705" ht="12.75" customHeight="1">
      <c r="A705" s="59" t="s">
        <v>176</v>
      </c>
      <c r="B705" s="60" t="s">
        <v>958</v>
      </c>
    </row>
    <row r="706" ht="12.75" customHeight="1">
      <c r="A706" s="59" t="s">
        <v>176</v>
      </c>
      <c r="B706" s="60" t="s">
        <v>959</v>
      </c>
    </row>
    <row r="707" ht="12.75" customHeight="1">
      <c r="A707" s="59" t="s">
        <v>176</v>
      </c>
      <c r="B707" s="60" t="s">
        <v>960</v>
      </c>
    </row>
    <row r="708" ht="12.75" customHeight="1">
      <c r="A708" s="59" t="s">
        <v>176</v>
      </c>
      <c r="B708" s="60" t="s">
        <v>961</v>
      </c>
    </row>
    <row r="709" ht="12.75" customHeight="1">
      <c r="A709" s="59" t="s">
        <v>176</v>
      </c>
      <c r="B709" s="60" t="s">
        <v>962</v>
      </c>
    </row>
    <row r="710" ht="12.75" customHeight="1">
      <c r="A710" s="59" t="s">
        <v>176</v>
      </c>
      <c r="B710" s="60" t="s">
        <v>963</v>
      </c>
    </row>
    <row r="711" ht="12.75" customHeight="1">
      <c r="A711" s="59" t="s">
        <v>176</v>
      </c>
      <c r="B711" s="60" t="s">
        <v>964</v>
      </c>
    </row>
    <row r="712" ht="12.75" customHeight="1">
      <c r="A712" s="59" t="s">
        <v>176</v>
      </c>
      <c r="B712" s="60" t="s">
        <v>965</v>
      </c>
    </row>
    <row r="713" ht="12.75" customHeight="1">
      <c r="A713" s="59" t="s">
        <v>176</v>
      </c>
      <c r="B713" s="60" t="s">
        <v>966</v>
      </c>
    </row>
    <row r="714" ht="12.75" customHeight="1">
      <c r="A714" s="59" t="s">
        <v>176</v>
      </c>
      <c r="B714" s="60" t="s">
        <v>967</v>
      </c>
    </row>
    <row r="715" ht="12.75" customHeight="1">
      <c r="A715" s="59" t="s">
        <v>176</v>
      </c>
      <c r="B715" s="60" t="s">
        <v>968</v>
      </c>
    </row>
    <row r="716" ht="12.75" customHeight="1">
      <c r="A716" s="59" t="s">
        <v>176</v>
      </c>
      <c r="B716" s="60" t="s">
        <v>969</v>
      </c>
    </row>
    <row r="717" ht="12.75" customHeight="1">
      <c r="A717" s="59" t="s">
        <v>176</v>
      </c>
      <c r="B717" s="60" t="s">
        <v>970</v>
      </c>
    </row>
    <row r="718" ht="12.75" customHeight="1">
      <c r="A718" s="59" t="s">
        <v>176</v>
      </c>
      <c r="B718" s="60" t="s">
        <v>971</v>
      </c>
    </row>
    <row r="719" ht="12.75" customHeight="1">
      <c r="A719" s="59" t="s">
        <v>176</v>
      </c>
      <c r="B719" s="60" t="s">
        <v>972</v>
      </c>
    </row>
    <row r="720" ht="12.75" customHeight="1">
      <c r="A720" s="59" t="s">
        <v>176</v>
      </c>
      <c r="B720" s="60" t="s">
        <v>973</v>
      </c>
    </row>
    <row r="721" ht="12.75" customHeight="1">
      <c r="A721" s="59" t="s">
        <v>176</v>
      </c>
      <c r="B721" s="60" t="s">
        <v>974</v>
      </c>
    </row>
    <row r="722" ht="12.75" customHeight="1">
      <c r="A722" s="59" t="s">
        <v>176</v>
      </c>
      <c r="B722" s="60" t="s">
        <v>975</v>
      </c>
    </row>
    <row r="723" ht="12.75" customHeight="1">
      <c r="A723" s="59" t="s">
        <v>176</v>
      </c>
      <c r="B723" s="60" t="s">
        <v>976</v>
      </c>
    </row>
    <row r="724" ht="12.75" customHeight="1">
      <c r="A724" s="59" t="s">
        <v>176</v>
      </c>
      <c r="B724" s="60" t="s">
        <v>977</v>
      </c>
    </row>
    <row r="725" ht="12.75" customHeight="1">
      <c r="A725" s="59" t="s">
        <v>176</v>
      </c>
      <c r="B725" s="60" t="s">
        <v>978</v>
      </c>
    </row>
    <row r="726" ht="12.75" customHeight="1">
      <c r="A726" s="59" t="s">
        <v>176</v>
      </c>
      <c r="B726" s="60" t="s">
        <v>979</v>
      </c>
    </row>
    <row r="727" ht="12.75" customHeight="1">
      <c r="A727" s="59" t="s">
        <v>176</v>
      </c>
      <c r="B727" s="60" t="s">
        <v>980</v>
      </c>
    </row>
    <row r="728" ht="12.75" customHeight="1">
      <c r="A728" s="59" t="s">
        <v>176</v>
      </c>
      <c r="B728" s="60" t="s">
        <v>981</v>
      </c>
    </row>
    <row r="729" ht="12.75" customHeight="1">
      <c r="A729" s="59" t="s">
        <v>176</v>
      </c>
      <c r="B729" s="60" t="s">
        <v>982</v>
      </c>
    </row>
    <row r="730" ht="12.75" customHeight="1">
      <c r="A730" s="59" t="s">
        <v>176</v>
      </c>
      <c r="B730" s="60" t="s">
        <v>983</v>
      </c>
    </row>
    <row r="731" ht="12.75" customHeight="1">
      <c r="A731" s="59" t="s">
        <v>176</v>
      </c>
      <c r="B731" s="60" t="s">
        <v>984</v>
      </c>
    </row>
    <row r="732" ht="12.75" customHeight="1">
      <c r="A732" s="59" t="s">
        <v>176</v>
      </c>
      <c r="B732" s="60" t="s">
        <v>985</v>
      </c>
    </row>
    <row r="733" ht="12.75" customHeight="1">
      <c r="A733" s="59" t="s">
        <v>176</v>
      </c>
      <c r="B733" s="60" t="s">
        <v>986</v>
      </c>
    </row>
    <row r="734" ht="12.75" customHeight="1">
      <c r="A734" s="59" t="s">
        <v>176</v>
      </c>
      <c r="B734" s="60" t="s">
        <v>987</v>
      </c>
    </row>
    <row r="735" ht="12.75" customHeight="1">
      <c r="A735" s="59" t="s">
        <v>176</v>
      </c>
      <c r="B735" s="60" t="s">
        <v>988</v>
      </c>
    </row>
    <row r="736" ht="12.75" customHeight="1">
      <c r="A736" s="59" t="s">
        <v>176</v>
      </c>
      <c r="B736" s="60" t="s">
        <v>989</v>
      </c>
    </row>
    <row r="737" ht="12.75" customHeight="1">
      <c r="A737" s="59" t="s">
        <v>176</v>
      </c>
      <c r="B737" s="60" t="s">
        <v>990</v>
      </c>
    </row>
    <row r="738" ht="12.75" customHeight="1">
      <c r="A738" s="59" t="s">
        <v>176</v>
      </c>
      <c r="B738" s="60" t="s">
        <v>991</v>
      </c>
    </row>
    <row r="739" ht="12.75" customHeight="1">
      <c r="A739" s="59" t="s">
        <v>176</v>
      </c>
      <c r="B739" s="60" t="s">
        <v>992</v>
      </c>
    </row>
    <row r="740" ht="12.75" customHeight="1">
      <c r="A740" s="59" t="s">
        <v>176</v>
      </c>
      <c r="B740" s="60" t="s">
        <v>993</v>
      </c>
    </row>
    <row r="741" ht="12.75" customHeight="1">
      <c r="A741" s="59" t="s">
        <v>176</v>
      </c>
      <c r="B741" s="60" t="s">
        <v>994</v>
      </c>
    </row>
    <row r="742" ht="12.75" customHeight="1">
      <c r="A742" s="59" t="s">
        <v>176</v>
      </c>
      <c r="B742" s="60" t="s">
        <v>995</v>
      </c>
    </row>
    <row r="743" ht="12.75" customHeight="1">
      <c r="A743" s="59" t="s">
        <v>176</v>
      </c>
      <c r="B743" s="60" t="s">
        <v>996</v>
      </c>
    </row>
    <row r="744" ht="12.75" customHeight="1">
      <c r="A744" s="59" t="s">
        <v>176</v>
      </c>
      <c r="B744" s="60" t="s">
        <v>997</v>
      </c>
    </row>
    <row r="745" ht="12.75" customHeight="1">
      <c r="A745" s="59" t="s">
        <v>176</v>
      </c>
      <c r="B745" s="60" t="s">
        <v>998</v>
      </c>
    </row>
    <row r="746" ht="12.75" customHeight="1">
      <c r="A746" s="59" t="s">
        <v>176</v>
      </c>
      <c r="B746" s="60" t="s">
        <v>999</v>
      </c>
    </row>
    <row r="747" ht="12.75" customHeight="1">
      <c r="A747" s="59" t="s">
        <v>176</v>
      </c>
      <c r="B747" s="60" t="s">
        <v>1000</v>
      </c>
    </row>
    <row r="748" ht="12.75" customHeight="1">
      <c r="A748" s="59" t="s">
        <v>176</v>
      </c>
      <c r="B748" s="60" t="s">
        <v>1001</v>
      </c>
    </row>
    <row r="749" ht="12.75" customHeight="1">
      <c r="A749" s="59" t="s">
        <v>176</v>
      </c>
      <c r="B749" s="60" t="s">
        <v>1002</v>
      </c>
    </row>
    <row r="750" ht="12.75" customHeight="1">
      <c r="A750" s="59" t="s">
        <v>176</v>
      </c>
      <c r="B750" s="60" t="s">
        <v>1003</v>
      </c>
    </row>
    <row r="751" ht="12.75" customHeight="1">
      <c r="A751" s="59" t="s">
        <v>176</v>
      </c>
      <c r="B751" s="60" t="s">
        <v>1004</v>
      </c>
    </row>
    <row r="752" ht="12.75" customHeight="1">
      <c r="A752" s="59" t="s">
        <v>176</v>
      </c>
      <c r="B752" s="60" t="s">
        <v>1005</v>
      </c>
    </row>
    <row r="753" ht="12.75" customHeight="1">
      <c r="A753" s="59" t="s">
        <v>176</v>
      </c>
      <c r="B753" s="60" t="s">
        <v>1006</v>
      </c>
    </row>
    <row r="754" ht="12.75" customHeight="1">
      <c r="A754" s="59" t="s">
        <v>176</v>
      </c>
      <c r="B754" s="60" t="s">
        <v>1007</v>
      </c>
    </row>
    <row r="755" ht="12.75" customHeight="1">
      <c r="A755" s="59" t="s">
        <v>176</v>
      </c>
      <c r="B755" s="60" t="s">
        <v>1008</v>
      </c>
    </row>
    <row r="756" ht="12.75" customHeight="1">
      <c r="A756" s="59" t="s">
        <v>176</v>
      </c>
      <c r="B756" s="60" t="s">
        <v>1009</v>
      </c>
    </row>
    <row r="757" ht="12.75" customHeight="1">
      <c r="A757" s="59" t="s">
        <v>176</v>
      </c>
      <c r="B757" s="60" t="s">
        <v>1010</v>
      </c>
    </row>
    <row r="758" ht="12.75" customHeight="1">
      <c r="A758" s="59" t="s">
        <v>176</v>
      </c>
      <c r="B758" s="60" t="s">
        <v>1011</v>
      </c>
    </row>
    <row r="759" ht="12.75" customHeight="1">
      <c r="A759" s="59" t="s">
        <v>176</v>
      </c>
      <c r="B759" s="60" t="s">
        <v>1012</v>
      </c>
    </row>
    <row r="760" ht="12.75" customHeight="1">
      <c r="A760" s="59" t="s">
        <v>176</v>
      </c>
      <c r="B760" s="60" t="s">
        <v>1013</v>
      </c>
    </row>
    <row r="761" ht="12.75" customHeight="1">
      <c r="A761" s="59" t="s">
        <v>176</v>
      </c>
      <c r="B761" s="60" t="s">
        <v>1014</v>
      </c>
    </row>
    <row r="762" ht="12.75" customHeight="1">
      <c r="A762" s="59" t="s">
        <v>176</v>
      </c>
      <c r="B762" s="60" t="s">
        <v>1015</v>
      </c>
    </row>
    <row r="763" ht="12.75" customHeight="1">
      <c r="A763" s="59" t="s">
        <v>176</v>
      </c>
      <c r="B763" s="60" t="s">
        <v>1016</v>
      </c>
    </row>
    <row r="764" ht="12.75" customHeight="1">
      <c r="A764" s="59" t="s">
        <v>176</v>
      </c>
      <c r="B764" s="60" t="s">
        <v>1017</v>
      </c>
    </row>
    <row r="765" ht="12.75" customHeight="1">
      <c r="A765" s="59" t="s">
        <v>176</v>
      </c>
      <c r="B765" s="60" t="s">
        <v>1018</v>
      </c>
    </row>
    <row r="766" ht="12.75" customHeight="1">
      <c r="A766" s="59" t="s">
        <v>176</v>
      </c>
      <c r="B766" s="60" t="s">
        <v>1019</v>
      </c>
    </row>
    <row r="767" ht="12.75" customHeight="1">
      <c r="A767" s="59" t="s">
        <v>176</v>
      </c>
      <c r="B767" s="60" t="s">
        <v>1020</v>
      </c>
    </row>
    <row r="768" ht="12.75" customHeight="1">
      <c r="A768" s="59" t="s">
        <v>176</v>
      </c>
      <c r="B768" s="60" t="s">
        <v>1021</v>
      </c>
    </row>
    <row r="769" ht="12.75" customHeight="1">
      <c r="A769" s="59" t="s">
        <v>176</v>
      </c>
      <c r="B769" s="60" t="s">
        <v>1022</v>
      </c>
    </row>
    <row r="770" ht="12.75" customHeight="1">
      <c r="A770" s="59" t="s">
        <v>176</v>
      </c>
      <c r="B770" s="60" t="s">
        <v>1023</v>
      </c>
    </row>
    <row r="771" ht="12.75" customHeight="1">
      <c r="A771" s="59" t="s">
        <v>176</v>
      </c>
      <c r="B771" s="60" t="s">
        <v>1024</v>
      </c>
    </row>
    <row r="772" ht="12.75" customHeight="1">
      <c r="A772" s="59" t="s">
        <v>176</v>
      </c>
      <c r="B772" s="60" t="s">
        <v>1025</v>
      </c>
    </row>
    <row r="773" ht="12.75" customHeight="1">
      <c r="A773" s="59" t="s">
        <v>176</v>
      </c>
      <c r="B773" s="60" t="s">
        <v>1026</v>
      </c>
    </row>
    <row r="774" ht="12.75" customHeight="1">
      <c r="A774" s="59" t="s">
        <v>176</v>
      </c>
      <c r="B774" s="60" t="s">
        <v>1027</v>
      </c>
    </row>
    <row r="775" ht="12.75" customHeight="1">
      <c r="A775" s="59" t="s">
        <v>176</v>
      </c>
      <c r="B775" s="60" t="s">
        <v>1028</v>
      </c>
    </row>
    <row r="776" ht="12.75" customHeight="1">
      <c r="A776" s="59" t="s">
        <v>176</v>
      </c>
      <c r="B776" s="60" t="s">
        <v>1029</v>
      </c>
    </row>
    <row r="777" ht="12.75" customHeight="1">
      <c r="A777" s="59" t="s">
        <v>176</v>
      </c>
      <c r="B777" s="60" t="s">
        <v>1030</v>
      </c>
    </row>
    <row r="778" ht="12.75" customHeight="1">
      <c r="A778" s="59" t="s">
        <v>176</v>
      </c>
      <c r="B778" s="60" t="s">
        <v>1031</v>
      </c>
    </row>
    <row r="779" ht="12.75" customHeight="1">
      <c r="A779" s="59" t="s">
        <v>176</v>
      </c>
      <c r="B779" s="60" t="s">
        <v>1032</v>
      </c>
    </row>
    <row r="780" ht="12.75" customHeight="1">
      <c r="A780" s="59" t="s">
        <v>176</v>
      </c>
      <c r="B780" s="60" t="s">
        <v>1033</v>
      </c>
    </row>
    <row r="781" ht="12.75" customHeight="1">
      <c r="A781" s="59" t="s">
        <v>176</v>
      </c>
      <c r="B781" s="60" t="s">
        <v>1034</v>
      </c>
    </row>
    <row r="782" ht="12.75" customHeight="1">
      <c r="A782" s="59" t="s">
        <v>176</v>
      </c>
      <c r="B782" s="60" t="s">
        <v>1035</v>
      </c>
    </row>
    <row r="783" ht="12.75" customHeight="1">
      <c r="A783" s="59" t="s">
        <v>176</v>
      </c>
      <c r="B783" s="60" t="s">
        <v>1036</v>
      </c>
    </row>
    <row r="784" ht="12.75" customHeight="1">
      <c r="A784" s="59" t="s">
        <v>176</v>
      </c>
      <c r="B784" s="60" t="s">
        <v>1037</v>
      </c>
    </row>
    <row r="785" ht="12.75" customHeight="1">
      <c r="A785" s="59" t="s">
        <v>176</v>
      </c>
      <c r="B785" s="60" t="s">
        <v>1038</v>
      </c>
    </row>
    <row r="786" ht="12.75" customHeight="1">
      <c r="A786" s="59" t="s">
        <v>176</v>
      </c>
      <c r="B786" s="60" t="s">
        <v>1039</v>
      </c>
    </row>
    <row r="787" ht="12.75" customHeight="1">
      <c r="A787" s="59" t="s">
        <v>176</v>
      </c>
      <c r="B787" s="60" t="s">
        <v>1040</v>
      </c>
    </row>
    <row r="788" ht="12.75" customHeight="1">
      <c r="A788" s="59" t="s">
        <v>176</v>
      </c>
      <c r="B788" s="60" t="s">
        <v>1041</v>
      </c>
    </row>
    <row r="789" ht="12.75" customHeight="1">
      <c r="A789" s="59" t="s">
        <v>176</v>
      </c>
      <c r="B789" s="60" t="s">
        <v>1042</v>
      </c>
    </row>
    <row r="790" ht="12.75" customHeight="1">
      <c r="A790" s="59" t="s">
        <v>176</v>
      </c>
      <c r="B790" s="60" t="s">
        <v>1043</v>
      </c>
    </row>
    <row r="791" ht="12.75" customHeight="1">
      <c r="A791" s="59" t="s">
        <v>176</v>
      </c>
      <c r="B791" s="60" t="s">
        <v>1044</v>
      </c>
    </row>
    <row r="792" ht="12.75" customHeight="1">
      <c r="A792" s="59" t="s">
        <v>176</v>
      </c>
      <c r="B792" s="60" t="s">
        <v>1045</v>
      </c>
    </row>
    <row r="793" ht="12.75" customHeight="1">
      <c r="A793" s="59" t="s">
        <v>176</v>
      </c>
      <c r="B793" s="60" t="s">
        <v>1046</v>
      </c>
    </row>
    <row r="794" ht="12.75" customHeight="1">
      <c r="A794" s="59" t="s">
        <v>176</v>
      </c>
      <c r="B794" s="60" t="s">
        <v>1047</v>
      </c>
    </row>
    <row r="795" ht="12.75" customHeight="1">
      <c r="A795" s="59" t="s">
        <v>176</v>
      </c>
      <c r="B795" s="60" t="s">
        <v>1048</v>
      </c>
    </row>
    <row r="796" ht="12.75" customHeight="1">
      <c r="A796" s="59" t="s">
        <v>176</v>
      </c>
      <c r="B796" s="60" t="s">
        <v>1049</v>
      </c>
    </row>
    <row r="797" ht="12.75" customHeight="1">
      <c r="A797" s="59" t="s">
        <v>176</v>
      </c>
      <c r="B797" s="60" t="s">
        <v>1050</v>
      </c>
    </row>
    <row r="798" ht="12.75" customHeight="1">
      <c r="A798" s="59" t="s">
        <v>176</v>
      </c>
      <c r="B798" s="60" t="s">
        <v>1051</v>
      </c>
    </row>
    <row r="799" ht="12.75" customHeight="1">
      <c r="A799" s="59" t="s">
        <v>176</v>
      </c>
      <c r="B799" s="60" t="s">
        <v>1052</v>
      </c>
    </row>
    <row r="800" ht="12.75" customHeight="1">
      <c r="A800" s="59" t="s">
        <v>176</v>
      </c>
      <c r="B800" s="60" t="s">
        <v>1053</v>
      </c>
    </row>
    <row r="801" ht="12.75" customHeight="1">
      <c r="A801" s="59" t="s">
        <v>176</v>
      </c>
      <c r="B801" s="60" t="s">
        <v>1054</v>
      </c>
    </row>
    <row r="802" ht="12.75" customHeight="1">
      <c r="A802" s="59" t="s">
        <v>176</v>
      </c>
      <c r="B802" s="60" t="s">
        <v>1055</v>
      </c>
    </row>
    <row r="803" ht="12.75" customHeight="1">
      <c r="A803" s="59" t="s">
        <v>176</v>
      </c>
      <c r="B803" s="60" t="s">
        <v>1056</v>
      </c>
    </row>
    <row r="804" ht="12.75" customHeight="1">
      <c r="A804" s="59" t="s">
        <v>176</v>
      </c>
      <c r="B804" s="60" t="s">
        <v>1057</v>
      </c>
    </row>
    <row r="805" ht="12.75" customHeight="1">
      <c r="A805" s="59" t="s">
        <v>176</v>
      </c>
      <c r="B805" s="60" t="s">
        <v>1058</v>
      </c>
    </row>
    <row r="806" ht="12.75" customHeight="1">
      <c r="A806" s="59" t="s">
        <v>176</v>
      </c>
      <c r="B806" s="60" t="s">
        <v>1059</v>
      </c>
    </row>
    <row r="807" ht="12.75" customHeight="1">
      <c r="A807" s="59" t="s">
        <v>176</v>
      </c>
      <c r="B807" s="60" t="s">
        <v>1060</v>
      </c>
    </row>
    <row r="808" ht="12.75" customHeight="1">
      <c r="A808" s="59" t="s">
        <v>176</v>
      </c>
      <c r="B808" s="60" t="s">
        <v>1061</v>
      </c>
    </row>
    <row r="809" ht="12.75" customHeight="1">
      <c r="A809" s="59" t="s">
        <v>176</v>
      </c>
      <c r="B809" s="60" t="s">
        <v>1062</v>
      </c>
    </row>
    <row r="810" ht="12.75" customHeight="1">
      <c r="A810" s="59" t="s">
        <v>176</v>
      </c>
      <c r="B810" s="60" t="s">
        <v>1063</v>
      </c>
    </row>
    <row r="811" ht="12.75" customHeight="1">
      <c r="A811" s="59" t="s">
        <v>176</v>
      </c>
      <c r="B811" s="60" t="s">
        <v>1064</v>
      </c>
    </row>
    <row r="812" ht="12.75" customHeight="1">
      <c r="A812" s="59" t="s">
        <v>176</v>
      </c>
      <c r="B812" s="60" t="s">
        <v>1065</v>
      </c>
    </row>
    <row r="813" ht="12.75" customHeight="1">
      <c r="A813" s="59" t="s">
        <v>176</v>
      </c>
      <c r="B813" s="60" t="s">
        <v>1066</v>
      </c>
    </row>
    <row r="814" ht="12.75" customHeight="1">
      <c r="A814" s="59" t="s">
        <v>176</v>
      </c>
      <c r="B814" s="60" t="s">
        <v>1067</v>
      </c>
    </row>
    <row r="815" ht="12.75" customHeight="1">
      <c r="A815" s="59" t="s">
        <v>176</v>
      </c>
      <c r="B815" s="60" t="s">
        <v>1068</v>
      </c>
    </row>
    <row r="816" ht="12.75" customHeight="1">
      <c r="A816" s="59" t="s">
        <v>176</v>
      </c>
      <c r="B816" s="60" t="s">
        <v>1069</v>
      </c>
    </row>
    <row r="817" ht="12.75" customHeight="1">
      <c r="A817" s="59" t="s">
        <v>176</v>
      </c>
      <c r="B817" s="60" t="s">
        <v>1070</v>
      </c>
    </row>
    <row r="818" ht="12.75" customHeight="1">
      <c r="A818" s="59" t="s">
        <v>176</v>
      </c>
      <c r="B818" s="60" t="s">
        <v>1071</v>
      </c>
    </row>
    <row r="819" ht="12.75" customHeight="1">
      <c r="A819" s="59" t="s">
        <v>176</v>
      </c>
      <c r="B819" s="60" t="s">
        <v>1072</v>
      </c>
    </row>
    <row r="820" ht="12.75" customHeight="1">
      <c r="A820" s="59" t="s">
        <v>176</v>
      </c>
      <c r="B820" s="60" t="s">
        <v>1073</v>
      </c>
    </row>
    <row r="821" ht="12.75" customHeight="1">
      <c r="A821" s="59" t="s">
        <v>176</v>
      </c>
      <c r="B821" s="60" t="s">
        <v>1074</v>
      </c>
    </row>
    <row r="822" ht="12.75" customHeight="1">
      <c r="A822" s="59" t="s">
        <v>176</v>
      </c>
      <c r="B822" s="60" t="s">
        <v>1075</v>
      </c>
    </row>
    <row r="823" ht="12.75" customHeight="1">
      <c r="A823" s="59" t="s">
        <v>176</v>
      </c>
      <c r="B823" s="60" t="s">
        <v>1076</v>
      </c>
    </row>
    <row r="824" ht="12.75" customHeight="1">
      <c r="A824" s="59" t="s">
        <v>176</v>
      </c>
      <c r="B824" s="60" t="s">
        <v>1077</v>
      </c>
    </row>
    <row r="825" ht="12.75" customHeight="1">
      <c r="A825" s="59" t="s">
        <v>176</v>
      </c>
      <c r="B825" s="60" t="s">
        <v>1078</v>
      </c>
    </row>
    <row r="826" ht="12.75" customHeight="1">
      <c r="A826" s="59" t="s">
        <v>176</v>
      </c>
      <c r="B826" s="60" t="s">
        <v>1079</v>
      </c>
    </row>
    <row r="827" ht="12.75" customHeight="1">
      <c r="A827" s="59" t="s">
        <v>176</v>
      </c>
      <c r="B827" s="60" t="s">
        <v>1080</v>
      </c>
    </row>
    <row r="828" ht="12.75" customHeight="1">
      <c r="A828" s="59" t="s">
        <v>176</v>
      </c>
      <c r="B828" s="60" t="s">
        <v>1081</v>
      </c>
    </row>
    <row r="829" ht="12.75" customHeight="1">
      <c r="A829" s="59" t="s">
        <v>176</v>
      </c>
      <c r="B829" s="60" t="s">
        <v>1082</v>
      </c>
    </row>
    <row r="830" ht="12.75" customHeight="1">
      <c r="A830" s="59" t="s">
        <v>176</v>
      </c>
      <c r="B830" s="60" t="s">
        <v>1083</v>
      </c>
    </row>
    <row r="831" ht="12.75" customHeight="1">
      <c r="A831" s="59" t="s">
        <v>176</v>
      </c>
      <c r="B831" s="60" t="s">
        <v>1084</v>
      </c>
    </row>
    <row r="832" ht="12.75" customHeight="1">
      <c r="A832" s="59" t="s">
        <v>176</v>
      </c>
      <c r="B832" s="60" t="s">
        <v>1085</v>
      </c>
    </row>
    <row r="833" ht="12.75" customHeight="1">
      <c r="A833" s="59" t="s">
        <v>176</v>
      </c>
      <c r="B833" s="60" t="s">
        <v>1086</v>
      </c>
    </row>
    <row r="834" ht="12.75" customHeight="1">
      <c r="A834" s="59" t="s">
        <v>176</v>
      </c>
      <c r="B834" s="60" t="s">
        <v>1087</v>
      </c>
    </row>
    <row r="835" ht="12.75" customHeight="1">
      <c r="A835" s="59" t="s">
        <v>176</v>
      </c>
      <c r="B835" s="60" t="s">
        <v>1088</v>
      </c>
    </row>
    <row r="836" ht="12.75" customHeight="1">
      <c r="A836" s="59" t="s">
        <v>176</v>
      </c>
      <c r="B836" s="60" t="s">
        <v>1089</v>
      </c>
    </row>
    <row r="837" ht="12.75" customHeight="1">
      <c r="A837" s="59" t="s">
        <v>176</v>
      </c>
      <c r="B837" s="60" t="s">
        <v>1090</v>
      </c>
    </row>
    <row r="838" ht="12.75" customHeight="1">
      <c r="A838" s="59" t="s">
        <v>176</v>
      </c>
      <c r="B838" s="60" t="s">
        <v>1091</v>
      </c>
    </row>
    <row r="839" ht="12.75" customHeight="1">
      <c r="A839" s="59" t="s">
        <v>176</v>
      </c>
      <c r="B839" s="60" t="s">
        <v>1092</v>
      </c>
    </row>
    <row r="840" ht="12.75" customHeight="1">
      <c r="A840" s="59" t="s">
        <v>176</v>
      </c>
      <c r="B840" s="60" t="s">
        <v>1093</v>
      </c>
    </row>
    <row r="841" ht="12.75" customHeight="1">
      <c r="A841" s="59" t="s">
        <v>176</v>
      </c>
      <c r="B841" s="60" t="s">
        <v>1094</v>
      </c>
    </row>
    <row r="842" ht="12.75" customHeight="1">
      <c r="A842" s="59" t="s">
        <v>176</v>
      </c>
      <c r="B842" s="60" t="s">
        <v>1095</v>
      </c>
    </row>
    <row r="843" ht="12.75" customHeight="1">
      <c r="A843" s="59" t="s">
        <v>176</v>
      </c>
      <c r="B843" s="60" t="s">
        <v>1096</v>
      </c>
    </row>
    <row r="844" ht="12.75" customHeight="1">
      <c r="A844" s="59" t="s">
        <v>176</v>
      </c>
      <c r="B844" s="60" t="s">
        <v>1097</v>
      </c>
    </row>
    <row r="845" ht="12.75" customHeight="1">
      <c r="A845" s="59" t="s">
        <v>176</v>
      </c>
      <c r="B845" s="60" t="s">
        <v>1098</v>
      </c>
    </row>
    <row r="846" ht="12.75" customHeight="1">
      <c r="A846" s="59" t="s">
        <v>176</v>
      </c>
      <c r="B846" s="60" t="s">
        <v>1099</v>
      </c>
    </row>
    <row r="847" ht="12.75" customHeight="1">
      <c r="A847" s="59" t="s">
        <v>176</v>
      </c>
      <c r="B847" s="60" t="s">
        <v>1100</v>
      </c>
    </row>
    <row r="848" ht="12.75" customHeight="1">
      <c r="A848" s="59" t="s">
        <v>176</v>
      </c>
      <c r="B848" s="60" t="s">
        <v>1101</v>
      </c>
    </row>
    <row r="849" ht="12.75" customHeight="1">
      <c r="A849" s="59" t="s">
        <v>176</v>
      </c>
      <c r="B849" s="60" t="s">
        <v>1102</v>
      </c>
    </row>
    <row r="850" ht="12.75" customHeight="1">
      <c r="A850" s="59" t="s">
        <v>176</v>
      </c>
      <c r="B850" s="60" t="s">
        <v>1103</v>
      </c>
    </row>
    <row r="851" ht="12.75" customHeight="1">
      <c r="A851" s="59" t="s">
        <v>176</v>
      </c>
      <c r="B851" s="60" t="s">
        <v>1104</v>
      </c>
    </row>
    <row r="852" ht="12.75" customHeight="1">
      <c r="A852" s="59" t="s">
        <v>176</v>
      </c>
      <c r="B852" s="60" t="s">
        <v>1105</v>
      </c>
    </row>
    <row r="853" ht="12.75" customHeight="1">
      <c r="A853" s="59" t="s">
        <v>176</v>
      </c>
      <c r="B853" s="60" t="s">
        <v>1106</v>
      </c>
    </row>
    <row r="854" ht="12.75" customHeight="1">
      <c r="A854" s="59" t="s">
        <v>176</v>
      </c>
      <c r="B854" s="60" t="s">
        <v>1107</v>
      </c>
    </row>
    <row r="855" ht="12.75" customHeight="1">
      <c r="A855" s="59" t="s">
        <v>176</v>
      </c>
      <c r="B855" s="60" t="s">
        <v>1108</v>
      </c>
    </row>
    <row r="856" ht="12.75" customHeight="1">
      <c r="A856" s="59" t="s">
        <v>176</v>
      </c>
      <c r="B856" s="60" t="s">
        <v>1109</v>
      </c>
    </row>
    <row r="857" ht="12.75" customHeight="1">
      <c r="A857" s="59" t="s">
        <v>176</v>
      </c>
      <c r="B857" s="60" t="s">
        <v>1110</v>
      </c>
    </row>
    <row r="858" ht="12.75" customHeight="1">
      <c r="A858" s="59" t="s">
        <v>176</v>
      </c>
      <c r="B858" s="60" t="s">
        <v>1111</v>
      </c>
    </row>
    <row r="859" ht="12.75" customHeight="1">
      <c r="A859" s="59" t="s">
        <v>176</v>
      </c>
      <c r="B859" s="60" t="s">
        <v>1112</v>
      </c>
    </row>
    <row r="860" ht="12.75" customHeight="1">
      <c r="A860" s="59" t="s">
        <v>176</v>
      </c>
      <c r="B860" s="60" t="s">
        <v>1113</v>
      </c>
    </row>
    <row r="861" ht="12.75" customHeight="1">
      <c r="A861" s="59" t="s">
        <v>176</v>
      </c>
      <c r="B861" s="60" t="s">
        <v>1114</v>
      </c>
    </row>
    <row r="862" ht="12.75" customHeight="1">
      <c r="A862" s="59" t="s">
        <v>176</v>
      </c>
      <c r="B862" s="60" t="s">
        <v>1115</v>
      </c>
    </row>
    <row r="863" ht="12.75" customHeight="1">
      <c r="A863" s="59" t="s">
        <v>176</v>
      </c>
      <c r="B863" s="60" t="s">
        <v>1116</v>
      </c>
    </row>
    <row r="864" ht="12.75" customHeight="1">
      <c r="A864" s="59" t="s">
        <v>176</v>
      </c>
      <c r="B864" s="60" t="s">
        <v>1117</v>
      </c>
    </row>
    <row r="865" ht="12.75" customHeight="1">
      <c r="A865" s="59" t="s">
        <v>176</v>
      </c>
      <c r="B865" s="60" t="s">
        <v>1118</v>
      </c>
    </row>
    <row r="866" ht="12.75" customHeight="1">
      <c r="A866" s="59" t="s">
        <v>176</v>
      </c>
      <c r="B866" s="60" t="s">
        <v>1119</v>
      </c>
    </row>
    <row r="867" ht="12.75" customHeight="1">
      <c r="A867" s="59" t="s">
        <v>176</v>
      </c>
      <c r="B867" s="60" t="s">
        <v>1120</v>
      </c>
    </row>
    <row r="868" ht="12.75" customHeight="1">
      <c r="A868" s="59" t="s">
        <v>176</v>
      </c>
      <c r="B868" s="60" t="s">
        <v>1121</v>
      </c>
    </row>
    <row r="869" ht="12.75" customHeight="1">
      <c r="A869" s="59" t="s">
        <v>176</v>
      </c>
      <c r="B869" s="60" t="s">
        <v>1122</v>
      </c>
    </row>
    <row r="870" ht="12.75" customHeight="1">
      <c r="A870" s="59" t="s">
        <v>176</v>
      </c>
      <c r="B870" s="60" t="s">
        <v>1123</v>
      </c>
    </row>
    <row r="871" ht="12.75" customHeight="1">
      <c r="A871" s="59" t="s">
        <v>176</v>
      </c>
      <c r="B871" s="60" t="s">
        <v>1124</v>
      </c>
    </row>
    <row r="872" ht="12.75" customHeight="1">
      <c r="A872" s="59" t="s">
        <v>176</v>
      </c>
      <c r="B872" s="60" t="s">
        <v>1125</v>
      </c>
    </row>
    <row r="873" ht="12.75" customHeight="1">
      <c r="A873" s="59" t="s">
        <v>176</v>
      </c>
      <c r="B873" s="60" t="s">
        <v>1126</v>
      </c>
    </row>
    <row r="874" ht="12.75" customHeight="1">
      <c r="A874" s="59" t="s">
        <v>176</v>
      </c>
      <c r="B874" s="60" t="s">
        <v>1127</v>
      </c>
    </row>
    <row r="875" ht="12.75" customHeight="1">
      <c r="A875" s="59" t="s">
        <v>176</v>
      </c>
      <c r="B875" s="60" t="s">
        <v>1128</v>
      </c>
    </row>
    <row r="876" ht="12.75" customHeight="1">
      <c r="A876" s="59" t="s">
        <v>176</v>
      </c>
      <c r="B876" s="60" t="s">
        <v>1129</v>
      </c>
    </row>
    <row r="877" ht="12.75" customHeight="1">
      <c r="A877" s="59" t="s">
        <v>176</v>
      </c>
      <c r="B877" s="60" t="s">
        <v>1130</v>
      </c>
    </row>
    <row r="878" ht="12.75" customHeight="1">
      <c r="A878" s="59" t="s">
        <v>176</v>
      </c>
      <c r="B878" s="60" t="s">
        <v>1131</v>
      </c>
    </row>
    <row r="879" ht="12.75" customHeight="1">
      <c r="A879" s="59" t="s">
        <v>176</v>
      </c>
      <c r="B879" s="60" t="s">
        <v>1132</v>
      </c>
    </row>
    <row r="880" ht="12.75" customHeight="1">
      <c r="A880" s="59" t="s">
        <v>176</v>
      </c>
      <c r="B880" s="60" t="s">
        <v>1133</v>
      </c>
    </row>
    <row r="881" ht="12.75" customHeight="1">
      <c r="A881" s="59" t="s">
        <v>176</v>
      </c>
      <c r="B881" s="60" t="s">
        <v>1134</v>
      </c>
    </row>
    <row r="882" ht="12.75" customHeight="1">
      <c r="A882" s="59" t="s">
        <v>176</v>
      </c>
      <c r="B882" s="60" t="s">
        <v>1135</v>
      </c>
    </row>
    <row r="883" ht="12.75" customHeight="1">
      <c r="A883" s="59" t="s">
        <v>176</v>
      </c>
      <c r="B883" s="60" t="s">
        <v>1136</v>
      </c>
    </row>
    <row r="884" ht="12.75" customHeight="1">
      <c r="A884" s="59" t="s">
        <v>176</v>
      </c>
      <c r="B884" s="60" t="s">
        <v>1137</v>
      </c>
    </row>
    <row r="885" ht="12.75" customHeight="1">
      <c r="A885" s="59" t="s">
        <v>176</v>
      </c>
      <c r="B885" s="60" t="s">
        <v>1138</v>
      </c>
    </row>
    <row r="886" ht="12.75" customHeight="1">
      <c r="A886" s="59" t="s">
        <v>176</v>
      </c>
      <c r="B886" s="60" t="s">
        <v>1139</v>
      </c>
    </row>
    <row r="887" ht="12.75" customHeight="1">
      <c r="A887" s="59" t="s">
        <v>176</v>
      </c>
      <c r="B887" s="60" t="s">
        <v>1140</v>
      </c>
    </row>
    <row r="888" ht="12.75" customHeight="1">
      <c r="A888" s="59" t="s">
        <v>176</v>
      </c>
      <c r="B888" s="60" t="s">
        <v>1141</v>
      </c>
    </row>
    <row r="889" ht="12.75" customHeight="1">
      <c r="A889" s="59" t="s">
        <v>176</v>
      </c>
      <c r="B889" s="60" t="s">
        <v>1142</v>
      </c>
    </row>
    <row r="890" ht="12.75" customHeight="1">
      <c r="A890" s="59" t="s">
        <v>176</v>
      </c>
      <c r="B890" s="60" t="s">
        <v>1143</v>
      </c>
    </row>
    <row r="891" ht="12.75" customHeight="1">
      <c r="A891" s="59" t="s">
        <v>176</v>
      </c>
      <c r="B891" s="60" t="s">
        <v>1144</v>
      </c>
    </row>
    <row r="892" ht="12.75" customHeight="1">
      <c r="A892" s="59" t="s">
        <v>176</v>
      </c>
      <c r="B892" s="60" t="s">
        <v>1145</v>
      </c>
    </row>
    <row r="893" ht="12.75" customHeight="1">
      <c r="A893" s="59" t="s">
        <v>176</v>
      </c>
      <c r="B893" s="60" t="s">
        <v>1146</v>
      </c>
    </row>
    <row r="894" ht="12.75" customHeight="1">
      <c r="A894" s="59" t="s">
        <v>176</v>
      </c>
      <c r="B894" s="60" t="s">
        <v>1147</v>
      </c>
    </row>
    <row r="895" ht="12.75" customHeight="1">
      <c r="A895" s="59" t="s">
        <v>176</v>
      </c>
      <c r="B895" s="60" t="s">
        <v>1148</v>
      </c>
    </row>
    <row r="896" ht="12.75" customHeight="1">
      <c r="A896" s="59" t="s">
        <v>176</v>
      </c>
      <c r="B896" s="60" t="s">
        <v>1149</v>
      </c>
    </row>
    <row r="897" ht="12.75" customHeight="1">
      <c r="A897" s="59" t="s">
        <v>176</v>
      </c>
      <c r="B897" s="60" t="s">
        <v>1150</v>
      </c>
    </row>
    <row r="898" ht="12.75" customHeight="1">
      <c r="A898" s="59" t="s">
        <v>176</v>
      </c>
      <c r="B898" s="60" t="s">
        <v>1151</v>
      </c>
    </row>
    <row r="899" ht="12.75" customHeight="1">
      <c r="A899" s="59" t="s">
        <v>176</v>
      </c>
      <c r="B899" s="60" t="s">
        <v>1152</v>
      </c>
    </row>
    <row r="900" ht="12.75" customHeight="1">
      <c r="A900" s="59" t="s">
        <v>176</v>
      </c>
      <c r="B900" s="60" t="s">
        <v>1153</v>
      </c>
    </row>
    <row r="901" ht="12.75" customHeight="1">
      <c r="A901" s="59" t="s">
        <v>176</v>
      </c>
      <c r="B901" s="60" t="s">
        <v>1154</v>
      </c>
    </row>
    <row r="902" ht="12.75" customHeight="1">
      <c r="A902" s="59" t="s">
        <v>176</v>
      </c>
      <c r="B902" s="60" t="s">
        <v>1155</v>
      </c>
    </row>
    <row r="903" ht="12.75" customHeight="1">
      <c r="A903" s="59" t="s">
        <v>176</v>
      </c>
      <c r="B903" s="60" t="s">
        <v>1156</v>
      </c>
    </row>
    <row r="904" ht="12.75" customHeight="1">
      <c r="A904" s="59" t="s">
        <v>176</v>
      </c>
      <c r="B904" s="60" t="s">
        <v>1157</v>
      </c>
    </row>
    <row r="905" ht="12.75" customHeight="1">
      <c r="A905" s="59" t="s">
        <v>176</v>
      </c>
      <c r="B905" s="60" t="s">
        <v>1158</v>
      </c>
    </row>
    <row r="906" ht="12.75" customHeight="1">
      <c r="A906" s="59" t="s">
        <v>176</v>
      </c>
      <c r="B906" s="60" t="s">
        <v>1159</v>
      </c>
    </row>
    <row r="907" ht="12.75" customHeight="1">
      <c r="A907" s="59" t="s">
        <v>176</v>
      </c>
      <c r="B907" s="60" t="s">
        <v>1160</v>
      </c>
    </row>
    <row r="908" ht="12.75" customHeight="1">
      <c r="A908" s="59" t="s">
        <v>176</v>
      </c>
      <c r="B908" s="60" t="s">
        <v>1161</v>
      </c>
    </row>
    <row r="909" ht="12.75" customHeight="1">
      <c r="A909" s="59" t="s">
        <v>176</v>
      </c>
      <c r="B909" s="60" t="s">
        <v>1162</v>
      </c>
    </row>
    <row r="910" ht="12.75" customHeight="1">
      <c r="A910" s="59" t="s">
        <v>176</v>
      </c>
      <c r="B910" s="60" t="s">
        <v>1163</v>
      </c>
    </row>
    <row r="911" ht="12.75" customHeight="1">
      <c r="A911" s="59" t="s">
        <v>176</v>
      </c>
      <c r="B911" s="60" t="s">
        <v>1164</v>
      </c>
    </row>
    <row r="912" ht="12.75" customHeight="1">
      <c r="A912" s="59" t="s">
        <v>176</v>
      </c>
      <c r="B912" s="60" t="s">
        <v>1165</v>
      </c>
    </row>
    <row r="913" ht="12.75" customHeight="1">
      <c r="A913" s="59" t="s">
        <v>176</v>
      </c>
      <c r="B913" s="60" t="s">
        <v>1166</v>
      </c>
    </row>
    <row r="914" ht="12.75" customHeight="1">
      <c r="A914" s="59" t="s">
        <v>176</v>
      </c>
      <c r="B914" s="60" t="s">
        <v>1167</v>
      </c>
    </row>
    <row r="915" ht="12.75" customHeight="1">
      <c r="A915" s="59" t="s">
        <v>176</v>
      </c>
      <c r="B915" s="60" t="s">
        <v>1168</v>
      </c>
    </row>
    <row r="916" ht="12.75" customHeight="1">
      <c r="A916" s="59" t="s">
        <v>176</v>
      </c>
      <c r="B916" s="60" t="s">
        <v>1169</v>
      </c>
    </row>
    <row r="917" ht="12.75" customHeight="1">
      <c r="A917" s="59" t="s">
        <v>176</v>
      </c>
      <c r="B917" s="60" t="s">
        <v>1170</v>
      </c>
    </row>
    <row r="918" ht="12.75" customHeight="1">
      <c r="A918" s="59" t="s">
        <v>176</v>
      </c>
      <c r="B918" s="60" t="s">
        <v>1171</v>
      </c>
    </row>
    <row r="919" ht="12.75" customHeight="1">
      <c r="A919" s="59" t="s">
        <v>176</v>
      </c>
      <c r="B919" s="60" t="s">
        <v>1172</v>
      </c>
    </row>
    <row r="920" ht="12.75" customHeight="1">
      <c r="A920" s="59" t="s">
        <v>176</v>
      </c>
      <c r="B920" s="60" t="s">
        <v>1173</v>
      </c>
    </row>
    <row r="921" ht="12.75" customHeight="1">
      <c r="A921" s="59" t="s">
        <v>176</v>
      </c>
      <c r="B921" s="60" t="s">
        <v>1174</v>
      </c>
    </row>
    <row r="922" ht="12.75" customHeight="1">
      <c r="A922" s="59" t="s">
        <v>176</v>
      </c>
      <c r="B922" s="60" t="s">
        <v>1175</v>
      </c>
    </row>
    <row r="923" ht="12.75" customHeight="1">
      <c r="A923" s="59" t="s">
        <v>176</v>
      </c>
      <c r="B923" s="60" t="s">
        <v>1176</v>
      </c>
    </row>
    <row r="924" ht="12.75" customHeight="1">
      <c r="A924" s="59" t="s">
        <v>176</v>
      </c>
      <c r="B924" s="60" t="s">
        <v>1177</v>
      </c>
    </row>
    <row r="925" ht="12.75" customHeight="1">
      <c r="A925" s="59" t="s">
        <v>176</v>
      </c>
      <c r="B925" s="60" t="s">
        <v>1178</v>
      </c>
    </row>
    <row r="926" ht="12.75" customHeight="1">
      <c r="A926" s="59" t="s">
        <v>176</v>
      </c>
      <c r="B926" s="60" t="s">
        <v>1179</v>
      </c>
    </row>
    <row r="927" ht="12.75" customHeight="1">
      <c r="A927" s="59" t="s">
        <v>176</v>
      </c>
      <c r="B927" s="60" t="s">
        <v>1180</v>
      </c>
    </row>
    <row r="928" ht="12.75" customHeight="1">
      <c r="A928" s="59" t="s">
        <v>176</v>
      </c>
      <c r="B928" s="60" t="s">
        <v>1181</v>
      </c>
    </row>
    <row r="929" ht="12.75" customHeight="1">
      <c r="A929" s="59" t="s">
        <v>176</v>
      </c>
      <c r="B929" s="60" t="s">
        <v>1182</v>
      </c>
    </row>
    <row r="930" ht="12.75" customHeight="1">
      <c r="A930" s="59" t="s">
        <v>176</v>
      </c>
      <c r="B930" s="60" t="s">
        <v>1183</v>
      </c>
    </row>
    <row r="931" ht="12.75" customHeight="1">
      <c r="A931" s="59" t="s">
        <v>176</v>
      </c>
      <c r="B931" s="60" t="s">
        <v>1184</v>
      </c>
    </row>
    <row r="932" ht="12.75" customHeight="1">
      <c r="A932" s="59" t="s">
        <v>176</v>
      </c>
      <c r="B932" s="60" t="s">
        <v>1185</v>
      </c>
    </row>
    <row r="933" ht="12.75" customHeight="1">
      <c r="A933" s="59" t="s">
        <v>176</v>
      </c>
      <c r="B933" s="60" t="s">
        <v>1186</v>
      </c>
    </row>
    <row r="934" ht="12.75" customHeight="1">
      <c r="A934" s="59" t="s">
        <v>176</v>
      </c>
      <c r="B934" s="60" t="s">
        <v>1187</v>
      </c>
    </row>
    <row r="935" ht="12.75" customHeight="1">
      <c r="A935" s="59" t="s">
        <v>176</v>
      </c>
      <c r="B935" s="60" t="s">
        <v>1188</v>
      </c>
    </row>
    <row r="936" ht="12.75" customHeight="1">
      <c r="A936" s="59" t="s">
        <v>176</v>
      </c>
      <c r="B936" s="60" t="s">
        <v>1189</v>
      </c>
    </row>
    <row r="937" ht="12.75" customHeight="1">
      <c r="A937" s="59" t="s">
        <v>176</v>
      </c>
      <c r="B937" s="60" t="s">
        <v>1190</v>
      </c>
    </row>
    <row r="938" ht="12.75" customHeight="1">
      <c r="A938" s="59" t="s">
        <v>176</v>
      </c>
      <c r="B938" s="60" t="s">
        <v>1191</v>
      </c>
    </row>
    <row r="939" ht="12.75" customHeight="1">
      <c r="A939" s="59" t="s">
        <v>176</v>
      </c>
      <c r="B939" s="60" t="s">
        <v>1192</v>
      </c>
    </row>
    <row r="940" ht="12.75" customHeight="1">
      <c r="A940" s="59" t="s">
        <v>202</v>
      </c>
      <c r="B940" s="60">
        <v>0.0</v>
      </c>
    </row>
    <row r="941" ht="12.75" customHeight="1">
      <c r="A941" s="59" t="s">
        <v>202</v>
      </c>
      <c r="B941" s="60">
        <v>0.0</v>
      </c>
    </row>
    <row r="942" ht="12.75" customHeight="1">
      <c r="A942" s="59" t="s">
        <v>202</v>
      </c>
      <c r="B942" s="60">
        <v>2.0</v>
      </c>
    </row>
    <row r="943" ht="12.75" customHeight="1">
      <c r="A943" s="59" t="s">
        <v>202</v>
      </c>
      <c r="B943" s="60">
        <v>4.0</v>
      </c>
    </row>
    <row r="944" ht="12.75" customHeight="1">
      <c r="A944" s="59" t="s">
        <v>202</v>
      </c>
      <c r="B944" s="60">
        <v>6.0</v>
      </c>
    </row>
    <row r="945" ht="12.75" customHeight="1">
      <c r="A945" s="59" t="s">
        <v>202</v>
      </c>
      <c r="B945" s="60">
        <v>8.0</v>
      </c>
    </row>
    <row r="946" ht="12.75" customHeight="1">
      <c r="A946" s="59" t="s">
        <v>202</v>
      </c>
      <c r="B946" s="60">
        <v>10.0</v>
      </c>
    </row>
    <row r="947" ht="12.75" customHeight="1">
      <c r="A947" s="59" t="s">
        <v>202</v>
      </c>
      <c r="B947" s="60">
        <v>12.0</v>
      </c>
    </row>
    <row r="948" ht="12.75" customHeight="1">
      <c r="A948" s="59" t="s">
        <v>202</v>
      </c>
      <c r="B948" s="60" t="s">
        <v>803</v>
      </c>
    </row>
    <row r="949" ht="12.75" customHeight="1">
      <c r="A949" s="59" t="s">
        <v>202</v>
      </c>
      <c r="B949" s="60" t="s">
        <v>804</v>
      </c>
    </row>
    <row r="950" ht="12.75" customHeight="1">
      <c r="A950" s="59" t="s">
        <v>202</v>
      </c>
      <c r="B950" s="60" t="s">
        <v>76</v>
      </c>
    </row>
    <row r="951" ht="12.75" customHeight="1">
      <c r="A951" s="59" t="s">
        <v>202</v>
      </c>
      <c r="B951" s="60" t="s">
        <v>80</v>
      </c>
    </row>
    <row r="952" ht="12.75" customHeight="1">
      <c r="A952" s="59" t="s">
        <v>202</v>
      </c>
      <c r="B952" s="60" t="s">
        <v>83</v>
      </c>
    </row>
    <row r="953" ht="12.75" customHeight="1">
      <c r="A953" s="59" t="s">
        <v>202</v>
      </c>
      <c r="B953" s="60" t="s">
        <v>85</v>
      </c>
    </row>
    <row r="954" ht="12.75" customHeight="1">
      <c r="A954" s="59" t="s">
        <v>202</v>
      </c>
      <c r="B954" s="60" t="s">
        <v>805</v>
      </c>
    </row>
    <row r="955" ht="12.75" customHeight="1">
      <c r="A955" s="59" t="s">
        <v>202</v>
      </c>
      <c r="B955" s="60" t="s">
        <v>806</v>
      </c>
    </row>
    <row r="956" ht="12.75" customHeight="1">
      <c r="A956" s="59" t="s">
        <v>202</v>
      </c>
      <c r="B956" s="60" t="s">
        <v>807</v>
      </c>
    </row>
    <row r="957" ht="12.75" customHeight="1">
      <c r="A957" s="59" t="s">
        <v>202</v>
      </c>
      <c r="B957" s="60" t="s">
        <v>753</v>
      </c>
    </row>
    <row r="958" ht="12.75" customHeight="1">
      <c r="A958" s="59" t="s">
        <v>202</v>
      </c>
      <c r="B958" s="60" t="s">
        <v>757</v>
      </c>
    </row>
    <row r="959" ht="12.75" customHeight="1">
      <c r="A959" s="59" t="s">
        <v>202</v>
      </c>
      <c r="B959" s="60" t="s">
        <v>761</v>
      </c>
    </row>
    <row r="960" ht="12.75" customHeight="1">
      <c r="A960" s="59" t="s">
        <v>202</v>
      </c>
      <c r="B960" s="60" t="s">
        <v>765</v>
      </c>
    </row>
    <row r="961" ht="12.75" customHeight="1">
      <c r="A961" s="59" t="s">
        <v>202</v>
      </c>
      <c r="B961" s="60" t="s">
        <v>808</v>
      </c>
    </row>
    <row r="962" ht="12.75" customHeight="1">
      <c r="A962" s="59" t="s">
        <v>202</v>
      </c>
      <c r="B962" s="60" t="s">
        <v>809</v>
      </c>
    </row>
    <row r="963" ht="12.75" customHeight="1">
      <c r="A963" s="59" t="s">
        <v>202</v>
      </c>
      <c r="B963" s="60" t="s">
        <v>810</v>
      </c>
    </row>
    <row r="964" ht="12.75" customHeight="1">
      <c r="A964" s="59" t="s">
        <v>202</v>
      </c>
      <c r="B964" s="60" t="s">
        <v>811</v>
      </c>
    </row>
    <row r="965" ht="12.75" customHeight="1">
      <c r="A965" s="59" t="s">
        <v>202</v>
      </c>
      <c r="B965" s="60" t="s">
        <v>812</v>
      </c>
    </row>
    <row r="966" ht="12.75" customHeight="1">
      <c r="A966" s="59" t="s">
        <v>202</v>
      </c>
      <c r="B966" s="60" t="s">
        <v>813</v>
      </c>
    </row>
    <row r="967" ht="12.75" customHeight="1">
      <c r="A967" s="59" t="s">
        <v>202</v>
      </c>
      <c r="B967" s="60" t="s">
        <v>814</v>
      </c>
    </row>
    <row r="968" ht="12.75" customHeight="1">
      <c r="A968" s="59" t="s">
        <v>202</v>
      </c>
      <c r="B968" s="60" t="s">
        <v>815</v>
      </c>
    </row>
    <row r="969" ht="12.75" customHeight="1">
      <c r="A969" s="59" t="s">
        <v>202</v>
      </c>
      <c r="B969" s="60" t="s">
        <v>816</v>
      </c>
    </row>
    <row r="970" ht="12.75" customHeight="1">
      <c r="A970" s="59" t="s">
        <v>202</v>
      </c>
      <c r="B970" s="60" t="s">
        <v>771</v>
      </c>
    </row>
    <row r="971" ht="12.75" customHeight="1">
      <c r="A971" s="59" t="s">
        <v>202</v>
      </c>
      <c r="B971" s="60" t="s">
        <v>775</v>
      </c>
    </row>
    <row r="972" ht="12.75" customHeight="1">
      <c r="A972" s="59" t="s">
        <v>202</v>
      </c>
      <c r="B972" s="60" t="s">
        <v>779</v>
      </c>
    </row>
    <row r="973" ht="12.75" customHeight="1">
      <c r="A973" s="59" t="s">
        <v>202</v>
      </c>
      <c r="B973" s="60" t="s">
        <v>783</v>
      </c>
    </row>
    <row r="974" ht="12.75" customHeight="1">
      <c r="A974" s="59" t="s">
        <v>202</v>
      </c>
      <c r="B974" s="60" t="s">
        <v>817</v>
      </c>
    </row>
    <row r="975" ht="12.75" customHeight="1">
      <c r="A975" s="59" t="s">
        <v>202</v>
      </c>
      <c r="B975" s="60" t="s">
        <v>818</v>
      </c>
    </row>
    <row r="976" ht="12.75" customHeight="1">
      <c r="A976" s="59" t="s">
        <v>202</v>
      </c>
      <c r="B976" s="60" t="s">
        <v>819</v>
      </c>
    </row>
    <row r="977" ht="12.75" customHeight="1">
      <c r="A977" s="59" t="s">
        <v>202</v>
      </c>
      <c r="B977" s="60" t="s">
        <v>820</v>
      </c>
    </row>
    <row r="978" ht="12.75" customHeight="1">
      <c r="A978" s="59" t="s">
        <v>202</v>
      </c>
      <c r="B978" s="60" t="s">
        <v>821</v>
      </c>
    </row>
    <row r="979" ht="12.75" customHeight="1">
      <c r="A979" s="59" t="s">
        <v>202</v>
      </c>
      <c r="B979" s="60" t="s">
        <v>822</v>
      </c>
    </row>
    <row r="980" ht="12.75" customHeight="1">
      <c r="A980" s="59" t="s">
        <v>202</v>
      </c>
      <c r="B980" s="60" t="s">
        <v>823</v>
      </c>
    </row>
    <row r="981" ht="12.75" customHeight="1">
      <c r="A981" s="59" t="s">
        <v>202</v>
      </c>
      <c r="B981" s="60" t="s">
        <v>824</v>
      </c>
    </row>
    <row r="982" ht="12.75" customHeight="1">
      <c r="A982" s="59" t="s">
        <v>202</v>
      </c>
      <c r="B982" s="60" t="s">
        <v>825</v>
      </c>
    </row>
    <row r="983" ht="12.75" customHeight="1">
      <c r="A983" s="59" t="s">
        <v>202</v>
      </c>
      <c r="B983" s="60" t="s">
        <v>788</v>
      </c>
    </row>
    <row r="984" ht="12.75" customHeight="1">
      <c r="A984" s="59" t="s">
        <v>202</v>
      </c>
      <c r="B984" s="60" t="s">
        <v>792</v>
      </c>
    </row>
    <row r="985" ht="12.75" customHeight="1">
      <c r="A985" s="59" t="s">
        <v>202</v>
      </c>
      <c r="B985" s="60" t="s">
        <v>796</v>
      </c>
    </row>
    <row r="986" ht="12.75" customHeight="1">
      <c r="A986" s="59" t="s">
        <v>202</v>
      </c>
      <c r="B986" s="60" t="s">
        <v>800</v>
      </c>
    </row>
    <row r="987" ht="12.75" customHeight="1">
      <c r="A987" s="59" t="s">
        <v>202</v>
      </c>
      <c r="B987" s="60" t="s">
        <v>826</v>
      </c>
    </row>
    <row r="988" ht="12.75" customHeight="1">
      <c r="A988" s="59" t="s">
        <v>202</v>
      </c>
      <c r="B988" s="60" t="s">
        <v>827</v>
      </c>
    </row>
    <row r="989" ht="12.75" customHeight="1">
      <c r="A989" s="59" t="s">
        <v>202</v>
      </c>
      <c r="B989" s="60" t="s">
        <v>828</v>
      </c>
    </row>
    <row r="990" ht="12.75" customHeight="1">
      <c r="A990" s="59" t="s">
        <v>202</v>
      </c>
      <c r="B990" s="60" t="s">
        <v>829</v>
      </c>
    </row>
    <row r="991" ht="12.75" customHeight="1">
      <c r="A991" s="59" t="s">
        <v>202</v>
      </c>
      <c r="B991" s="60" t="s">
        <v>830</v>
      </c>
    </row>
    <row r="992" ht="12.75" customHeight="1">
      <c r="A992" s="59" t="s">
        <v>202</v>
      </c>
      <c r="B992" s="60" t="s">
        <v>831</v>
      </c>
    </row>
    <row r="993" ht="12.75" customHeight="1">
      <c r="A993" s="59" t="s">
        <v>202</v>
      </c>
      <c r="B993" s="60" t="s">
        <v>832</v>
      </c>
    </row>
    <row r="994" ht="12.75" customHeight="1">
      <c r="A994" s="59" t="s">
        <v>202</v>
      </c>
      <c r="B994" s="60" t="s">
        <v>833</v>
      </c>
    </row>
    <row r="995" ht="12.75" customHeight="1">
      <c r="A995" s="59" t="s">
        <v>202</v>
      </c>
      <c r="B995" s="60" t="s">
        <v>834</v>
      </c>
    </row>
    <row r="996" ht="12.75" customHeight="1">
      <c r="A996" s="59" t="s">
        <v>202</v>
      </c>
      <c r="B996" s="60">
        <v>14.0</v>
      </c>
    </row>
    <row r="997" ht="12.75" customHeight="1">
      <c r="A997" s="59" t="s">
        <v>202</v>
      </c>
      <c r="B997" s="60" t="s">
        <v>835</v>
      </c>
    </row>
    <row r="998" ht="12.75" customHeight="1">
      <c r="A998" s="59" t="s">
        <v>202</v>
      </c>
      <c r="B998" s="60">
        <v>16.0</v>
      </c>
    </row>
    <row r="999" ht="12.75" customHeight="1">
      <c r="A999" s="59" t="s">
        <v>202</v>
      </c>
      <c r="B999" s="60" t="s">
        <v>836</v>
      </c>
    </row>
    <row r="1000" ht="12.75" customHeight="1">
      <c r="A1000" s="59" t="s">
        <v>202</v>
      </c>
      <c r="B1000" s="60">
        <v>18.0</v>
      </c>
    </row>
    <row r="1001" ht="12.75" customHeight="1">
      <c r="A1001" s="59" t="s">
        <v>202</v>
      </c>
      <c r="B1001" s="60" t="s">
        <v>837</v>
      </c>
    </row>
    <row r="1002" ht="12.75" customHeight="1">
      <c r="A1002" s="59" t="s">
        <v>202</v>
      </c>
      <c r="B1002" s="60">
        <v>20.0</v>
      </c>
    </row>
    <row r="1003" ht="12.75" customHeight="1">
      <c r="A1003" s="59" t="s">
        <v>202</v>
      </c>
      <c r="B1003" s="60" t="s">
        <v>838</v>
      </c>
    </row>
    <row r="1004" ht="12.75" customHeight="1">
      <c r="A1004" s="59" t="s">
        <v>202</v>
      </c>
      <c r="B1004" s="60">
        <v>22.0</v>
      </c>
    </row>
    <row r="1005" ht="12.75" customHeight="1">
      <c r="A1005" s="59" t="s">
        <v>202</v>
      </c>
      <c r="B1005" s="60" t="s">
        <v>839</v>
      </c>
    </row>
    <row r="1006" ht="12.75" customHeight="1">
      <c r="A1006" s="59" t="s">
        <v>202</v>
      </c>
      <c r="B1006" s="60">
        <v>24.0</v>
      </c>
    </row>
    <row r="1007" ht="12.75" customHeight="1">
      <c r="A1007" s="59" t="s">
        <v>202</v>
      </c>
      <c r="B1007" s="60" t="s">
        <v>840</v>
      </c>
    </row>
    <row r="1008" ht="12.75" customHeight="1">
      <c r="A1008" s="59" t="s">
        <v>202</v>
      </c>
      <c r="B1008" s="60">
        <v>26.0</v>
      </c>
    </row>
    <row r="1009" ht="12.75" customHeight="1">
      <c r="A1009" s="59" t="s">
        <v>202</v>
      </c>
      <c r="B1009" s="60" t="s">
        <v>841</v>
      </c>
    </row>
    <row r="1010" ht="12.75" customHeight="1">
      <c r="A1010" s="59" t="s">
        <v>202</v>
      </c>
      <c r="B1010" s="60">
        <v>28.0</v>
      </c>
    </row>
    <row r="1011" ht="12.75" customHeight="1">
      <c r="A1011" s="59" t="s">
        <v>202</v>
      </c>
      <c r="B1011" s="60" t="s">
        <v>842</v>
      </c>
    </row>
    <row r="1012" ht="12.75" customHeight="1">
      <c r="A1012" s="59" t="s">
        <v>202</v>
      </c>
      <c r="B1012" s="60">
        <v>30.0</v>
      </c>
    </row>
    <row r="1013" ht="12.75" customHeight="1">
      <c r="A1013" s="59" t="s">
        <v>202</v>
      </c>
      <c r="B1013" s="60" t="s">
        <v>843</v>
      </c>
    </row>
    <row r="1014" ht="12.75" customHeight="1">
      <c r="A1014" s="59" t="s">
        <v>202</v>
      </c>
      <c r="B1014" s="60">
        <v>32.0</v>
      </c>
    </row>
    <row r="1015" ht="12.75" customHeight="1">
      <c r="A1015" s="59" t="s">
        <v>202</v>
      </c>
      <c r="B1015" s="60" t="s">
        <v>844</v>
      </c>
    </row>
    <row r="1016" ht="12.75" customHeight="1">
      <c r="A1016" s="59" t="s">
        <v>202</v>
      </c>
      <c r="B1016" s="60" t="s">
        <v>845</v>
      </c>
    </row>
    <row r="1017" ht="12.75" customHeight="1">
      <c r="A1017" s="59" t="s">
        <v>202</v>
      </c>
      <c r="B1017" s="60" t="s">
        <v>846</v>
      </c>
    </row>
    <row r="1018" ht="12.75" customHeight="1">
      <c r="A1018" s="59" t="s">
        <v>202</v>
      </c>
      <c r="B1018" s="60" t="s">
        <v>847</v>
      </c>
    </row>
    <row r="1019" ht="12.75" customHeight="1">
      <c r="A1019" s="59" t="s">
        <v>202</v>
      </c>
      <c r="B1019" s="60" t="s">
        <v>848</v>
      </c>
    </row>
    <row r="1020" ht="12.75" customHeight="1">
      <c r="A1020" s="59" t="s">
        <v>202</v>
      </c>
      <c r="B1020" s="60" t="s">
        <v>849</v>
      </c>
    </row>
    <row r="1021" ht="12.75" customHeight="1">
      <c r="A1021" s="59" t="s">
        <v>202</v>
      </c>
      <c r="B1021" s="60" t="s">
        <v>850</v>
      </c>
    </row>
    <row r="1022" ht="12.75" customHeight="1">
      <c r="A1022" s="59" t="s">
        <v>202</v>
      </c>
      <c r="B1022" s="60" t="s">
        <v>851</v>
      </c>
    </row>
    <row r="1023" ht="12.75" customHeight="1">
      <c r="A1023" s="59" t="s">
        <v>202</v>
      </c>
      <c r="B1023" s="60" t="s">
        <v>852</v>
      </c>
    </row>
    <row r="1024" ht="12.75" customHeight="1">
      <c r="A1024" s="59" t="s">
        <v>202</v>
      </c>
      <c r="B1024" s="60" t="s">
        <v>853</v>
      </c>
    </row>
    <row r="1025" ht="12.75" customHeight="1">
      <c r="A1025" s="59" t="s">
        <v>202</v>
      </c>
      <c r="B1025" s="60" t="s">
        <v>854</v>
      </c>
    </row>
    <row r="1026" ht="12.75" customHeight="1">
      <c r="A1026" s="59" t="s">
        <v>202</v>
      </c>
      <c r="B1026" s="60" t="s">
        <v>855</v>
      </c>
    </row>
    <row r="1027" ht="12.75" customHeight="1">
      <c r="A1027" s="59" t="s">
        <v>202</v>
      </c>
      <c r="B1027" s="60" t="s">
        <v>856</v>
      </c>
    </row>
    <row r="1028" ht="12.75" customHeight="1">
      <c r="A1028" s="59" t="s">
        <v>202</v>
      </c>
      <c r="B1028" s="60" t="s">
        <v>857</v>
      </c>
    </row>
    <row r="1029" ht="12.75" customHeight="1">
      <c r="A1029" s="59" t="s">
        <v>202</v>
      </c>
      <c r="B1029" s="60" t="s">
        <v>858</v>
      </c>
    </row>
    <row r="1030" ht="12.75" customHeight="1">
      <c r="A1030" s="59" t="s">
        <v>202</v>
      </c>
      <c r="B1030" s="60" t="s">
        <v>859</v>
      </c>
    </row>
    <row r="1031" ht="12.75" customHeight="1">
      <c r="A1031" s="59" t="s">
        <v>202</v>
      </c>
      <c r="B1031" s="60" t="s">
        <v>860</v>
      </c>
    </row>
    <row r="1032" ht="12.75" customHeight="1">
      <c r="A1032" s="59" t="s">
        <v>202</v>
      </c>
      <c r="B1032" s="60" t="s">
        <v>861</v>
      </c>
    </row>
    <row r="1033" ht="12.75" customHeight="1">
      <c r="A1033" s="59" t="s">
        <v>202</v>
      </c>
      <c r="B1033" s="60" t="s">
        <v>862</v>
      </c>
    </row>
    <row r="1034" ht="12.75" customHeight="1">
      <c r="A1034" s="59" t="s">
        <v>202</v>
      </c>
      <c r="B1034" s="60" t="s">
        <v>863</v>
      </c>
    </row>
    <row r="1035" ht="12.75" customHeight="1">
      <c r="A1035" s="59" t="s">
        <v>202</v>
      </c>
      <c r="B1035" s="60" t="s">
        <v>864</v>
      </c>
    </row>
    <row r="1036" ht="12.75" customHeight="1">
      <c r="A1036" s="59" t="s">
        <v>202</v>
      </c>
      <c r="B1036" s="60" t="s">
        <v>865</v>
      </c>
    </row>
    <row r="1037" ht="12.75" customHeight="1">
      <c r="A1037" s="59" t="s">
        <v>202</v>
      </c>
      <c r="B1037" s="60" t="s">
        <v>866</v>
      </c>
    </row>
    <row r="1038" ht="12.75" customHeight="1">
      <c r="A1038" s="59" t="s">
        <v>202</v>
      </c>
      <c r="B1038" s="60" t="s">
        <v>867</v>
      </c>
    </row>
    <row r="1039" ht="12.75" customHeight="1">
      <c r="A1039" s="59" t="s">
        <v>202</v>
      </c>
      <c r="B1039" s="60" t="s">
        <v>868</v>
      </c>
    </row>
    <row r="1040" ht="12.75" customHeight="1">
      <c r="A1040" s="59" t="s">
        <v>202</v>
      </c>
      <c r="B1040" s="60" t="s">
        <v>869</v>
      </c>
    </row>
    <row r="1041" ht="12.75" customHeight="1">
      <c r="A1041" s="59" t="s">
        <v>202</v>
      </c>
      <c r="B1041" s="60" t="s">
        <v>870</v>
      </c>
    </row>
    <row r="1042" ht="12.75" customHeight="1">
      <c r="A1042" s="59" t="s">
        <v>202</v>
      </c>
      <c r="B1042" s="60" t="s">
        <v>871</v>
      </c>
    </row>
    <row r="1043" ht="12.75" customHeight="1">
      <c r="A1043" s="59" t="s">
        <v>202</v>
      </c>
      <c r="B1043" s="60" t="s">
        <v>872</v>
      </c>
    </row>
    <row r="1044" ht="12.75" customHeight="1">
      <c r="A1044" s="59" t="s">
        <v>202</v>
      </c>
      <c r="B1044" s="60" t="s">
        <v>873</v>
      </c>
    </row>
    <row r="1045" ht="12.75" customHeight="1">
      <c r="A1045" s="59" t="s">
        <v>202</v>
      </c>
      <c r="B1045" s="60" t="s">
        <v>874</v>
      </c>
    </row>
    <row r="1046" ht="12.75" customHeight="1">
      <c r="A1046" s="59" t="s">
        <v>202</v>
      </c>
      <c r="B1046" s="60" t="s">
        <v>875</v>
      </c>
    </row>
    <row r="1047" ht="12.75" customHeight="1">
      <c r="A1047" s="59" t="s">
        <v>202</v>
      </c>
      <c r="B1047" s="60" t="s">
        <v>876</v>
      </c>
    </row>
    <row r="1048" ht="12.75" customHeight="1">
      <c r="A1048" s="59" t="s">
        <v>202</v>
      </c>
      <c r="B1048" s="60" t="s">
        <v>877</v>
      </c>
    </row>
    <row r="1049" ht="12.75" customHeight="1">
      <c r="A1049" s="59" t="s">
        <v>202</v>
      </c>
      <c r="B1049" s="60" t="s">
        <v>878</v>
      </c>
    </row>
    <row r="1050" ht="12.75" customHeight="1">
      <c r="A1050" s="59" t="s">
        <v>202</v>
      </c>
      <c r="B1050" s="60" t="s">
        <v>879</v>
      </c>
    </row>
    <row r="1051" ht="12.75" customHeight="1">
      <c r="A1051" s="59" t="s">
        <v>202</v>
      </c>
      <c r="B1051" s="60" t="s">
        <v>880</v>
      </c>
    </row>
    <row r="1052" ht="12.75" customHeight="1">
      <c r="A1052" s="59" t="s">
        <v>202</v>
      </c>
      <c r="B1052" s="60" t="s">
        <v>881</v>
      </c>
    </row>
    <row r="1053" ht="12.75" customHeight="1">
      <c r="A1053" s="59" t="s">
        <v>202</v>
      </c>
      <c r="B1053" s="60" t="s">
        <v>882</v>
      </c>
    </row>
    <row r="1054" ht="12.75" customHeight="1">
      <c r="A1054" s="59" t="s">
        <v>202</v>
      </c>
      <c r="B1054" s="60" t="s">
        <v>883</v>
      </c>
    </row>
    <row r="1055" ht="12.75" customHeight="1">
      <c r="A1055" s="59" t="s">
        <v>202</v>
      </c>
      <c r="B1055" s="60" t="s">
        <v>884</v>
      </c>
    </row>
    <row r="1056" ht="12.75" customHeight="1">
      <c r="A1056" s="59" t="s">
        <v>202</v>
      </c>
      <c r="B1056" s="60" t="s">
        <v>885</v>
      </c>
    </row>
    <row r="1057" ht="12.75" customHeight="1">
      <c r="A1057" s="59" t="s">
        <v>202</v>
      </c>
      <c r="B1057" s="60" t="s">
        <v>886</v>
      </c>
    </row>
    <row r="1058" ht="12.75" customHeight="1">
      <c r="A1058" s="59" t="s">
        <v>202</v>
      </c>
      <c r="B1058" s="60" t="s">
        <v>887</v>
      </c>
    </row>
    <row r="1059" ht="12.75" customHeight="1">
      <c r="A1059" s="59" t="s">
        <v>202</v>
      </c>
      <c r="B1059" s="60" t="s">
        <v>888</v>
      </c>
    </row>
    <row r="1060" ht="12.75" customHeight="1">
      <c r="A1060" s="59" t="s">
        <v>202</v>
      </c>
      <c r="B1060" s="60" t="s">
        <v>889</v>
      </c>
    </row>
    <row r="1061" ht="12.75" customHeight="1">
      <c r="A1061" s="59" t="s">
        <v>202</v>
      </c>
      <c r="B1061" s="60" t="s">
        <v>890</v>
      </c>
    </row>
    <row r="1062" ht="12.75" customHeight="1">
      <c r="A1062" s="59" t="s">
        <v>202</v>
      </c>
      <c r="B1062" s="60" t="s">
        <v>891</v>
      </c>
    </row>
    <row r="1063" ht="12.75" customHeight="1">
      <c r="A1063" s="59" t="s">
        <v>202</v>
      </c>
      <c r="B1063" s="60" t="s">
        <v>892</v>
      </c>
    </row>
    <row r="1064" ht="12.75" customHeight="1">
      <c r="A1064" s="59" t="s">
        <v>202</v>
      </c>
      <c r="B1064" s="60" t="s">
        <v>893</v>
      </c>
    </row>
    <row r="1065" ht="12.75" customHeight="1">
      <c r="A1065" s="59" t="s">
        <v>202</v>
      </c>
      <c r="B1065" s="60" t="s">
        <v>894</v>
      </c>
    </row>
    <row r="1066" ht="12.75" customHeight="1">
      <c r="A1066" s="59" t="s">
        <v>202</v>
      </c>
      <c r="B1066" s="60" t="s">
        <v>895</v>
      </c>
    </row>
    <row r="1067" ht="12.75" customHeight="1">
      <c r="A1067" s="59" t="s">
        <v>202</v>
      </c>
      <c r="B1067" s="60" t="s">
        <v>896</v>
      </c>
    </row>
    <row r="1068" ht="12.75" customHeight="1">
      <c r="A1068" s="59" t="s">
        <v>202</v>
      </c>
      <c r="B1068" s="60" t="s">
        <v>897</v>
      </c>
    </row>
    <row r="1069" ht="12.75" customHeight="1">
      <c r="A1069" s="59" t="s">
        <v>202</v>
      </c>
      <c r="B1069" s="60" t="s">
        <v>898</v>
      </c>
    </row>
    <row r="1070" ht="12.75" customHeight="1">
      <c r="A1070" s="59" t="s">
        <v>202</v>
      </c>
      <c r="B1070" s="60" t="s">
        <v>899</v>
      </c>
    </row>
    <row r="1071" ht="12.75" customHeight="1">
      <c r="A1071" s="59" t="s">
        <v>202</v>
      </c>
      <c r="B1071" s="60" t="s">
        <v>900</v>
      </c>
    </row>
    <row r="1072" ht="12.75" customHeight="1">
      <c r="A1072" s="59" t="s">
        <v>202</v>
      </c>
      <c r="B1072" s="60" t="s">
        <v>901</v>
      </c>
    </row>
    <row r="1073" ht="12.75" customHeight="1">
      <c r="A1073" s="59" t="s">
        <v>202</v>
      </c>
      <c r="B1073" s="60" t="s">
        <v>902</v>
      </c>
    </row>
    <row r="1074" ht="12.75" customHeight="1">
      <c r="A1074" s="59" t="s">
        <v>202</v>
      </c>
      <c r="B1074" s="60" t="s">
        <v>903</v>
      </c>
    </row>
    <row r="1075" ht="12.75" customHeight="1">
      <c r="A1075" s="59" t="s">
        <v>202</v>
      </c>
      <c r="B1075" s="60" t="s">
        <v>904</v>
      </c>
    </row>
    <row r="1076" ht="12.75" customHeight="1">
      <c r="A1076" s="59" t="s">
        <v>202</v>
      </c>
      <c r="B1076" s="60" t="s">
        <v>905</v>
      </c>
    </row>
    <row r="1077" ht="12.75" customHeight="1">
      <c r="A1077" s="59" t="s">
        <v>202</v>
      </c>
      <c r="B1077" s="60" t="s">
        <v>906</v>
      </c>
    </row>
    <row r="1078" ht="12.75" customHeight="1">
      <c r="A1078" s="59" t="s">
        <v>202</v>
      </c>
      <c r="B1078" s="60" t="s">
        <v>907</v>
      </c>
    </row>
    <row r="1079" ht="12.75" customHeight="1">
      <c r="A1079" s="59" t="s">
        <v>202</v>
      </c>
      <c r="B1079" s="60" t="s">
        <v>908</v>
      </c>
    </row>
    <row r="1080" ht="12.75" customHeight="1">
      <c r="A1080" s="59" t="s">
        <v>202</v>
      </c>
      <c r="B1080" s="60" t="s">
        <v>909</v>
      </c>
    </row>
    <row r="1081" ht="12.75" customHeight="1">
      <c r="A1081" s="59" t="s">
        <v>202</v>
      </c>
      <c r="B1081" s="60" t="s">
        <v>910</v>
      </c>
    </row>
    <row r="1082" ht="12.75" customHeight="1">
      <c r="A1082" s="59" t="s">
        <v>202</v>
      </c>
      <c r="B1082" s="60" t="s">
        <v>911</v>
      </c>
    </row>
    <row r="1083" ht="12.75" customHeight="1">
      <c r="A1083" s="59" t="s">
        <v>202</v>
      </c>
      <c r="B1083" s="60" t="s">
        <v>912</v>
      </c>
    </row>
    <row r="1084" ht="12.75" customHeight="1">
      <c r="A1084" s="59" t="s">
        <v>202</v>
      </c>
      <c r="B1084" s="60" t="s">
        <v>913</v>
      </c>
    </row>
    <row r="1085" ht="12.75" customHeight="1">
      <c r="A1085" s="59" t="s">
        <v>202</v>
      </c>
      <c r="B1085" s="60" t="s">
        <v>914</v>
      </c>
    </row>
    <row r="1086" ht="12.75" customHeight="1">
      <c r="A1086" s="59" t="s">
        <v>202</v>
      </c>
      <c r="B1086" s="60" t="s">
        <v>915</v>
      </c>
    </row>
    <row r="1087" ht="12.75" customHeight="1">
      <c r="A1087" s="59" t="s">
        <v>202</v>
      </c>
      <c r="B1087" s="60" t="s">
        <v>916</v>
      </c>
    </row>
    <row r="1088" ht="12.75" customHeight="1">
      <c r="A1088" s="59" t="s">
        <v>202</v>
      </c>
      <c r="B1088" s="60" t="s">
        <v>917</v>
      </c>
    </row>
    <row r="1089" ht="12.75" customHeight="1">
      <c r="A1089" s="59" t="s">
        <v>202</v>
      </c>
      <c r="B1089" s="60" t="s">
        <v>918</v>
      </c>
    </row>
    <row r="1090" ht="12.75" customHeight="1">
      <c r="A1090" s="59" t="s">
        <v>202</v>
      </c>
      <c r="B1090" s="60" t="s">
        <v>919</v>
      </c>
    </row>
    <row r="1091" ht="12.75" customHeight="1">
      <c r="A1091" s="59" t="s">
        <v>202</v>
      </c>
      <c r="B1091" s="60" t="s">
        <v>920</v>
      </c>
    </row>
    <row r="1092" ht="12.75" customHeight="1">
      <c r="A1092" s="59" t="s">
        <v>202</v>
      </c>
      <c r="B1092" s="60" t="s">
        <v>921</v>
      </c>
    </row>
    <row r="1093" ht="12.75" customHeight="1">
      <c r="A1093" s="59" t="s">
        <v>202</v>
      </c>
      <c r="B1093" s="60" t="s">
        <v>922</v>
      </c>
    </row>
    <row r="1094" ht="12.75" customHeight="1">
      <c r="A1094" s="59" t="s">
        <v>202</v>
      </c>
      <c r="B1094" s="60" t="s">
        <v>923</v>
      </c>
    </row>
    <row r="1095" ht="12.75" customHeight="1">
      <c r="A1095" s="59" t="s">
        <v>202</v>
      </c>
      <c r="B1095" s="60" t="s">
        <v>924</v>
      </c>
    </row>
    <row r="1096" ht="12.75" customHeight="1">
      <c r="A1096" s="59" t="s">
        <v>202</v>
      </c>
      <c r="B1096" s="60" t="s">
        <v>925</v>
      </c>
    </row>
    <row r="1097" ht="12.75" customHeight="1">
      <c r="A1097" s="59" t="s">
        <v>202</v>
      </c>
      <c r="B1097" s="60" t="s">
        <v>926</v>
      </c>
    </row>
    <row r="1098" ht="12.75" customHeight="1">
      <c r="A1098" s="59" t="s">
        <v>202</v>
      </c>
      <c r="B1098" s="60" t="s">
        <v>927</v>
      </c>
    </row>
    <row r="1099" ht="12.75" customHeight="1">
      <c r="A1099" s="59" t="s">
        <v>202</v>
      </c>
      <c r="B1099" s="60" t="s">
        <v>928</v>
      </c>
    </row>
    <row r="1100" ht="12.75" customHeight="1">
      <c r="A1100" s="59" t="s">
        <v>202</v>
      </c>
      <c r="B1100" s="60" t="s">
        <v>929</v>
      </c>
    </row>
    <row r="1101" ht="12.75" customHeight="1">
      <c r="A1101" s="59" t="s">
        <v>202</v>
      </c>
      <c r="B1101" s="60" t="s">
        <v>930</v>
      </c>
    </row>
    <row r="1102" ht="12.75" customHeight="1">
      <c r="A1102" s="59" t="s">
        <v>202</v>
      </c>
      <c r="B1102" s="60" t="s">
        <v>931</v>
      </c>
    </row>
    <row r="1103" ht="12.75" customHeight="1">
      <c r="A1103" s="59" t="s">
        <v>202</v>
      </c>
      <c r="B1103" s="60" t="s">
        <v>932</v>
      </c>
    </row>
    <row r="1104" ht="12.75" customHeight="1">
      <c r="A1104" s="59" t="s">
        <v>202</v>
      </c>
      <c r="B1104" s="60" t="s">
        <v>933</v>
      </c>
    </row>
    <row r="1105" ht="12.75" customHeight="1">
      <c r="A1105" s="59" t="s">
        <v>202</v>
      </c>
      <c r="B1105" s="60" t="s">
        <v>934</v>
      </c>
    </row>
    <row r="1106" ht="12.75" customHeight="1">
      <c r="A1106" s="59" t="s">
        <v>202</v>
      </c>
      <c r="B1106" s="60" t="s">
        <v>935</v>
      </c>
    </row>
    <row r="1107" ht="12.75" customHeight="1">
      <c r="A1107" s="59" t="s">
        <v>202</v>
      </c>
      <c r="B1107" s="60" t="s">
        <v>936</v>
      </c>
    </row>
    <row r="1108" ht="12.75" customHeight="1">
      <c r="A1108" s="59" t="s">
        <v>202</v>
      </c>
      <c r="B1108" s="60" t="s">
        <v>937</v>
      </c>
    </row>
    <row r="1109" ht="12.75" customHeight="1">
      <c r="A1109" s="59" t="s">
        <v>202</v>
      </c>
      <c r="B1109" s="60" t="s">
        <v>938</v>
      </c>
    </row>
    <row r="1110" ht="12.75" customHeight="1">
      <c r="A1110" s="59" t="s">
        <v>202</v>
      </c>
      <c r="B1110" s="60" t="s">
        <v>939</v>
      </c>
    </row>
    <row r="1111" ht="12.75" customHeight="1">
      <c r="A1111" s="59" t="s">
        <v>202</v>
      </c>
      <c r="B1111" s="60" t="s">
        <v>940</v>
      </c>
    </row>
    <row r="1112" ht="12.75" customHeight="1">
      <c r="A1112" s="59" t="s">
        <v>202</v>
      </c>
      <c r="B1112" s="60" t="s">
        <v>941</v>
      </c>
    </row>
    <row r="1113" ht="12.75" customHeight="1">
      <c r="A1113" s="59" t="s">
        <v>202</v>
      </c>
      <c r="B1113" s="60" t="s">
        <v>942</v>
      </c>
    </row>
    <row r="1114" ht="12.75" customHeight="1">
      <c r="A1114" s="59" t="s">
        <v>202</v>
      </c>
      <c r="B1114" s="60" t="s">
        <v>943</v>
      </c>
    </row>
    <row r="1115" ht="12.75" customHeight="1">
      <c r="A1115" s="59" t="s">
        <v>202</v>
      </c>
      <c r="B1115" s="60" t="s">
        <v>944</v>
      </c>
    </row>
    <row r="1116" ht="12.75" customHeight="1">
      <c r="A1116" s="59" t="s">
        <v>202</v>
      </c>
      <c r="B1116" s="60" t="s">
        <v>945</v>
      </c>
    </row>
    <row r="1117" ht="12.75" customHeight="1">
      <c r="A1117" s="59" t="s">
        <v>202</v>
      </c>
      <c r="B1117" s="60" t="s">
        <v>946</v>
      </c>
    </row>
    <row r="1118" ht="12.75" customHeight="1">
      <c r="A1118" s="59" t="s">
        <v>202</v>
      </c>
      <c r="B1118" s="60" t="s">
        <v>947</v>
      </c>
    </row>
    <row r="1119" ht="12.75" customHeight="1">
      <c r="A1119" s="59" t="s">
        <v>202</v>
      </c>
      <c r="B1119" s="60" t="s">
        <v>948</v>
      </c>
    </row>
    <row r="1120" ht="12.75" customHeight="1">
      <c r="A1120" s="59" t="s">
        <v>202</v>
      </c>
      <c r="B1120" s="60" t="s">
        <v>949</v>
      </c>
    </row>
    <row r="1121" ht="12.75" customHeight="1">
      <c r="A1121" s="59" t="s">
        <v>202</v>
      </c>
      <c r="B1121" s="60" t="s">
        <v>950</v>
      </c>
    </row>
    <row r="1122" ht="12.75" customHeight="1">
      <c r="A1122" s="59" t="s">
        <v>202</v>
      </c>
      <c r="B1122" s="60" t="s">
        <v>951</v>
      </c>
    </row>
    <row r="1123" ht="12.75" customHeight="1">
      <c r="A1123" s="59" t="s">
        <v>202</v>
      </c>
      <c r="B1123" s="60" t="s">
        <v>952</v>
      </c>
    </row>
    <row r="1124" ht="12.75" customHeight="1">
      <c r="A1124" s="59" t="s">
        <v>202</v>
      </c>
      <c r="B1124" s="60" t="s">
        <v>953</v>
      </c>
    </row>
    <row r="1125" ht="12.75" customHeight="1">
      <c r="A1125" s="59" t="s">
        <v>202</v>
      </c>
      <c r="B1125" s="60" t="s">
        <v>954</v>
      </c>
    </row>
    <row r="1126" ht="12.75" customHeight="1">
      <c r="A1126" s="59" t="s">
        <v>202</v>
      </c>
      <c r="B1126" s="60" t="s">
        <v>955</v>
      </c>
    </row>
    <row r="1127" ht="12.75" customHeight="1">
      <c r="A1127" s="59" t="s">
        <v>202</v>
      </c>
      <c r="B1127" s="60" t="s">
        <v>956</v>
      </c>
    </row>
    <row r="1128" ht="12.75" customHeight="1">
      <c r="A1128" s="59" t="s">
        <v>202</v>
      </c>
      <c r="B1128" s="60" t="s">
        <v>957</v>
      </c>
    </row>
    <row r="1129" ht="12.75" customHeight="1">
      <c r="A1129" s="59" t="s">
        <v>202</v>
      </c>
      <c r="B1129" s="60" t="s">
        <v>958</v>
      </c>
    </row>
    <row r="1130" ht="12.75" customHeight="1">
      <c r="A1130" s="59" t="s">
        <v>202</v>
      </c>
      <c r="B1130" s="60" t="s">
        <v>959</v>
      </c>
    </row>
    <row r="1131" ht="12.75" customHeight="1">
      <c r="A1131" s="59" t="s">
        <v>202</v>
      </c>
      <c r="B1131" s="60" t="s">
        <v>960</v>
      </c>
    </row>
    <row r="1132" ht="12.75" customHeight="1">
      <c r="A1132" s="59" t="s">
        <v>202</v>
      </c>
      <c r="B1132" s="60" t="s">
        <v>961</v>
      </c>
    </row>
    <row r="1133" ht="12.75" customHeight="1">
      <c r="A1133" s="59" t="s">
        <v>202</v>
      </c>
      <c r="B1133" s="60" t="s">
        <v>962</v>
      </c>
    </row>
    <row r="1134" ht="12.75" customHeight="1">
      <c r="A1134" s="59" t="s">
        <v>202</v>
      </c>
      <c r="B1134" s="60" t="s">
        <v>963</v>
      </c>
    </row>
    <row r="1135" ht="12.75" customHeight="1">
      <c r="A1135" s="59" t="s">
        <v>202</v>
      </c>
      <c r="B1135" s="60" t="s">
        <v>964</v>
      </c>
    </row>
    <row r="1136" ht="12.75" customHeight="1">
      <c r="A1136" s="59" t="s">
        <v>202</v>
      </c>
      <c r="B1136" s="60" t="s">
        <v>965</v>
      </c>
    </row>
    <row r="1137" ht="12.75" customHeight="1">
      <c r="A1137" s="59" t="s">
        <v>202</v>
      </c>
      <c r="B1137" s="60" t="s">
        <v>966</v>
      </c>
    </row>
    <row r="1138" ht="12.75" customHeight="1">
      <c r="A1138" s="59" t="s">
        <v>202</v>
      </c>
      <c r="B1138" s="60" t="s">
        <v>967</v>
      </c>
    </row>
    <row r="1139" ht="12.75" customHeight="1">
      <c r="A1139" s="59" t="s">
        <v>202</v>
      </c>
      <c r="B1139" s="60" t="s">
        <v>968</v>
      </c>
    </row>
    <row r="1140" ht="12.75" customHeight="1">
      <c r="A1140" s="59" t="s">
        <v>202</v>
      </c>
      <c r="B1140" s="60" t="s">
        <v>969</v>
      </c>
    </row>
    <row r="1141" ht="12.75" customHeight="1">
      <c r="A1141" s="59" t="s">
        <v>202</v>
      </c>
      <c r="B1141" s="60" t="s">
        <v>970</v>
      </c>
    </row>
    <row r="1142" ht="12.75" customHeight="1">
      <c r="A1142" s="59" t="s">
        <v>202</v>
      </c>
      <c r="B1142" s="60" t="s">
        <v>971</v>
      </c>
    </row>
    <row r="1143" ht="12.75" customHeight="1">
      <c r="A1143" s="59" t="s">
        <v>202</v>
      </c>
      <c r="B1143" s="60" t="s">
        <v>972</v>
      </c>
    </row>
    <row r="1144" ht="12.75" customHeight="1">
      <c r="A1144" s="59" t="s">
        <v>202</v>
      </c>
      <c r="B1144" s="60" t="s">
        <v>973</v>
      </c>
    </row>
    <row r="1145" ht="12.75" customHeight="1">
      <c r="A1145" s="59" t="s">
        <v>202</v>
      </c>
      <c r="B1145" s="60" t="s">
        <v>974</v>
      </c>
    </row>
    <row r="1146" ht="12.75" customHeight="1">
      <c r="A1146" s="59" t="s">
        <v>202</v>
      </c>
      <c r="B1146" s="60" t="s">
        <v>975</v>
      </c>
    </row>
    <row r="1147" ht="12.75" customHeight="1">
      <c r="A1147" s="59" t="s">
        <v>202</v>
      </c>
      <c r="B1147" s="60" t="s">
        <v>976</v>
      </c>
    </row>
    <row r="1148" ht="12.75" customHeight="1">
      <c r="A1148" s="59" t="s">
        <v>202</v>
      </c>
      <c r="B1148" s="60" t="s">
        <v>977</v>
      </c>
    </row>
    <row r="1149" ht="12.75" customHeight="1">
      <c r="A1149" s="59" t="s">
        <v>202</v>
      </c>
      <c r="B1149" s="60" t="s">
        <v>978</v>
      </c>
    </row>
    <row r="1150" ht="12.75" customHeight="1">
      <c r="A1150" s="59" t="s">
        <v>202</v>
      </c>
      <c r="B1150" s="60" t="s">
        <v>979</v>
      </c>
    </row>
    <row r="1151" ht="12.75" customHeight="1">
      <c r="A1151" s="59" t="s">
        <v>202</v>
      </c>
      <c r="B1151" s="60" t="s">
        <v>980</v>
      </c>
    </row>
    <row r="1152" ht="12.75" customHeight="1">
      <c r="A1152" s="59" t="s">
        <v>202</v>
      </c>
      <c r="B1152" s="60" t="s">
        <v>981</v>
      </c>
    </row>
    <row r="1153" ht="12.75" customHeight="1">
      <c r="A1153" s="59" t="s">
        <v>202</v>
      </c>
      <c r="B1153" s="60" t="s">
        <v>982</v>
      </c>
    </row>
    <row r="1154" ht="12.75" customHeight="1">
      <c r="A1154" s="59" t="s">
        <v>202</v>
      </c>
      <c r="B1154" s="60" t="s">
        <v>983</v>
      </c>
    </row>
    <row r="1155" ht="12.75" customHeight="1">
      <c r="A1155" s="59" t="s">
        <v>202</v>
      </c>
      <c r="B1155" s="60" t="s">
        <v>984</v>
      </c>
    </row>
    <row r="1156" ht="12.75" customHeight="1">
      <c r="A1156" s="59" t="s">
        <v>202</v>
      </c>
      <c r="B1156" s="60" t="s">
        <v>985</v>
      </c>
    </row>
    <row r="1157" ht="12.75" customHeight="1">
      <c r="A1157" s="59" t="s">
        <v>202</v>
      </c>
      <c r="B1157" s="60" t="s">
        <v>986</v>
      </c>
    </row>
    <row r="1158" ht="12.75" customHeight="1">
      <c r="A1158" s="59" t="s">
        <v>202</v>
      </c>
      <c r="B1158" s="60" t="s">
        <v>987</v>
      </c>
    </row>
    <row r="1159" ht="12.75" customHeight="1">
      <c r="A1159" s="59" t="s">
        <v>202</v>
      </c>
      <c r="B1159" s="60" t="s">
        <v>988</v>
      </c>
    </row>
    <row r="1160" ht="12.75" customHeight="1">
      <c r="A1160" s="59" t="s">
        <v>202</v>
      </c>
      <c r="B1160" s="60" t="s">
        <v>989</v>
      </c>
    </row>
    <row r="1161" ht="12.75" customHeight="1">
      <c r="A1161" s="59" t="s">
        <v>202</v>
      </c>
      <c r="B1161" s="60" t="s">
        <v>990</v>
      </c>
    </row>
    <row r="1162" ht="12.75" customHeight="1">
      <c r="A1162" s="59" t="s">
        <v>202</v>
      </c>
      <c r="B1162" s="60" t="s">
        <v>991</v>
      </c>
    </row>
    <row r="1163" ht="12.75" customHeight="1">
      <c r="A1163" s="59" t="s">
        <v>202</v>
      </c>
      <c r="B1163" s="60" t="s">
        <v>992</v>
      </c>
    </row>
    <row r="1164" ht="12.75" customHeight="1">
      <c r="A1164" s="59" t="s">
        <v>202</v>
      </c>
      <c r="B1164" s="60" t="s">
        <v>993</v>
      </c>
    </row>
    <row r="1165" ht="12.75" customHeight="1">
      <c r="A1165" s="59" t="s">
        <v>202</v>
      </c>
      <c r="B1165" s="60" t="s">
        <v>994</v>
      </c>
    </row>
    <row r="1166" ht="12.75" customHeight="1">
      <c r="A1166" s="59" t="s">
        <v>202</v>
      </c>
      <c r="B1166" s="60" t="s">
        <v>995</v>
      </c>
    </row>
    <row r="1167" ht="12.75" customHeight="1">
      <c r="A1167" s="59" t="s">
        <v>202</v>
      </c>
      <c r="B1167" s="60" t="s">
        <v>996</v>
      </c>
    </row>
    <row r="1168" ht="12.75" customHeight="1">
      <c r="A1168" s="59" t="s">
        <v>202</v>
      </c>
      <c r="B1168" s="60" t="s">
        <v>997</v>
      </c>
    </row>
    <row r="1169" ht="12.75" customHeight="1">
      <c r="A1169" s="59" t="s">
        <v>202</v>
      </c>
      <c r="B1169" s="60" t="s">
        <v>998</v>
      </c>
    </row>
    <row r="1170" ht="12.75" customHeight="1">
      <c r="A1170" s="59" t="s">
        <v>202</v>
      </c>
      <c r="B1170" s="60" t="s">
        <v>999</v>
      </c>
    </row>
    <row r="1171" ht="12.75" customHeight="1">
      <c r="A1171" s="59" t="s">
        <v>202</v>
      </c>
      <c r="B1171" s="60" t="s">
        <v>1000</v>
      </c>
    </row>
    <row r="1172" ht="12.75" customHeight="1">
      <c r="A1172" s="59" t="s">
        <v>202</v>
      </c>
      <c r="B1172" s="60" t="s">
        <v>1001</v>
      </c>
    </row>
    <row r="1173" ht="12.75" customHeight="1">
      <c r="A1173" s="59" t="s">
        <v>202</v>
      </c>
      <c r="B1173" s="60" t="s">
        <v>1002</v>
      </c>
    </row>
    <row r="1174" ht="12.75" customHeight="1">
      <c r="A1174" s="59" t="s">
        <v>202</v>
      </c>
      <c r="B1174" s="60" t="s">
        <v>1003</v>
      </c>
    </row>
    <row r="1175" ht="12.75" customHeight="1">
      <c r="A1175" s="59" t="s">
        <v>202</v>
      </c>
      <c r="B1175" s="60" t="s">
        <v>1004</v>
      </c>
    </row>
    <row r="1176" ht="12.75" customHeight="1">
      <c r="A1176" s="59" t="s">
        <v>202</v>
      </c>
      <c r="B1176" s="60" t="s">
        <v>1005</v>
      </c>
    </row>
    <row r="1177" ht="12.75" customHeight="1">
      <c r="A1177" s="59" t="s">
        <v>202</v>
      </c>
      <c r="B1177" s="60" t="s">
        <v>1006</v>
      </c>
    </row>
    <row r="1178" ht="12.75" customHeight="1">
      <c r="A1178" s="59" t="s">
        <v>202</v>
      </c>
      <c r="B1178" s="60" t="s">
        <v>1007</v>
      </c>
    </row>
    <row r="1179" ht="12.75" customHeight="1">
      <c r="A1179" s="59" t="s">
        <v>202</v>
      </c>
      <c r="B1179" s="60" t="s">
        <v>1008</v>
      </c>
    </row>
    <row r="1180" ht="12.75" customHeight="1">
      <c r="A1180" s="59" t="s">
        <v>202</v>
      </c>
      <c r="B1180" s="60" t="s">
        <v>1009</v>
      </c>
    </row>
    <row r="1181" ht="12.75" customHeight="1">
      <c r="A1181" s="59" t="s">
        <v>202</v>
      </c>
      <c r="B1181" s="60" t="s">
        <v>1010</v>
      </c>
    </row>
    <row r="1182" ht="12.75" customHeight="1">
      <c r="A1182" s="59" t="s">
        <v>202</v>
      </c>
      <c r="B1182" s="60" t="s">
        <v>1011</v>
      </c>
    </row>
    <row r="1183" ht="12.75" customHeight="1">
      <c r="A1183" s="59" t="s">
        <v>202</v>
      </c>
      <c r="B1183" s="60" t="s">
        <v>1012</v>
      </c>
    </row>
    <row r="1184" ht="12.75" customHeight="1">
      <c r="A1184" s="59" t="s">
        <v>202</v>
      </c>
      <c r="B1184" s="60" t="s">
        <v>1013</v>
      </c>
    </row>
    <row r="1185" ht="12.75" customHeight="1">
      <c r="A1185" s="59" t="s">
        <v>202</v>
      </c>
      <c r="B1185" s="60" t="s">
        <v>1014</v>
      </c>
    </row>
    <row r="1186" ht="12.75" customHeight="1">
      <c r="A1186" s="59" t="s">
        <v>202</v>
      </c>
      <c r="B1186" s="60" t="s">
        <v>1015</v>
      </c>
    </row>
    <row r="1187" ht="12.75" customHeight="1">
      <c r="A1187" s="59" t="s">
        <v>202</v>
      </c>
      <c r="B1187" s="60" t="s">
        <v>1016</v>
      </c>
    </row>
    <row r="1188" ht="12.75" customHeight="1">
      <c r="A1188" s="59" t="s">
        <v>202</v>
      </c>
      <c r="B1188" s="60" t="s">
        <v>1017</v>
      </c>
    </row>
    <row r="1189" ht="12.75" customHeight="1">
      <c r="A1189" s="59" t="s">
        <v>202</v>
      </c>
      <c r="B1189" s="60" t="s">
        <v>1018</v>
      </c>
    </row>
    <row r="1190" ht="12.75" customHeight="1">
      <c r="A1190" s="59" t="s">
        <v>202</v>
      </c>
      <c r="B1190" s="60" t="s">
        <v>1019</v>
      </c>
    </row>
    <row r="1191" ht="12.75" customHeight="1">
      <c r="A1191" s="59" t="s">
        <v>202</v>
      </c>
      <c r="B1191" s="60" t="s">
        <v>1020</v>
      </c>
    </row>
    <row r="1192" ht="12.75" customHeight="1">
      <c r="A1192" s="59" t="s">
        <v>202</v>
      </c>
      <c r="B1192" s="60" t="s">
        <v>1021</v>
      </c>
    </row>
    <row r="1193" ht="12.75" customHeight="1">
      <c r="A1193" s="59" t="s">
        <v>202</v>
      </c>
      <c r="B1193" s="60" t="s">
        <v>1022</v>
      </c>
    </row>
    <row r="1194" ht="12.75" customHeight="1">
      <c r="A1194" s="59" t="s">
        <v>202</v>
      </c>
      <c r="B1194" s="60" t="s">
        <v>1023</v>
      </c>
    </row>
    <row r="1195" ht="12.75" customHeight="1">
      <c r="A1195" s="59" t="s">
        <v>202</v>
      </c>
      <c r="B1195" s="60" t="s">
        <v>1024</v>
      </c>
    </row>
    <row r="1196" ht="12.75" customHeight="1">
      <c r="A1196" s="59" t="s">
        <v>202</v>
      </c>
      <c r="B1196" s="60" t="s">
        <v>1025</v>
      </c>
    </row>
    <row r="1197" ht="12.75" customHeight="1">
      <c r="A1197" s="59" t="s">
        <v>202</v>
      </c>
      <c r="B1197" s="60" t="s">
        <v>1026</v>
      </c>
    </row>
    <row r="1198" ht="12.75" customHeight="1">
      <c r="A1198" s="59" t="s">
        <v>202</v>
      </c>
      <c r="B1198" s="60" t="s">
        <v>1027</v>
      </c>
    </row>
    <row r="1199" ht="12.75" customHeight="1">
      <c r="A1199" s="59" t="s">
        <v>202</v>
      </c>
      <c r="B1199" s="60" t="s">
        <v>1028</v>
      </c>
    </row>
    <row r="1200" ht="12.75" customHeight="1">
      <c r="A1200" s="59" t="s">
        <v>202</v>
      </c>
      <c r="B1200" s="60" t="s">
        <v>1029</v>
      </c>
    </row>
    <row r="1201" ht="12.75" customHeight="1">
      <c r="A1201" s="59" t="s">
        <v>202</v>
      </c>
      <c r="B1201" s="60" t="s">
        <v>1030</v>
      </c>
    </row>
    <row r="1202" ht="12.75" customHeight="1">
      <c r="A1202" s="59" t="s">
        <v>202</v>
      </c>
      <c r="B1202" s="60" t="s">
        <v>1031</v>
      </c>
    </row>
    <row r="1203" ht="12.75" customHeight="1">
      <c r="A1203" s="59" t="s">
        <v>202</v>
      </c>
      <c r="B1203" s="60" t="s">
        <v>1032</v>
      </c>
    </row>
    <row r="1204" ht="12.75" customHeight="1">
      <c r="A1204" s="59" t="s">
        <v>202</v>
      </c>
      <c r="B1204" s="60" t="s">
        <v>1033</v>
      </c>
    </row>
    <row r="1205" ht="12.75" customHeight="1">
      <c r="A1205" s="59" t="s">
        <v>202</v>
      </c>
      <c r="B1205" s="60" t="s">
        <v>1034</v>
      </c>
    </row>
    <row r="1206" ht="12.75" customHeight="1">
      <c r="A1206" s="59" t="s">
        <v>202</v>
      </c>
      <c r="B1206" s="60" t="s">
        <v>1035</v>
      </c>
    </row>
    <row r="1207" ht="12.75" customHeight="1">
      <c r="A1207" s="59" t="s">
        <v>202</v>
      </c>
      <c r="B1207" s="60" t="s">
        <v>1036</v>
      </c>
    </row>
    <row r="1208" ht="12.75" customHeight="1">
      <c r="A1208" s="59" t="s">
        <v>202</v>
      </c>
      <c r="B1208" s="60" t="s">
        <v>1037</v>
      </c>
    </row>
    <row r="1209" ht="12.75" customHeight="1">
      <c r="A1209" s="59" t="s">
        <v>202</v>
      </c>
      <c r="B1209" s="60" t="s">
        <v>1038</v>
      </c>
    </row>
    <row r="1210" ht="12.75" customHeight="1">
      <c r="A1210" s="59" t="s">
        <v>202</v>
      </c>
      <c r="B1210" s="60" t="s">
        <v>1039</v>
      </c>
    </row>
    <row r="1211" ht="12.75" customHeight="1">
      <c r="A1211" s="59" t="s">
        <v>202</v>
      </c>
      <c r="B1211" s="60" t="s">
        <v>1040</v>
      </c>
    </row>
    <row r="1212" ht="12.75" customHeight="1">
      <c r="A1212" s="59" t="s">
        <v>202</v>
      </c>
      <c r="B1212" s="60" t="s">
        <v>1041</v>
      </c>
    </row>
    <row r="1213" ht="12.75" customHeight="1">
      <c r="A1213" s="59" t="s">
        <v>202</v>
      </c>
      <c r="B1213" s="60" t="s">
        <v>1042</v>
      </c>
    </row>
    <row r="1214" ht="12.75" customHeight="1">
      <c r="A1214" s="59" t="s">
        <v>202</v>
      </c>
      <c r="B1214" s="60" t="s">
        <v>1043</v>
      </c>
    </row>
    <row r="1215" ht="12.75" customHeight="1">
      <c r="A1215" s="59" t="s">
        <v>202</v>
      </c>
      <c r="B1215" s="60" t="s">
        <v>1044</v>
      </c>
    </row>
    <row r="1216" ht="12.75" customHeight="1">
      <c r="A1216" s="59" t="s">
        <v>202</v>
      </c>
      <c r="B1216" s="60" t="s">
        <v>1045</v>
      </c>
    </row>
    <row r="1217" ht="12.75" customHeight="1">
      <c r="A1217" s="59" t="s">
        <v>202</v>
      </c>
      <c r="B1217" s="60" t="s">
        <v>1046</v>
      </c>
    </row>
    <row r="1218" ht="12.75" customHeight="1">
      <c r="A1218" s="59" t="s">
        <v>202</v>
      </c>
      <c r="B1218" s="60" t="s">
        <v>1047</v>
      </c>
    </row>
    <row r="1219" ht="12.75" customHeight="1">
      <c r="A1219" s="59" t="s">
        <v>202</v>
      </c>
      <c r="B1219" s="60" t="s">
        <v>1048</v>
      </c>
    </row>
    <row r="1220" ht="12.75" customHeight="1">
      <c r="A1220" s="59" t="s">
        <v>202</v>
      </c>
      <c r="B1220" s="60" t="s">
        <v>1049</v>
      </c>
    </row>
    <row r="1221" ht="12.75" customHeight="1">
      <c r="A1221" s="59" t="s">
        <v>202</v>
      </c>
      <c r="B1221" s="60" t="s">
        <v>1050</v>
      </c>
    </row>
    <row r="1222" ht="12.75" customHeight="1">
      <c r="A1222" s="59" t="s">
        <v>202</v>
      </c>
      <c r="B1222" s="60" t="s">
        <v>1051</v>
      </c>
    </row>
    <row r="1223" ht="12.75" customHeight="1">
      <c r="A1223" s="59" t="s">
        <v>202</v>
      </c>
      <c r="B1223" s="60" t="s">
        <v>1052</v>
      </c>
    </row>
    <row r="1224" ht="12.75" customHeight="1">
      <c r="A1224" s="59" t="s">
        <v>202</v>
      </c>
      <c r="B1224" s="60" t="s">
        <v>1053</v>
      </c>
    </row>
    <row r="1225" ht="12.75" customHeight="1">
      <c r="A1225" s="59" t="s">
        <v>202</v>
      </c>
      <c r="B1225" s="60" t="s">
        <v>1054</v>
      </c>
    </row>
    <row r="1226" ht="12.75" customHeight="1">
      <c r="A1226" s="59" t="s">
        <v>202</v>
      </c>
      <c r="B1226" s="60" t="s">
        <v>1055</v>
      </c>
    </row>
    <row r="1227" ht="12.75" customHeight="1">
      <c r="A1227" s="59" t="s">
        <v>202</v>
      </c>
      <c r="B1227" s="60" t="s">
        <v>1056</v>
      </c>
    </row>
    <row r="1228" ht="12.75" customHeight="1">
      <c r="A1228" s="59" t="s">
        <v>202</v>
      </c>
      <c r="B1228" s="60" t="s">
        <v>1057</v>
      </c>
    </row>
    <row r="1229" ht="12.75" customHeight="1">
      <c r="A1229" s="59" t="s">
        <v>202</v>
      </c>
      <c r="B1229" s="60" t="s">
        <v>1058</v>
      </c>
    </row>
    <row r="1230" ht="12.75" customHeight="1">
      <c r="A1230" s="59" t="s">
        <v>202</v>
      </c>
      <c r="B1230" s="60" t="s">
        <v>1059</v>
      </c>
    </row>
    <row r="1231" ht="12.75" customHeight="1">
      <c r="A1231" s="59" t="s">
        <v>202</v>
      </c>
      <c r="B1231" s="60" t="s">
        <v>1060</v>
      </c>
    </row>
    <row r="1232" ht="12.75" customHeight="1">
      <c r="A1232" s="59" t="s">
        <v>202</v>
      </c>
      <c r="B1232" s="60" t="s">
        <v>1061</v>
      </c>
    </row>
    <row r="1233" ht="12.75" customHeight="1">
      <c r="A1233" s="59" t="s">
        <v>202</v>
      </c>
      <c r="B1233" s="60" t="s">
        <v>1062</v>
      </c>
    </row>
    <row r="1234" ht="12.75" customHeight="1">
      <c r="A1234" s="59" t="s">
        <v>202</v>
      </c>
      <c r="B1234" s="60" t="s">
        <v>1063</v>
      </c>
    </row>
    <row r="1235" ht="12.75" customHeight="1">
      <c r="A1235" s="59" t="s">
        <v>202</v>
      </c>
      <c r="B1235" s="60" t="s">
        <v>1064</v>
      </c>
    </row>
    <row r="1236" ht="12.75" customHeight="1">
      <c r="A1236" s="59" t="s">
        <v>202</v>
      </c>
      <c r="B1236" s="60" t="s">
        <v>1065</v>
      </c>
    </row>
    <row r="1237" ht="12.75" customHeight="1">
      <c r="A1237" s="59" t="s">
        <v>202</v>
      </c>
      <c r="B1237" s="60" t="s">
        <v>1066</v>
      </c>
    </row>
    <row r="1238" ht="12.75" customHeight="1">
      <c r="A1238" s="59" t="s">
        <v>202</v>
      </c>
      <c r="B1238" s="60" t="s">
        <v>1067</v>
      </c>
    </row>
    <row r="1239" ht="12.75" customHeight="1">
      <c r="A1239" s="59" t="s">
        <v>202</v>
      </c>
      <c r="B1239" s="60" t="s">
        <v>1068</v>
      </c>
    </row>
    <row r="1240" ht="12.75" customHeight="1">
      <c r="A1240" s="59" t="s">
        <v>202</v>
      </c>
      <c r="B1240" s="60" t="s">
        <v>1069</v>
      </c>
    </row>
    <row r="1241" ht="12.75" customHeight="1">
      <c r="A1241" s="59" t="s">
        <v>202</v>
      </c>
      <c r="B1241" s="60" t="s">
        <v>1070</v>
      </c>
    </row>
    <row r="1242" ht="12.75" customHeight="1">
      <c r="A1242" s="59" t="s">
        <v>202</v>
      </c>
      <c r="B1242" s="60" t="s">
        <v>1071</v>
      </c>
    </row>
    <row r="1243" ht="12.75" customHeight="1">
      <c r="A1243" s="59" t="s">
        <v>202</v>
      </c>
      <c r="B1243" s="60" t="s">
        <v>1072</v>
      </c>
    </row>
    <row r="1244" ht="12.75" customHeight="1">
      <c r="A1244" s="59" t="s">
        <v>202</v>
      </c>
      <c r="B1244" s="60" t="s">
        <v>1073</v>
      </c>
    </row>
    <row r="1245" ht="12.75" customHeight="1">
      <c r="A1245" s="59" t="s">
        <v>202</v>
      </c>
      <c r="B1245" s="60" t="s">
        <v>1074</v>
      </c>
    </row>
    <row r="1246" ht="12.75" customHeight="1">
      <c r="A1246" s="59" t="s">
        <v>202</v>
      </c>
      <c r="B1246" s="60" t="s">
        <v>1075</v>
      </c>
    </row>
    <row r="1247" ht="12.75" customHeight="1">
      <c r="A1247" s="59" t="s">
        <v>202</v>
      </c>
      <c r="B1247" s="60" t="s">
        <v>1076</v>
      </c>
    </row>
    <row r="1248" ht="12.75" customHeight="1">
      <c r="A1248" s="59" t="s">
        <v>202</v>
      </c>
      <c r="B1248" s="60" t="s">
        <v>1077</v>
      </c>
    </row>
    <row r="1249" ht="12.75" customHeight="1">
      <c r="A1249" s="59" t="s">
        <v>202</v>
      </c>
      <c r="B1249" s="60" t="s">
        <v>1078</v>
      </c>
    </row>
    <row r="1250" ht="12.75" customHeight="1">
      <c r="A1250" s="59" t="s">
        <v>202</v>
      </c>
      <c r="B1250" s="60" t="s">
        <v>1079</v>
      </c>
    </row>
    <row r="1251" ht="12.75" customHeight="1">
      <c r="A1251" s="59" t="s">
        <v>202</v>
      </c>
      <c r="B1251" s="60" t="s">
        <v>1080</v>
      </c>
    </row>
    <row r="1252" ht="12.75" customHeight="1">
      <c r="A1252" s="59" t="s">
        <v>202</v>
      </c>
      <c r="B1252" s="60" t="s">
        <v>1081</v>
      </c>
    </row>
    <row r="1253" ht="12.75" customHeight="1">
      <c r="A1253" s="59" t="s">
        <v>202</v>
      </c>
      <c r="B1253" s="60" t="s">
        <v>1082</v>
      </c>
    </row>
    <row r="1254" ht="12.75" customHeight="1">
      <c r="A1254" s="59" t="s">
        <v>202</v>
      </c>
      <c r="B1254" s="60" t="s">
        <v>1083</v>
      </c>
    </row>
    <row r="1255" ht="12.75" customHeight="1">
      <c r="A1255" s="59" t="s">
        <v>202</v>
      </c>
      <c r="B1255" s="60" t="s">
        <v>1084</v>
      </c>
    </row>
    <row r="1256" ht="12.75" customHeight="1">
      <c r="A1256" s="59" t="s">
        <v>202</v>
      </c>
      <c r="B1256" s="60" t="s">
        <v>1085</v>
      </c>
    </row>
    <row r="1257" ht="12.75" customHeight="1">
      <c r="A1257" s="59" t="s">
        <v>202</v>
      </c>
      <c r="B1257" s="60" t="s">
        <v>1086</v>
      </c>
    </row>
    <row r="1258" ht="12.75" customHeight="1">
      <c r="A1258" s="59" t="s">
        <v>202</v>
      </c>
      <c r="B1258" s="60" t="s">
        <v>1087</v>
      </c>
    </row>
    <row r="1259" ht="12.75" customHeight="1">
      <c r="A1259" s="59" t="s">
        <v>202</v>
      </c>
      <c r="B1259" s="60" t="s">
        <v>1088</v>
      </c>
    </row>
    <row r="1260" ht="12.75" customHeight="1">
      <c r="A1260" s="59" t="s">
        <v>202</v>
      </c>
      <c r="B1260" s="60" t="s">
        <v>1089</v>
      </c>
    </row>
    <row r="1261" ht="12.75" customHeight="1">
      <c r="A1261" s="59" t="s">
        <v>202</v>
      </c>
      <c r="B1261" s="60" t="s">
        <v>1090</v>
      </c>
    </row>
    <row r="1262" ht="12.75" customHeight="1">
      <c r="A1262" s="59" t="s">
        <v>202</v>
      </c>
      <c r="B1262" s="60" t="s">
        <v>1091</v>
      </c>
    </row>
    <row r="1263" ht="12.75" customHeight="1">
      <c r="A1263" s="59" t="s">
        <v>202</v>
      </c>
      <c r="B1263" s="60" t="s">
        <v>1092</v>
      </c>
    </row>
    <row r="1264" ht="12.75" customHeight="1">
      <c r="A1264" s="59" t="s">
        <v>202</v>
      </c>
      <c r="B1264" s="60" t="s">
        <v>1093</v>
      </c>
    </row>
    <row r="1265" ht="12.75" customHeight="1">
      <c r="A1265" s="59" t="s">
        <v>202</v>
      </c>
      <c r="B1265" s="60" t="s">
        <v>1094</v>
      </c>
    </row>
    <row r="1266" ht="12.75" customHeight="1">
      <c r="A1266" s="59" t="s">
        <v>202</v>
      </c>
      <c r="B1266" s="60" t="s">
        <v>1095</v>
      </c>
    </row>
    <row r="1267" ht="12.75" customHeight="1">
      <c r="A1267" s="59" t="s">
        <v>202</v>
      </c>
      <c r="B1267" s="60" t="s">
        <v>1096</v>
      </c>
    </row>
    <row r="1268" ht="12.75" customHeight="1">
      <c r="A1268" s="59" t="s">
        <v>202</v>
      </c>
      <c r="B1268" s="60" t="s">
        <v>1097</v>
      </c>
    </row>
    <row r="1269" ht="12.75" customHeight="1">
      <c r="A1269" s="59" t="s">
        <v>202</v>
      </c>
      <c r="B1269" s="60" t="s">
        <v>1098</v>
      </c>
    </row>
    <row r="1270" ht="12.75" customHeight="1">
      <c r="A1270" s="59" t="s">
        <v>202</v>
      </c>
      <c r="B1270" s="60" t="s">
        <v>1099</v>
      </c>
    </row>
    <row r="1271" ht="12.75" customHeight="1">
      <c r="A1271" s="59" t="s">
        <v>202</v>
      </c>
      <c r="B1271" s="60" t="s">
        <v>1100</v>
      </c>
    </row>
    <row r="1272" ht="12.75" customHeight="1">
      <c r="A1272" s="59" t="s">
        <v>202</v>
      </c>
      <c r="B1272" s="60" t="s">
        <v>1101</v>
      </c>
    </row>
    <row r="1273" ht="12.75" customHeight="1">
      <c r="A1273" s="59" t="s">
        <v>202</v>
      </c>
      <c r="B1273" s="60" t="s">
        <v>1102</v>
      </c>
    </row>
    <row r="1274" ht="12.75" customHeight="1">
      <c r="A1274" s="59" t="s">
        <v>202</v>
      </c>
      <c r="B1274" s="60" t="s">
        <v>1103</v>
      </c>
    </row>
    <row r="1275" ht="12.75" customHeight="1">
      <c r="A1275" s="59" t="s">
        <v>202</v>
      </c>
      <c r="B1275" s="60" t="s">
        <v>1104</v>
      </c>
    </row>
    <row r="1276" ht="12.75" customHeight="1">
      <c r="A1276" s="59" t="s">
        <v>202</v>
      </c>
      <c r="B1276" s="60" t="s">
        <v>1105</v>
      </c>
    </row>
    <row r="1277" ht="12.75" customHeight="1">
      <c r="A1277" s="59" t="s">
        <v>202</v>
      </c>
      <c r="B1277" s="60" t="s">
        <v>1106</v>
      </c>
    </row>
    <row r="1278" ht="12.75" customHeight="1">
      <c r="A1278" s="59" t="s">
        <v>202</v>
      </c>
      <c r="B1278" s="60" t="s">
        <v>1107</v>
      </c>
    </row>
    <row r="1279" ht="12.75" customHeight="1">
      <c r="A1279" s="59" t="s">
        <v>202</v>
      </c>
      <c r="B1279" s="60" t="s">
        <v>1108</v>
      </c>
    </row>
    <row r="1280" ht="12.75" customHeight="1">
      <c r="A1280" s="59" t="s">
        <v>202</v>
      </c>
      <c r="B1280" s="60" t="s">
        <v>1109</v>
      </c>
    </row>
    <row r="1281" ht="12.75" customHeight="1">
      <c r="A1281" s="59" t="s">
        <v>202</v>
      </c>
      <c r="B1281" s="60" t="s">
        <v>1110</v>
      </c>
    </row>
    <row r="1282" ht="12.75" customHeight="1">
      <c r="A1282" s="59" t="s">
        <v>202</v>
      </c>
      <c r="B1282" s="60" t="s">
        <v>1111</v>
      </c>
    </row>
    <row r="1283" ht="12.75" customHeight="1">
      <c r="A1283" s="59" t="s">
        <v>202</v>
      </c>
      <c r="B1283" s="60" t="s">
        <v>1112</v>
      </c>
    </row>
    <row r="1284" ht="12.75" customHeight="1">
      <c r="A1284" s="59" t="s">
        <v>202</v>
      </c>
      <c r="B1284" s="60" t="s">
        <v>1113</v>
      </c>
    </row>
    <row r="1285" ht="12.75" customHeight="1">
      <c r="A1285" s="59" t="s">
        <v>202</v>
      </c>
      <c r="B1285" s="60" t="s">
        <v>1114</v>
      </c>
    </row>
    <row r="1286" ht="12.75" customHeight="1">
      <c r="A1286" s="59" t="s">
        <v>202</v>
      </c>
      <c r="B1286" s="60" t="s">
        <v>1115</v>
      </c>
    </row>
    <row r="1287" ht="12.75" customHeight="1">
      <c r="A1287" s="59" t="s">
        <v>202</v>
      </c>
      <c r="B1287" s="60" t="s">
        <v>1116</v>
      </c>
    </row>
    <row r="1288" ht="12.75" customHeight="1">
      <c r="A1288" s="59" t="s">
        <v>202</v>
      </c>
      <c r="B1288" s="60" t="s">
        <v>1117</v>
      </c>
    </row>
    <row r="1289" ht="12.75" customHeight="1">
      <c r="A1289" s="59" t="s">
        <v>202</v>
      </c>
      <c r="B1289" s="60" t="s">
        <v>1118</v>
      </c>
    </row>
    <row r="1290" ht="12.75" customHeight="1">
      <c r="A1290" s="59" t="s">
        <v>202</v>
      </c>
      <c r="B1290" s="60" t="s">
        <v>1119</v>
      </c>
    </row>
    <row r="1291" ht="12.75" customHeight="1">
      <c r="A1291" s="59" t="s">
        <v>202</v>
      </c>
      <c r="B1291" s="60" t="s">
        <v>1120</v>
      </c>
    </row>
    <row r="1292" ht="12.75" customHeight="1">
      <c r="A1292" s="59" t="s">
        <v>202</v>
      </c>
      <c r="B1292" s="60" t="s">
        <v>1121</v>
      </c>
    </row>
    <row r="1293" ht="12.75" customHeight="1">
      <c r="A1293" s="59" t="s">
        <v>202</v>
      </c>
      <c r="B1293" s="60" t="s">
        <v>1122</v>
      </c>
    </row>
    <row r="1294" ht="12.75" customHeight="1">
      <c r="A1294" s="59" t="s">
        <v>202</v>
      </c>
      <c r="B1294" s="60" t="s">
        <v>1123</v>
      </c>
    </row>
    <row r="1295" ht="12.75" customHeight="1">
      <c r="A1295" s="59" t="s">
        <v>202</v>
      </c>
      <c r="B1295" s="60" t="s">
        <v>1124</v>
      </c>
    </row>
    <row r="1296" ht="12.75" customHeight="1">
      <c r="A1296" s="59" t="s">
        <v>202</v>
      </c>
      <c r="B1296" s="60" t="s">
        <v>1125</v>
      </c>
    </row>
    <row r="1297" ht="12.75" customHeight="1">
      <c r="A1297" s="59" t="s">
        <v>202</v>
      </c>
      <c r="B1297" s="60" t="s">
        <v>1126</v>
      </c>
    </row>
    <row r="1298" ht="12.75" customHeight="1">
      <c r="A1298" s="59" t="s">
        <v>202</v>
      </c>
      <c r="B1298" s="60" t="s">
        <v>1127</v>
      </c>
    </row>
    <row r="1299" ht="12.75" customHeight="1">
      <c r="A1299" s="59" t="s">
        <v>202</v>
      </c>
      <c r="B1299" s="60" t="s">
        <v>1128</v>
      </c>
    </row>
    <row r="1300" ht="12.75" customHeight="1">
      <c r="A1300" s="59" t="s">
        <v>202</v>
      </c>
      <c r="B1300" s="60" t="s">
        <v>1129</v>
      </c>
    </row>
    <row r="1301" ht="12.75" customHeight="1">
      <c r="A1301" s="59" t="s">
        <v>202</v>
      </c>
      <c r="B1301" s="60" t="s">
        <v>1130</v>
      </c>
    </row>
    <row r="1302" ht="12.75" customHeight="1">
      <c r="A1302" s="59" t="s">
        <v>202</v>
      </c>
      <c r="B1302" s="60" t="s">
        <v>1131</v>
      </c>
    </row>
    <row r="1303" ht="12.75" customHeight="1">
      <c r="A1303" s="59" t="s">
        <v>202</v>
      </c>
      <c r="B1303" s="60" t="s">
        <v>1132</v>
      </c>
    </row>
    <row r="1304" ht="12.75" customHeight="1">
      <c r="A1304" s="59" t="s">
        <v>202</v>
      </c>
      <c r="B1304" s="60" t="s">
        <v>1133</v>
      </c>
    </row>
    <row r="1305" ht="12.75" customHeight="1">
      <c r="A1305" s="59" t="s">
        <v>202</v>
      </c>
      <c r="B1305" s="60" t="s">
        <v>1134</v>
      </c>
    </row>
    <row r="1306" ht="12.75" customHeight="1">
      <c r="A1306" s="59" t="s">
        <v>202</v>
      </c>
      <c r="B1306" s="60" t="s">
        <v>1135</v>
      </c>
    </row>
    <row r="1307" ht="12.75" customHeight="1">
      <c r="A1307" s="59" t="s">
        <v>202</v>
      </c>
      <c r="B1307" s="60" t="s">
        <v>1136</v>
      </c>
    </row>
    <row r="1308" ht="12.75" customHeight="1">
      <c r="A1308" s="59" t="s">
        <v>202</v>
      </c>
      <c r="B1308" s="60" t="s">
        <v>1137</v>
      </c>
    </row>
    <row r="1309" ht="12.75" customHeight="1">
      <c r="A1309" s="59" t="s">
        <v>202</v>
      </c>
      <c r="B1309" s="60" t="s">
        <v>1138</v>
      </c>
    </row>
    <row r="1310" ht="12.75" customHeight="1">
      <c r="A1310" s="59" t="s">
        <v>202</v>
      </c>
      <c r="B1310" s="60" t="s">
        <v>1139</v>
      </c>
    </row>
    <row r="1311" ht="12.75" customHeight="1">
      <c r="A1311" s="59" t="s">
        <v>202</v>
      </c>
      <c r="B1311" s="60" t="s">
        <v>1140</v>
      </c>
    </row>
    <row r="1312" ht="12.75" customHeight="1">
      <c r="A1312" s="59" t="s">
        <v>202</v>
      </c>
      <c r="B1312" s="60" t="s">
        <v>1141</v>
      </c>
    </row>
    <row r="1313" ht="12.75" customHeight="1">
      <c r="A1313" s="59" t="s">
        <v>202</v>
      </c>
      <c r="B1313" s="60" t="s">
        <v>1142</v>
      </c>
    </row>
    <row r="1314" ht="12.75" customHeight="1">
      <c r="A1314" s="59" t="s">
        <v>202</v>
      </c>
      <c r="B1314" s="60" t="s">
        <v>1143</v>
      </c>
    </row>
    <row r="1315" ht="12.75" customHeight="1">
      <c r="A1315" s="59" t="s">
        <v>202</v>
      </c>
      <c r="B1315" s="60" t="s">
        <v>1144</v>
      </c>
    </row>
    <row r="1316" ht="12.75" customHeight="1">
      <c r="A1316" s="59" t="s">
        <v>202</v>
      </c>
      <c r="B1316" s="60" t="s">
        <v>1145</v>
      </c>
    </row>
    <row r="1317" ht="12.75" customHeight="1">
      <c r="A1317" s="59" t="s">
        <v>202</v>
      </c>
      <c r="B1317" s="60" t="s">
        <v>1146</v>
      </c>
    </row>
    <row r="1318" ht="12.75" customHeight="1">
      <c r="A1318" s="59" t="s">
        <v>202</v>
      </c>
      <c r="B1318" s="60" t="s">
        <v>1147</v>
      </c>
    </row>
    <row r="1319" ht="12.75" customHeight="1">
      <c r="A1319" s="59" t="s">
        <v>202</v>
      </c>
      <c r="B1319" s="60" t="s">
        <v>1148</v>
      </c>
    </row>
    <row r="1320" ht="12.75" customHeight="1">
      <c r="A1320" s="59" t="s">
        <v>202</v>
      </c>
      <c r="B1320" s="60" t="s">
        <v>1149</v>
      </c>
    </row>
    <row r="1321" ht="12.75" customHeight="1">
      <c r="A1321" s="59" t="s">
        <v>202</v>
      </c>
      <c r="B1321" s="60" t="s">
        <v>1150</v>
      </c>
    </row>
    <row r="1322" ht="12.75" customHeight="1">
      <c r="A1322" s="59" t="s">
        <v>202</v>
      </c>
      <c r="B1322" s="60" t="s">
        <v>1151</v>
      </c>
    </row>
    <row r="1323" ht="12.75" customHeight="1">
      <c r="A1323" s="59" t="s">
        <v>202</v>
      </c>
      <c r="B1323" s="60" t="s">
        <v>1152</v>
      </c>
    </row>
    <row r="1324" ht="12.75" customHeight="1">
      <c r="A1324" s="59" t="s">
        <v>202</v>
      </c>
      <c r="B1324" s="60" t="s">
        <v>1153</v>
      </c>
    </row>
    <row r="1325" ht="12.75" customHeight="1">
      <c r="A1325" s="59" t="s">
        <v>202</v>
      </c>
      <c r="B1325" s="60" t="s">
        <v>1154</v>
      </c>
    </row>
    <row r="1326" ht="12.75" customHeight="1">
      <c r="A1326" s="59" t="s">
        <v>202</v>
      </c>
      <c r="B1326" s="60" t="s">
        <v>1155</v>
      </c>
    </row>
    <row r="1327" ht="12.75" customHeight="1">
      <c r="A1327" s="59" t="s">
        <v>202</v>
      </c>
      <c r="B1327" s="60" t="s">
        <v>1156</v>
      </c>
    </row>
    <row r="1328" ht="12.75" customHeight="1">
      <c r="A1328" s="59" t="s">
        <v>202</v>
      </c>
      <c r="B1328" s="60" t="s">
        <v>1157</v>
      </c>
    </row>
    <row r="1329" ht="12.75" customHeight="1">
      <c r="A1329" s="59" t="s">
        <v>202</v>
      </c>
      <c r="B1329" s="60" t="s">
        <v>1158</v>
      </c>
    </row>
    <row r="1330" ht="12.75" customHeight="1">
      <c r="A1330" s="59" t="s">
        <v>202</v>
      </c>
      <c r="B1330" s="60" t="s">
        <v>1159</v>
      </c>
    </row>
    <row r="1331" ht="12.75" customHeight="1">
      <c r="A1331" s="59" t="s">
        <v>202</v>
      </c>
      <c r="B1331" s="60" t="s">
        <v>1160</v>
      </c>
    </row>
    <row r="1332" ht="12.75" customHeight="1">
      <c r="A1332" s="59" t="s">
        <v>202</v>
      </c>
      <c r="B1332" s="60" t="s">
        <v>1161</v>
      </c>
    </row>
    <row r="1333" ht="12.75" customHeight="1">
      <c r="A1333" s="59" t="s">
        <v>202</v>
      </c>
      <c r="B1333" s="60" t="s">
        <v>1162</v>
      </c>
    </row>
    <row r="1334" ht="12.75" customHeight="1">
      <c r="A1334" s="59" t="s">
        <v>202</v>
      </c>
      <c r="B1334" s="60" t="s">
        <v>1163</v>
      </c>
    </row>
    <row r="1335" ht="12.75" customHeight="1">
      <c r="A1335" s="59" t="s">
        <v>202</v>
      </c>
      <c r="B1335" s="60" t="s">
        <v>1164</v>
      </c>
    </row>
    <row r="1336" ht="12.75" customHeight="1">
      <c r="A1336" s="59" t="s">
        <v>202</v>
      </c>
      <c r="B1336" s="60" t="s">
        <v>1165</v>
      </c>
    </row>
    <row r="1337" ht="12.75" customHeight="1">
      <c r="A1337" s="59" t="s">
        <v>202</v>
      </c>
      <c r="B1337" s="60" t="s">
        <v>1166</v>
      </c>
    </row>
    <row r="1338" ht="12.75" customHeight="1">
      <c r="A1338" s="59" t="s">
        <v>202</v>
      </c>
      <c r="B1338" s="60" t="s">
        <v>1167</v>
      </c>
    </row>
    <row r="1339" ht="12.75" customHeight="1">
      <c r="A1339" s="59" t="s">
        <v>202</v>
      </c>
      <c r="B1339" s="60" t="s">
        <v>1168</v>
      </c>
    </row>
    <row r="1340" ht="12.75" customHeight="1">
      <c r="A1340" s="59" t="s">
        <v>202</v>
      </c>
      <c r="B1340" s="60" t="s">
        <v>1169</v>
      </c>
    </row>
    <row r="1341" ht="12.75" customHeight="1">
      <c r="A1341" s="59" t="s">
        <v>202</v>
      </c>
      <c r="B1341" s="60" t="s">
        <v>1170</v>
      </c>
    </row>
    <row r="1342" ht="12.75" customHeight="1">
      <c r="A1342" s="59" t="s">
        <v>202</v>
      </c>
      <c r="B1342" s="60" t="s">
        <v>1171</v>
      </c>
    </row>
    <row r="1343" ht="12.75" customHeight="1">
      <c r="A1343" s="59" t="s">
        <v>202</v>
      </c>
      <c r="B1343" s="60" t="s">
        <v>1172</v>
      </c>
    </row>
    <row r="1344" ht="12.75" customHeight="1">
      <c r="A1344" s="59" t="s">
        <v>202</v>
      </c>
      <c r="B1344" s="60" t="s">
        <v>1173</v>
      </c>
    </row>
    <row r="1345" ht="12.75" customHeight="1">
      <c r="A1345" s="59" t="s">
        <v>202</v>
      </c>
      <c r="B1345" s="60" t="s">
        <v>1174</v>
      </c>
    </row>
    <row r="1346" ht="12.75" customHeight="1">
      <c r="A1346" s="59" t="s">
        <v>202</v>
      </c>
      <c r="B1346" s="60" t="s">
        <v>1175</v>
      </c>
    </row>
    <row r="1347" ht="12.75" customHeight="1">
      <c r="A1347" s="59" t="s">
        <v>202</v>
      </c>
      <c r="B1347" s="60" t="s">
        <v>1176</v>
      </c>
    </row>
    <row r="1348" ht="12.75" customHeight="1">
      <c r="A1348" s="59" t="s">
        <v>202</v>
      </c>
      <c r="B1348" s="60" t="s">
        <v>1177</v>
      </c>
    </row>
    <row r="1349" ht="12.75" customHeight="1">
      <c r="A1349" s="59" t="s">
        <v>202</v>
      </c>
      <c r="B1349" s="60" t="s">
        <v>1178</v>
      </c>
    </row>
    <row r="1350" ht="12.75" customHeight="1">
      <c r="A1350" s="59" t="s">
        <v>202</v>
      </c>
      <c r="B1350" s="60" t="s">
        <v>1179</v>
      </c>
    </row>
    <row r="1351" ht="12.75" customHeight="1">
      <c r="A1351" s="59" t="s">
        <v>202</v>
      </c>
      <c r="B1351" s="60" t="s">
        <v>1180</v>
      </c>
    </row>
    <row r="1352" ht="12.75" customHeight="1">
      <c r="A1352" s="59" t="s">
        <v>202</v>
      </c>
      <c r="B1352" s="60" t="s">
        <v>1181</v>
      </c>
    </row>
    <row r="1353" ht="12.75" customHeight="1">
      <c r="A1353" s="59" t="s">
        <v>202</v>
      </c>
      <c r="B1353" s="60" t="s">
        <v>1182</v>
      </c>
    </row>
    <row r="1354" ht="12.75" customHeight="1">
      <c r="A1354" s="59" t="s">
        <v>202</v>
      </c>
      <c r="B1354" s="60" t="s">
        <v>1183</v>
      </c>
    </row>
    <row r="1355" ht="12.75" customHeight="1">
      <c r="A1355" s="59" t="s">
        <v>202</v>
      </c>
      <c r="B1355" s="60" t="s">
        <v>1184</v>
      </c>
    </row>
    <row r="1356" ht="12.75" customHeight="1">
      <c r="A1356" s="59" t="s">
        <v>202</v>
      </c>
      <c r="B1356" s="60" t="s">
        <v>1185</v>
      </c>
    </row>
    <row r="1357" ht="12.75" customHeight="1">
      <c r="A1357" s="59" t="s">
        <v>202</v>
      </c>
      <c r="B1357" s="60" t="s">
        <v>1186</v>
      </c>
    </row>
    <row r="1358" ht="12.75" customHeight="1">
      <c r="A1358" s="59" t="s">
        <v>202</v>
      </c>
      <c r="B1358" s="60" t="s">
        <v>1187</v>
      </c>
    </row>
    <row r="1359" ht="12.75" customHeight="1">
      <c r="A1359" s="59" t="s">
        <v>202</v>
      </c>
      <c r="B1359" s="60" t="s">
        <v>1188</v>
      </c>
    </row>
    <row r="1360" ht="12.75" customHeight="1">
      <c r="A1360" s="59" t="s">
        <v>202</v>
      </c>
      <c r="B1360" s="60" t="s">
        <v>1189</v>
      </c>
    </row>
    <row r="1361" ht="12.75" customHeight="1">
      <c r="A1361" s="59" t="s">
        <v>202</v>
      </c>
      <c r="B1361" s="60" t="s">
        <v>1190</v>
      </c>
    </row>
    <row r="1362" ht="12.75" customHeight="1">
      <c r="A1362" s="59" t="s">
        <v>202</v>
      </c>
      <c r="B1362" s="60" t="s">
        <v>1191</v>
      </c>
    </row>
    <row r="1363" ht="12.75" customHeight="1">
      <c r="A1363" s="59" t="s">
        <v>202</v>
      </c>
      <c r="B1363" s="60" t="s">
        <v>1192</v>
      </c>
    </row>
    <row r="1364" ht="12.75" customHeight="1">
      <c r="A1364" s="59" t="s">
        <v>195</v>
      </c>
      <c r="B1364" s="60">
        <v>0.0</v>
      </c>
    </row>
    <row r="1365" ht="12.75" customHeight="1">
      <c r="A1365" s="59" t="s">
        <v>195</v>
      </c>
      <c r="B1365" s="60">
        <v>0.0</v>
      </c>
    </row>
    <row r="1366" ht="12.75" customHeight="1">
      <c r="A1366" s="59" t="s">
        <v>195</v>
      </c>
      <c r="B1366" s="60">
        <v>2.0</v>
      </c>
    </row>
    <row r="1367" ht="12.75" customHeight="1">
      <c r="A1367" s="59" t="s">
        <v>195</v>
      </c>
      <c r="B1367" s="60">
        <v>4.0</v>
      </c>
    </row>
    <row r="1368" ht="12.75" customHeight="1">
      <c r="A1368" s="59" t="s">
        <v>195</v>
      </c>
      <c r="B1368" s="60">
        <v>6.0</v>
      </c>
    </row>
    <row r="1369" ht="12.75" customHeight="1">
      <c r="A1369" s="59" t="s">
        <v>195</v>
      </c>
      <c r="B1369" s="60">
        <v>8.0</v>
      </c>
    </row>
    <row r="1370" ht="12.75" customHeight="1">
      <c r="A1370" s="59" t="s">
        <v>195</v>
      </c>
      <c r="B1370" s="60">
        <v>10.0</v>
      </c>
    </row>
    <row r="1371" ht="12.75" customHeight="1">
      <c r="A1371" s="59" t="s">
        <v>195</v>
      </c>
      <c r="B1371" s="60">
        <v>12.0</v>
      </c>
    </row>
    <row r="1372" ht="12.75" customHeight="1">
      <c r="A1372" s="59" t="s">
        <v>195</v>
      </c>
      <c r="B1372" s="60" t="s">
        <v>803</v>
      </c>
    </row>
    <row r="1373" ht="12.75" customHeight="1">
      <c r="A1373" s="59" t="s">
        <v>195</v>
      </c>
      <c r="B1373" s="60" t="s">
        <v>804</v>
      </c>
    </row>
    <row r="1374" ht="12.75" customHeight="1">
      <c r="A1374" s="59" t="s">
        <v>195</v>
      </c>
      <c r="B1374" s="60" t="s">
        <v>76</v>
      </c>
    </row>
    <row r="1375" ht="12.75" customHeight="1">
      <c r="A1375" s="59" t="s">
        <v>195</v>
      </c>
      <c r="B1375" s="60" t="s">
        <v>80</v>
      </c>
    </row>
    <row r="1376" ht="12.75" customHeight="1">
      <c r="A1376" s="59" t="s">
        <v>195</v>
      </c>
      <c r="B1376" s="60" t="s">
        <v>83</v>
      </c>
    </row>
    <row r="1377" ht="12.75" customHeight="1">
      <c r="A1377" s="59" t="s">
        <v>195</v>
      </c>
      <c r="B1377" s="60" t="s">
        <v>85</v>
      </c>
    </row>
    <row r="1378" ht="12.75" customHeight="1">
      <c r="A1378" s="59" t="s">
        <v>195</v>
      </c>
      <c r="B1378" s="60" t="s">
        <v>805</v>
      </c>
    </row>
    <row r="1379" ht="12.75" customHeight="1">
      <c r="A1379" s="59" t="s">
        <v>195</v>
      </c>
      <c r="B1379" s="60" t="s">
        <v>806</v>
      </c>
    </row>
    <row r="1380" ht="12.75" customHeight="1">
      <c r="A1380" s="59" t="s">
        <v>195</v>
      </c>
      <c r="B1380" s="60" t="s">
        <v>807</v>
      </c>
    </row>
    <row r="1381" ht="12.75" customHeight="1">
      <c r="A1381" s="59" t="s">
        <v>195</v>
      </c>
      <c r="B1381" s="60" t="s">
        <v>753</v>
      </c>
    </row>
    <row r="1382" ht="12.75" customHeight="1">
      <c r="A1382" s="59" t="s">
        <v>195</v>
      </c>
      <c r="B1382" s="60" t="s">
        <v>757</v>
      </c>
    </row>
    <row r="1383" ht="12.75" customHeight="1">
      <c r="A1383" s="59" t="s">
        <v>195</v>
      </c>
      <c r="B1383" s="60" t="s">
        <v>761</v>
      </c>
    </row>
    <row r="1384" ht="12.75" customHeight="1">
      <c r="A1384" s="59" t="s">
        <v>195</v>
      </c>
      <c r="B1384" s="60" t="s">
        <v>765</v>
      </c>
    </row>
    <row r="1385" ht="12.75" customHeight="1">
      <c r="A1385" s="59" t="s">
        <v>195</v>
      </c>
      <c r="B1385" s="60" t="s">
        <v>808</v>
      </c>
    </row>
    <row r="1386" ht="12.75" customHeight="1">
      <c r="A1386" s="59" t="s">
        <v>195</v>
      </c>
      <c r="B1386" s="60" t="s">
        <v>809</v>
      </c>
    </row>
    <row r="1387" ht="12.75" customHeight="1">
      <c r="A1387" s="59" t="s">
        <v>195</v>
      </c>
      <c r="B1387" s="60" t="s">
        <v>810</v>
      </c>
    </row>
    <row r="1388" ht="12.75" customHeight="1">
      <c r="A1388" s="59" t="s">
        <v>195</v>
      </c>
      <c r="B1388" s="60" t="s">
        <v>811</v>
      </c>
    </row>
    <row r="1389" ht="12.75" customHeight="1">
      <c r="A1389" s="59" t="s">
        <v>195</v>
      </c>
      <c r="B1389" s="60" t="s">
        <v>812</v>
      </c>
    </row>
    <row r="1390" ht="12.75" customHeight="1">
      <c r="A1390" s="59" t="s">
        <v>195</v>
      </c>
      <c r="B1390" s="60" t="s">
        <v>813</v>
      </c>
    </row>
    <row r="1391" ht="12.75" customHeight="1">
      <c r="A1391" s="59" t="s">
        <v>195</v>
      </c>
      <c r="B1391" s="60" t="s">
        <v>814</v>
      </c>
    </row>
    <row r="1392" ht="12.75" customHeight="1">
      <c r="A1392" s="59" t="s">
        <v>195</v>
      </c>
      <c r="B1392" s="60" t="s">
        <v>815</v>
      </c>
    </row>
    <row r="1393" ht="12.75" customHeight="1">
      <c r="A1393" s="59" t="s">
        <v>195</v>
      </c>
      <c r="B1393" s="60" t="s">
        <v>816</v>
      </c>
    </row>
    <row r="1394" ht="12.75" customHeight="1">
      <c r="A1394" s="59" t="s">
        <v>195</v>
      </c>
      <c r="B1394" s="60" t="s">
        <v>771</v>
      </c>
    </row>
    <row r="1395" ht="12.75" customHeight="1">
      <c r="A1395" s="59" t="s">
        <v>195</v>
      </c>
      <c r="B1395" s="60" t="s">
        <v>775</v>
      </c>
    </row>
    <row r="1396" ht="12.75" customHeight="1">
      <c r="A1396" s="59" t="s">
        <v>195</v>
      </c>
      <c r="B1396" s="60" t="s">
        <v>779</v>
      </c>
    </row>
    <row r="1397" ht="12.75" customHeight="1">
      <c r="A1397" s="59" t="s">
        <v>195</v>
      </c>
      <c r="B1397" s="60" t="s">
        <v>783</v>
      </c>
    </row>
    <row r="1398" ht="12.75" customHeight="1">
      <c r="A1398" s="59" t="s">
        <v>195</v>
      </c>
      <c r="B1398" s="60" t="s">
        <v>817</v>
      </c>
    </row>
    <row r="1399" ht="12.75" customHeight="1">
      <c r="A1399" s="59" t="s">
        <v>195</v>
      </c>
      <c r="B1399" s="60" t="s">
        <v>818</v>
      </c>
    </row>
    <row r="1400" ht="12.75" customHeight="1">
      <c r="A1400" s="59" t="s">
        <v>195</v>
      </c>
      <c r="B1400" s="60" t="s">
        <v>819</v>
      </c>
    </row>
    <row r="1401" ht="12.75" customHeight="1">
      <c r="A1401" s="59" t="s">
        <v>195</v>
      </c>
      <c r="B1401" s="60" t="s">
        <v>820</v>
      </c>
    </row>
    <row r="1402" ht="12.75" customHeight="1">
      <c r="A1402" s="59" t="s">
        <v>195</v>
      </c>
      <c r="B1402" s="60" t="s">
        <v>821</v>
      </c>
    </row>
    <row r="1403" ht="12.75" customHeight="1">
      <c r="A1403" s="59" t="s">
        <v>195</v>
      </c>
      <c r="B1403" s="60" t="s">
        <v>822</v>
      </c>
    </row>
    <row r="1404" ht="12.75" customHeight="1">
      <c r="A1404" s="59" t="s">
        <v>195</v>
      </c>
      <c r="B1404" s="60" t="s">
        <v>823</v>
      </c>
    </row>
    <row r="1405" ht="12.75" customHeight="1">
      <c r="A1405" s="59" t="s">
        <v>195</v>
      </c>
      <c r="B1405" s="60" t="s">
        <v>824</v>
      </c>
    </row>
    <row r="1406" ht="12.75" customHeight="1">
      <c r="A1406" s="59" t="s">
        <v>195</v>
      </c>
      <c r="B1406" s="60" t="s">
        <v>825</v>
      </c>
    </row>
    <row r="1407" ht="12.75" customHeight="1">
      <c r="A1407" s="59" t="s">
        <v>195</v>
      </c>
      <c r="B1407" s="60" t="s">
        <v>788</v>
      </c>
    </row>
    <row r="1408" ht="12.75" customHeight="1">
      <c r="A1408" s="59" t="s">
        <v>195</v>
      </c>
      <c r="B1408" s="60" t="s">
        <v>792</v>
      </c>
    </row>
    <row r="1409" ht="12.75" customHeight="1">
      <c r="A1409" s="59" t="s">
        <v>195</v>
      </c>
      <c r="B1409" s="60" t="s">
        <v>796</v>
      </c>
    </row>
    <row r="1410" ht="12.75" customHeight="1">
      <c r="A1410" s="59" t="s">
        <v>195</v>
      </c>
      <c r="B1410" s="60" t="s">
        <v>800</v>
      </c>
    </row>
    <row r="1411" ht="12.75" customHeight="1">
      <c r="A1411" s="59" t="s">
        <v>195</v>
      </c>
      <c r="B1411" s="60" t="s">
        <v>826</v>
      </c>
    </row>
    <row r="1412" ht="12.75" customHeight="1">
      <c r="A1412" s="59" t="s">
        <v>195</v>
      </c>
      <c r="B1412" s="60" t="s">
        <v>827</v>
      </c>
    </row>
    <row r="1413" ht="12.75" customHeight="1">
      <c r="A1413" s="59" t="s">
        <v>195</v>
      </c>
      <c r="B1413" s="60" t="s">
        <v>828</v>
      </c>
    </row>
    <row r="1414" ht="12.75" customHeight="1">
      <c r="A1414" s="59" t="s">
        <v>195</v>
      </c>
      <c r="B1414" s="60" t="s">
        <v>829</v>
      </c>
    </row>
    <row r="1415" ht="12.75" customHeight="1">
      <c r="A1415" s="59" t="s">
        <v>195</v>
      </c>
      <c r="B1415" s="60" t="s">
        <v>830</v>
      </c>
    </row>
    <row r="1416" ht="12.75" customHeight="1">
      <c r="A1416" s="59" t="s">
        <v>195</v>
      </c>
      <c r="B1416" s="60" t="s">
        <v>831</v>
      </c>
    </row>
    <row r="1417" ht="12.75" customHeight="1">
      <c r="A1417" s="59" t="s">
        <v>195</v>
      </c>
      <c r="B1417" s="60" t="s">
        <v>832</v>
      </c>
    </row>
    <row r="1418" ht="12.75" customHeight="1">
      <c r="A1418" s="59" t="s">
        <v>195</v>
      </c>
      <c r="B1418" s="60" t="s">
        <v>833</v>
      </c>
    </row>
    <row r="1419" ht="12.75" customHeight="1">
      <c r="A1419" s="59" t="s">
        <v>195</v>
      </c>
      <c r="B1419" s="60" t="s">
        <v>834</v>
      </c>
    </row>
    <row r="1420" ht="12.75" customHeight="1">
      <c r="A1420" s="59" t="s">
        <v>195</v>
      </c>
      <c r="B1420" s="60">
        <v>14.0</v>
      </c>
    </row>
    <row r="1421" ht="12.75" customHeight="1">
      <c r="A1421" s="59" t="s">
        <v>195</v>
      </c>
      <c r="B1421" s="60" t="s">
        <v>835</v>
      </c>
    </row>
    <row r="1422" ht="12.75" customHeight="1">
      <c r="A1422" s="59" t="s">
        <v>195</v>
      </c>
      <c r="B1422" s="60">
        <v>16.0</v>
      </c>
    </row>
    <row r="1423" ht="12.75" customHeight="1">
      <c r="A1423" s="59" t="s">
        <v>195</v>
      </c>
      <c r="B1423" s="60" t="s">
        <v>836</v>
      </c>
    </row>
    <row r="1424" ht="12.75" customHeight="1">
      <c r="A1424" s="59" t="s">
        <v>195</v>
      </c>
      <c r="B1424" s="60">
        <v>18.0</v>
      </c>
    </row>
    <row r="1425" ht="12.75" customHeight="1">
      <c r="A1425" s="59" t="s">
        <v>195</v>
      </c>
      <c r="B1425" s="60" t="s">
        <v>837</v>
      </c>
    </row>
    <row r="1426" ht="12.75" customHeight="1">
      <c r="A1426" s="59" t="s">
        <v>195</v>
      </c>
      <c r="B1426" s="60">
        <v>20.0</v>
      </c>
    </row>
    <row r="1427" ht="12.75" customHeight="1">
      <c r="A1427" s="59" t="s">
        <v>195</v>
      </c>
      <c r="B1427" s="60" t="s">
        <v>838</v>
      </c>
    </row>
    <row r="1428" ht="12.75" customHeight="1">
      <c r="A1428" s="59" t="s">
        <v>195</v>
      </c>
      <c r="B1428" s="60">
        <v>22.0</v>
      </c>
    </row>
    <row r="1429" ht="12.75" customHeight="1">
      <c r="A1429" s="59" t="s">
        <v>195</v>
      </c>
      <c r="B1429" s="60" t="s">
        <v>839</v>
      </c>
    </row>
    <row r="1430" ht="12.75" customHeight="1">
      <c r="A1430" s="59" t="s">
        <v>195</v>
      </c>
      <c r="B1430" s="60">
        <v>24.0</v>
      </c>
    </row>
    <row r="1431" ht="12.75" customHeight="1">
      <c r="A1431" s="59" t="s">
        <v>195</v>
      </c>
      <c r="B1431" s="60" t="s">
        <v>840</v>
      </c>
    </row>
    <row r="1432" ht="12.75" customHeight="1">
      <c r="A1432" s="59" t="s">
        <v>195</v>
      </c>
      <c r="B1432" s="60">
        <v>26.0</v>
      </c>
    </row>
    <row r="1433" ht="12.75" customHeight="1">
      <c r="A1433" s="59" t="s">
        <v>195</v>
      </c>
      <c r="B1433" s="60" t="s">
        <v>841</v>
      </c>
    </row>
    <row r="1434" ht="12.75" customHeight="1">
      <c r="A1434" s="59" t="s">
        <v>195</v>
      </c>
      <c r="B1434" s="60">
        <v>28.0</v>
      </c>
    </row>
    <row r="1435" ht="12.75" customHeight="1">
      <c r="A1435" s="59" t="s">
        <v>195</v>
      </c>
      <c r="B1435" s="60" t="s">
        <v>842</v>
      </c>
    </row>
    <row r="1436" ht="12.75" customHeight="1">
      <c r="A1436" s="59" t="s">
        <v>195</v>
      </c>
      <c r="B1436" s="60">
        <v>30.0</v>
      </c>
    </row>
    <row r="1437" ht="12.75" customHeight="1">
      <c r="A1437" s="59" t="s">
        <v>195</v>
      </c>
      <c r="B1437" s="60" t="s">
        <v>843</v>
      </c>
    </row>
    <row r="1438" ht="12.75" customHeight="1">
      <c r="A1438" s="59" t="s">
        <v>195</v>
      </c>
      <c r="B1438" s="60">
        <v>32.0</v>
      </c>
    </row>
    <row r="1439" ht="12.75" customHeight="1">
      <c r="A1439" s="59" t="s">
        <v>195</v>
      </c>
      <c r="B1439" s="60" t="s">
        <v>844</v>
      </c>
    </row>
    <row r="1440" ht="12.75" customHeight="1">
      <c r="A1440" s="59" t="s">
        <v>195</v>
      </c>
      <c r="B1440" s="60" t="s">
        <v>845</v>
      </c>
    </row>
    <row r="1441" ht="12.75" customHeight="1">
      <c r="A1441" s="59" t="s">
        <v>195</v>
      </c>
      <c r="B1441" s="60" t="s">
        <v>846</v>
      </c>
    </row>
    <row r="1442" ht="12.75" customHeight="1">
      <c r="A1442" s="59" t="s">
        <v>195</v>
      </c>
      <c r="B1442" s="60" t="s">
        <v>847</v>
      </c>
    </row>
    <row r="1443" ht="12.75" customHeight="1">
      <c r="A1443" s="59" t="s">
        <v>195</v>
      </c>
      <c r="B1443" s="60" t="s">
        <v>848</v>
      </c>
    </row>
    <row r="1444" ht="12.75" customHeight="1">
      <c r="A1444" s="59" t="s">
        <v>195</v>
      </c>
      <c r="B1444" s="60" t="s">
        <v>849</v>
      </c>
    </row>
    <row r="1445" ht="12.75" customHeight="1">
      <c r="A1445" s="59" t="s">
        <v>195</v>
      </c>
      <c r="B1445" s="60" t="s">
        <v>850</v>
      </c>
    </row>
    <row r="1446" ht="12.75" customHeight="1">
      <c r="A1446" s="59" t="s">
        <v>195</v>
      </c>
      <c r="B1446" s="60" t="s">
        <v>851</v>
      </c>
    </row>
    <row r="1447" ht="12.75" customHeight="1">
      <c r="A1447" s="59" t="s">
        <v>195</v>
      </c>
      <c r="B1447" s="60" t="s">
        <v>852</v>
      </c>
    </row>
    <row r="1448" ht="12.75" customHeight="1">
      <c r="A1448" s="59" t="s">
        <v>195</v>
      </c>
      <c r="B1448" s="60" t="s">
        <v>853</v>
      </c>
    </row>
    <row r="1449" ht="12.75" customHeight="1">
      <c r="A1449" s="59" t="s">
        <v>195</v>
      </c>
      <c r="B1449" s="60" t="s">
        <v>854</v>
      </c>
    </row>
    <row r="1450" ht="12.75" customHeight="1">
      <c r="A1450" s="59" t="s">
        <v>195</v>
      </c>
      <c r="B1450" s="60" t="s">
        <v>855</v>
      </c>
    </row>
    <row r="1451" ht="12.75" customHeight="1">
      <c r="A1451" s="59" t="s">
        <v>195</v>
      </c>
      <c r="B1451" s="60" t="s">
        <v>856</v>
      </c>
    </row>
    <row r="1452" ht="12.75" customHeight="1">
      <c r="A1452" s="59" t="s">
        <v>195</v>
      </c>
      <c r="B1452" s="60" t="s">
        <v>857</v>
      </c>
    </row>
    <row r="1453" ht="12.75" customHeight="1">
      <c r="A1453" s="59" t="s">
        <v>195</v>
      </c>
      <c r="B1453" s="60" t="s">
        <v>858</v>
      </c>
    </row>
    <row r="1454" ht="12.75" customHeight="1">
      <c r="A1454" s="59" t="s">
        <v>195</v>
      </c>
      <c r="B1454" s="60" t="s">
        <v>859</v>
      </c>
    </row>
    <row r="1455" ht="12.75" customHeight="1">
      <c r="A1455" s="59" t="s">
        <v>195</v>
      </c>
      <c r="B1455" s="60" t="s">
        <v>860</v>
      </c>
    </row>
    <row r="1456" ht="12.75" customHeight="1">
      <c r="A1456" s="59" t="s">
        <v>195</v>
      </c>
      <c r="B1456" s="60" t="s">
        <v>861</v>
      </c>
    </row>
    <row r="1457" ht="12.75" customHeight="1">
      <c r="A1457" s="59" t="s">
        <v>195</v>
      </c>
      <c r="B1457" s="60" t="s">
        <v>862</v>
      </c>
    </row>
    <row r="1458" ht="12.75" customHeight="1">
      <c r="A1458" s="59" t="s">
        <v>195</v>
      </c>
      <c r="B1458" s="60" t="s">
        <v>863</v>
      </c>
    </row>
    <row r="1459" ht="12.75" customHeight="1">
      <c r="A1459" s="59" t="s">
        <v>195</v>
      </c>
      <c r="B1459" s="60" t="s">
        <v>864</v>
      </c>
    </row>
    <row r="1460" ht="12.75" customHeight="1">
      <c r="A1460" s="59" t="s">
        <v>195</v>
      </c>
      <c r="B1460" s="60" t="s">
        <v>865</v>
      </c>
    </row>
    <row r="1461" ht="12.75" customHeight="1">
      <c r="A1461" s="59" t="s">
        <v>195</v>
      </c>
      <c r="B1461" s="60" t="s">
        <v>866</v>
      </c>
    </row>
    <row r="1462" ht="12.75" customHeight="1">
      <c r="A1462" s="59" t="s">
        <v>195</v>
      </c>
      <c r="B1462" s="60" t="s">
        <v>867</v>
      </c>
    </row>
    <row r="1463" ht="12.75" customHeight="1">
      <c r="A1463" s="59" t="s">
        <v>195</v>
      </c>
      <c r="B1463" s="60" t="s">
        <v>868</v>
      </c>
    </row>
    <row r="1464" ht="12.75" customHeight="1">
      <c r="A1464" s="59" t="s">
        <v>195</v>
      </c>
      <c r="B1464" s="60" t="s">
        <v>869</v>
      </c>
    </row>
    <row r="1465" ht="12.75" customHeight="1">
      <c r="A1465" s="59" t="s">
        <v>195</v>
      </c>
      <c r="B1465" s="60" t="s">
        <v>870</v>
      </c>
    </row>
    <row r="1466" ht="12.75" customHeight="1">
      <c r="A1466" s="59" t="s">
        <v>195</v>
      </c>
      <c r="B1466" s="60" t="s">
        <v>871</v>
      </c>
    </row>
    <row r="1467" ht="12.75" customHeight="1">
      <c r="A1467" s="59" t="s">
        <v>195</v>
      </c>
      <c r="B1467" s="60" t="s">
        <v>872</v>
      </c>
    </row>
    <row r="1468" ht="12.75" customHeight="1">
      <c r="A1468" s="59" t="s">
        <v>195</v>
      </c>
      <c r="B1468" s="60" t="s">
        <v>873</v>
      </c>
    </row>
    <row r="1469" ht="12.75" customHeight="1">
      <c r="A1469" s="59" t="s">
        <v>195</v>
      </c>
      <c r="B1469" s="60" t="s">
        <v>874</v>
      </c>
    </row>
    <row r="1470" ht="12.75" customHeight="1">
      <c r="A1470" s="59" t="s">
        <v>195</v>
      </c>
      <c r="B1470" s="60" t="s">
        <v>875</v>
      </c>
    </row>
    <row r="1471" ht="12.75" customHeight="1">
      <c r="A1471" s="59" t="s">
        <v>195</v>
      </c>
      <c r="B1471" s="60" t="s">
        <v>876</v>
      </c>
    </row>
    <row r="1472" ht="12.75" customHeight="1">
      <c r="A1472" s="59" t="s">
        <v>195</v>
      </c>
      <c r="B1472" s="60" t="s">
        <v>877</v>
      </c>
    </row>
    <row r="1473" ht="12.75" customHeight="1">
      <c r="A1473" s="59" t="s">
        <v>195</v>
      </c>
      <c r="B1473" s="60" t="s">
        <v>878</v>
      </c>
    </row>
    <row r="1474" ht="12.75" customHeight="1">
      <c r="A1474" s="59" t="s">
        <v>195</v>
      </c>
      <c r="B1474" s="60" t="s">
        <v>879</v>
      </c>
    </row>
    <row r="1475" ht="12.75" customHeight="1">
      <c r="A1475" s="59" t="s">
        <v>195</v>
      </c>
      <c r="B1475" s="60" t="s">
        <v>880</v>
      </c>
    </row>
    <row r="1476" ht="12.75" customHeight="1">
      <c r="A1476" s="59" t="s">
        <v>195</v>
      </c>
      <c r="B1476" s="60" t="s">
        <v>881</v>
      </c>
    </row>
    <row r="1477" ht="12.75" customHeight="1">
      <c r="A1477" s="59" t="s">
        <v>195</v>
      </c>
      <c r="B1477" s="60" t="s">
        <v>882</v>
      </c>
    </row>
    <row r="1478" ht="12.75" customHeight="1">
      <c r="A1478" s="59" t="s">
        <v>195</v>
      </c>
      <c r="B1478" s="60" t="s">
        <v>883</v>
      </c>
    </row>
    <row r="1479" ht="12.75" customHeight="1">
      <c r="A1479" s="59" t="s">
        <v>195</v>
      </c>
      <c r="B1479" s="60" t="s">
        <v>884</v>
      </c>
    </row>
    <row r="1480" ht="12.75" customHeight="1">
      <c r="A1480" s="59" t="s">
        <v>195</v>
      </c>
      <c r="B1480" s="60" t="s">
        <v>885</v>
      </c>
    </row>
    <row r="1481" ht="12.75" customHeight="1">
      <c r="A1481" s="59" t="s">
        <v>195</v>
      </c>
      <c r="B1481" s="60" t="s">
        <v>886</v>
      </c>
    </row>
    <row r="1482" ht="12.75" customHeight="1">
      <c r="A1482" s="59" t="s">
        <v>195</v>
      </c>
      <c r="B1482" s="60" t="s">
        <v>887</v>
      </c>
    </row>
    <row r="1483" ht="12.75" customHeight="1">
      <c r="A1483" s="59" t="s">
        <v>195</v>
      </c>
      <c r="B1483" s="60" t="s">
        <v>888</v>
      </c>
    </row>
    <row r="1484" ht="12.75" customHeight="1">
      <c r="A1484" s="59" t="s">
        <v>195</v>
      </c>
      <c r="B1484" s="60" t="s">
        <v>889</v>
      </c>
    </row>
    <row r="1485" ht="12.75" customHeight="1">
      <c r="A1485" s="59" t="s">
        <v>195</v>
      </c>
      <c r="B1485" s="60" t="s">
        <v>890</v>
      </c>
    </row>
    <row r="1486" ht="12.75" customHeight="1">
      <c r="A1486" s="59" t="s">
        <v>195</v>
      </c>
      <c r="B1486" s="60" t="s">
        <v>891</v>
      </c>
    </row>
    <row r="1487" ht="12.75" customHeight="1">
      <c r="A1487" s="59" t="s">
        <v>195</v>
      </c>
      <c r="B1487" s="60" t="s">
        <v>892</v>
      </c>
    </row>
    <row r="1488" ht="12.75" customHeight="1">
      <c r="A1488" s="59" t="s">
        <v>195</v>
      </c>
      <c r="B1488" s="60" t="s">
        <v>893</v>
      </c>
    </row>
    <row r="1489" ht="12.75" customHeight="1">
      <c r="A1489" s="59" t="s">
        <v>195</v>
      </c>
      <c r="B1489" s="60" t="s">
        <v>894</v>
      </c>
    </row>
    <row r="1490" ht="12.75" customHeight="1">
      <c r="A1490" s="59" t="s">
        <v>195</v>
      </c>
      <c r="B1490" s="60" t="s">
        <v>895</v>
      </c>
    </row>
    <row r="1491" ht="12.75" customHeight="1">
      <c r="A1491" s="59" t="s">
        <v>195</v>
      </c>
      <c r="B1491" s="60" t="s">
        <v>896</v>
      </c>
    </row>
    <row r="1492" ht="12.75" customHeight="1">
      <c r="A1492" s="59" t="s">
        <v>195</v>
      </c>
      <c r="B1492" s="60" t="s">
        <v>897</v>
      </c>
    </row>
    <row r="1493" ht="12.75" customHeight="1">
      <c r="A1493" s="59" t="s">
        <v>195</v>
      </c>
      <c r="B1493" s="60" t="s">
        <v>898</v>
      </c>
    </row>
    <row r="1494" ht="12.75" customHeight="1">
      <c r="A1494" s="59" t="s">
        <v>195</v>
      </c>
      <c r="B1494" s="60" t="s">
        <v>899</v>
      </c>
    </row>
    <row r="1495" ht="12.75" customHeight="1">
      <c r="A1495" s="59" t="s">
        <v>195</v>
      </c>
      <c r="B1495" s="60" t="s">
        <v>900</v>
      </c>
    </row>
    <row r="1496" ht="12.75" customHeight="1">
      <c r="A1496" s="59" t="s">
        <v>195</v>
      </c>
      <c r="B1496" s="60" t="s">
        <v>901</v>
      </c>
    </row>
    <row r="1497" ht="12.75" customHeight="1">
      <c r="A1497" s="59" t="s">
        <v>195</v>
      </c>
      <c r="B1497" s="60" t="s">
        <v>902</v>
      </c>
    </row>
    <row r="1498" ht="12.75" customHeight="1">
      <c r="A1498" s="59" t="s">
        <v>195</v>
      </c>
      <c r="B1498" s="60" t="s">
        <v>903</v>
      </c>
    </row>
    <row r="1499" ht="12.75" customHeight="1">
      <c r="A1499" s="59" t="s">
        <v>195</v>
      </c>
      <c r="B1499" s="60" t="s">
        <v>904</v>
      </c>
    </row>
    <row r="1500" ht="12.75" customHeight="1">
      <c r="A1500" s="59" t="s">
        <v>195</v>
      </c>
      <c r="B1500" s="60" t="s">
        <v>905</v>
      </c>
    </row>
    <row r="1501" ht="12.75" customHeight="1">
      <c r="A1501" s="59" t="s">
        <v>195</v>
      </c>
      <c r="B1501" s="60" t="s">
        <v>906</v>
      </c>
    </row>
    <row r="1502" ht="12.75" customHeight="1">
      <c r="A1502" s="59" t="s">
        <v>195</v>
      </c>
      <c r="B1502" s="60" t="s">
        <v>907</v>
      </c>
    </row>
    <row r="1503" ht="12.75" customHeight="1">
      <c r="A1503" s="59" t="s">
        <v>195</v>
      </c>
      <c r="B1503" s="60" t="s">
        <v>908</v>
      </c>
    </row>
    <row r="1504" ht="12.75" customHeight="1">
      <c r="A1504" s="59" t="s">
        <v>195</v>
      </c>
      <c r="B1504" s="60" t="s">
        <v>909</v>
      </c>
    </row>
    <row r="1505" ht="12.75" customHeight="1">
      <c r="A1505" s="59" t="s">
        <v>195</v>
      </c>
      <c r="B1505" s="60" t="s">
        <v>910</v>
      </c>
    </row>
    <row r="1506" ht="12.75" customHeight="1">
      <c r="A1506" s="59" t="s">
        <v>195</v>
      </c>
      <c r="B1506" s="60" t="s">
        <v>911</v>
      </c>
    </row>
    <row r="1507" ht="12.75" customHeight="1">
      <c r="A1507" s="59" t="s">
        <v>195</v>
      </c>
      <c r="B1507" s="60" t="s">
        <v>912</v>
      </c>
    </row>
    <row r="1508" ht="12.75" customHeight="1">
      <c r="A1508" s="59" t="s">
        <v>195</v>
      </c>
      <c r="B1508" s="60" t="s">
        <v>913</v>
      </c>
    </row>
    <row r="1509" ht="12.75" customHeight="1">
      <c r="A1509" s="59" t="s">
        <v>195</v>
      </c>
      <c r="B1509" s="60" t="s">
        <v>914</v>
      </c>
    </row>
    <row r="1510" ht="12.75" customHeight="1">
      <c r="A1510" s="59" t="s">
        <v>195</v>
      </c>
      <c r="B1510" s="60" t="s">
        <v>915</v>
      </c>
    </row>
    <row r="1511" ht="12.75" customHeight="1">
      <c r="A1511" s="59" t="s">
        <v>195</v>
      </c>
      <c r="B1511" s="60" t="s">
        <v>916</v>
      </c>
    </row>
    <row r="1512" ht="12.75" customHeight="1">
      <c r="A1512" s="59" t="s">
        <v>195</v>
      </c>
      <c r="B1512" s="60" t="s">
        <v>917</v>
      </c>
    </row>
    <row r="1513" ht="12.75" customHeight="1">
      <c r="A1513" s="59" t="s">
        <v>195</v>
      </c>
      <c r="B1513" s="60" t="s">
        <v>918</v>
      </c>
    </row>
    <row r="1514" ht="12.75" customHeight="1">
      <c r="A1514" s="59" t="s">
        <v>195</v>
      </c>
      <c r="B1514" s="60" t="s">
        <v>919</v>
      </c>
    </row>
    <row r="1515" ht="12.75" customHeight="1">
      <c r="A1515" s="59" t="s">
        <v>195</v>
      </c>
      <c r="B1515" s="60" t="s">
        <v>920</v>
      </c>
    </row>
    <row r="1516" ht="12.75" customHeight="1">
      <c r="A1516" s="59" t="s">
        <v>195</v>
      </c>
      <c r="B1516" s="60" t="s">
        <v>921</v>
      </c>
    </row>
    <row r="1517" ht="12.75" customHeight="1">
      <c r="A1517" s="59" t="s">
        <v>195</v>
      </c>
      <c r="B1517" s="60" t="s">
        <v>922</v>
      </c>
    </row>
    <row r="1518" ht="12.75" customHeight="1">
      <c r="A1518" s="59" t="s">
        <v>195</v>
      </c>
      <c r="B1518" s="60" t="s">
        <v>923</v>
      </c>
    </row>
    <row r="1519" ht="12.75" customHeight="1">
      <c r="A1519" s="59" t="s">
        <v>195</v>
      </c>
      <c r="B1519" s="60" t="s">
        <v>924</v>
      </c>
    </row>
    <row r="1520" ht="12.75" customHeight="1">
      <c r="A1520" s="59" t="s">
        <v>195</v>
      </c>
      <c r="B1520" s="60" t="s">
        <v>925</v>
      </c>
    </row>
    <row r="1521" ht="12.75" customHeight="1">
      <c r="A1521" s="59" t="s">
        <v>195</v>
      </c>
      <c r="B1521" s="60" t="s">
        <v>926</v>
      </c>
    </row>
    <row r="1522" ht="12.75" customHeight="1">
      <c r="A1522" s="59" t="s">
        <v>195</v>
      </c>
      <c r="B1522" s="60" t="s">
        <v>927</v>
      </c>
    </row>
    <row r="1523" ht="12.75" customHeight="1">
      <c r="A1523" s="59" t="s">
        <v>195</v>
      </c>
      <c r="B1523" s="60" t="s">
        <v>928</v>
      </c>
    </row>
    <row r="1524" ht="12.75" customHeight="1">
      <c r="A1524" s="59" t="s">
        <v>195</v>
      </c>
      <c r="B1524" s="60" t="s">
        <v>929</v>
      </c>
    </row>
    <row r="1525" ht="12.75" customHeight="1">
      <c r="A1525" s="59" t="s">
        <v>195</v>
      </c>
      <c r="B1525" s="60" t="s">
        <v>930</v>
      </c>
    </row>
    <row r="1526" ht="12.75" customHeight="1">
      <c r="A1526" s="59" t="s">
        <v>195</v>
      </c>
      <c r="B1526" s="60" t="s">
        <v>931</v>
      </c>
    </row>
    <row r="1527" ht="12.75" customHeight="1">
      <c r="A1527" s="59" t="s">
        <v>195</v>
      </c>
      <c r="B1527" s="60" t="s">
        <v>932</v>
      </c>
    </row>
    <row r="1528" ht="12.75" customHeight="1">
      <c r="A1528" s="59" t="s">
        <v>195</v>
      </c>
      <c r="B1528" s="60" t="s">
        <v>933</v>
      </c>
    </row>
    <row r="1529" ht="12.75" customHeight="1">
      <c r="A1529" s="59" t="s">
        <v>195</v>
      </c>
      <c r="B1529" s="60" t="s">
        <v>934</v>
      </c>
    </row>
    <row r="1530" ht="12.75" customHeight="1">
      <c r="A1530" s="59" t="s">
        <v>195</v>
      </c>
      <c r="B1530" s="60" t="s">
        <v>935</v>
      </c>
    </row>
    <row r="1531" ht="12.75" customHeight="1">
      <c r="A1531" s="59" t="s">
        <v>195</v>
      </c>
      <c r="B1531" s="60" t="s">
        <v>936</v>
      </c>
    </row>
    <row r="1532" ht="12.75" customHeight="1">
      <c r="A1532" s="59" t="s">
        <v>195</v>
      </c>
      <c r="B1532" s="60" t="s">
        <v>937</v>
      </c>
    </row>
    <row r="1533" ht="12.75" customHeight="1">
      <c r="A1533" s="59" t="s">
        <v>195</v>
      </c>
      <c r="B1533" s="60" t="s">
        <v>938</v>
      </c>
    </row>
    <row r="1534" ht="12.75" customHeight="1">
      <c r="A1534" s="59" t="s">
        <v>195</v>
      </c>
      <c r="B1534" s="60" t="s">
        <v>939</v>
      </c>
    </row>
    <row r="1535" ht="12.75" customHeight="1">
      <c r="A1535" s="59" t="s">
        <v>195</v>
      </c>
      <c r="B1535" s="60" t="s">
        <v>940</v>
      </c>
    </row>
    <row r="1536" ht="12.75" customHeight="1">
      <c r="A1536" s="59" t="s">
        <v>195</v>
      </c>
      <c r="B1536" s="60" t="s">
        <v>941</v>
      </c>
    </row>
    <row r="1537" ht="12.75" customHeight="1">
      <c r="A1537" s="59" t="s">
        <v>195</v>
      </c>
      <c r="B1537" s="60" t="s">
        <v>942</v>
      </c>
    </row>
    <row r="1538" ht="12.75" customHeight="1">
      <c r="A1538" s="59" t="s">
        <v>195</v>
      </c>
      <c r="B1538" s="60" t="s">
        <v>943</v>
      </c>
    </row>
    <row r="1539" ht="12.75" customHeight="1">
      <c r="A1539" s="59" t="s">
        <v>195</v>
      </c>
      <c r="B1539" s="60" t="s">
        <v>944</v>
      </c>
    </row>
    <row r="1540" ht="12.75" customHeight="1">
      <c r="A1540" s="59" t="s">
        <v>195</v>
      </c>
      <c r="B1540" s="60" t="s">
        <v>945</v>
      </c>
    </row>
    <row r="1541" ht="12.75" customHeight="1">
      <c r="A1541" s="59" t="s">
        <v>195</v>
      </c>
      <c r="B1541" s="60" t="s">
        <v>946</v>
      </c>
    </row>
    <row r="1542" ht="12.75" customHeight="1">
      <c r="A1542" s="59" t="s">
        <v>195</v>
      </c>
      <c r="B1542" s="60" t="s">
        <v>947</v>
      </c>
    </row>
    <row r="1543" ht="12.75" customHeight="1">
      <c r="A1543" s="59" t="s">
        <v>195</v>
      </c>
      <c r="B1543" s="60" t="s">
        <v>948</v>
      </c>
    </row>
    <row r="1544" ht="12.75" customHeight="1">
      <c r="A1544" s="59" t="s">
        <v>195</v>
      </c>
      <c r="B1544" s="60" t="s">
        <v>949</v>
      </c>
    </row>
    <row r="1545" ht="12.75" customHeight="1">
      <c r="A1545" s="59" t="s">
        <v>195</v>
      </c>
      <c r="B1545" s="60" t="s">
        <v>950</v>
      </c>
    </row>
    <row r="1546" ht="12.75" customHeight="1">
      <c r="A1546" s="59" t="s">
        <v>195</v>
      </c>
      <c r="B1546" s="60" t="s">
        <v>951</v>
      </c>
    </row>
    <row r="1547" ht="12.75" customHeight="1">
      <c r="A1547" s="59" t="s">
        <v>195</v>
      </c>
      <c r="B1547" s="60" t="s">
        <v>952</v>
      </c>
    </row>
    <row r="1548" ht="12.75" customHeight="1">
      <c r="A1548" s="59" t="s">
        <v>195</v>
      </c>
      <c r="B1548" s="60" t="s">
        <v>953</v>
      </c>
    </row>
    <row r="1549" ht="12.75" customHeight="1">
      <c r="A1549" s="59" t="s">
        <v>195</v>
      </c>
      <c r="B1549" s="60" t="s">
        <v>954</v>
      </c>
    </row>
    <row r="1550" ht="12.75" customHeight="1">
      <c r="A1550" s="59" t="s">
        <v>195</v>
      </c>
      <c r="B1550" s="60" t="s">
        <v>955</v>
      </c>
    </row>
    <row r="1551" ht="12.75" customHeight="1">
      <c r="A1551" s="59" t="s">
        <v>195</v>
      </c>
      <c r="B1551" s="60" t="s">
        <v>956</v>
      </c>
    </row>
    <row r="1552" ht="12.75" customHeight="1">
      <c r="A1552" s="59" t="s">
        <v>195</v>
      </c>
      <c r="B1552" s="60" t="s">
        <v>957</v>
      </c>
    </row>
    <row r="1553" ht="12.75" customHeight="1">
      <c r="A1553" s="59" t="s">
        <v>195</v>
      </c>
      <c r="B1553" s="60" t="s">
        <v>958</v>
      </c>
    </row>
    <row r="1554" ht="12.75" customHeight="1">
      <c r="A1554" s="59" t="s">
        <v>195</v>
      </c>
      <c r="B1554" s="60" t="s">
        <v>959</v>
      </c>
    </row>
    <row r="1555" ht="12.75" customHeight="1">
      <c r="A1555" s="59" t="s">
        <v>195</v>
      </c>
      <c r="B1555" s="60" t="s">
        <v>960</v>
      </c>
    </row>
    <row r="1556" ht="12.75" customHeight="1">
      <c r="A1556" s="59" t="s">
        <v>195</v>
      </c>
      <c r="B1556" s="60" t="s">
        <v>961</v>
      </c>
    </row>
    <row r="1557" ht="12.75" customHeight="1">
      <c r="A1557" s="59" t="s">
        <v>195</v>
      </c>
      <c r="B1557" s="60" t="s">
        <v>962</v>
      </c>
    </row>
    <row r="1558" ht="12.75" customHeight="1">
      <c r="A1558" s="59" t="s">
        <v>195</v>
      </c>
      <c r="B1558" s="60" t="s">
        <v>963</v>
      </c>
    </row>
    <row r="1559" ht="12.75" customHeight="1">
      <c r="A1559" s="59" t="s">
        <v>195</v>
      </c>
      <c r="B1559" s="60" t="s">
        <v>964</v>
      </c>
    </row>
    <row r="1560" ht="12.75" customHeight="1">
      <c r="A1560" s="59" t="s">
        <v>195</v>
      </c>
      <c r="B1560" s="60" t="s">
        <v>965</v>
      </c>
    </row>
    <row r="1561" ht="12.75" customHeight="1">
      <c r="A1561" s="59" t="s">
        <v>195</v>
      </c>
      <c r="B1561" s="60" t="s">
        <v>966</v>
      </c>
    </row>
    <row r="1562" ht="12.75" customHeight="1">
      <c r="A1562" s="59" t="s">
        <v>195</v>
      </c>
      <c r="B1562" s="60" t="s">
        <v>967</v>
      </c>
    </row>
    <row r="1563" ht="12.75" customHeight="1">
      <c r="A1563" s="59" t="s">
        <v>195</v>
      </c>
      <c r="B1563" s="60" t="s">
        <v>968</v>
      </c>
    </row>
    <row r="1564" ht="12.75" customHeight="1">
      <c r="A1564" s="59" t="s">
        <v>195</v>
      </c>
      <c r="B1564" s="60" t="s">
        <v>969</v>
      </c>
    </row>
    <row r="1565" ht="12.75" customHeight="1">
      <c r="A1565" s="59" t="s">
        <v>195</v>
      </c>
      <c r="B1565" s="60" t="s">
        <v>970</v>
      </c>
    </row>
    <row r="1566" ht="12.75" customHeight="1">
      <c r="A1566" s="59" t="s">
        <v>195</v>
      </c>
      <c r="B1566" s="60" t="s">
        <v>971</v>
      </c>
    </row>
    <row r="1567" ht="12.75" customHeight="1">
      <c r="A1567" s="59" t="s">
        <v>195</v>
      </c>
      <c r="B1567" s="60" t="s">
        <v>972</v>
      </c>
    </row>
    <row r="1568" ht="12.75" customHeight="1">
      <c r="A1568" s="59" t="s">
        <v>195</v>
      </c>
      <c r="B1568" s="60" t="s">
        <v>973</v>
      </c>
    </row>
    <row r="1569" ht="12.75" customHeight="1">
      <c r="A1569" s="59" t="s">
        <v>195</v>
      </c>
      <c r="B1569" s="60" t="s">
        <v>974</v>
      </c>
    </row>
    <row r="1570" ht="12.75" customHeight="1">
      <c r="A1570" s="59" t="s">
        <v>195</v>
      </c>
      <c r="B1570" s="60" t="s">
        <v>975</v>
      </c>
    </row>
    <row r="1571" ht="12.75" customHeight="1">
      <c r="A1571" s="59" t="s">
        <v>195</v>
      </c>
      <c r="B1571" s="60" t="s">
        <v>976</v>
      </c>
    </row>
    <row r="1572" ht="12.75" customHeight="1">
      <c r="A1572" s="59" t="s">
        <v>195</v>
      </c>
      <c r="B1572" s="60" t="s">
        <v>977</v>
      </c>
    </row>
    <row r="1573" ht="12.75" customHeight="1">
      <c r="A1573" s="59" t="s">
        <v>195</v>
      </c>
      <c r="B1573" s="60" t="s">
        <v>978</v>
      </c>
    </row>
    <row r="1574" ht="12.75" customHeight="1">
      <c r="A1574" s="59" t="s">
        <v>195</v>
      </c>
      <c r="B1574" s="60" t="s">
        <v>979</v>
      </c>
    </row>
    <row r="1575" ht="12.75" customHeight="1">
      <c r="A1575" s="59" t="s">
        <v>195</v>
      </c>
      <c r="B1575" s="60" t="s">
        <v>980</v>
      </c>
    </row>
    <row r="1576" ht="12.75" customHeight="1">
      <c r="A1576" s="59" t="s">
        <v>195</v>
      </c>
      <c r="B1576" s="60" t="s">
        <v>981</v>
      </c>
    </row>
    <row r="1577" ht="12.75" customHeight="1">
      <c r="A1577" s="59" t="s">
        <v>195</v>
      </c>
      <c r="B1577" s="60" t="s">
        <v>982</v>
      </c>
    </row>
    <row r="1578" ht="12.75" customHeight="1">
      <c r="A1578" s="59" t="s">
        <v>195</v>
      </c>
      <c r="B1578" s="60" t="s">
        <v>983</v>
      </c>
    </row>
    <row r="1579" ht="12.75" customHeight="1">
      <c r="A1579" s="59" t="s">
        <v>195</v>
      </c>
      <c r="B1579" s="60" t="s">
        <v>984</v>
      </c>
    </row>
    <row r="1580" ht="12.75" customHeight="1">
      <c r="A1580" s="59" t="s">
        <v>195</v>
      </c>
      <c r="B1580" s="60" t="s">
        <v>985</v>
      </c>
    </row>
    <row r="1581" ht="12.75" customHeight="1">
      <c r="A1581" s="59" t="s">
        <v>195</v>
      </c>
      <c r="B1581" s="60" t="s">
        <v>986</v>
      </c>
    </row>
    <row r="1582" ht="12.75" customHeight="1">
      <c r="A1582" s="59" t="s">
        <v>195</v>
      </c>
      <c r="B1582" s="60" t="s">
        <v>987</v>
      </c>
    </row>
    <row r="1583" ht="12.75" customHeight="1">
      <c r="A1583" s="59" t="s">
        <v>195</v>
      </c>
      <c r="B1583" s="60" t="s">
        <v>988</v>
      </c>
    </row>
    <row r="1584" ht="12.75" customHeight="1">
      <c r="A1584" s="59" t="s">
        <v>195</v>
      </c>
      <c r="B1584" s="60" t="s">
        <v>989</v>
      </c>
    </row>
    <row r="1585" ht="12.75" customHeight="1">
      <c r="A1585" s="59" t="s">
        <v>195</v>
      </c>
      <c r="B1585" s="60" t="s">
        <v>990</v>
      </c>
    </row>
    <row r="1586" ht="12.75" customHeight="1">
      <c r="A1586" s="59" t="s">
        <v>195</v>
      </c>
      <c r="B1586" s="60" t="s">
        <v>991</v>
      </c>
    </row>
    <row r="1587" ht="12.75" customHeight="1">
      <c r="A1587" s="59" t="s">
        <v>195</v>
      </c>
      <c r="B1587" s="60" t="s">
        <v>992</v>
      </c>
    </row>
    <row r="1588" ht="12.75" customHeight="1">
      <c r="A1588" s="59" t="s">
        <v>195</v>
      </c>
      <c r="B1588" s="60" t="s">
        <v>993</v>
      </c>
    </row>
    <row r="1589" ht="12.75" customHeight="1">
      <c r="A1589" s="59" t="s">
        <v>195</v>
      </c>
      <c r="B1589" s="60" t="s">
        <v>994</v>
      </c>
    </row>
    <row r="1590" ht="12.75" customHeight="1">
      <c r="A1590" s="59" t="s">
        <v>195</v>
      </c>
      <c r="B1590" s="60" t="s">
        <v>995</v>
      </c>
    </row>
    <row r="1591" ht="12.75" customHeight="1">
      <c r="A1591" s="59" t="s">
        <v>195</v>
      </c>
      <c r="B1591" s="60" t="s">
        <v>996</v>
      </c>
    </row>
    <row r="1592" ht="12.75" customHeight="1">
      <c r="A1592" s="59" t="s">
        <v>195</v>
      </c>
      <c r="B1592" s="60" t="s">
        <v>997</v>
      </c>
    </row>
    <row r="1593" ht="12.75" customHeight="1">
      <c r="A1593" s="59" t="s">
        <v>195</v>
      </c>
      <c r="B1593" s="60" t="s">
        <v>998</v>
      </c>
    </row>
    <row r="1594" ht="12.75" customHeight="1">
      <c r="A1594" s="59" t="s">
        <v>195</v>
      </c>
      <c r="B1594" s="60" t="s">
        <v>999</v>
      </c>
    </row>
    <row r="1595" ht="12.75" customHeight="1">
      <c r="A1595" s="59" t="s">
        <v>195</v>
      </c>
      <c r="B1595" s="60" t="s">
        <v>1000</v>
      </c>
    </row>
    <row r="1596" ht="12.75" customHeight="1">
      <c r="A1596" s="59" t="s">
        <v>195</v>
      </c>
      <c r="B1596" s="60" t="s">
        <v>1001</v>
      </c>
    </row>
    <row r="1597" ht="12.75" customHeight="1">
      <c r="A1597" s="59" t="s">
        <v>195</v>
      </c>
      <c r="B1597" s="60" t="s">
        <v>1002</v>
      </c>
    </row>
    <row r="1598" ht="12.75" customHeight="1">
      <c r="A1598" s="59" t="s">
        <v>195</v>
      </c>
      <c r="B1598" s="60" t="s">
        <v>1003</v>
      </c>
    </row>
    <row r="1599" ht="12.75" customHeight="1">
      <c r="A1599" s="59" t="s">
        <v>195</v>
      </c>
      <c r="B1599" s="60" t="s">
        <v>1004</v>
      </c>
    </row>
    <row r="1600" ht="12.75" customHeight="1">
      <c r="A1600" s="59" t="s">
        <v>195</v>
      </c>
      <c r="B1600" s="60" t="s">
        <v>1005</v>
      </c>
    </row>
    <row r="1601" ht="12.75" customHeight="1">
      <c r="A1601" s="59" t="s">
        <v>195</v>
      </c>
      <c r="B1601" s="60" t="s">
        <v>1006</v>
      </c>
    </row>
    <row r="1602" ht="12.75" customHeight="1">
      <c r="A1602" s="59" t="s">
        <v>195</v>
      </c>
      <c r="B1602" s="60" t="s">
        <v>1007</v>
      </c>
    </row>
    <row r="1603" ht="12.75" customHeight="1">
      <c r="A1603" s="59" t="s">
        <v>195</v>
      </c>
      <c r="B1603" s="60" t="s">
        <v>1008</v>
      </c>
    </row>
    <row r="1604" ht="12.75" customHeight="1">
      <c r="A1604" s="59" t="s">
        <v>195</v>
      </c>
      <c r="B1604" s="60" t="s">
        <v>1009</v>
      </c>
    </row>
    <row r="1605" ht="12.75" customHeight="1">
      <c r="A1605" s="59" t="s">
        <v>195</v>
      </c>
      <c r="B1605" s="60" t="s">
        <v>1010</v>
      </c>
    </row>
    <row r="1606" ht="12.75" customHeight="1">
      <c r="A1606" s="59" t="s">
        <v>195</v>
      </c>
      <c r="B1606" s="60" t="s">
        <v>1011</v>
      </c>
    </row>
    <row r="1607" ht="12.75" customHeight="1">
      <c r="A1607" s="59" t="s">
        <v>195</v>
      </c>
      <c r="B1607" s="60" t="s">
        <v>1012</v>
      </c>
    </row>
    <row r="1608" ht="12.75" customHeight="1">
      <c r="A1608" s="59" t="s">
        <v>195</v>
      </c>
      <c r="B1608" s="60" t="s">
        <v>1013</v>
      </c>
    </row>
    <row r="1609" ht="12.75" customHeight="1">
      <c r="A1609" s="59" t="s">
        <v>195</v>
      </c>
      <c r="B1609" s="60" t="s">
        <v>1014</v>
      </c>
    </row>
    <row r="1610" ht="12.75" customHeight="1">
      <c r="A1610" s="59" t="s">
        <v>195</v>
      </c>
      <c r="B1610" s="60" t="s">
        <v>1015</v>
      </c>
    </row>
    <row r="1611" ht="12.75" customHeight="1">
      <c r="A1611" s="59" t="s">
        <v>195</v>
      </c>
      <c r="B1611" s="60" t="s">
        <v>1016</v>
      </c>
    </row>
    <row r="1612" ht="12.75" customHeight="1">
      <c r="A1612" s="59" t="s">
        <v>195</v>
      </c>
      <c r="B1612" s="60" t="s">
        <v>1017</v>
      </c>
    </row>
    <row r="1613" ht="12.75" customHeight="1">
      <c r="A1613" s="59" t="s">
        <v>195</v>
      </c>
      <c r="B1613" s="60" t="s">
        <v>1018</v>
      </c>
    </row>
    <row r="1614" ht="12.75" customHeight="1">
      <c r="A1614" s="59" t="s">
        <v>195</v>
      </c>
      <c r="B1614" s="60" t="s">
        <v>1019</v>
      </c>
    </row>
    <row r="1615" ht="12.75" customHeight="1">
      <c r="A1615" s="59" t="s">
        <v>195</v>
      </c>
      <c r="B1615" s="60" t="s">
        <v>1020</v>
      </c>
    </row>
    <row r="1616" ht="12.75" customHeight="1">
      <c r="A1616" s="59" t="s">
        <v>195</v>
      </c>
      <c r="B1616" s="60" t="s">
        <v>1021</v>
      </c>
    </row>
    <row r="1617" ht="12.75" customHeight="1">
      <c r="A1617" s="59" t="s">
        <v>195</v>
      </c>
      <c r="B1617" s="60" t="s">
        <v>1022</v>
      </c>
    </row>
    <row r="1618" ht="12.75" customHeight="1">
      <c r="A1618" s="59" t="s">
        <v>195</v>
      </c>
      <c r="B1618" s="60" t="s">
        <v>1023</v>
      </c>
    </row>
    <row r="1619" ht="12.75" customHeight="1">
      <c r="A1619" s="59" t="s">
        <v>195</v>
      </c>
      <c r="B1619" s="60" t="s">
        <v>1024</v>
      </c>
    </row>
    <row r="1620" ht="12.75" customHeight="1">
      <c r="A1620" s="59" t="s">
        <v>195</v>
      </c>
      <c r="B1620" s="60" t="s">
        <v>1025</v>
      </c>
    </row>
    <row r="1621" ht="12.75" customHeight="1">
      <c r="A1621" s="59" t="s">
        <v>195</v>
      </c>
      <c r="B1621" s="60" t="s">
        <v>1026</v>
      </c>
    </row>
    <row r="1622" ht="12.75" customHeight="1">
      <c r="A1622" s="59" t="s">
        <v>195</v>
      </c>
      <c r="B1622" s="60" t="s">
        <v>1027</v>
      </c>
    </row>
    <row r="1623" ht="12.75" customHeight="1">
      <c r="A1623" s="59" t="s">
        <v>195</v>
      </c>
      <c r="B1623" s="60" t="s">
        <v>1028</v>
      </c>
    </row>
    <row r="1624" ht="12.75" customHeight="1">
      <c r="A1624" s="59" t="s">
        <v>195</v>
      </c>
      <c r="B1624" s="60" t="s">
        <v>1029</v>
      </c>
    </row>
    <row r="1625" ht="12.75" customHeight="1">
      <c r="A1625" s="59" t="s">
        <v>195</v>
      </c>
      <c r="B1625" s="60" t="s">
        <v>1030</v>
      </c>
    </row>
    <row r="1626" ht="12.75" customHeight="1">
      <c r="A1626" s="59" t="s">
        <v>195</v>
      </c>
      <c r="B1626" s="60" t="s">
        <v>1031</v>
      </c>
    </row>
    <row r="1627" ht="12.75" customHeight="1">
      <c r="A1627" s="59" t="s">
        <v>195</v>
      </c>
      <c r="B1627" s="60" t="s">
        <v>1032</v>
      </c>
    </row>
    <row r="1628" ht="12.75" customHeight="1">
      <c r="A1628" s="59" t="s">
        <v>195</v>
      </c>
      <c r="B1628" s="60" t="s">
        <v>1033</v>
      </c>
    </row>
    <row r="1629" ht="12.75" customHeight="1">
      <c r="A1629" s="59" t="s">
        <v>195</v>
      </c>
      <c r="B1629" s="60" t="s">
        <v>1034</v>
      </c>
    </row>
    <row r="1630" ht="12.75" customHeight="1">
      <c r="A1630" s="59" t="s">
        <v>195</v>
      </c>
      <c r="B1630" s="60" t="s">
        <v>1035</v>
      </c>
    </row>
    <row r="1631" ht="12.75" customHeight="1">
      <c r="A1631" s="59" t="s">
        <v>195</v>
      </c>
      <c r="B1631" s="60" t="s">
        <v>1036</v>
      </c>
    </row>
    <row r="1632" ht="12.75" customHeight="1">
      <c r="A1632" s="59" t="s">
        <v>195</v>
      </c>
      <c r="B1632" s="60" t="s">
        <v>1037</v>
      </c>
    </row>
    <row r="1633" ht="12.75" customHeight="1">
      <c r="A1633" s="59" t="s">
        <v>195</v>
      </c>
      <c r="B1633" s="60" t="s">
        <v>1038</v>
      </c>
    </row>
    <row r="1634" ht="12.75" customHeight="1">
      <c r="A1634" s="59" t="s">
        <v>195</v>
      </c>
      <c r="B1634" s="60" t="s">
        <v>1039</v>
      </c>
    </row>
    <row r="1635" ht="12.75" customHeight="1">
      <c r="A1635" s="59" t="s">
        <v>195</v>
      </c>
      <c r="B1635" s="60" t="s">
        <v>1040</v>
      </c>
    </row>
    <row r="1636" ht="12.75" customHeight="1">
      <c r="A1636" s="59" t="s">
        <v>195</v>
      </c>
      <c r="B1636" s="60" t="s">
        <v>1041</v>
      </c>
    </row>
    <row r="1637" ht="12.75" customHeight="1">
      <c r="A1637" s="59" t="s">
        <v>195</v>
      </c>
      <c r="B1637" s="60" t="s">
        <v>1042</v>
      </c>
    </row>
    <row r="1638" ht="12.75" customHeight="1">
      <c r="A1638" s="59" t="s">
        <v>195</v>
      </c>
      <c r="B1638" s="60" t="s">
        <v>1043</v>
      </c>
    </row>
    <row r="1639" ht="12.75" customHeight="1">
      <c r="A1639" s="59" t="s">
        <v>195</v>
      </c>
      <c r="B1639" s="60" t="s">
        <v>1044</v>
      </c>
    </row>
    <row r="1640" ht="12.75" customHeight="1">
      <c r="A1640" s="59" t="s">
        <v>195</v>
      </c>
      <c r="B1640" s="60" t="s">
        <v>1045</v>
      </c>
    </row>
    <row r="1641" ht="12.75" customHeight="1">
      <c r="A1641" s="59" t="s">
        <v>195</v>
      </c>
      <c r="B1641" s="60" t="s">
        <v>1046</v>
      </c>
    </row>
    <row r="1642" ht="12.75" customHeight="1">
      <c r="A1642" s="59" t="s">
        <v>195</v>
      </c>
      <c r="B1642" s="60" t="s">
        <v>1047</v>
      </c>
    </row>
    <row r="1643" ht="12.75" customHeight="1">
      <c r="A1643" s="59" t="s">
        <v>195</v>
      </c>
      <c r="B1643" s="60" t="s">
        <v>1048</v>
      </c>
    </row>
    <row r="1644" ht="12.75" customHeight="1">
      <c r="A1644" s="59" t="s">
        <v>195</v>
      </c>
      <c r="B1644" s="60" t="s">
        <v>1049</v>
      </c>
    </row>
    <row r="1645" ht="12.75" customHeight="1">
      <c r="A1645" s="59" t="s">
        <v>195</v>
      </c>
      <c r="B1645" s="60" t="s">
        <v>1050</v>
      </c>
    </row>
    <row r="1646" ht="12.75" customHeight="1">
      <c r="A1646" s="59" t="s">
        <v>195</v>
      </c>
      <c r="B1646" s="60" t="s">
        <v>1051</v>
      </c>
    </row>
    <row r="1647" ht="12.75" customHeight="1">
      <c r="A1647" s="59" t="s">
        <v>195</v>
      </c>
      <c r="B1647" s="60" t="s">
        <v>1052</v>
      </c>
    </row>
    <row r="1648" ht="12.75" customHeight="1">
      <c r="A1648" s="59" t="s">
        <v>195</v>
      </c>
      <c r="B1648" s="60" t="s">
        <v>1053</v>
      </c>
    </row>
    <row r="1649" ht="12.75" customHeight="1">
      <c r="A1649" s="59" t="s">
        <v>195</v>
      </c>
      <c r="B1649" s="60" t="s">
        <v>1054</v>
      </c>
    </row>
    <row r="1650" ht="12.75" customHeight="1">
      <c r="A1650" s="59" t="s">
        <v>195</v>
      </c>
      <c r="B1650" s="60" t="s">
        <v>1055</v>
      </c>
    </row>
    <row r="1651" ht="12.75" customHeight="1">
      <c r="A1651" s="59" t="s">
        <v>195</v>
      </c>
      <c r="B1651" s="60" t="s">
        <v>1056</v>
      </c>
    </row>
    <row r="1652" ht="12.75" customHeight="1">
      <c r="A1652" s="59" t="s">
        <v>195</v>
      </c>
      <c r="B1652" s="60" t="s">
        <v>1057</v>
      </c>
    </row>
    <row r="1653" ht="12.75" customHeight="1">
      <c r="A1653" s="59" t="s">
        <v>195</v>
      </c>
      <c r="B1653" s="60" t="s">
        <v>1058</v>
      </c>
    </row>
    <row r="1654" ht="12.75" customHeight="1">
      <c r="A1654" s="59" t="s">
        <v>195</v>
      </c>
      <c r="B1654" s="60" t="s">
        <v>1059</v>
      </c>
    </row>
    <row r="1655" ht="12.75" customHeight="1">
      <c r="A1655" s="59" t="s">
        <v>195</v>
      </c>
      <c r="B1655" s="60" t="s">
        <v>1060</v>
      </c>
    </row>
    <row r="1656" ht="12.75" customHeight="1">
      <c r="A1656" s="59" t="s">
        <v>195</v>
      </c>
      <c r="B1656" s="60" t="s">
        <v>1061</v>
      </c>
    </row>
    <row r="1657" ht="12.75" customHeight="1">
      <c r="A1657" s="59" t="s">
        <v>195</v>
      </c>
      <c r="B1657" s="60" t="s">
        <v>1062</v>
      </c>
    </row>
    <row r="1658" ht="12.75" customHeight="1">
      <c r="A1658" s="59" t="s">
        <v>195</v>
      </c>
      <c r="B1658" s="60" t="s">
        <v>1063</v>
      </c>
    </row>
    <row r="1659" ht="12.75" customHeight="1">
      <c r="A1659" s="59" t="s">
        <v>195</v>
      </c>
      <c r="B1659" s="60" t="s">
        <v>1064</v>
      </c>
    </row>
    <row r="1660" ht="12.75" customHeight="1">
      <c r="A1660" s="59" t="s">
        <v>195</v>
      </c>
      <c r="B1660" s="60" t="s">
        <v>1065</v>
      </c>
    </row>
    <row r="1661" ht="12.75" customHeight="1">
      <c r="A1661" s="59" t="s">
        <v>195</v>
      </c>
      <c r="B1661" s="60" t="s">
        <v>1066</v>
      </c>
    </row>
    <row r="1662" ht="12.75" customHeight="1">
      <c r="A1662" s="59" t="s">
        <v>195</v>
      </c>
      <c r="B1662" s="60" t="s">
        <v>1067</v>
      </c>
    </row>
    <row r="1663" ht="12.75" customHeight="1">
      <c r="A1663" s="59" t="s">
        <v>195</v>
      </c>
      <c r="B1663" s="60" t="s">
        <v>1068</v>
      </c>
    </row>
    <row r="1664" ht="12.75" customHeight="1">
      <c r="A1664" s="59" t="s">
        <v>195</v>
      </c>
      <c r="B1664" s="60" t="s">
        <v>1069</v>
      </c>
    </row>
    <row r="1665" ht="12.75" customHeight="1">
      <c r="A1665" s="59" t="s">
        <v>195</v>
      </c>
      <c r="B1665" s="60" t="s">
        <v>1070</v>
      </c>
    </row>
    <row r="1666" ht="12.75" customHeight="1">
      <c r="A1666" s="59" t="s">
        <v>195</v>
      </c>
      <c r="B1666" s="60" t="s">
        <v>1071</v>
      </c>
    </row>
    <row r="1667" ht="12.75" customHeight="1">
      <c r="A1667" s="59" t="s">
        <v>195</v>
      </c>
      <c r="B1667" s="60" t="s">
        <v>1072</v>
      </c>
    </row>
    <row r="1668" ht="12.75" customHeight="1">
      <c r="A1668" s="59" t="s">
        <v>195</v>
      </c>
      <c r="B1668" s="60" t="s">
        <v>1073</v>
      </c>
    </row>
    <row r="1669" ht="12.75" customHeight="1">
      <c r="A1669" s="59" t="s">
        <v>195</v>
      </c>
      <c r="B1669" s="60" t="s">
        <v>1074</v>
      </c>
    </row>
    <row r="1670" ht="12.75" customHeight="1">
      <c r="A1670" s="59" t="s">
        <v>195</v>
      </c>
      <c r="B1670" s="60" t="s">
        <v>1075</v>
      </c>
    </row>
    <row r="1671" ht="12.75" customHeight="1">
      <c r="A1671" s="59" t="s">
        <v>195</v>
      </c>
      <c r="B1671" s="60" t="s">
        <v>1076</v>
      </c>
    </row>
    <row r="1672" ht="12.75" customHeight="1">
      <c r="A1672" s="59" t="s">
        <v>195</v>
      </c>
      <c r="B1672" s="60" t="s">
        <v>1077</v>
      </c>
    </row>
    <row r="1673" ht="12.75" customHeight="1">
      <c r="A1673" s="59" t="s">
        <v>195</v>
      </c>
      <c r="B1673" s="60" t="s">
        <v>1078</v>
      </c>
    </row>
    <row r="1674" ht="12.75" customHeight="1">
      <c r="A1674" s="59" t="s">
        <v>195</v>
      </c>
      <c r="B1674" s="60" t="s">
        <v>1079</v>
      </c>
    </row>
    <row r="1675" ht="12.75" customHeight="1">
      <c r="A1675" s="59" t="s">
        <v>195</v>
      </c>
      <c r="B1675" s="60" t="s">
        <v>1080</v>
      </c>
    </row>
    <row r="1676" ht="12.75" customHeight="1">
      <c r="A1676" s="59" t="s">
        <v>195</v>
      </c>
      <c r="B1676" s="60" t="s">
        <v>1081</v>
      </c>
    </row>
    <row r="1677" ht="12.75" customHeight="1">
      <c r="A1677" s="59" t="s">
        <v>195</v>
      </c>
      <c r="B1677" s="60" t="s">
        <v>1082</v>
      </c>
    </row>
    <row r="1678" ht="12.75" customHeight="1">
      <c r="A1678" s="59" t="s">
        <v>195</v>
      </c>
      <c r="B1678" s="60" t="s">
        <v>1083</v>
      </c>
    </row>
    <row r="1679" ht="12.75" customHeight="1">
      <c r="A1679" s="59" t="s">
        <v>195</v>
      </c>
      <c r="B1679" s="60" t="s">
        <v>1084</v>
      </c>
    </row>
    <row r="1680" ht="12.75" customHeight="1">
      <c r="A1680" s="59" t="s">
        <v>195</v>
      </c>
      <c r="B1680" s="60" t="s">
        <v>1085</v>
      </c>
    </row>
    <row r="1681" ht="12.75" customHeight="1">
      <c r="A1681" s="59" t="s">
        <v>195</v>
      </c>
      <c r="B1681" s="60" t="s">
        <v>1086</v>
      </c>
    </row>
    <row r="1682" ht="12.75" customHeight="1">
      <c r="A1682" s="59" t="s">
        <v>195</v>
      </c>
      <c r="B1682" s="60" t="s">
        <v>1087</v>
      </c>
    </row>
    <row r="1683" ht="12.75" customHeight="1">
      <c r="A1683" s="59" t="s">
        <v>195</v>
      </c>
      <c r="B1683" s="60" t="s">
        <v>1088</v>
      </c>
    </row>
    <row r="1684" ht="12.75" customHeight="1">
      <c r="A1684" s="59" t="s">
        <v>195</v>
      </c>
      <c r="B1684" s="60" t="s">
        <v>1089</v>
      </c>
    </row>
    <row r="1685" ht="12.75" customHeight="1">
      <c r="A1685" s="59" t="s">
        <v>195</v>
      </c>
      <c r="B1685" s="60" t="s">
        <v>1090</v>
      </c>
    </row>
    <row r="1686" ht="12.75" customHeight="1">
      <c r="A1686" s="59" t="s">
        <v>195</v>
      </c>
      <c r="B1686" s="60" t="s">
        <v>1091</v>
      </c>
    </row>
    <row r="1687" ht="12.75" customHeight="1">
      <c r="A1687" s="59" t="s">
        <v>195</v>
      </c>
      <c r="B1687" s="60" t="s">
        <v>1092</v>
      </c>
    </row>
    <row r="1688" ht="12.75" customHeight="1">
      <c r="A1688" s="59" t="s">
        <v>195</v>
      </c>
      <c r="B1688" s="60" t="s">
        <v>1093</v>
      </c>
    </row>
    <row r="1689" ht="12.75" customHeight="1">
      <c r="A1689" s="59" t="s">
        <v>195</v>
      </c>
      <c r="B1689" s="60" t="s">
        <v>1094</v>
      </c>
    </row>
    <row r="1690" ht="12.75" customHeight="1">
      <c r="A1690" s="59" t="s">
        <v>195</v>
      </c>
      <c r="B1690" s="60" t="s">
        <v>1095</v>
      </c>
    </row>
    <row r="1691" ht="12.75" customHeight="1">
      <c r="A1691" s="59" t="s">
        <v>195</v>
      </c>
      <c r="B1691" s="60" t="s">
        <v>1096</v>
      </c>
    </row>
    <row r="1692" ht="12.75" customHeight="1">
      <c r="A1692" s="59" t="s">
        <v>195</v>
      </c>
      <c r="B1692" s="60" t="s">
        <v>1097</v>
      </c>
    </row>
    <row r="1693" ht="12.75" customHeight="1">
      <c r="A1693" s="59" t="s">
        <v>195</v>
      </c>
      <c r="B1693" s="60" t="s">
        <v>1098</v>
      </c>
    </row>
    <row r="1694" ht="12.75" customHeight="1">
      <c r="A1694" s="59" t="s">
        <v>195</v>
      </c>
      <c r="B1694" s="60" t="s">
        <v>1099</v>
      </c>
    </row>
    <row r="1695" ht="12.75" customHeight="1">
      <c r="A1695" s="59" t="s">
        <v>195</v>
      </c>
      <c r="B1695" s="60" t="s">
        <v>1100</v>
      </c>
    </row>
    <row r="1696" ht="12.75" customHeight="1">
      <c r="A1696" s="59" t="s">
        <v>195</v>
      </c>
      <c r="B1696" s="60" t="s">
        <v>1101</v>
      </c>
    </row>
    <row r="1697" ht="12.75" customHeight="1">
      <c r="A1697" s="59" t="s">
        <v>195</v>
      </c>
      <c r="B1697" s="60" t="s">
        <v>1102</v>
      </c>
    </row>
    <row r="1698" ht="12.75" customHeight="1">
      <c r="A1698" s="59" t="s">
        <v>195</v>
      </c>
      <c r="B1698" s="60" t="s">
        <v>1103</v>
      </c>
    </row>
    <row r="1699" ht="12.75" customHeight="1">
      <c r="A1699" s="59" t="s">
        <v>195</v>
      </c>
      <c r="B1699" s="60" t="s">
        <v>1104</v>
      </c>
    </row>
    <row r="1700" ht="12.75" customHeight="1">
      <c r="A1700" s="59" t="s">
        <v>195</v>
      </c>
      <c r="B1700" s="60" t="s">
        <v>1105</v>
      </c>
    </row>
    <row r="1701" ht="12.75" customHeight="1">
      <c r="A1701" s="59" t="s">
        <v>195</v>
      </c>
      <c r="B1701" s="60" t="s">
        <v>1106</v>
      </c>
    </row>
    <row r="1702" ht="12.75" customHeight="1">
      <c r="A1702" s="59" t="s">
        <v>195</v>
      </c>
      <c r="B1702" s="60" t="s">
        <v>1107</v>
      </c>
    </row>
    <row r="1703" ht="12.75" customHeight="1">
      <c r="A1703" s="59" t="s">
        <v>195</v>
      </c>
      <c r="B1703" s="60" t="s">
        <v>1108</v>
      </c>
    </row>
    <row r="1704" ht="12.75" customHeight="1">
      <c r="A1704" s="59" t="s">
        <v>195</v>
      </c>
      <c r="B1704" s="60" t="s">
        <v>1109</v>
      </c>
    </row>
    <row r="1705" ht="12.75" customHeight="1">
      <c r="A1705" s="59" t="s">
        <v>195</v>
      </c>
      <c r="B1705" s="60" t="s">
        <v>1110</v>
      </c>
    </row>
    <row r="1706" ht="12.75" customHeight="1">
      <c r="A1706" s="59" t="s">
        <v>195</v>
      </c>
      <c r="B1706" s="60" t="s">
        <v>1111</v>
      </c>
    </row>
    <row r="1707" ht="12.75" customHeight="1">
      <c r="A1707" s="59" t="s">
        <v>195</v>
      </c>
      <c r="B1707" s="60" t="s">
        <v>1112</v>
      </c>
    </row>
    <row r="1708" ht="12.75" customHeight="1">
      <c r="A1708" s="59" t="s">
        <v>195</v>
      </c>
      <c r="B1708" s="60" t="s">
        <v>1113</v>
      </c>
    </row>
    <row r="1709" ht="12.75" customHeight="1">
      <c r="A1709" s="59" t="s">
        <v>195</v>
      </c>
      <c r="B1709" s="60" t="s">
        <v>1114</v>
      </c>
    </row>
    <row r="1710" ht="12.75" customHeight="1">
      <c r="A1710" s="59" t="s">
        <v>195</v>
      </c>
      <c r="B1710" s="60" t="s">
        <v>1115</v>
      </c>
    </row>
    <row r="1711" ht="12.75" customHeight="1">
      <c r="A1711" s="59" t="s">
        <v>195</v>
      </c>
      <c r="B1711" s="60" t="s">
        <v>1116</v>
      </c>
    </row>
    <row r="1712" ht="12.75" customHeight="1">
      <c r="A1712" s="59" t="s">
        <v>195</v>
      </c>
      <c r="B1712" s="60" t="s">
        <v>1117</v>
      </c>
    </row>
    <row r="1713" ht="12.75" customHeight="1">
      <c r="A1713" s="59" t="s">
        <v>195</v>
      </c>
      <c r="B1713" s="60" t="s">
        <v>1118</v>
      </c>
    </row>
    <row r="1714" ht="12.75" customHeight="1">
      <c r="A1714" s="59" t="s">
        <v>195</v>
      </c>
      <c r="B1714" s="60" t="s">
        <v>1119</v>
      </c>
    </row>
    <row r="1715" ht="12.75" customHeight="1">
      <c r="A1715" s="59" t="s">
        <v>195</v>
      </c>
      <c r="B1715" s="60" t="s">
        <v>1120</v>
      </c>
    </row>
    <row r="1716" ht="12.75" customHeight="1">
      <c r="A1716" s="59" t="s">
        <v>195</v>
      </c>
      <c r="B1716" s="60" t="s">
        <v>1121</v>
      </c>
    </row>
    <row r="1717" ht="12.75" customHeight="1">
      <c r="A1717" s="59" t="s">
        <v>195</v>
      </c>
      <c r="B1717" s="60" t="s">
        <v>1122</v>
      </c>
    </row>
    <row r="1718" ht="12.75" customHeight="1">
      <c r="A1718" s="59" t="s">
        <v>195</v>
      </c>
      <c r="B1718" s="60" t="s">
        <v>1123</v>
      </c>
    </row>
    <row r="1719" ht="12.75" customHeight="1">
      <c r="A1719" s="59" t="s">
        <v>195</v>
      </c>
      <c r="B1719" s="60" t="s">
        <v>1124</v>
      </c>
    </row>
    <row r="1720" ht="12.75" customHeight="1">
      <c r="A1720" s="59" t="s">
        <v>195</v>
      </c>
      <c r="B1720" s="60" t="s">
        <v>1125</v>
      </c>
    </row>
    <row r="1721" ht="12.75" customHeight="1">
      <c r="A1721" s="59" t="s">
        <v>195</v>
      </c>
      <c r="B1721" s="60" t="s">
        <v>1126</v>
      </c>
    </row>
    <row r="1722" ht="12.75" customHeight="1">
      <c r="A1722" s="59" t="s">
        <v>195</v>
      </c>
      <c r="B1722" s="60" t="s">
        <v>1127</v>
      </c>
    </row>
    <row r="1723" ht="12.75" customHeight="1">
      <c r="A1723" s="59" t="s">
        <v>195</v>
      </c>
      <c r="B1723" s="60" t="s">
        <v>1128</v>
      </c>
    </row>
    <row r="1724" ht="12.75" customHeight="1">
      <c r="A1724" s="59" t="s">
        <v>195</v>
      </c>
      <c r="B1724" s="60" t="s">
        <v>1129</v>
      </c>
    </row>
    <row r="1725" ht="12.75" customHeight="1">
      <c r="A1725" s="59" t="s">
        <v>195</v>
      </c>
      <c r="B1725" s="60" t="s">
        <v>1130</v>
      </c>
    </row>
    <row r="1726" ht="12.75" customHeight="1">
      <c r="A1726" s="59" t="s">
        <v>195</v>
      </c>
      <c r="B1726" s="60" t="s">
        <v>1131</v>
      </c>
    </row>
    <row r="1727" ht="12.75" customHeight="1">
      <c r="A1727" s="59" t="s">
        <v>195</v>
      </c>
      <c r="B1727" s="60" t="s">
        <v>1132</v>
      </c>
    </row>
    <row r="1728" ht="12.75" customHeight="1">
      <c r="A1728" s="59" t="s">
        <v>195</v>
      </c>
      <c r="B1728" s="60" t="s">
        <v>1133</v>
      </c>
    </row>
    <row r="1729" ht="12.75" customHeight="1">
      <c r="A1729" s="59" t="s">
        <v>195</v>
      </c>
      <c r="B1729" s="60" t="s">
        <v>1134</v>
      </c>
    </row>
    <row r="1730" ht="12.75" customHeight="1">
      <c r="A1730" s="59" t="s">
        <v>195</v>
      </c>
      <c r="B1730" s="60" t="s">
        <v>1135</v>
      </c>
    </row>
    <row r="1731" ht="12.75" customHeight="1">
      <c r="A1731" s="59" t="s">
        <v>195</v>
      </c>
      <c r="B1731" s="60" t="s">
        <v>1136</v>
      </c>
    </row>
    <row r="1732" ht="12.75" customHeight="1">
      <c r="A1732" s="59" t="s">
        <v>195</v>
      </c>
      <c r="B1732" s="60" t="s">
        <v>1137</v>
      </c>
    </row>
    <row r="1733" ht="12.75" customHeight="1">
      <c r="A1733" s="59" t="s">
        <v>195</v>
      </c>
      <c r="B1733" s="60" t="s">
        <v>1138</v>
      </c>
    </row>
    <row r="1734" ht="12.75" customHeight="1">
      <c r="A1734" s="59" t="s">
        <v>195</v>
      </c>
      <c r="B1734" s="60" t="s">
        <v>1139</v>
      </c>
    </row>
    <row r="1735" ht="12.75" customHeight="1">
      <c r="A1735" s="59" t="s">
        <v>195</v>
      </c>
      <c r="B1735" s="60" t="s">
        <v>1140</v>
      </c>
    </row>
    <row r="1736" ht="12.75" customHeight="1">
      <c r="A1736" s="59" t="s">
        <v>195</v>
      </c>
      <c r="B1736" s="60" t="s">
        <v>1141</v>
      </c>
    </row>
    <row r="1737" ht="12.75" customHeight="1">
      <c r="A1737" s="59" t="s">
        <v>195</v>
      </c>
      <c r="B1737" s="60" t="s">
        <v>1142</v>
      </c>
    </row>
    <row r="1738" ht="12.75" customHeight="1">
      <c r="A1738" s="59" t="s">
        <v>195</v>
      </c>
      <c r="B1738" s="60" t="s">
        <v>1143</v>
      </c>
    </row>
    <row r="1739" ht="12.75" customHeight="1">
      <c r="A1739" s="59" t="s">
        <v>195</v>
      </c>
      <c r="B1739" s="60" t="s">
        <v>1144</v>
      </c>
    </row>
    <row r="1740" ht="12.75" customHeight="1">
      <c r="A1740" s="59" t="s">
        <v>195</v>
      </c>
      <c r="B1740" s="60" t="s">
        <v>1145</v>
      </c>
    </row>
    <row r="1741" ht="12.75" customHeight="1">
      <c r="A1741" s="59" t="s">
        <v>195</v>
      </c>
      <c r="B1741" s="60" t="s">
        <v>1146</v>
      </c>
    </row>
    <row r="1742" ht="12.75" customHeight="1">
      <c r="A1742" s="59" t="s">
        <v>195</v>
      </c>
      <c r="B1742" s="60" t="s">
        <v>1147</v>
      </c>
    </row>
    <row r="1743" ht="12.75" customHeight="1">
      <c r="A1743" s="59" t="s">
        <v>195</v>
      </c>
      <c r="B1743" s="60" t="s">
        <v>1148</v>
      </c>
    </row>
    <row r="1744" ht="12.75" customHeight="1">
      <c r="A1744" s="59" t="s">
        <v>195</v>
      </c>
      <c r="B1744" s="60" t="s">
        <v>1149</v>
      </c>
    </row>
    <row r="1745" ht="12.75" customHeight="1">
      <c r="A1745" s="59" t="s">
        <v>195</v>
      </c>
      <c r="B1745" s="60" t="s">
        <v>1150</v>
      </c>
    </row>
    <row r="1746" ht="12.75" customHeight="1">
      <c r="A1746" s="59" t="s">
        <v>195</v>
      </c>
      <c r="B1746" s="60" t="s">
        <v>1151</v>
      </c>
    </row>
    <row r="1747" ht="12.75" customHeight="1">
      <c r="A1747" s="59" t="s">
        <v>195</v>
      </c>
      <c r="B1747" s="60" t="s">
        <v>1152</v>
      </c>
    </row>
    <row r="1748" ht="12.75" customHeight="1">
      <c r="A1748" s="59" t="s">
        <v>195</v>
      </c>
      <c r="B1748" s="60" t="s">
        <v>1153</v>
      </c>
    </row>
    <row r="1749" ht="12.75" customHeight="1">
      <c r="A1749" s="59" t="s">
        <v>195</v>
      </c>
      <c r="B1749" s="60" t="s">
        <v>1154</v>
      </c>
    </row>
    <row r="1750" ht="12.75" customHeight="1">
      <c r="A1750" s="59" t="s">
        <v>195</v>
      </c>
      <c r="B1750" s="60" t="s">
        <v>1155</v>
      </c>
    </row>
    <row r="1751" ht="12.75" customHeight="1">
      <c r="A1751" s="59" t="s">
        <v>195</v>
      </c>
      <c r="B1751" s="60" t="s">
        <v>1156</v>
      </c>
    </row>
    <row r="1752" ht="12.75" customHeight="1">
      <c r="A1752" s="59" t="s">
        <v>195</v>
      </c>
      <c r="B1752" s="60" t="s">
        <v>1157</v>
      </c>
    </row>
    <row r="1753" ht="12.75" customHeight="1">
      <c r="A1753" s="59" t="s">
        <v>195</v>
      </c>
      <c r="B1753" s="60" t="s">
        <v>1158</v>
      </c>
    </row>
    <row r="1754" ht="12.75" customHeight="1">
      <c r="A1754" s="59" t="s">
        <v>195</v>
      </c>
      <c r="B1754" s="60" t="s">
        <v>1159</v>
      </c>
    </row>
    <row r="1755" ht="12.75" customHeight="1">
      <c r="A1755" s="59" t="s">
        <v>195</v>
      </c>
      <c r="B1755" s="60" t="s">
        <v>1160</v>
      </c>
    </row>
    <row r="1756" ht="12.75" customHeight="1">
      <c r="A1756" s="59" t="s">
        <v>195</v>
      </c>
      <c r="B1756" s="60" t="s">
        <v>1161</v>
      </c>
    </row>
    <row r="1757" ht="12.75" customHeight="1">
      <c r="A1757" s="59" t="s">
        <v>195</v>
      </c>
      <c r="B1757" s="60" t="s">
        <v>1162</v>
      </c>
    </row>
    <row r="1758" ht="12.75" customHeight="1">
      <c r="A1758" s="59" t="s">
        <v>195</v>
      </c>
      <c r="B1758" s="60" t="s">
        <v>1163</v>
      </c>
    </row>
    <row r="1759" ht="12.75" customHeight="1">
      <c r="A1759" s="59" t="s">
        <v>195</v>
      </c>
      <c r="B1759" s="60" t="s">
        <v>1164</v>
      </c>
    </row>
    <row r="1760" ht="12.75" customHeight="1">
      <c r="A1760" s="59" t="s">
        <v>195</v>
      </c>
      <c r="B1760" s="60" t="s">
        <v>1165</v>
      </c>
    </row>
    <row r="1761" ht="12.75" customHeight="1">
      <c r="A1761" s="59" t="s">
        <v>195</v>
      </c>
      <c r="B1761" s="60" t="s">
        <v>1166</v>
      </c>
    </row>
    <row r="1762" ht="12.75" customHeight="1">
      <c r="A1762" s="59" t="s">
        <v>195</v>
      </c>
      <c r="B1762" s="60" t="s">
        <v>1167</v>
      </c>
    </row>
    <row r="1763" ht="12.75" customHeight="1">
      <c r="A1763" s="59" t="s">
        <v>195</v>
      </c>
      <c r="B1763" s="60" t="s">
        <v>1168</v>
      </c>
    </row>
    <row r="1764" ht="12.75" customHeight="1">
      <c r="A1764" s="59" t="s">
        <v>195</v>
      </c>
      <c r="B1764" s="60" t="s">
        <v>1169</v>
      </c>
    </row>
    <row r="1765" ht="12.75" customHeight="1">
      <c r="A1765" s="59" t="s">
        <v>195</v>
      </c>
      <c r="B1765" s="60" t="s">
        <v>1170</v>
      </c>
    </row>
    <row r="1766" ht="12.75" customHeight="1">
      <c r="A1766" s="59" t="s">
        <v>195</v>
      </c>
      <c r="B1766" s="60" t="s">
        <v>1171</v>
      </c>
    </row>
    <row r="1767" ht="12.75" customHeight="1">
      <c r="A1767" s="59" t="s">
        <v>195</v>
      </c>
      <c r="B1767" s="60" t="s">
        <v>1172</v>
      </c>
    </row>
    <row r="1768" ht="12.75" customHeight="1">
      <c r="A1768" s="59" t="s">
        <v>195</v>
      </c>
      <c r="B1768" s="60" t="s">
        <v>1173</v>
      </c>
    </row>
    <row r="1769" ht="12.75" customHeight="1">
      <c r="A1769" s="59" t="s">
        <v>195</v>
      </c>
      <c r="B1769" s="60" t="s">
        <v>1174</v>
      </c>
    </row>
    <row r="1770" ht="12.75" customHeight="1">
      <c r="A1770" s="59" t="s">
        <v>195</v>
      </c>
      <c r="B1770" s="60" t="s">
        <v>1175</v>
      </c>
    </row>
    <row r="1771" ht="12.75" customHeight="1">
      <c r="A1771" s="59" t="s">
        <v>195</v>
      </c>
      <c r="B1771" s="60" t="s">
        <v>1176</v>
      </c>
    </row>
    <row r="1772" ht="12.75" customHeight="1">
      <c r="A1772" s="59" t="s">
        <v>195</v>
      </c>
      <c r="B1772" s="60" t="s">
        <v>1177</v>
      </c>
    </row>
    <row r="1773" ht="12.75" customHeight="1">
      <c r="A1773" s="59" t="s">
        <v>195</v>
      </c>
      <c r="B1773" s="60" t="s">
        <v>1178</v>
      </c>
    </row>
    <row r="1774" ht="12.75" customHeight="1">
      <c r="A1774" s="59" t="s">
        <v>195</v>
      </c>
      <c r="B1774" s="60" t="s">
        <v>1179</v>
      </c>
    </row>
    <row r="1775" ht="12.75" customHeight="1">
      <c r="A1775" s="59" t="s">
        <v>195</v>
      </c>
      <c r="B1775" s="60" t="s">
        <v>1180</v>
      </c>
    </row>
    <row r="1776" ht="12.75" customHeight="1">
      <c r="A1776" s="59" t="s">
        <v>195</v>
      </c>
      <c r="B1776" s="60" t="s">
        <v>1181</v>
      </c>
    </row>
    <row r="1777" ht="12.75" customHeight="1">
      <c r="A1777" s="59" t="s">
        <v>195</v>
      </c>
      <c r="B1777" s="60" t="s">
        <v>1182</v>
      </c>
    </row>
    <row r="1778" ht="12.75" customHeight="1">
      <c r="A1778" s="59" t="s">
        <v>195</v>
      </c>
      <c r="B1778" s="60" t="s">
        <v>1183</v>
      </c>
    </row>
    <row r="1779" ht="12.75" customHeight="1">
      <c r="A1779" s="59" t="s">
        <v>195</v>
      </c>
      <c r="B1779" s="60" t="s">
        <v>1184</v>
      </c>
    </row>
    <row r="1780" ht="12.75" customHeight="1">
      <c r="A1780" s="59" t="s">
        <v>195</v>
      </c>
      <c r="B1780" s="60" t="s">
        <v>1185</v>
      </c>
    </row>
    <row r="1781" ht="12.75" customHeight="1">
      <c r="A1781" s="59" t="s">
        <v>195</v>
      </c>
      <c r="B1781" s="60" t="s">
        <v>1186</v>
      </c>
    </row>
    <row r="1782" ht="12.75" customHeight="1">
      <c r="A1782" s="59" t="s">
        <v>195</v>
      </c>
      <c r="B1782" s="60" t="s">
        <v>1187</v>
      </c>
    </row>
    <row r="1783" ht="12.75" customHeight="1">
      <c r="A1783" s="59" t="s">
        <v>195</v>
      </c>
      <c r="B1783" s="60" t="s">
        <v>1188</v>
      </c>
    </row>
    <row r="1784" ht="12.75" customHeight="1">
      <c r="A1784" s="59" t="s">
        <v>195</v>
      </c>
      <c r="B1784" s="60" t="s">
        <v>1189</v>
      </c>
    </row>
    <row r="1785" ht="12.75" customHeight="1">
      <c r="A1785" s="59" t="s">
        <v>195</v>
      </c>
      <c r="B1785" s="60" t="s">
        <v>1190</v>
      </c>
    </row>
    <row r="1786" ht="12.75" customHeight="1">
      <c r="A1786" s="59" t="s">
        <v>195</v>
      </c>
      <c r="B1786" s="60" t="s">
        <v>1191</v>
      </c>
    </row>
    <row r="1787" ht="12.75" customHeight="1">
      <c r="A1787" s="59" t="s">
        <v>195</v>
      </c>
      <c r="B1787" s="60" t="s">
        <v>1192</v>
      </c>
    </row>
    <row r="1788" ht="12.75" customHeight="1">
      <c r="A1788" s="59" t="s">
        <v>181</v>
      </c>
      <c r="B1788" s="60">
        <v>0.0</v>
      </c>
    </row>
    <row r="1789" ht="12.75" customHeight="1">
      <c r="A1789" s="59" t="s">
        <v>181</v>
      </c>
      <c r="B1789" s="60">
        <v>0.0</v>
      </c>
    </row>
    <row r="1790" ht="12.75" customHeight="1">
      <c r="A1790" s="59" t="s">
        <v>181</v>
      </c>
      <c r="B1790" s="60">
        <v>2.0</v>
      </c>
    </row>
    <row r="1791" ht="12.75" customHeight="1">
      <c r="A1791" s="59" t="s">
        <v>181</v>
      </c>
      <c r="B1791" s="60">
        <v>4.0</v>
      </c>
    </row>
    <row r="1792" ht="12.75" customHeight="1">
      <c r="A1792" s="59" t="s">
        <v>181</v>
      </c>
      <c r="B1792" s="60">
        <v>6.0</v>
      </c>
    </row>
    <row r="1793" ht="12.75" customHeight="1">
      <c r="A1793" s="59" t="s">
        <v>181</v>
      </c>
      <c r="B1793" s="60">
        <v>8.0</v>
      </c>
    </row>
    <row r="1794" ht="12.75" customHeight="1">
      <c r="A1794" s="59" t="s">
        <v>181</v>
      </c>
      <c r="B1794" s="60">
        <v>10.0</v>
      </c>
    </row>
    <row r="1795" ht="12.75" customHeight="1">
      <c r="A1795" s="59" t="s">
        <v>181</v>
      </c>
      <c r="B1795" s="60">
        <v>12.0</v>
      </c>
    </row>
    <row r="1796" ht="12.75" customHeight="1">
      <c r="A1796" s="59" t="s">
        <v>181</v>
      </c>
      <c r="B1796" s="60" t="s">
        <v>803</v>
      </c>
    </row>
    <row r="1797" ht="12.75" customHeight="1">
      <c r="A1797" s="59" t="s">
        <v>181</v>
      </c>
      <c r="B1797" s="60" t="s">
        <v>804</v>
      </c>
    </row>
    <row r="1798" ht="12.75" customHeight="1">
      <c r="A1798" s="59" t="s">
        <v>181</v>
      </c>
      <c r="B1798" s="60" t="s">
        <v>76</v>
      </c>
    </row>
    <row r="1799" ht="12.75" customHeight="1">
      <c r="A1799" s="59" t="s">
        <v>181</v>
      </c>
      <c r="B1799" s="60" t="s">
        <v>80</v>
      </c>
    </row>
    <row r="1800" ht="12.75" customHeight="1">
      <c r="A1800" s="59" t="s">
        <v>181</v>
      </c>
      <c r="B1800" s="60" t="s">
        <v>83</v>
      </c>
    </row>
    <row r="1801" ht="12.75" customHeight="1">
      <c r="A1801" s="59" t="s">
        <v>181</v>
      </c>
      <c r="B1801" s="60" t="s">
        <v>85</v>
      </c>
    </row>
    <row r="1802" ht="12.75" customHeight="1">
      <c r="A1802" s="59" t="s">
        <v>181</v>
      </c>
      <c r="B1802" s="60" t="s">
        <v>805</v>
      </c>
    </row>
    <row r="1803" ht="12.75" customHeight="1">
      <c r="A1803" s="59" t="s">
        <v>181</v>
      </c>
      <c r="B1803" s="60" t="s">
        <v>806</v>
      </c>
    </row>
    <row r="1804" ht="12.75" customHeight="1">
      <c r="A1804" s="59" t="s">
        <v>181</v>
      </c>
      <c r="B1804" s="60" t="s">
        <v>807</v>
      </c>
    </row>
    <row r="1805" ht="12.75" customHeight="1">
      <c r="A1805" s="59" t="s">
        <v>181</v>
      </c>
      <c r="B1805" s="60" t="s">
        <v>753</v>
      </c>
    </row>
    <row r="1806" ht="12.75" customHeight="1">
      <c r="A1806" s="59" t="s">
        <v>181</v>
      </c>
      <c r="B1806" s="60" t="s">
        <v>757</v>
      </c>
    </row>
    <row r="1807" ht="12.75" customHeight="1">
      <c r="A1807" s="59" t="s">
        <v>181</v>
      </c>
      <c r="B1807" s="60" t="s">
        <v>761</v>
      </c>
    </row>
    <row r="1808" ht="12.75" customHeight="1">
      <c r="A1808" s="59" t="s">
        <v>181</v>
      </c>
      <c r="B1808" s="60" t="s">
        <v>765</v>
      </c>
    </row>
    <row r="1809" ht="12.75" customHeight="1">
      <c r="A1809" s="59" t="s">
        <v>181</v>
      </c>
      <c r="B1809" s="60" t="s">
        <v>808</v>
      </c>
    </row>
    <row r="1810" ht="12.75" customHeight="1">
      <c r="A1810" s="59" t="s">
        <v>181</v>
      </c>
      <c r="B1810" s="60" t="s">
        <v>809</v>
      </c>
    </row>
    <row r="1811" ht="12.75" customHeight="1">
      <c r="A1811" s="59" t="s">
        <v>181</v>
      </c>
      <c r="B1811" s="60" t="s">
        <v>810</v>
      </c>
    </row>
    <row r="1812" ht="12.75" customHeight="1">
      <c r="A1812" s="59" t="s">
        <v>181</v>
      </c>
      <c r="B1812" s="60" t="s">
        <v>811</v>
      </c>
    </row>
    <row r="1813" ht="12.75" customHeight="1">
      <c r="A1813" s="59" t="s">
        <v>181</v>
      </c>
      <c r="B1813" s="60" t="s">
        <v>812</v>
      </c>
    </row>
    <row r="1814" ht="12.75" customHeight="1">
      <c r="A1814" s="59" t="s">
        <v>181</v>
      </c>
      <c r="B1814" s="60" t="s">
        <v>813</v>
      </c>
    </row>
    <row r="1815" ht="12.75" customHeight="1">
      <c r="A1815" s="59" t="s">
        <v>181</v>
      </c>
      <c r="B1815" s="60" t="s">
        <v>814</v>
      </c>
    </row>
    <row r="1816" ht="12.75" customHeight="1">
      <c r="A1816" s="59" t="s">
        <v>181</v>
      </c>
      <c r="B1816" s="60" t="s">
        <v>815</v>
      </c>
    </row>
    <row r="1817" ht="12.75" customHeight="1">
      <c r="A1817" s="59" t="s">
        <v>181</v>
      </c>
      <c r="B1817" s="60" t="s">
        <v>816</v>
      </c>
    </row>
    <row r="1818" ht="12.75" customHeight="1">
      <c r="A1818" s="59" t="s">
        <v>181</v>
      </c>
      <c r="B1818" s="60" t="s">
        <v>771</v>
      </c>
    </row>
    <row r="1819" ht="12.75" customHeight="1">
      <c r="A1819" s="59" t="s">
        <v>181</v>
      </c>
      <c r="B1819" s="60" t="s">
        <v>775</v>
      </c>
    </row>
    <row r="1820" ht="12.75" customHeight="1">
      <c r="A1820" s="59" t="s">
        <v>181</v>
      </c>
      <c r="B1820" s="60" t="s">
        <v>779</v>
      </c>
    </row>
    <row r="1821" ht="12.75" customHeight="1">
      <c r="A1821" s="59" t="s">
        <v>181</v>
      </c>
      <c r="B1821" s="60" t="s">
        <v>783</v>
      </c>
    </row>
    <row r="1822" ht="12.75" customHeight="1">
      <c r="A1822" s="59" t="s">
        <v>181</v>
      </c>
      <c r="B1822" s="60" t="s">
        <v>817</v>
      </c>
    </row>
    <row r="1823" ht="12.75" customHeight="1">
      <c r="A1823" s="59" t="s">
        <v>181</v>
      </c>
      <c r="B1823" s="60" t="s">
        <v>818</v>
      </c>
    </row>
    <row r="1824" ht="12.75" customHeight="1">
      <c r="A1824" s="59" t="s">
        <v>181</v>
      </c>
      <c r="B1824" s="60" t="s">
        <v>819</v>
      </c>
    </row>
    <row r="1825" ht="12.75" customHeight="1">
      <c r="A1825" s="59" t="s">
        <v>181</v>
      </c>
      <c r="B1825" s="60" t="s">
        <v>820</v>
      </c>
    </row>
    <row r="1826" ht="12.75" customHeight="1">
      <c r="A1826" s="59" t="s">
        <v>181</v>
      </c>
      <c r="B1826" s="60" t="s">
        <v>821</v>
      </c>
    </row>
    <row r="1827" ht="12.75" customHeight="1">
      <c r="A1827" s="59" t="s">
        <v>181</v>
      </c>
      <c r="B1827" s="60" t="s">
        <v>822</v>
      </c>
    </row>
    <row r="1828" ht="12.75" customHeight="1">
      <c r="A1828" s="59" t="s">
        <v>181</v>
      </c>
      <c r="B1828" s="60" t="s">
        <v>823</v>
      </c>
    </row>
    <row r="1829" ht="12.75" customHeight="1">
      <c r="A1829" s="59" t="s">
        <v>181</v>
      </c>
      <c r="B1829" s="60" t="s">
        <v>824</v>
      </c>
    </row>
    <row r="1830" ht="12.75" customHeight="1">
      <c r="A1830" s="59" t="s">
        <v>181</v>
      </c>
      <c r="B1830" s="60" t="s">
        <v>825</v>
      </c>
    </row>
    <row r="1831" ht="12.75" customHeight="1">
      <c r="A1831" s="59" t="s">
        <v>181</v>
      </c>
      <c r="B1831" s="60" t="s">
        <v>788</v>
      </c>
    </row>
    <row r="1832" ht="12.75" customHeight="1">
      <c r="A1832" s="59" t="s">
        <v>181</v>
      </c>
      <c r="B1832" s="60" t="s">
        <v>792</v>
      </c>
    </row>
    <row r="1833" ht="12.75" customHeight="1">
      <c r="A1833" s="59" t="s">
        <v>181</v>
      </c>
      <c r="B1833" s="60" t="s">
        <v>796</v>
      </c>
    </row>
    <row r="1834" ht="12.75" customHeight="1">
      <c r="A1834" s="59" t="s">
        <v>181</v>
      </c>
      <c r="B1834" s="60" t="s">
        <v>800</v>
      </c>
    </row>
    <row r="1835" ht="12.75" customHeight="1">
      <c r="A1835" s="59" t="s">
        <v>181</v>
      </c>
      <c r="B1835" s="60" t="s">
        <v>826</v>
      </c>
    </row>
    <row r="1836" ht="12.75" customHeight="1">
      <c r="A1836" s="59" t="s">
        <v>181</v>
      </c>
      <c r="B1836" s="60" t="s">
        <v>827</v>
      </c>
    </row>
    <row r="1837" ht="12.75" customHeight="1">
      <c r="A1837" s="59" t="s">
        <v>181</v>
      </c>
      <c r="B1837" s="60" t="s">
        <v>828</v>
      </c>
    </row>
    <row r="1838" ht="12.75" customHeight="1">
      <c r="A1838" s="59" t="s">
        <v>181</v>
      </c>
      <c r="B1838" s="60" t="s">
        <v>829</v>
      </c>
    </row>
    <row r="1839" ht="12.75" customHeight="1">
      <c r="A1839" s="59" t="s">
        <v>181</v>
      </c>
      <c r="B1839" s="60" t="s">
        <v>830</v>
      </c>
    </row>
    <row r="1840" ht="12.75" customHeight="1">
      <c r="A1840" s="59" t="s">
        <v>181</v>
      </c>
      <c r="B1840" s="60" t="s">
        <v>831</v>
      </c>
    </row>
    <row r="1841" ht="12.75" customHeight="1">
      <c r="A1841" s="59" t="s">
        <v>181</v>
      </c>
      <c r="B1841" s="60" t="s">
        <v>832</v>
      </c>
    </row>
    <row r="1842" ht="12.75" customHeight="1">
      <c r="A1842" s="59" t="s">
        <v>181</v>
      </c>
      <c r="B1842" s="60" t="s">
        <v>833</v>
      </c>
    </row>
    <row r="1843" ht="12.75" customHeight="1">
      <c r="A1843" s="59" t="s">
        <v>181</v>
      </c>
      <c r="B1843" s="60" t="s">
        <v>834</v>
      </c>
    </row>
    <row r="1844" ht="12.75" customHeight="1">
      <c r="A1844" s="59" t="s">
        <v>181</v>
      </c>
      <c r="B1844" s="60">
        <v>14.0</v>
      </c>
    </row>
    <row r="1845" ht="12.75" customHeight="1">
      <c r="A1845" s="59" t="s">
        <v>181</v>
      </c>
      <c r="B1845" s="60" t="s">
        <v>835</v>
      </c>
    </row>
    <row r="1846" ht="12.75" customHeight="1">
      <c r="A1846" s="59" t="s">
        <v>181</v>
      </c>
      <c r="B1846" s="60">
        <v>16.0</v>
      </c>
    </row>
    <row r="1847" ht="12.75" customHeight="1">
      <c r="A1847" s="59" t="s">
        <v>181</v>
      </c>
      <c r="B1847" s="60" t="s">
        <v>836</v>
      </c>
    </row>
    <row r="1848" ht="12.75" customHeight="1">
      <c r="A1848" s="59" t="s">
        <v>181</v>
      </c>
      <c r="B1848" s="60">
        <v>18.0</v>
      </c>
    </row>
    <row r="1849" ht="12.75" customHeight="1">
      <c r="A1849" s="59" t="s">
        <v>181</v>
      </c>
      <c r="B1849" s="60" t="s">
        <v>837</v>
      </c>
    </row>
    <row r="1850" ht="12.75" customHeight="1">
      <c r="A1850" s="59" t="s">
        <v>181</v>
      </c>
      <c r="B1850" s="60">
        <v>20.0</v>
      </c>
    </row>
    <row r="1851" ht="12.75" customHeight="1">
      <c r="A1851" s="59" t="s">
        <v>181</v>
      </c>
      <c r="B1851" s="60" t="s">
        <v>838</v>
      </c>
    </row>
    <row r="1852" ht="12.75" customHeight="1">
      <c r="A1852" s="59" t="s">
        <v>181</v>
      </c>
      <c r="B1852" s="60">
        <v>22.0</v>
      </c>
    </row>
    <row r="1853" ht="12.75" customHeight="1">
      <c r="A1853" s="59" t="s">
        <v>181</v>
      </c>
      <c r="B1853" s="60" t="s">
        <v>839</v>
      </c>
    </row>
    <row r="1854" ht="12.75" customHeight="1">
      <c r="A1854" s="59" t="s">
        <v>181</v>
      </c>
      <c r="B1854" s="60">
        <v>24.0</v>
      </c>
    </row>
    <row r="1855" ht="12.75" customHeight="1">
      <c r="A1855" s="59" t="s">
        <v>181</v>
      </c>
      <c r="B1855" s="60" t="s">
        <v>840</v>
      </c>
    </row>
    <row r="1856" ht="12.75" customHeight="1">
      <c r="A1856" s="59" t="s">
        <v>181</v>
      </c>
      <c r="B1856" s="60">
        <v>26.0</v>
      </c>
    </row>
    <row r="1857" ht="12.75" customHeight="1">
      <c r="A1857" s="59" t="s">
        <v>181</v>
      </c>
      <c r="B1857" s="60" t="s">
        <v>841</v>
      </c>
    </row>
    <row r="1858" ht="12.75" customHeight="1">
      <c r="A1858" s="59" t="s">
        <v>181</v>
      </c>
      <c r="B1858" s="60">
        <v>28.0</v>
      </c>
    </row>
    <row r="1859" ht="12.75" customHeight="1">
      <c r="A1859" s="59" t="s">
        <v>181</v>
      </c>
      <c r="B1859" s="60" t="s">
        <v>842</v>
      </c>
    </row>
    <row r="1860" ht="12.75" customHeight="1">
      <c r="A1860" s="59" t="s">
        <v>181</v>
      </c>
      <c r="B1860" s="60">
        <v>30.0</v>
      </c>
    </row>
    <row r="1861" ht="12.75" customHeight="1">
      <c r="A1861" s="59" t="s">
        <v>181</v>
      </c>
      <c r="B1861" s="60" t="s">
        <v>843</v>
      </c>
    </row>
    <row r="1862" ht="12.75" customHeight="1">
      <c r="A1862" s="59" t="s">
        <v>181</v>
      </c>
      <c r="B1862" s="60">
        <v>32.0</v>
      </c>
    </row>
    <row r="1863" ht="12.75" customHeight="1">
      <c r="A1863" s="59" t="s">
        <v>181</v>
      </c>
      <c r="B1863" s="60" t="s">
        <v>844</v>
      </c>
    </row>
    <row r="1864" ht="12.75" customHeight="1">
      <c r="A1864" s="59" t="s">
        <v>181</v>
      </c>
      <c r="B1864" s="60" t="s">
        <v>845</v>
      </c>
    </row>
    <row r="1865" ht="12.75" customHeight="1">
      <c r="A1865" s="59" t="s">
        <v>181</v>
      </c>
      <c r="B1865" s="60" t="s">
        <v>846</v>
      </c>
    </row>
    <row r="1866" ht="12.75" customHeight="1">
      <c r="A1866" s="59" t="s">
        <v>181</v>
      </c>
      <c r="B1866" s="60" t="s">
        <v>847</v>
      </c>
    </row>
    <row r="1867" ht="12.75" customHeight="1">
      <c r="A1867" s="59" t="s">
        <v>181</v>
      </c>
      <c r="B1867" s="60" t="s">
        <v>848</v>
      </c>
    </row>
    <row r="1868" ht="12.75" customHeight="1">
      <c r="A1868" s="59" t="s">
        <v>181</v>
      </c>
      <c r="B1868" s="60" t="s">
        <v>849</v>
      </c>
    </row>
    <row r="1869" ht="12.75" customHeight="1">
      <c r="A1869" s="59" t="s">
        <v>181</v>
      </c>
      <c r="B1869" s="60" t="s">
        <v>850</v>
      </c>
    </row>
    <row r="1870" ht="12.75" customHeight="1">
      <c r="A1870" s="59" t="s">
        <v>181</v>
      </c>
      <c r="B1870" s="60" t="s">
        <v>851</v>
      </c>
    </row>
    <row r="1871" ht="12.75" customHeight="1">
      <c r="A1871" s="59" t="s">
        <v>181</v>
      </c>
      <c r="B1871" s="60" t="s">
        <v>852</v>
      </c>
    </row>
    <row r="1872" ht="12.75" customHeight="1">
      <c r="A1872" s="59" t="s">
        <v>181</v>
      </c>
      <c r="B1872" s="60" t="s">
        <v>853</v>
      </c>
    </row>
    <row r="1873" ht="12.75" customHeight="1">
      <c r="A1873" s="59" t="s">
        <v>181</v>
      </c>
      <c r="B1873" s="60" t="s">
        <v>854</v>
      </c>
    </row>
    <row r="1874" ht="12.75" customHeight="1">
      <c r="A1874" s="59" t="s">
        <v>181</v>
      </c>
      <c r="B1874" s="60" t="s">
        <v>855</v>
      </c>
    </row>
    <row r="1875" ht="12.75" customHeight="1">
      <c r="A1875" s="59" t="s">
        <v>181</v>
      </c>
      <c r="B1875" s="60" t="s">
        <v>856</v>
      </c>
    </row>
    <row r="1876" ht="12.75" customHeight="1">
      <c r="A1876" s="59" t="s">
        <v>181</v>
      </c>
      <c r="B1876" s="60" t="s">
        <v>857</v>
      </c>
    </row>
    <row r="1877" ht="12.75" customHeight="1">
      <c r="A1877" s="59" t="s">
        <v>181</v>
      </c>
      <c r="B1877" s="60" t="s">
        <v>858</v>
      </c>
    </row>
    <row r="1878" ht="12.75" customHeight="1">
      <c r="A1878" s="59" t="s">
        <v>181</v>
      </c>
      <c r="B1878" s="60" t="s">
        <v>859</v>
      </c>
    </row>
    <row r="1879" ht="12.75" customHeight="1">
      <c r="A1879" s="59" t="s">
        <v>181</v>
      </c>
      <c r="B1879" s="60" t="s">
        <v>860</v>
      </c>
    </row>
    <row r="1880" ht="12.75" customHeight="1">
      <c r="A1880" s="59" t="s">
        <v>181</v>
      </c>
      <c r="B1880" s="60" t="s">
        <v>861</v>
      </c>
    </row>
    <row r="1881" ht="12.75" customHeight="1">
      <c r="A1881" s="59" t="s">
        <v>181</v>
      </c>
      <c r="B1881" s="60" t="s">
        <v>862</v>
      </c>
    </row>
    <row r="1882" ht="12.75" customHeight="1">
      <c r="A1882" s="59" t="s">
        <v>181</v>
      </c>
      <c r="B1882" s="60" t="s">
        <v>863</v>
      </c>
    </row>
    <row r="1883" ht="12.75" customHeight="1">
      <c r="A1883" s="59" t="s">
        <v>181</v>
      </c>
      <c r="B1883" s="60" t="s">
        <v>864</v>
      </c>
    </row>
    <row r="1884" ht="12.75" customHeight="1">
      <c r="A1884" s="59" t="s">
        <v>181</v>
      </c>
      <c r="B1884" s="60" t="s">
        <v>865</v>
      </c>
    </row>
    <row r="1885" ht="12.75" customHeight="1">
      <c r="A1885" s="59" t="s">
        <v>181</v>
      </c>
      <c r="B1885" s="60" t="s">
        <v>866</v>
      </c>
    </row>
    <row r="1886" ht="12.75" customHeight="1">
      <c r="A1886" s="59" t="s">
        <v>181</v>
      </c>
      <c r="B1886" s="60" t="s">
        <v>867</v>
      </c>
    </row>
    <row r="1887" ht="12.75" customHeight="1">
      <c r="A1887" s="59" t="s">
        <v>181</v>
      </c>
      <c r="B1887" s="60" t="s">
        <v>868</v>
      </c>
    </row>
    <row r="1888" ht="12.75" customHeight="1">
      <c r="A1888" s="59" t="s">
        <v>181</v>
      </c>
      <c r="B1888" s="60" t="s">
        <v>869</v>
      </c>
    </row>
    <row r="1889" ht="12.75" customHeight="1">
      <c r="A1889" s="59" t="s">
        <v>181</v>
      </c>
      <c r="B1889" s="60" t="s">
        <v>870</v>
      </c>
    </row>
    <row r="1890" ht="12.75" customHeight="1">
      <c r="A1890" s="59" t="s">
        <v>181</v>
      </c>
      <c r="B1890" s="60" t="s">
        <v>871</v>
      </c>
    </row>
    <row r="1891" ht="12.75" customHeight="1">
      <c r="A1891" s="59" t="s">
        <v>181</v>
      </c>
      <c r="B1891" s="60" t="s">
        <v>872</v>
      </c>
    </row>
    <row r="1892" ht="12.75" customHeight="1">
      <c r="A1892" s="59" t="s">
        <v>181</v>
      </c>
      <c r="B1892" s="60" t="s">
        <v>873</v>
      </c>
    </row>
    <row r="1893" ht="12.75" customHeight="1">
      <c r="A1893" s="59" t="s">
        <v>181</v>
      </c>
      <c r="B1893" s="60" t="s">
        <v>874</v>
      </c>
    </row>
    <row r="1894" ht="12.75" customHeight="1">
      <c r="A1894" s="59" t="s">
        <v>181</v>
      </c>
      <c r="B1894" s="60" t="s">
        <v>875</v>
      </c>
    </row>
    <row r="1895" ht="12.75" customHeight="1">
      <c r="A1895" s="59" t="s">
        <v>181</v>
      </c>
      <c r="B1895" s="60" t="s">
        <v>876</v>
      </c>
    </row>
    <row r="1896" ht="12.75" customHeight="1">
      <c r="A1896" s="59" t="s">
        <v>181</v>
      </c>
      <c r="B1896" s="60" t="s">
        <v>877</v>
      </c>
    </row>
    <row r="1897" ht="12.75" customHeight="1">
      <c r="A1897" s="59" t="s">
        <v>181</v>
      </c>
      <c r="B1897" s="60" t="s">
        <v>878</v>
      </c>
    </row>
    <row r="1898" ht="12.75" customHeight="1">
      <c r="A1898" s="59" t="s">
        <v>181</v>
      </c>
      <c r="B1898" s="60" t="s">
        <v>879</v>
      </c>
    </row>
    <row r="1899" ht="12.75" customHeight="1">
      <c r="A1899" s="59" t="s">
        <v>181</v>
      </c>
      <c r="B1899" s="60" t="s">
        <v>880</v>
      </c>
    </row>
    <row r="1900" ht="12.75" customHeight="1">
      <c r="A1900" s="59" t="s">
        <v>181</v>
      </c>
      <c r="B1900" s="60" t="s">
        <v>881</v>
      </c>
    </row>
    <row r="1901" ht="12.75" customHeight="1">
      <c r="A1901" s="59" t="s">
        <v>181</v>
      </c>
      <c r="B1901" s="60" t="s">
        <v>882</v>
      </c>
    </row>
    <row r="1902" ht="12.75" customHeight="1">
      <c r="A1902" s="59" t="s">
        <v>181</v>
      </c>
      <c r="B1902" s="60" t="s">
        <v>883</v>
      </c>
    </row>
    <row r="1903" ht="12.75" customHeight="1">
      <c r="A1903" s="59" t="s">
        <v>181</v>
      </c>
      <c r="B1903" s="60" t="s">
        <v>884</v>
      </c>
    </row>
    <row r="1904" ht="12.75" customHeight="1">
      <c r="A1904" s="59" t="s">
        <v>181</v>
      </c>
      <c r="B1904" s="60" t="s">
        <v>885</v>
      </c>
    </row>
    <row r="1905" ht="12.75" customHeight="1">
      <c r="A1905" s="59" t="s">
        <v>181</v>
      </c>
      <c r="B1905" s="60" t="s">
        <v>886</v>
      </c>
    </row>
    <row r="1906" ht="12.75" customHeight="1">
      <c r="A1906" s="59" t="s">
        <v>181</v>
      </c>
      <c r="B1906" s="60" t="s">
        <v>887</v>
      </c>
    </row>
    <row r="1907" ht="12.75" customHeight="1">
      <c r="A1907" s="59" t="s">
        <v>181</v>
      </c>
      <c r="B1907" s="60" t="s">
        <v>888</v>
      </c>
    </row>
    <row r="1908" ht="12.75" customHeight="1">
      <c r="A1908" s="59" t="s">
        <v>181</v>
      </c>
      <c r="B1908" s="60" t="s">
        <v>889</v>
      </c>
    </row>
    <row r="1909" ht="12.75" customHeight="1">
      <c r="A1909" s="59" t="s">
        <v>181</v>
      </c>
      <c r="B1909" s="60" t="s">
        <v>890</v>
      </c>
    </row>
    <row r="1910" ht="12.75" customHeight="1">
      <c r="A1910" s="59" t="s">
        <v>181</v>
      </c>
      <c r="B1910" s="60" t="s">
        <v>891</v>
      </c>
    </row>
    <row r="1911" ht="12.75" customHeight="1">
      <c r="A1911" s="59" t="s">
        <v>181</v>
      </c>
      <c r="B1911" s="60" t="s">
        <v>892</v>
      </c>
    </row>
    <row r="1912" ht="12.75" customHeight="1">
      <c r="A1912" s="59" t="s">
        <v>181</v>
      </c>
      <c r="B1912" s="60" t="s">
        <v>893</v>
      </c>
    </row>
    <row r="1913" ht="12.75" customHeight="1">
      <c r="A1913" s="59" t="s">
        <v>181</v>
      </c>
      <c r="B1913" s="60" t="s">
        <v>894</v>
      </c>
    </row>
    <row r="1914" ht="12.75" customHeight="1">
      <c r="A1914" s="59" t="s">
        <v>181</v>
      </c>
      <c r="B1914" s="60" t="s">
        <v>895</v>
      </c>
    </row>
    <row r="1915" ht="12.75" customHeight="1">
      <c r="A1915" s="59" t="s">
        <v>181</v>
      </c>
      <c r="B1915" s="60" t="s">
        <v>896</v>
      </c>
    </row>
    <row r="1916" ht="12.75" customHeight="1">
      <c r="A1916" s="59" t="s">
        <v>181</v>
      </c>
      <c r="B1916" s="60" t="s">
        <v>897</v>
      </c>
    </row>
    <row r="1917" ht="12.75" customHeight="1">
      <c r="A1917" s="59" t="s">
        <v>181</v>
      </c>
      <c r="B1917" s="60" t="s">
        <v>898</v>
      </c>
    </row>
    <row r="1918" ht="12.75" customHeight="1">
      <c r="A1918" s="59" t="s">
        <v>181</v>
      </c>
      <c r="B1918" s="60" t="s">
        <v>899</v>
      </c>
    </row>
    <row r="1919" ht="12.75" customHeight="1">
      <c r="A1919" s="59" t="s">
        <v>181</v>
      </c>
      <c r="B1919" s="60" t="s">
        <v>900</v>
      </c>
    </row>
    <row r="1920" ht="12.75" customHeight="1">
      <c r="A1920" s="59" t="s">
        <v>181</v>
      </c>
      <c r="B1920" s="60" t="s">
        <v>901</v>
      </c>
    </row>
    <row r="1921" ht="12.75" customHeight="1">
      <c r="A1921" s="59" t="s">
        <v>181</v>
      </c>
      <c r="B1921" s="60" t="s">
        <v>902</v>
      </c>
    </row>
    <row r="1922" ht="12.75" customHeight="1">
      <c r="A1922" s="59" t="s">
        <v>181</v>
      </c>
      <c r="B1922" s="60" t="s">
        <v>903</v>
      </c>
    </row>
    <row r="1923" ht="12.75" customHeight="1">
      <c r="A1923" s="59" t="s">
        <v>181</v>
      </c>
      <c r="B1923" s="60" t="s">
        <v>904</v>
      </c>
    </row>
    <row r="1924" ht="12.75" customHeight="1">
      <c r="A1924" s="59" t="s">
        <v>181</v>
      </c>
      <c r="B1924" s="60" t="s">
        <v>905</v>
      </c>
    </row>
    <row r="1925" ht="12.75" customHeight="1">
      <c r="A1925" s="59" t="s">
        <v>181</v>
      </c>
      <c r="B1925" s="60" t="s">
        <v>906</v>
      </c>
    </row>
    <row r="1926" ht="12.75" customHeight="1">
      <c r="A1926" s="59" t="s">
        <v>181</v>
      </c>
      <c r="B1926" s="60" t="s">
        <v>907</v>
      </c>
    </row>
    <row r="1927" ht="12.75" customHeight="1">
      <c r="A1927" s="59" t="s">
        <v>181</v>
      </c>
      <c r="B1927" s="60" t="s">
        <v>908</v>
      </c>
    </row>
    <row r="1928" ht="12.75" customHeight="1">
      <c r="A1928" s="59" t="s">
        <v>181</v>
      </c>
      <c r="B1928" s="60" t="s">
        <v>909</v>
      </c>
    </row>
    <row r="1929" ht="12.75" customHeight="1">
      <c r="A1929" s="59" t="s">
        <v>181</v>
      </c>
      <c r="B1929" s="60" t="s">
        <v>910</v>
      </c>
    </row>
    <row r="1930" ht="12.75" customHeight="1">
      <c r="A1930" s="59" t="s">
        <v>181</v>
      </c>
      <c r="B1930" s="60" t="s">
        <v>911</v>
      </c>
    </row>
    <row r="1931" ht="12.75" customHeight="1">
      <c r="A1931" s="59" t="s">
        <v>181</v>
      </c>
      <c r="B1931" s="60" t="s">
        <v>912</v>
      </c>
    </row>
    <row r="1932" ht="12.75" customHeight="1">
      <c r="A1932" s="59" t="s">
        <v>181</v>
      </c>
      <c r="B1932" s="60" t="s">
        <v>913</v>
      </c>
    </row>
    <row r="1933" ht="12.75" customHeight="1">
      <c r="A1933" s="59" t="s">
        <v>181</v>
      </c>
      <c r="B1933" s="60" t="s">
        <v>914</v>
      </c>
    </row>
    <row r="1934" ht="12.75" customHeight="1">
      <c r="A1934" s="59" t="s">
        <v>181</v>
      </c>
      <c r="B1934" s="60" t="s">
        <v>915</v>
      </c>
    </row>
    <row r="1935" ht="12.75" customHeight="1">
      <c r="A1935" s="59" t="s">
        <v>181</v>
      </c>
      <c r="B1935" s="60" t="s">
        <v>916</v>
      </c>
    </row>
    <row r="1936" ht="12.75" customHeight="1">
      <c r="A1936" s="59" t="s">
        <v>181</v>
      </c>
      <c r="B1936" s="60" t="s">
        <v>917</v>
      </c>
    </row>
    <row r="1937" ht="12.75" customHeight="1">
      <c r="A1937" s="59" t="s">
        <v>181</v>
      </c>
      <c r="B1937" s="60" t="s">
        <v>918</v>
      </c>
    </row>
    <row r="1938" ht="12.75" customHeight="1">
      <c r="A1938" s="59" t="s">
        <v>181</v>
      </c>
      <c r="B1938" s="60" t="s">
        <v>919</v>
      </c>
    </row>
    <row r="1939" ht="12.75" customHeight="1">
      <c r="A1939" s="59" t="s">
        <v>181</v>
      </c>
      <c r="B1939" s="60" t="s">
        <v>920</v>
      </c>
    </row>
    <row r="1940" ht="12.75" customHeight="1">
      <c r="A1940" s="59" t="s">
        <v>181</v>
      </c>
      <c r="B1940" s="60" t="s">
        <v>921</v>
      </c>
    </row>
    <row r="1941" ht="12.75" customHeight="1">
      <c r="A1941" s="59" t="s">
        <v>181</v>
      </c>
      <c r="B1941" s="60" t="s">
        <v>922</v>
      </c>
    </row>
    <row r="1942" ht="12.75" customHeight="1">
      <c r="A1942" s="59" t="s">
        <v>181</v>
      </c>
      <c r="B1942" s="60" t="s">
        <v>923</v>
      </c>
    </row>
    <row r="1943" ht="12.75" customHeight="1">
      <c r="A1943" s="59" t="s">
        <v>181</v>
      </c>
      <c r="B1943" s="60" t="s">
        <v>924</v>
      </c>
    </row>
    <row r="1944" ht="12.75" customHeight="1">
      <c r="A1944" s="59" t="s">
        <v>181</v>
      </c>
      <c r="B1944" s="60" t="s">
        <v>925</v>
      </c>
    </row>
    <row r="1945" ht="12.75" customHeight="1">
      <c r="A1945" s="59" t="s">
        <v>181</v>
      </c>
      <c r="B1945" s="60" t="s">
        <v>926</v>
      </c>
    </row>
    <row r="1946" ht="12.75" customHeight="1">
      <c r="A1946" s="59" t="s">
        <v>181</v>
      </c>
      <c r="B1946" s="60" t="s">
        <v>927</v>
      </c>
    </row>
    <row r="1947" ht="12.75" customHeight="1">
      <c r="A1947" s="59" t="s">
        <v>181</v>
      </c>
      <c r="B1947" s="60" t="s">
        <v>928</v>
      </c>
    </row>
    <row r="1948" ht="12.75" customHeight="1">
      <c r="A1948" s="59" t="s">
        <v>181</v>
      </c>
      <c r="B1948" s="60" t="s">
        <v>929</v>
      </c>
    </row>
    <row r="1949" ht="12.75" customHeight="1">
      <c r="A1949" s="59" t="s">
        <v>181</v>
      </c>
      <c r="B1949" s="60" t="s">
        <v>930</v>
      </c>
    </row>
    <row r="1950" ht="12.75" customHeight="1">
      <c r="A1950" s="59" t="s">
        <v>181</v>
      </c>
      <c r="B1950" s="60" t="s">
        <v>931</v>
      </c>
    </row>
    <row r="1951" ht="12.75" customHeight="1">
      <c r="A1951" s="59" t="s">
        <v>181</v>
      </c>
      <c r="B1951" s="60" t="s">
        <v>932</v>
      </c>
    </row>
    <row r="1952" ht="12.75" customHeight="1">
      <c r="A1952" s="59" t="s">
        <v>181</v>
      </c>
      <c r="B1952" s="60" t="s">
        <v>933</v>
      </c>
    </row>
    <row r="1953" ht="12.75" customHeight="1">
      <c r="A1953" s="59" t="s">
        <v>181</v>
      </c>
      <c r="B1953" s="60" t="s">
        <v>934</v>
      </c>
    </row>
    <row r="1954" ht="12.75" customHeight="1">
      <c r="A1954" s="59" t="s">
        <v>181</v>
      </c>
      <c r="B1954" s="60" t="s">
        <v>935</v>
      </c>
    </row>
    <row r="1955" ht="12.75" customHeight="1">
      <c r="A1955" s="59" t="s">
        <v>181</v>
      </c>
      <c r="B1955" s="60" t="s">
        <v>936</v>
      </c>
    </row>
    <row r="1956" ht="12.75" customHeight="1">
      <c r="A1956" s="59" t="s">
        <v>181</v>
      </c>
      <c r="B1956" s="60" t="s">
        <v>937</v>
      </c>
    </row>
    <row r="1957" ht="12.75" customHeight="1">
      <c r="A1957" s="59" t="s">
        <v>181</v>
      </c>
      <c r="B1957" s="60" t="s">
        <v>938</v>
      </c>
    </row>
    <row r="1958" ht="12.75" customHeight="1">
      <c r="A1958" s="59" t="s">
        <v>181</v>
      </c>
      <c r="B1958" s="60" t="s">
        <v>939</v>
      </c>
    </row>
    <row r="1959" ht="12.75" customHeight="1">
      <c r="A1959" s="59" t="s">
        <v>181</v>
      </c>
      <c r="B1959" s="60" t="s">
        <v>940</v>
      </c>
    </row>
    <row r="1960" ht="12.75" customHeight="1">
      <c r="A1960" s="59" t="s">
        <v>181</v>
      </c>
      <c r="B1960" s="60" t="s">
        <v>941</v>
      </c>
    </row>
    <row r="1961" ht="12.75" customHeight="1">
      <c r="A1961" s="59" t="s">
        <v>181</v>
      </c>
      <c r="B1961" s="60" t="s">
        <v>942</v>
      </c>
    </row>
    <row r="1962" ht="12.75" customHeight="1">
      <c r="A1962" s="59" t="s">
        <v>181</v>
      </c>
      <c r="B1962" s="60" t="s">
        <v>943</v>
      </c>
    </row>
    <row r="1963" ht="12.75" customHeight="1">
      <c r="A1963" s="59" t="s">
        <v>181</v>
      </c>
      <c r="B1963" s="60" t="s">
        <v>944</v>
      </c>
    </row>
    <row r="1964" ht="12.75" customHeight="1">
      <c r="A1964" s="59" t="s">
        <v>181</v>
      </c>
      <c r="B1964" s="60" t="s">
        <v>945</v>
      </c>
    </row>
    <row r="1965" ht="12.75" customHeight="1">
      <c r="A1965" s="59" t="s">
        <v>181</v>
      </c>
      <c r="B1965" s="60" t="s">
        <v>946</v>
      </c>
    </row>
    <row r="1966" ht="12.75" customHeight="1">
      <c r="A1966" s="59" t="s">
        <v>181</v>
      </c>
      <c r="B1966" s="60" t="s">
        <v>947</v>
      </c>
    </row>
    <row r="1967" ht="12.75" customHeight="1">
      <c r="A1967" s="59" t="s">
        <v>181</v>
      </c>
      <c r="B1967" s="60" t="s">
        <v>948</v>
      </c>
    </row>
    <row r="1968" ht="12.75" customHeight="1">
      <c r="A1968" s="59" t="s">
        <v>181</v>
      </c>
      <c r="B1968" s="60" t="s">
        <v>949</v>
      </c>
    </row>
    <row r="1969" ht="12.75" customHeight="1">
      <c r="A1969" s="59" t="s">
        <v>181</v>
      </c>
      <c r="B1969" s="60" t="s">
        <v>950</v>
      </c>
    </row>
    <row r="1970" ht="12.75" customHeight="1">
      <c r="A1970" s="59" t="s">
        <v>181</v>
      </c>
      <c r="B1970" s="60" t="s">
        <v>951</v>
      </c>
    </row>
    <row r="1971" ht="12.75" customHeight="1">
      <c r="A1971" s="59" t="s">
        <v>181</v>
      </c>
      <c r="B1971" s="60" t="s">
        <v>952</v>
      </c>
    </row>
    <row r="1972" ht="12.75" customHeight="1">
      <c r="A1972" s="59" t="s">
        <v>181</v>
      </c>
      <c r="B1972" s="60" t="s">
        <v>953</v>
      </c>
    </row>
    <row r="1973" ht="12.75" customHeight="1">
      <c r="A1973" s="59" t="s">
        <v>181</v>
      </c>
      <c r="B1973" s="60" t="s">
        <v>954</v>
      </c>
    </row>
    <row r="1974" ht="12.75" customHeight="1">
      <c r="A1974" s="59" t="s">
        <v>181</v>
      </c>
      <c r="B1974" s="60" t="s">
        <v>955</v>
      </c>
    </row>
    <row r="1975" ht="12.75" customHeight="1">
      <c r="A1975" s="59" t="s">
        <v>181</v>
      </c>
      <c r="B1975" s="60" t="s">
        <v>956</v>
      </c>
    </row>
    <row r="1976" ht="12.75" customHeight="1">
      <c r="A1976" s="59" t="s">
        <v>181</v>
      </c>
      <c r="B1976" s="60" t="s">
        <v>957</v>
      </c>
    </row>
    <row r="1977" ht="12.75" customHeight="1">
      <c r="A1977" s="59" t="s">
        <v>181</v>
      </c>
      <c r="B1977" s="60" t="s">
        <v>958</v>
      </c>
    </row>
    <row r="1978" ht="12.75" customHeight="1">
      <c r="A1978" s="59" t="s">
        <v>181</v>
      </c>
      <c r="B1978" s="60" t="s">
        <v>959</v>
      </c>
    </row>
    <row r="1979" ht="12.75" customHeight="1">
      <c r="A1979" s="59" t="s">
        <v>181</v>
      </c>
      <c r="B1979" s="60" t="s">
        <v>960</v>
      </c>
    </row>
    <row r="1980" ht="12.75" customHeight="1">
      <c r="A1980" s="59" t="s">
        <v>181</v>
      </c>
      <c r="B1980" s="60" t="s">
        <v>961</v>
      </c>
    </row>
    <row r="1981" ht="12.75" customHeight="1">
      <c r="A1981" s="59" t="s">
        <v>181</v>
      </c>
      <c r="B1981" s="60" t="s">
        <v>962</v>
      </c>
    </row>
    <row r="1982" ht="12.75" customHeight="1">
      <c r="A1982" s="59" t="s">
        <v>181</v>
      </c>
      <c r="B1982" s="60" t="s">
        <v>963</v>
      </c>
    </row>
    <row r="1983" ht="12.75" customHeight="1">
      <c r="A1983" s="59" t="s">
        <v>181</v>
      </c>
      <c r="B1983" s="60" t="s">
        <v>964</v>
      </c>
    </row>
    <row r="1984" ht="12.75" customHeight="1">
      <c r="A1984" s="59" t="s">
        <v>181</v>
      </c>
      <c r="B1984" s="60" t="s">
        <v>965</v>
      </c>
    </row>
    <row r="1985" ht="12.75" customHeight="1">
      <c r="A1985" s="59" t="s">
        <v>181</v>
      </c>
      <c r="B1985" s="60" t="s">
        <v>966</v>
      </c>
    </row>
    <row r="1986" ht="12.75" customHeight="1">
      <c r="A1986" s="59" t="s">
        <v>181</v>
      </c>
      <c r="B1986" s="60" t="s">
        <v>967</v>
      </c>
    </row>
    <row r="1987" ht="12.75" customHeight="1">
      <c r="A1987" s="59" t="s">
        <v>181</v>
      </c>
      <c r="B1987" s="60" t="s">
        <v>968</v>
      </c>
    </row>
    <row r="1988" ht="12.75" customHeight="1">
      <c r="A1988" s="59" t="s">
        <v>181</v>
      </c>
      <c r="B1988" s="60" t="s">
        <v>969</v>
      </c>
    </row>
    <row r="1989" ht="12.75" customHeight="1">
      <c r="A1989" s="59" t="s">
        <v>181</v>
      </c>
      <c r="B1989" s="60" t="s">
        <v>970</v>
      </c>
    </row>
    <row r="1990" ht="12.75" customHeight="1">
      <c r="A1990" s="59" t="s">
        <v>181</v>
      </c>
      <c r="B1990" s="60" t="s">
        <v>971</v>
      </c>
    </row>
    <row r="1991" ht="12.75" customHeight="1">
      <c r="A1991" s="59" t="s">
        <v>181</v>
      </c>
      <c r="B1991" s="60" t="s">
        <v>972</v>
      </c>
    </row>
    <row r="1992" ht="12.75" customHeight="1">
      <c r="A1992" s="59" t="s">
        <v>181</v>
      </c>
      <c r="B1992" s="60" t="s">
        <v>973</v>
      </c>
    </row>
    <row r="1993" ht="12.75" customHeight="1">
      <c r="A1993" s="59" t="s">
        <v>181</v>
      </c>
      <c r="B1993" s="60" t="s">
        <v>974</v>
      </c>
    </row>
    <row r="1994" ht="12.75" customHeight="1">
      <c r="A1994" s="59" t="s">
        <v>181</v>
      </c>
      <c r="B1994" s="60" t="s">
        <v>975</v>
      </c>
    </row>
    <row r="1995" ht="12.75" customHeight="1">
      <c r="A1995" s="59" t="s">
        <v>181</v>
      </c>
      <c r="B1995" s="60" t="s">
        <v>976</v>
      </c>
    </row>
    <row r="1996" ht="12.75" customHeight="1">
      <c r="A1996" s="59" t="s">
        <v>181</v>
      </c>
      <c r="B1996" s="60" t="s">
        <v>977</v>
      </c>
    </row>
    <row r="1997" ht="12.75" customHeight="1">
      <c r="A1997" s="59" t="s">
        <v>181</v>
      </c>
      <c r="B1997" s="60" t="s">
        <v>978</v>
      </c>
    </row>
    <row r="1998" ht="12.75" customHeight="1">
      <c r="A1998" s="59" t="s">
        <v>181</v>
      </c>
      <c r="B1998" s="60" t="s">
        <v>979</v>
      </c>
    </row>
    <row r="1999" ht="12.75" customHeight="1">
      <c r="A1999" s="59" t="s">
        <v>181</v>
      </c>
      <c r="B1999" s="60" t="s">
        <v>980</v>
      </c>
    </row>
    <row r="2000" ht="12.75" customHeight="1">
      <c r="A2000" s="59" t="s">
        <v>181</v>
      </c>
      <c r="B2000" s="60" t="s">
        <v>981</v>
      </c>
    </row>
    <row r="2001" ht="12.75" customHeight="1">
      <c r="A2001" s="59" t="s">
        <v>181</v>
      </c>
      <c r="B2001" s="60" t="s">
        <v>982</v>
      </c>
    </row>
    <row r="2002" ht="12.75" customHeight="1">
      <c r="A2002" s="59" t="s">
        <v>181</v>
      </c>
      <c r="B2002" s="60" t="s">
        <v>983</v>
      </c>
    </row>
    <row r="2003" ht="12.75" customHeight="1">
      <c r="A2003" s="59" t="s">
        <v>181</v>
      </c>
      <c r="B2003" s="60" t="s">
        <v>984</v>
      </c>
    </row>
    <row r="2004" ht="12.75" customHeight="1">
      <c r="A2004" s="59" t="s">
        <v>181</v>
      </c>
      <c r="B2004" s="60" t="s">
        <v>985</v>
      </c>
    </row>
    <row r="2005" ht="12.75" customHeight="1">
      <c r="A2005" s="59" t="s">
        <v>181</v>
      </c>
      <c r="B2005" s="60" t="s">
        <v>986</v>
      </c>
    </row>
    <row r="2006" ht="12.75" customHeight="1">
      <c r="A2006" s="59" t="s">
        <v>181</v>
      </c>
      <c r="B2006" s="60" t="s">
        <v>987</v>
      </c>
    </row>
    <row r="2007" ht="12.75" customHeight="1">
      <c r="A2007" s="59" t="s">
        <v>181</v>
      </c>
      <c r="B2007" s="60" t="s">
        <v>988</v>
      </c>
    </row>
    <row r="2008" ht="12.75" customHeight="1">
      <c r="A2008" s="59" t="s">
        <v>181</v>
      </c>
      <c r="B2008" s="60" t="s">
        <v>989</v>
      </c>
    </row>
    <row r="2009" ht="12.75" customHeight="1">
      <c r="A2009" s="59" t="s">
        <v>181</v>
      </c>
      <c r="B2009" s="60" t="s">
        <v>990</v>
      </c>
    </row>
    <row r="2010" ht="12.75" customHeight="1">
      <c r="A2010" s="59" t="s">
        <v>181</v>
      </c>
      <c r="B2010" s="60" t="s">
        <v>991</v>
      </c>
    </row>
    <row r="2011" ht="12.75" customHeight="1">
      <c r="A2011" s="59" t="s">
        <v>181</v>
      </c>
      <c r="B2011" s="60" t="s">
        <v>992</v>
      </c>
    </row>
    <row r="2012" ht="12.75" customHeight="1">
      <c r="A2012" s="59" t="s">
        <v>181</v>
      </c>
      <c r="B2012" s="60" t="s">
        <v>993</v>
      </c>
    </row>
    <row r="2013" ht="12.75" customHeight="1">
      <c r="A2013" s="59" t="s">
        <v>181</v>
      </c>
      <c r="B2013" s="60" t="s">
        <v>994</v>
      </c>
    </row>
    <row r="2014" ht="12.75" customHeight="1">
      <c r="A2014" s="59" t="s">
        <v>181</v>
      </c>
      <c r="B2014" s="60" t="s">
        <v>995</v>
      </c>
    </row>
    <row r="2015" ht="12.75" customHeight="1">
      <c r="A2015" s="59" t="s">
        <v>181</v>
      </c>
      <c r="B2015" s="60" t="s">
        <v>996</v>
      </c>
    </row>
    <row r="2016" ht="12.75" customHeight="1">
      <c r="A2016" s="59" t="s">
        <v>181</v>
      </c>
      <c r="B2016" s="60" t="s">
        <v>997</v>
      </c>
    </row>
    <row r="2017" ht="12.75" customHeight="1">
      <c r="A2017" s="59" t="s">
        <v>181</v>
      </c>
      <c r="B2017" s="60" t="s">
        <v>998</v>
      </c>
    </row>
    <row r="2018" ht="12.75" customHeight="1">
      <c r="A2018" s="59" t="s">
        <v>181</v>
      </c>
      <c r="B2018" s="60" t="s">
        <v>999</v>
      </c>
    </row>
    <row r="2019" ht="12.75" customHeight="1">
      <c r="A2019" s="59" t="s">
        <v>181</v>
      </c>
      <c r="B2019" s="60" t="s">
        <v>1000</v>
      </c>
    </row>
    <row r="2020" ht="12.75" customHeight="1">
      <c r="A2020" s="59" t="s">
        <v>181</v>
      </c>
      <c r="B2020" s="60" t="s">
        <v>1001</v>
      </c>
    </row>
    <row r="2021" ht="12.75" customHeight="1">
      <c r="A2021" s="59" t="s">
        <v>181</v>
      </c>
      <c r="B2021" s="60" t="s">
        <v>1002</v>
      </c>
    </row>
    <row r="2022" ht="12.75" customHeight="1">
      <c r="A2022" s="59" t="s">
        <v>181</v>
      </c>
      <c r="B2022" s="60" t="s">
        <v>1003</v>
      </c>
    </row>
    <row r="2023" ht="12.75" customHeight="1">
      <c r="A2023" s="59" t="s">
        <v>181</v>
      </c>
      <c r="B2023" s="60" t="s">
        <v>1004</v>
      </c>
    </row>
    <row r="2024" ht="12.75" customHeight="1">
      <c r="A2024" s="59" t="s">
        <v>181</v>
      </c>
      <c r="B2024" s="60" t="s">
        <v>1005</v>
      </c>
    </row>
    <row r="2025" ht="12.75" customHeight="1">
      <c r="A2025" s="59" t="s">
        <v>181</v>
      </c>
      <c r="B2025" s="60" t="s">
        <v>1006</v>
      </c>
    </row>
    <row r="2026" ht="12.75" customHeight="1">
      <c r="A2026" s="59" t="s">
        <v>181</v>
      </c>
      <c r="B2026" s="60" t="s">
        <v>1007</v>
      </c>
    </row>
    <row r="2027" ht="12.75" customHeight="1">
      <c r="A2027" s="59" t="s">
        <v>181</v>
      </c>
      <c r="B2027" s="60" t="s">
        <v>1008</v>
      </c>
    </row>
    <row r="2028" ht="12.75" customHeight="1">
      <c r="A2028" s="59" t="s">
        <v>181</v>
      </c>
      <c r="B2028" s="60" t="s">
        <v>1009</v>
      </c>
    </row>
    <row r="2029" ht="12.75" customHeight="1">
      <c r="A2029" s="59" t="s">
        <v>181</v>
      </c>
      <c r="B2029" s="60" t="s">
        <v>1010</v>
      </c>
    </row>
    <row r="2030" ht="12.75" customHeight="1">
      <c r="A2030" s="59" t="s">
        <v>181</v>
      </c>
      <c r="B2030" s="60" t="s">
        <v>1011</v>
      </c>
    </row>
    <row r="2031" ht="12.75" customHeight="1">
      <c r="A2031" s="59" t="s">
        <v>181</v>
      </c>
      <c r="B2031" s="60" t="s">
        <v>1012</v>
      </c>
    </row>
    <row r="2032" ht="12.75" customHeight="1">
      <c r="A2032" s="59" t="s">
        <v>181</v>
      </c>
      <c r="B2032" s="60" t="s">
        <v>1013</v>
      </c>
    </row>
    <row r="2033" ht="12.75" customHeight="1">
      <c r="A2033" s="59" t="s">
        <v>181</v>
      </c>
      <c r="B2033" s="60" t="s">
        <v>1014</v>
      </c>
    </row>
    <row r="2034" ht="12.75" customHeight="1">
      <c r="A2034" s="59" t="s">
        <v>181</v>
      </c>
      <c r="B2034" s="60" t="s">
        <v>1015</v>
      </c>
    </row>
    <row r="2035" ht="12.75" customHeight="1">
      <c r="A2035" s="59" t="s">
        <v>181</v>
      </c>
      <c r="B2035" s="60" t="s">
        <v>1016</v>
      </c>
    </row>
    <row r="2036" ht="12.75" customHeight="1">
      <c r="A2036" s="59" t="s">
        <v>181</v>
      </c>
      <c r="B2036" s="60" t="s">
        <v>1017</v>
      </c>
    </row>
    <row r="2037" ht="12.75" customHeight="1">
      <c r="A2037" s="59" t="s">
        <v>181</v>
      </c>
      <c r="B2037" s="60" t="s">
        <v>1018</v>
      </c>
    </row>
    <row r="2038" ht="12.75" customHeight="1">
      <c r="A2038" s="59" t="s">
        <v>181</v>
      </c>
      <c r="B2038" s="60" t="s">
        <v>1019</v>
      </c>
    </row>
    <row r="2039" ht="12.75" customHeight="1">
      <c r="A2039" s="59" t="s">
        <v>181</v>
      </c>
      <c r="B2039" s="60" t="s">
        <v>1020</v>
      </c>
    </row>
    <row r="2040" ht="12.75" customHeight="1">
      <c r="A2040" s="59" t="s">
        <v>181</v>
      </c>
      <c r="B2040" s="60" t="s">
        <v>1021</v>
      </c>
    </row>
    <row r="2041" ht="12.75" customHeight="1">
      <c r="A2041" s="59" t="s">
        <v>181</v>
      </c>
      <c r="B2041" s="60" t="s">
        <v>1022</v>
      </c>
    </row>
    <row r="2042" ht="12.75" customHeight="1">
      <c r="A2042" s="59" t="s">
        <v>181</v>
      </c>
      <c r="B2042" s="60" t="s">
        <v>1023</v>
      </c>
    </row>
    <row r="2043" ht="12.75" customHeight="1">
      <c r="A2043" s="59" t="s">
        <v>181</v>
      </c>
      <c r="B2043" s="60" t="s">
        <v>1024</v>
      </c>
    </row>
    <row r="2044" ht="12.75" customHeight="1">
      <c r="A2044" s="59" t="s">
        <v>181</v>
      </c>
      <c r="B2044" s="60" t="s">
        <v>1025</v>
      </c>
    </row>
    <row r="2045" ht="12.75" customHeight="1">
      <c r="A2045" s="59" t="s">
        <v>181</v>
      </c>
      <c r="B2045" s="60" t="s">
        <v>1026</v>
      </c>
    </row>
    <row r="2046" ht="12.75" customHeight="1">
      <c r="A2046" s="59" t="s">
        <v>181</v>
      </c>
      <c r="B2046" s="60" t="s">
        <v>1027</v>
      </c>
    </row>
    <row r="2047" ht="12.75" customHeight="1">
      <c r="A2047" s="59" t="s">
        <v>181</v>
      </c>
      <c r="B2047" s="60" t="s">
        <v>1028</v>
      </c>
    </row>
    <row r="2048" ht="12.75" customHeight="1">
      <c r="A2048" s="59" t="s">
        <v>181</v>
      </c>
      <c r="B2048" s="60" t="s">
        <v>1029</v>
      </c>
    </row>
    <row r="2049" ht="12.75" customHeight="1">
      <c r="A2049" s="59" t="s">
        <v>181</v>
      </c>
      <c r="B2049" s="60" t="s">
        <v>1030</v>
      </c>
    </row>
    <row r="2050" ht="12.75" customHeight="1">
      <c r="A2050" s="59" t="s">
        <v>181</v>
      </c>
      <c r="B2050" s="60" t="s">
        <v>1031</v>
      </c>
    </row>
    <row r="2051" ht="12.75" customHeight="1">
      <c r="A2051" s="59" t="s">
        <v>181</v>
      </c>
      <c r="B2051" s="60" t="s">
        <v>1032</v>
      </c>
    </row>
    <row r="2052" ht="12.75" customHeight="1">
      <c r="A2052" s="59" t="s">
        <v>181</v>
      </c>
      <c r="B2052" s="60" t="s">
        <v>1033</v>
      </c>
    </row>
    <row r="2053" ht="12.75" customHeight="1">
      <c r="A2053" s="59" t="s">
        <v>181</v>
      </c>
      <c r="B2053" s="60" t="s">
        <v>1034</v>
      </c>
    </row>
    <row r="2054" ht="12.75" customHeight="1">
      <c r="A2054" s="59" t="s">
        <v>181</v>
      </c>
      <c r="B2054" s="60" t="s">
        <v>1035</v>
      </c>
    </row>
    <row r="2055" ht="12.75" customHeight="1">
      <c r="A2055" s="59" t="s">
        <v>181</v>
      </c>
      <c r="B2055" s="60" t="s">
        <v>1036</v>
      </c>
    </row>
    <row r="2056" ht="12.75" customHeight="1">
      <c r="A2056" s="59" t="s">
        <v>181</v>
      </c>
      <c r="B2056" s="60" t="s">
        <v>1037</v>
      </c>
    </row>
    <row r="2057" ht="12.75" customHeight="1">
      <c r="A2057" s="59" t="s">
        <v>181</v>
      </c>
      <c r="B2057" s="60" t="s">
        <v>1038</v>
      </c>
    </row>
    <row r="2058" ht="12.75" customHeight="1">
      <c r="A2058" s="59" t="s">
        <v>181</v>
      </c>
      <c r="B2058" s="60" t="s">
        <v>1039</v>
      </c>
    </row>
    <row r="2059" ht="12.75" customHeight="1">
      <c r="A2059" s="59" t="s">
        <v>181</v>
      </c>
      <c r="B2059" s="60" t="s">
        <v>1040</v>
      </c>
    </row>
    <row r="2060" ht="12.75" customHeight="1">
      <c r="A2060" s="59" t="s">
        <v>181</v>
      </c>
      <c r="B2060" s="60" t="s">
        <v>1041</v>
      </c>
    </row>
    <row r="2061" ht="12.75" customHeight="1">
      <c r="A2061" s="59" t="s">
        <v>181</v>
      </c>
      <c r="B2061" s="60" t="s">
        <v>1042</v>
      </c>
    </row>
    <row r="2062" ht="12.75" customHeight="1">
      <c r="A2062" s="59" t="s">
        <v>181</v>
      </c>
      <c r="B2062" s="60" t="s">
        <v>1043</v>
      </c>
    </row>
    <row r="2063" ht="12.75" customHeight="1">
      <c r="A2063" s="59" t="s">
        <v>181</v>
      </c>
      <c r="B2063" s="60" t="s">
        <v>1044</v>
      </c>
    </row>
    <row r="2064" ht="12.75" customHeight="1">
      <c r="A2064" s="59" t="s">
        <v>181</v>
      </c>
      <c r="B2064" s="60" t="s">
        <v>1045</v>
      </c>
    </row>
    <row r="2065" ht="12.75" customHeight="1">
      <c r="A2065" s="59" t="s">
        <v>181</v>
      </c>
      <c r="B2065" s="60" t="s">
        <v>1046</v>
      </c>
    </row>
    <row r="2066" ht="12.75" customHeight="1">
      <c r="A2066" s="59" t="s">
        <v>181</v>
      </c>
      <c r="B2066" s="60" t="s">
        <v>1047</v>
      </c>
    </row>
    <row r="2067" ht="12.75" customHeight="1">
      <c r="A2067" s="59" t="s">
        <v>181</v>
      </c>
      <c r="B2067" s="60" t="s">
        <v>1048</v>
      </c>
    </row>
    <row r="2068" ht="12.75" customHeight="1">
      <c r="A2068" s="59" t="s">
        <v>181</v>
      </c>
      <c r="B2068" s="60" t="s">
        <v>1049</v>
      </c>
    </row>
    <row r="2069" ht="12.75" customHeight="1">
      <c r="A2069" s="59" t="s">
        <v>181</v>
      </c>
      <c r="B2069" s="60" t="s">
        <v>1050</v>
      </c>
    </row>
    <row r="2070" ht="12.75" customHeight="1">
      <c r="A2070" s="59" t="s">
        <v>181</v>
      </c>
      <c r="B2070" s="60" t="s">
        <v>1051</v>
      </c>
    </row>
    <row r="2071" ht="12.75" customHeight="1">
      <c r="A2071" s="59" t="s">
        <v>181</v>
      </c>
      <c r="B2071" s="60" t="s">
        <v>1052</v>
      </c>
    </row>
    <row r="2072" ht="12.75" customHeight="1">
      <c r="A2072" s="59" t="s">
        <v>181</v>
      </c>
      <c r="B2072" s="60" t="s">
        <v>1053</v>
      </c>
    </row>
    <row r="2073" ht="12.75" customHeight="1">
      <c r="A2073" s="59" t="s">
        <v>181</v>
      </c>
      <c r="B2073" s="60" t="s">
        <v>1054</v>
      </c>
    </row>
    <row r="2074" ht="12.75" customHeight="1">
      <c r="A2074" s="59" t="s">
        <v>181</v>
      </c>
      <c r="B2074" s="60" t="s">
        <v>1055</v>
      </c>
    </row>
    <row r="2075" ht="12.75" customHeight="1">
      <c r="A2075" s="59" t="s">
        <v>181</v>
      </c>
      <c r="B2075" s="60" t="s">
        <v>1056</v>
      </c>
    </row>
    <row r="2076" ht="12.75" customHeight="1">
      <c r="A2076" s="59" t="s">
        <v>181</v>
      </c>
      <c r="B2076" s="60" t="s">
        <v>1057</v>
      </c>
    </row>
    <row r="2077" ht="12.75" customHeight="1">
      <c r="A2077" s="59" t="s">
        <v>181</v>
      </c>
      <c r="B2077" s="60" t="s">
        <v>1058</v>
      </c>
    </row>
    <row r="2078" ht="12.75" customHeight="1">
      <c r="A2078" s="59" t="s">
        <v>181</v>
      </c>
      <c r="B2078" s="60" t="s">
        <v>1059</v>
      </c>
    </row>
    <row r="2079" ht="12.75" customHeight="1">
      <c r="A2079" s="59" t="s">
        <v>181</v>
      </c>
      <c r="B2079" s="60" t="s">
        <v>1060</v>
      </c>
    </row>
    <row r="2080" ht="12.75" customHeight="1">
      <c r="A2080" s="59" t="s">
        <v>181</v>
      </c>
      <c r="B2080" s="60" t="s">
        <v>1061</v>
      </c>
    </row>
    <row r="2081" ht="12.75" customHeight="1">
      <c r="A2081" s="59" t="s">
        <v>181</v>
      </c>
      <c r="B2081" s="60" t="s">
        <v>1062</v>
      </c>
    </row>
    <row r="2082" ht="12.75" customHeight="1">
      <c r="A2082" s="59" t="s">
        <v>181</v>
      </c>
      <c r="B2082" s="60" t="s">
        <v>1063</v>
      </c>
    </row>
    <row r="2083" ht="12.75" customHeight="1">
      <c r="A2083" s="59" t="s">
        <v>181</v>
      </c>
      <c r="B2083" s="60" t="s">
        <v>1064</v>
      </c>
    </row>
    <row r="2084" ht="12.75" customHeight="1">
      <c r="A2084" s="59" t="s">
        <v>181</v>
      </c>
      <c r="B2084" s="60" t="s">
        <v>1065</v>
      </c>
    </row>
    <row r="2085" ht="12.75" customHeight="1">
      <c r="A2085" s="59" t="s">
        <v>181</v>
      </c>
      <c r="B2085" s="60" t="s">
        <v>1066</v>
      </c>
    </row>
    <row r="2086" ht="12.75" customHeight="1">
      <c r="A2086" s="59" t="s">
        <v>181</v>
      </c>
      <c r="B2086" s="60" t="s">
        <v>1067</v>
      </c>
    </row>
    <row r="2087" ht="12.75" customHeight="1">
      <c r="A2087" s="59" t="s">
        <v>181</v>
      </c>
      <c r="B2087" s="60" t="s">
        <v>1068</v>
      </c>
    </row>
    <row r="2088" ht="12.75" customHeight="1">
      <c r="A2088" s="59" t="s">
        <v>181</v>
      </c>
      <c r="B2088" s="60" t="s">
        <v>1069</v>
      </c>
    </row>
    <row r="2089" ht="12.75" customHeight="1">
      <c r="A2089" s="59" t="s">
        <v>181</v>
      </c>
      <c r="B2089" s="60" t="s">
        <v>1070</v>
      </c>
    </row>
    <row r="2090" ht="12.75" customHeight="1">
      <c r="A2090" s="59" t="s">
        <v>181</v>
      </c>
      <c r="B2090" s="60" t="s">
        <v>1071</v>
      </c>
    </row>
    <row r="2091" ht="12.75" customHeight="1">
      <c r="A2091" s="59" t="s">
        <v>181</v>
      </c>
      <c r="B2091" s="60" t="s">
        <v>1072</v>
      </c>
    </row>
    <row r="2092" ht="12.75" customHeight="1">
      <c r="A2092" s="59" t="s">
        <v>181</v>
      </c>
      <c r="B2092" s="60" t="s">
        <v>1073</v>
      </c>
    </row>
    <row r="2093" ht="12.75" customHeight="1">
      <c r="A2093" s="59" t="s">
        <v>181</v>
      </c>
      <c r="B2093" s="60" t="s">
        <v>1074</v>
      </c>
    </row>
    <row r="2094" ht="12.75" customHeight="1">
      <c r="A2094" s="59" t="s">
        <v>181</v>
      </c>
      <c r="B2094" s="60" t="s">
        <v>1075</v>
      </c>
    </row>
    <row r="2095" ht="12.75" customHeight="1">
      <c r="A2095" s="59" t="s">
        <v>181</v>
      </c>
      <c r="B2095" s="60" t="s">
        <v>1076</v>
      </c>
    </row>
    <row r="2096" ht="12.75" customHeight="1">
      <c r="A2096" s="59" t="s">
        <v>181</v>
      </c>
      <c r="B2096" s="60" t="s">
        <v>1077</v>
      </c>
    </row>
    <row r="2097" ht="12.75" customHeight="1">
      <c r="A2097" s="59" t="s">
        <v>181</v>
      </c>
      <c r="B2097" s="60" t="s">
        <v>1078</v>
      </c>
    </row>
    <row r="2098" ht="12.75" customHeight="1">
      <c r="A2098" s="59" t="s">
        <v>181</v>
      </c>
      <c r="B2098" s="60" t="s">
        <v>1079</v>
      </c>
    </row>
    <row r="2099" ht="12.75" customHeight="1">
      <c r="A2099" s="59" t="s">
        <v>181</v>
      </c>
      <c r="B2099" s="60" t="s">
        <v>1080</v>
      </c>
    </row>
    <row r="2100" ht="12.75" customHeight="1">
      <c r="A2100" s="59" t="s">
        <v>181</v>
      </c>
      <c r="B2100" s="60" t="s">
        <v>1081</v>
      </c>
    </row>
    <row r="2101" ht="12.75" customHeight="1">
      <c r="A2101" s="59" t="s">
        <v>181</v>
      </c>
      <c r="B2101" s="60" t="s">
        <v>1082</v>
      </c>
    </row>
    <row r="2102" ht="12.75" customHeight="1">
      <c r="A2102" s="59" t="s">
        <v>181</v>
      </c>
      <c r="B2102" s="60" t="s">
        <v>1083</v>
      </c>
    </row>
    <row r="2103" ht="12.75" customHeight="1">
      <c r="A2103" s="59" t="s">
        <v>181</v>
      </c>
      <c r="B2103" s="60" t="s">
        <v>1084</v>
      </c>
    </row>
    <row r="2104" ht="12.75" customHeight="1">
      <c r="A2104" s="59" t="s">
        <v>181</v>
      </c>
      <c r="B2104" s="60" t="s">
        <v>1085</v>
      </c>
    </row>
    <row r="2105" ht="12.75" customHeight="1">
      <c r="A2105" s="59" t="s">
        <v>181</v>
      </c>
      <c r="B2105" s="60" t="s">
        <v>1086</v>
      </c>
    </row>
    <row r="2106" ht="12.75" customHeight="1">
      <c r="A2106" s="59" t="s">
        <v>181</v>
      </c>
      <c r="B2106" s="60" t="s">
        <v>1087</v>
      </c>
    </row>
    <row r="2107" ht="12.75" customHeight="1">
      <c r="A2107" s="59" t="s">
        <v>181</v>
      </c>
      <c r="B2107" s="60" t="s">
        <v>1088</v>
      </c>
    </row>
    <row r="2108" ht="12.75" customHeight="1">
      <c r="A2108" s="59" t="s">
        <v>181</v>
      </c>
      <c r="B2108" s="60" t="s">
        <v>1089</v>
      </c>
    </row>
    <row r="2109" ht="12.75" customHeight="1">
      <c r="A2109" s="59" t="s">
        <v>181</v>
      </c>
      <c r="B2109" s="60" t="s">
        <v>1090</v>
      </c>
    </row>
    <row r="2110" ht="12.75" customHeight="1">
      <c r="A2110" s="59" t="s">
        <v>181</v>
      </c>
      <c r="B2110" s="60" t="s">
        <v>1091</v>
      </c>
    </row>
    <row r="2111" ht="12.75" customHeight="1">
      <c r="A2111" s="59" t="s">
        <v>181</v>
      </c>
      <c r="B2111" s="60" t="s">
        <v>1092</v>
      </c>
    </row>
    <row r="2112" ht="12.75" customHeight="1">
      <c r="A2112" s="59" t="s">
        <v>181</v>
      </c>
      <c r="B2112" s="60" t="s">
        <v>1093</v>
      </c>
    </row>
    <row r="2113" ht="12.75" customHeight="1">
      <c r="A2113" s="59" t="s">
        <v>181</v>
      </c>
      <c r="B2113" s="60" t="s">
        <v>1094</v>
      </c>
    </row>
    <row r="2114" ht="12.75" customHeight="1">
      <c r="A2114" s="59" t="s">
        <v>181</v>
      </c>
      <c r="B2114" s="60" t="s">
        <v>1095</v>
      </c>
    </row>
    <row r="2115" ht="12.75" customHeight="1">
      <c r="A2115" s="59" t="s">
        <v>181</v>
      </c>
      <c r="B2115" s="60" t="s">
        <v>1096</v>
      </c>
    </row>
    <row r="2116" ht="12.75" customHeight="1">
      <c r="A2116" s="59" t="s">
        <v>181</v>
      </c>
      <c r="B2116" s="60" t="s">
        <v>1097</v>
      </c>
    </row>
    <row r="2117" ht="12.75" customHeight="1">
      <c r="A2117" s="59" t="s">
        <v>181</v>
      </c>
      <c r="B2117" s="60" t="s">
        <v>1098</v>
      </c>
    </row>
    <row r="2118" ht="12.75" customHeight="1">
      <c r="A2118" s="59" t="s">
        <v>181</v>
      </c>
      <c r="B2118" s="60" t="s">
        <v>1099</v>
      </c>
    </row>
    <row r="2119" ht="12.75" customHeight="1">
      <c r="A2119" s="59" t="s">
        <v>181</v>
      </c>
      <c r="B2119" s="60" t="s">
        <v>1100</v>
      </c>
    </row>
    <row r="2120" ht="12.75" customHeight="1">
      <c r="A2120" s="59" t="s">
        <v>181</v>
      </c>
      <c r="B2120" s="60" t="s">
        <v>1101</v>
      </c>
    </row>
    <row r="2121" ht="12.75" customHeight="1">
      <c r="A2121" s="59" t="s">
        <v>181</v>
      </c>
      <c r="B2121" s="60" t="s">
        <v>1102</v>
      </c>
    </row>
    <row r="2122" ht="12.75" customHeight="1">
      <c r="A2122" s="59" t="s">
        <v>181</v>
      </c>
      <c r="B2122" s="60" t="s">
        <v>1103</v>
      </c>
    </row>
    <row r="2123" ht="12.75" customHeight="1">
      <c r="A2123" s="59" t="s">
        <v>181</v>
      </c>
      <c r="B2123" s="60" t="s">
        <v>1104</v>
      </c>
    </row>
    <row r="2124" ht="12.75" customHeight="1">
      <c r="A2124" s="59" t="s">
        <v>181</v>
      </c>
      <c r="B2124" s="60" t="s">
        <v>1105</v>
      </c>
    </row>
    <row r="2125" ht="12.75" customHeight="1">
      <c r="A2125" s="59" t="s">
        <v>181</v>
      </c>
      <c r="B2125" s="60" t="s">
        <v>1106</v>
      </c>
    </row>
    <row r="2126" ht="12.75" customHeight="1">
      <c r="A2126" s="59" t="s">
        <v>181</v>
      </c>
      <c r="B2126" s="60" t="s">
        <v>1107</v>
      </c>
    </row>
    <row r="2127" ht="12.75" customHeight="1">
      <c r="A2127" s="59" t="s">
        <v>181</v>
      </c>
      <c r="B2127" s="60" t="s">
        <v>1108</v>
      </c>
    </row>
    <row r="2128" ht="12.75" customHeight="1">
      <c r="A2128" s="59" t="s">
        <v>181</v>
      </c>
      <c r="B2128" s="60" t="s">
        <v>1109</v>
      </c>
    </row>
    <row r="2129" ht="12.75" customHeight="1">
      <c r="A2129" s="59" t="s">
        <v>181</v>
      </c>
      <c r="B2129" s="60" t="s">
        <v>1110</v>
      </c>
    </row>
    <row r="2130" ht="12.75" customHeight="1">
      <c r="A2130" s="59" t="s">
        <v>181</v>
      </c>
      <c r="B2130" s="60" t="s">
        <v>1111</v>
      </c>
    </row>
    <row r="2131" ht="12.75" customHeight="1">
      <c r="A2131" s="59" t="s">
        <v>181</v>
      </c>
      <c r="B2131" s="60" t="s">
        <v>1112</v>
      </c>
    </row>
    <row r="2132" ht="12.75" customHeight="1">
      <c r="A2132" s="59" t="s">
        <v>181</v>
      </c>
      <c r="B2132" s="60" t="s">
        <v>1113</v>
      </c>
    </row>
    <row r="2133" ht="12.75" customHeight="1">
      <c r="A2133" s="59" t="s">
        <v>181</v>
      </c>
      <c r="B2133" s="60" t="s">
        <v>1114</v>
      </c>
    </row>
    <row r="2134" ht="12.75" customHeight="1">
      <c r="A2134" s="59" t="s">
        <v>181</v>
      </c>
      <c r="B2134" s="60" t="s">
        <v>1115</v>
      </c>
    </row>
    <row r="2135" ht="12.75" customHeight="1">
      <c r="A2135" s="59" t="s">
        <v>181</v>
      </c>
      <c r="B2135" s="60" t="s">
        <v>1116</v>
      </c>
    </row>
    <row r="2136" ht="12.75" customHeight="1">
      <c r="A2136" s="59" t="s">
        <v>181</v>
      </c>
      <c r="B2136" s="60" t="s">
        <v>1117</v>
      </c>
    </row>
    <row r="2137" ht="12.75" customHeight="1">
      <c r="A2137" s="59" t="s">
        <v>181</v>
      </c>
      <c r="B2137" s="60" t="s">
        <v>1118</v>
      </c>
    </row>
    <row r="2138" ht="12.75" customHeight="1">
      <c r="A2138" s="59" t="s">
        <v>181</v>
      </c>
      <c r="B2138" s="60" t="s">
        <v>1119</v>
      </c>
    </row>
    <row r="2139" ht="12.75" customHeight="1">
      <c r="A2139" s="59" t="s">
        <v>181</v>
      </c>
      <c r="B2139" s="60" t="s">
        <v>1120</v>
      </c>
    </row>
    <row r="2140" ht="12.75" customHeight="1">
      <c r="A2140" s="59" t="s">
        <v>181</v>
      </c>
      <c r="B2140" s="60" t="s">
        <v>1121</v>
      </c>
    </row>
    <row r="2141" ht="12.75" customHeight="1">
      <c r="A2141" s="59" t="s">
        <v>181</v>
      </c>
      <c r="B2141" s="60" t="s">
        <v>1122</v>
      </c>
    </row>
    <row r="2142" ht="12.75" customHeight="1">
      <c r="A2142" s="59" t="s">
        <v>181</v>
      </c>
      <c r="B2142" s="60" t="s">
        <v>1123</v>
      </c>
    </row>
    <row r="2143" ht="12.75" customHeight="1">
      <c r="A2143" s="59" t="s">
        <v>181</v>
      </c>
      <c r="B2143" s="60" t="s">
        <v>1124</v>
      </c>
    </row>
    <row r="2144" ht="12.75" customHeight="1">
      <c r="A2144" s="59" t="s">
        <v>181</v>
      </c>
      <c r="B2144" s="60" t="s">
        <v>1125</v>
      </c>
    </row>
    <row r="2145" ht="12.75" customHeight="1">
      <c r="A2145" s="59" t="s">
        <v>181</v>
      </c>
      <c r="B2145" s="60" t="s">
        <v>1126</v>
      </c>
    </row>
    <row r="2146" ht="12.75" customHeight="1">
      <c r="A2146" s="59" t="s">
        <v>181</v>
      </c>
      <c r="B2146" s="60" t="s">
        <v>1127</v>
      </c>
    </row>
    <row r="2147" ht="12.75" customHeight="1">
      <c r="A2147" s="59" t="s">
        <v>181</v>
      </c>
      <c r="B2147" s="60" t="s">
        <v>1128</v>
      </c>
    </row>
    <row r="2148" ht="12.75" customHeight="1">
      <c r="A2148" s="59" t="s">
        <v>181</v>
      </c>
      <c r="B2148" s="60" t="s">
        <v>1129</v>
      </c>
    </row>
    <row r="2149" ht="12.75" customHeight="1">
      <c r="A2149" s="59" t="s">
        <v>181</v>
      </c>
      <c r="B2149" s="60" t="s">
        <v>1130</v>
      </c>
    </row>
    <row r="2150" ht="12.75" customHeight="1">
      <c r="A2150" s="59" t="s">
        <v>181</v>
      </c>
      <c r="B2150" s="60" t="s">
        <v>1131</v>
      </c>
    </row>
    <row r="2151" ht="12.75" customHeight="1">
      <c r="A2151" s="59" t="s">
        <v>181</v>
      </c>
      <c r="B2151" s="60" t="s">
        <v>1132</v>
      </c>
    </row>
    <row r="2152" ht="12.75" customHeight="1">
      <c r="A2152" s="59" t="s">
        <v>181</v>
      </c>
      <c r="B2152" s="60" t="s">
        <v>1133</v>
      </c>
    </row>
    <row r="2153" ht="12.75" customHeight="1">
      <c r="A2153" s="59" t="s">
        <v>181</v>
      </c>
      <c r="B2153" s="60" t="s">
        <v>1134</v>
      </c>
    </row>
    <row r="2154" ht="12.75" customHeight="1">
      <c r="A2154" s="59" t="s">
        <v>181</v>
      </c>
      <c r="B2154" s="60" t="s">
        <v>1135</v>
      </c>
    </row>
    <row r="2155" ht="12.75" customHeight="1">
      <c r="A2155" s="59" t="s">
        <v>181</v>
      </c>
      <c r="B2155" s="60" t="s">
        <v>1136</v>
      </c>
    </row>
    <row r="2156" ht="12.75" customHeight="1">
      <c r="A2156" s="59" t="s">
        <v>181</v>
      </c>
      <c r="B2156" s="60" t="s">
        <v>1137</v>
      </c>
    </row>
    <row r="2157" ht="12.75" customHeight="1">
      <c r="A2157" s="59" t="s">
        <v>181</v>
      </c>
      <c r="B2157" s="60" t="s">
        <v>1138</v>
      </c>
    </row>
    <row r="2158" ht="12.75" customHeight="1">
      <c r="A2158" s="59" t="s">
        <v>181</v>
      </c>
      <c r="B2158" s="60" t="s">
        <v>1139</v>
      </c>
    </row>
    <row r="2159" ht="12.75" customHeight="1">
      <c r="A2159" s="59" t="s">
        <v>181</v>
      </c>
      <c r="B2159" s="60" t="s">
        <v>1140</v>
      </c>
    </row>
    <row r="2160" ht="12.75" customHeight="1">
      <c r="A2160" s="59" t="s">
        <v>181</v>
      </c>
      <c r="B2160" s="60" t="s">
        <v>1141</v>
      </c>
    </row>
    <row r="2161" ht="12.75" customHeight="1">
      <c r="A2161" s="59" t="s">
        <v>181</v>
      </c>
      <c r="B2161" s="60" t="s">
        <v>1142</v>
      </c>
    </row>
    <row r="2162" ht="12.75" customHeight="1">
      <c r="A2162" s="59" t="s">
        <v>181</v>
      </c>
      <c r="B2162" s="60" t="s">
        <v>1143</v>
      </c>
    </row>
    <row r="2163" ht="12.75" customHeight="1">
      <c r="A2163" s="59" t="s">
        <v>181</v>
      </c>
      <c r="B2163" s="60" t="s">
        <v>1144</v>
      </c>
    </row>
    <row r="2164" ht="12.75" customHeight="1">
      <c r="A2164" s="59" t="s">
        <v>181</v>
      </c>
      <c r="B2164" s="60" t="s">
        <v>1145</v>
      </c>
    </row>
    <row r="2165" ht="12.75" customHeight="1">
      <c r="A2165" s="59" t="s">
        <v>181</v>
      </c>
      <c r="B2165" s="60" t="s">
        <v>1146</v>
      </c>
    </row>
    <row r="2166" ht="12.75" customHeight="1">
      <c r="A2166" s="59" t="s">
        <v>181</v>
      </c>
      <c r="B2166" s="60" t="s">
        <v>1147</v>
      </c>
    </row>
    <row r="2167" ht="12.75" customHeight="1">
      <c r="A2167" s="59" t="s">
        <v>181</v>
      </c>
      <c r="B2167" s="60" t="s">
        <v>1148</v>
      </c>
    </row>
    <row r="2168" ht="12.75" customHeight="1">
      <c r="A2168" s="59" t="s">
        <v>181</v>
      </c>
      <c r="B2168" s="60" t="s">
        <v>1149</v>
      </c>
    </row>
    <row r="2169" ht="12.75" customHeight="1">
      <c r="A2169" s="59" t="s">
        <v>181</v>
      </c>
      <c r="B2169" s="60" t="s">
        <v>1150</v>
      </c>
    </row>
    <row r="2170" ht="12.75" customHeight="1">
      <c r="A2170" s="59" t="s">
        <v>181</v>
      </c>
      <c r="B2170" s="60" t="s">
        <v>1151</v>
      </c>
    </row>
    <row r="2171" ht="12.75" customHeight="1">
      <c r="A2171" s="59" t="s">
        <v>181</v>
      </c>
      <c r="B2171" s="60" t="s">
        <v>1152</v>
      </c>
    </row>
    <row r="2172" ht="12.75" customHeight="1">
      <c r="A2172" s="59" t="s">
        <v>181</v>
      </c>
      <c r="B2172" s="60" t="s">
        <v>1153</v>
      </c>
    </row>
    <row r="2173" ht="12.75" customHeight="1">
      <c r="A2173" s="59" t="s">
        <v>181</v>
      </c>
      <c r="B2173" s="60" t="s">
        <v>1154</v>
      </c>
    </row>
    <row r="2174" ht="12.75" customHeight="1">
      <c r="A2174" s="59" t="s">
        <v>181</v>
      </c>
      <c r="B2174" s="60" t="s">
        <v>1155</v>
      </c>
    </row>
    <row r="2175" ht="12.75" customHeight="1">
      <c r="A2175" s="59" t="s">
        <v>181</v>
      </c>
      <c r="B2175" s="60" t="s">
        <v>1156</v>
      </c>
    </row>
    <row r="2176" ht="12.75" customHeight="1">
      <c r="A2176" s="59" t="s">
        <v>181</v>
      </c>
      <c r="B2176" s="60" t="s">
        <v>1157</v>
      </c>
    </row>
    <row r="2177" ht="12.75" customHeight="1">
      <c r="A2177" s="59" t="s">
        <v>181</v>
      </c>
      <c r="B2177" s="60" t="s">
        <v>1158</v>
      </c>
    </row>
    <row r="2178" ht="12.75" customHeight="1">
      <c r="A2178" s="59" t="s">
        <v>181</v>
      </c>
      <c r="B2178" s="60" t="s">
        <v>1159</v>
      </c>
    </row>
    <row r="2179" ht="12.75" customHeight="1">
      <c r="A2179" s="59" t="s">
        <v>181</v>
      </c>
      <c r="B2179" s="60" t="s">
        <v>1160</v>
      </c>
    </row>
    <row r="2180" ht="12.75" customHeight="1">
      <c r="A2180" s="59" t="s">
        <v>181</v>
      </c>
      <c r="B2180" s="60" t="s">
        <v>1161</v>
      </c>
    </row>
    <row r="2181" ht="12.75" customHeight="1">
      <c r="A2181" s="59" t="s">
        <v>181</v>
      </c>
      <c r="B2181" s="60" t="s">
        <v>1162</v>
      </c>
    </row>
    <row r="2182" ht="12.75" customHeight="1">
      <c r="A2182" s="59" t="s">
        <v>181</v>
      </c>
      <c r="B2182" s="60" t="s">
        <v>1163</v>
      </c>
    </row>
    <row r="2183" ht="12.75" customHeight="1">
      <c r="A2183" s="59" t="s">
        <v>181</v>
      </c>
      <c r="B2183" s="60" t="s">
        <v>1164</v>
      </c>
    </row>
    <row r="2184" ht="12.75" customHeight="1">
      <c r="A2184" s="59" t="s">
        <v>181</v>
      </c>
      <c r="B2184" s="60" t="s">
        <v>1165</v>
      </c>
    </row>
    <row r="2185" ht="12.75" customHeight="1">
      <c r="A2185" s="59" t="s">
        <v>181</v>
      </c>
      <c r="B2185" s="60" t="s">
        <v>1166</v>
      </c>
    </row>
    <row r="2186" ht="12.75" customHeight="1">
      <c r="A2186" s="59" t="s">
        <v>181</v>
      </c>
      <c r="B2186" s="60" t="s">
        <v>1167</v>
      </c>
    </row>
    <row r="2187" ht="12.75" customHeight="1">
      <c r="A2187" s="59" t="s">
        <v>181</v>
      </c>
      <c r="B2187" s="60" t="s">
        <v>1168</v>
      </c>
    </row>
    <row r="2188" ht="12.75" customHeight="1">
      <c r="A2188" s="59" t="s">
        <v>181</v>
      </c>
      <c r="B2188" s="60" t="s">
        <v>1169</v>
      </c>
    </row>
    <row r="2189" ht="12.75" customHeight="1">
      <c r="A2189" s="59" t="s">
        <v>181</v>
      </c>
      <c r="B2189" s="60" t="s">
        <v>1170</v>
      </c>
    </row>
    <row r="2190" ht="12.75" customHeight="1">
      <c r="A2190" s="59" t="s">
        <v>181</v>
      </c>
      <c r="B2190" s="60" t="s">
        <v>1171</v>
      </c>
    </row>
    <row r="2191" ht="12.75" customHeight="1">
      <c r="A2191" s="59" t="s">
        <v>181</v>
      </c>
      <c r="B2191" s="60" t="s">
        <v>1172</v>
      </c>
    </row>
    <row r="2192" ht="12.75" customHeight="1">
      <c r="A2192" s="59" t="s">
        <v>181</v>
      </c>
      <c r="B2192" s="60" t="s">
        <v>1173</v>
      </c>
    </row>
    <row r="2193" ht="12.75" customHeight="1">
      <c r="A2193" s="59" t="s">
        <v>181</v>
      </c>
      <c r="B2193" s="60" t="s">
        <v>1174</v>
      </c>
    </row>
    <row r="2194" ht="12.75" customHeight="1">
      <c r="A2194" s="59" t="s">
        <v>181</v>
      </c>
      <c r="B2194" s="60" t="s">
        <v>1175</v>
      </c>
    </row>
    <row r="2195" ht="12.75" customHeight="1">
      <c r="A2195" s="59" t="s">
        <v>181</v>
      </c>
      <c r="B2195" s="60" t="s">
        <v>1176</v>
      </c>
    </row>
    <row r="2196" ht="12.75" customHeight="1">
      <c r="A2196" s="59" t="s">
        <v>181</v>
      </c>
      <c r="B2196" s="60" t="s">
        <v>1177</v>
      </c>
    </row>
    <row r="2197" ht="12.75" customHeight="1">
      <c r="A2197" s="59" t="s">
        <v>181</v>
      </c>
      <c r="B2197" s="60" t="s">
        <v>1178</v>
      </c>
    </row>
    <row r="2198" ht="12.75" customHeight="1">
      <c r="A2198" s="59" t="s">
        <v>181</v>
      </c>
      <c r="B2198" s="60" t="s">
        <v>1179</v>
      </c>
    </row>
    <row r="2199" ht="12.75" customHeight="1">
      <c r="A2199" s="59" t="s">
        <v>181</v>
      </c>
      <c r="B2199" s="60" t="s">
        <v>1180</v>
      </c>
    </row>
    <row r="2200" ht="12.75" customHeight="1">
      <c r="A2200" s="59" t="s">
        <v>181</v>
      </c>
      <c r="B2200" s="60" t="s">
        <v>1181</v>
      </c>
    </row>
    <row r="2201" ht="12.75" customHeight="1">
      <c r="A2201" s="59" t="s">
        <v>181</v>
      </c>
      <c r="B2201" s="60" t="s">
        <v>1182</v>
      </c>
    </row>
    <row r="2202" ht="12.75" customHeight="1">
      <c r="A2202" s="59" t="s">
        <v>181</v>
      </c>
      <c r="B2202" s="60" t="s">
        <v>1183</v>
      </c>
    </row>
    <row r="2203" ht="12.75" customHeight="1">
      <c r="A2203" s="59" t="s">
        <v>181</v>
      </c>
      <c r="B2203" s="60" t="s">
        <v>1184</v>
      </c>
    </row>
    <row r="2204" ht="12.75" customHeight="1">
      <c r="A2204" s="59" t="s">
        <v>181</v>
      </c>
      <c r="B2204" s="60" t="s">
        <v>1185</v>
      </c>
    </row>
    <row r="2205" ht="12.75" customHeight="1">
      <c r="A2205" s="59" t="s">
        <v>181</v>
      </c>
      <c r="B2205" s="60" t="s">
        <v>1186</v>
      </c>
    </row>
    <row r="2206" ht="12.75" customHeight="1">
      <c r="A2206" s="59" t="s">
        <v>181</v>
      </c>
      <c r="B2206" s="60" t="s">
        <v>1187</v>
      </c>
    </row>
    <row r="2207" ht="12.75" customHeight="1">
      <c r="A2207" s="59" t="s">
        <v>181</v>
      </c>
      <c r="B2207" s="60" t="s">
        <v>1188</v>
      </c>
    </row>
    <row r="2208" ht="12.75" customHeight="1">
      <c r="A2208" s="59" t="s">
        <v>181</v>
      </c>
      <c r="B2208" s="60" t="s">
        <v>1189</v>
      </c>
    </row>
    <row r="2209" ht="12.75" customHeight="1">
      <c r="A2209" s="59" t="s">
        <v>181</v>
      </c>
      <c r="B2209" s="60" t="s">
        <v>1190</v>
      </c>
    </row>
    <row r="2210" ht="12.75" customHeight="1">
      <c r="A2210" s="59" t="s">
        <v>181</v>
      </c>
      <c r="B2210" s="60" t="s">
        <v>1191</v>
      </c>
    </row>
    <row r="2211" ht="12.75" customHeight="1">
      <c r="A2211" s="59" t="s">
        <v>181</v>
      </c>
      <c r="B2211" s="60" t="s">
        <v>1192</v>
      </c>
    </row>
    <row r="2212" ht="12.75" customHeight="1">
      <c r="A2212" s="59" t="s">
        <v>251</v>
      </c>
      <c r="B2212" s="60">
        <v>0.0</v>
      </c>
    </row>
    <row r="2213" ht="12.75" customHeight="1">
      <c r="A2213" s="59" t="s">
        <v>251</v>
      </c>
      <c r="B2213" s="60">
        <v>0.0</v>
      </c>
    </row>
    <row r="2214" ht="12.75" customHeight="1">
      <c r="A2214" s="59" t="s">
        <v>251</v>
      </c>
      <c r="B2214" s="60">
        <v>2.0</v>
      </c>
    </row>
    <row r="2215" ht="12.75" customHeight="1">
      <c r="A2215" s="59" t="s">
        <v>251</v>
      </c>
      <c r="B2215" s="60">
        <v>4.0</v>
      </c>
    </row>
    <row r="2216" ht="12.75" customHeight="1">
      <c r="A2216" s="59" t="s">
        <v>251</v>
      </c>
      <c r="B2216" s="60">
        <v>6.0</v>
      </c>
    </row>
    <row r="2217" ht="12.75" customHeight="1">
      <c r="A2217" s="59" t="s">
        <v>251</v>
      </c>
      <c r="B2217" s="60">
        <v>8.0</v>
      </c>
    </row>
    <row r="2218" ht="12.75" customHeight="1">
      <c r="A2218" s="59" t="s">
        <v>251</v>
      </c>
      <c r="B2218" s="60">
        <v>10.0</v>
      </c>
    </row>
    <row r="2219" ht="12.75" customHeight="1">
      <c r="A2219" s="59" t="s">
        <v>251</v>
      </c>
      <c r="B2219" s="60">
        <v>12.0</v>
      </c>
    </row>
    <row r="2220" ht="12.75" customHeight="1">
      <c r="A2220" s="59" t="s">
        <v>251</v>
      </c>
      <c r="B2220" s="60" t="s">
        <v>803</v>
      </c>
    </row>
    <row r="2221" ht="12.75" customHeight="1">
      <c r="A2221" s="59" t="s">
        <v>251</v>
      </c>
      <c r="B2221" s="60" t="s">
        <v>804</v>
      </c>
    </row>
    <row r="2222" ht="12.75" customHeight="1">
      <c r="A2222" s="59" t="s">
        <v>251</v>
      </c>
      <c r="B2222" s="60" t="s">
        <v>76</v>
      </c>
    </row>
    <row r="2223" ht="12.75" customHeight="1">
      <c r="A2223" s="59" t="s">
        <v>251</v>
      </c>
      <c r="B2223" s="60" t="s">
        <v>80</v>
      </c>
    </row>
    <row r="2224" ht="12.75" customHeight="1">
      <c r="A2224" s="59" t="s">
        <v>251</v>
      </c>
      <c r="B2224" s="60" t="s">
        <v>83</v>
      </c>
    </row>
    <row r="2225" ht="12.75" customHeight="1">
      <c r="A2225" s="59" t="s">
        <v>251</v>
      </c>
      <c r="B2225" s="60" t="s">
        <v>85</v>
      </c>
    </row>
    <row r="2226" ht="12.75" customHeight="1">
      <c r="A2226" s="59" t="s">
        <v>251</v>
      </c>
      <c r="B2226" s="60" t="s">
        <v>805</v>
      </c>
    </row>
    <row r="2227" ht="12.75" customHeight="1">
      <c r="A2227" s="59" t="s">
        <v>251</v>
      </c>
      <c r="B2227" s="60" t="s">
        <v>806</v>
      </c>
    </row>
    <row r="2228" ht="12.75" customHeight="1">
      <c r="A2228" s="59" t="s">
        <v>251</v>
      </c>
      <c r="B2228" s="60" t="s">
        <v>807</v>
      </c>
    </row>
    <row r="2229" ht="12.75" customHeight="1">
      <c r="A2229" s="59" t="s">
        <v>251</v>
      </c>
      <c r="B2229" s="60" t="s">
        <v>753</v>
      </c>
    </row>
    <row r="2230" ht="12.75" customHeight="1">
      <c r="A2230" s="59" t="s">
        <v>251</v>
      </c>
      <c r="B2230" s="60" t="s">
        <v>757</v>
      </c>
    </row>
    <row r="2231" ht="12.75" customHeight="1">
      <c r="A2231" s="59" t="s">
        <v>251</v>
      </c>
      <c r="B2231" s="60" t="s">
        <v>761</v>
      </c>
    </row>
    <row r="2232" ht="12.75" customHeight="1">
      <c r="A2232" s="59" t="s">
        <v>251</v>
      </c>
      <c r="B2232" s="60" t="s">
        <v>765</v>
      </c>
    </row>
    <row r="2233" ht="12.75" customHeight="1">
      <c r="A2233" s="59" t="s">
        <v>251</v>
      </c>
      <c r="B2233" s="60" t="s">
        <v>808</v>
      </c>
    </row>
    <row r="2234" ht="12.75" customHeight="1">
      <c r="A2234" s="59" t="s">
        <v>251</v>
      </c>
      <c r="B2234" s="60" t="s">
        <v>809</v>
      </c>
    </row>
    <row r="2235" ht="12.75" customHeight="1">
      <c r="A2235" s="59" t="s">
        <v>251</v>
      </c>
      <c r="B2235" s="60" t="s">
        <v>810</v>
      </c>
    </row>
    <row r="2236" ht="12.75" customHeight="1">
      <c r="A2236" s="59" t="s">
        <v>251</v>
      </c>
      <c r="B2236" s="60" t="s">
        <v>811</v>
      </c>
    </row>
    <row r="2237" ht="12.75" customHeight="1">
      <c r="A2237" s="59" t="s">
        <v>251</v>
      </c>
      <c r="B2237" s="60" t="s">
        <v>812</v>
      </c>
    </row>
    <row r="2238" ht="12.75" customHeight="1">
      <c r="A2238" s="59" t="s">
        <v>251</v>
      </c>
      <c r="B2238" s="60" t="s">
        <v>813</v>
      </c>
    </row>
    <row r="2239" ht="12.75" customHeight="1">
      <c r="A2239" s="59" t="s">
        <v>251</v>
      </c>
      <c r="B2239" s="60" t="s">
        <v>814</v>
      </c>
    </row>
    <row r="2240" ht="12.75" customHeight="1">
      <c r="A2240" s="59" t="s">
        <v>251</v>
      </c>
      <c r="B2240" s="60" t="s">
        <v>815</v>
      </c>
    </row>
    <row r="2241" ht="12.75" customHeight="1">
      <c r="A2241" s="59" t="s">
        <v>251</v>
      </c>
      <c r="B2241" s="60" t="s">
        <v>816</v>
      </c>
    </row>
    <row r="2242" ht="12.75" customHeight="1">
      <c r="A2242" s="59" t="s">
        <v>251</v>
      </c>
      <c r="B2242" s="60" t="s">
        <v>771</v>
      </c>
    </row>
    <row r="2243" ht="12.75" customHeight="1">
      <c r="A2243" s="59" t="s">
        <v>251</v>
      </c>
      <c r="B2243" s="60" t="s">
        <v>775</v>
      </c>
    </row>
    <row r="2244" ht="12.75" customHeight="1">
      <c r="A2244" s="59" t="s">
        <v>251</v>
      </c>
      <c r="B2244" s="60" t="s">
        <v>779</v>
      </c>
    </row>
    <row r="2245" ht="12.75" customHeight="1">
      <c r="A2245" s="59" t="s">
        <v>251</v>
      </c>
      <c r="B2245" s="60" t="s">
        <v>783</v>
      </c>
    </row>
    <row r="2246" ht="12.75" customHeight="1">
      <c r="A2246" s="59" t="s">
        <v>251</v>
      </c>
      <c r="B2246" s="60" t="s">
        <v>817</v>
      </c>
    </row>
    <row r="2247" ht="12.75" customHeight="1">
      <c r="A2247" s="59" t="s">
        <v>251</v>
      </c>
      <c r="B2247" s="60" t="s">
        <v>818</v>
      </c>
    </row>
    <row r="2248" ht="12.75" customHeight="1">
      <c r="A2248" s="59" t="s">
        <v>251</v>
      </c>
      <c r="B2248" s="60" t="s">
        <v>819</v>
      </c>
    </row>
    <row r="2249" ht="12.75" customHeight="1">
      <c r="A2249" s="59" t="s">
        <v>251</v>
      </c>
      <c r="B2249" s="60" t="s">
        <v>820</v>
      </c>
    </row>
    <row r="2250" ht="12.75" customHeight="1">
      <c r="A2250" s="59" t="s">
        <v>251</v>
      </c>
      <c r="B2250" s="60" t="s">
        <v>821</v>
      </c>
    </row>
    <row r="2251" ht="12.75" customHeight="1">
      <c r="A2251" s="59" t="s">
        <v>251</v>
      </c>
      <c r="B2251" s="60" t="s">
        <v>822</v>
      </c>
    </row>
    <row r="2252" ht="12.75" customHeight="1">
      <c r="A2252" s="59" t="s">
        <v>251</v>
      </c>
      <c r="B2252" s="60" t="s">
        <v>823</v>
      </c>
    </row>
    <row r="2253" ht="12.75" customHeight="1">
      <c r="A2253" s="59" t="s">
        <v>251</v>
      </c>
      <c r="B2253" s="60" t="s">
        <v>824</v>
      </c>
    </row>
    <row r="2254" ht="12.75" customHeight="1">
      <c r="A2254" s="59" t="s">
        <v>251</v>
      </c>
      <c r="B2254" s="60" t="s">
        <v>825</v>
      </c>
    </row>
    <row r="2255" ht="12.75" customHeight="1">
      <c r="A2255" s="59" t="s">
        <v>251</v>
      </c>
      <c r="B2255" s="60" t="s">
        <v>788</v>
      </c>
    </row>
    <row r="2256" ht="12.75" customHeight="1">
      <c r="A2256" s="59" t="s">
        <v>251</v>
      </c>
      <c r="B2256" s="60" t="s">
        <v>792</v>
      </c>
    </row>
    <row r="2257" ht="12.75" customHeight="1">
      <c r="A2257" s="59" t="s">
        <v>251</v>
      </c>
      <c r="B2257" s="60" t="s">
        <v>796</v>
      </c>
    </row>
    <row r="2258" ht="12.75" customHeight="1">
      <c r="A2258" s="59" t="s">
        <v>251</v>
      </c>
      <c r="B2258" s="60" t="s">
        <v>800</v>
      </c>
    </row>
    <row r="2259" ht="12.75" customHeight="1">
      <c r="A2259" s="59" t="s">
        <v>251</v>
      </c>
      <c r="B2259" s="60" t="s">
        <v>826</v>
      </c>
    </row>
    <row r="2260" ht="12.75" customHeight="1">
      <c r="A2260" s="59" t="s">
        <v>251</v>
      </c>
      <c r="B2260" s="60" t="s">
        <v>827</v>
      </c>
    </row>
    <row r="2261" ht="12.75" customHeight="1">
      <c r="A2261" s="59" t="s">
        <v>251</v>
      </c>
      <c r="B2261" s="60" t="s">
        <v>828</v>
      </c>
    </row>
    <row r="2262" ht="12.75" customHeight="1">
      <c r="A2262" s="59" t="s">
        <v>251</v>
      </c>
      <c r="B2262" s="60" t="s">
        <v>829</v>
      </c>
    </row>
    <row r="2263" ht="12.75" customHeight="1">
      <c r="A2263" s="59" t="s">
        <v>251</v>
      </c>
      <c r="B2263" s="60" t="s">
        <v>830</v>
      </c>
    </row>
    <row r="2264" ht="12.75" customHeight="1">
      <c r="A2264" s="59" t="s">
        <v>251</v>
      </c>
      <c r="B2264" s="60" t="s">
        <v>831</v>
      </c>
    </row>
    <row r="2265" ht="12.75" customHeight="1">
      <c r="A2265" s="59" t="s">
        <v>251</v>
      </c>
      <c r="B2265" s="60" t="s">
        <v>832</v>
      </c>
    </row>
    <row r="2266" ht="12.75" customHeight="1">
      <c r="A2266" s="59" t="s">
        <v>251</v>
      </c>
      <c r="B2266" s="60" t="s">
        <v>833</v>
      </c>
    </row>
    <row r="2267" ht="12.75" customHeight="1">
      <c r="A2267" s="59" t="s">
        <v>251</v>
      </c>
      <c r="B2267" s="60" t="s">
        <v>834</v>
      </c>
    </row>
    <row r="2268" ht="12.75" customHeight="1">
      <c r="A2268" s="59" t="s">
        <v>251</v>
      </c>
      <c r="B2268" s="60">
        <v>14.0</v>
      </c>
    </row>
    <row r="2269" ht="12.75" customHeight="1">
      <c r="A2269" s="59" t="s">
        <v>251</v>
      </c>
      <c r="B2269" s="60" t="s">
        <v>835</v>
      </c>
    </row>
    <row r="2270" ht="12.75" customHeight="1">
      <c r="A2270" s="59" t="s">
        <v>251</v>
      </c>
      <c r="B2270" s="60">
        <v>16.0</v>
      </c>
    </row>
    <row r="2271" ht="12.75" customHeight="1">
      <c r="A2271" s="59" t="s">
        <v>251</v>
      </c>
      <c r="B2271" s="60" t="s">
        <v>836</v>
      </c>
    </row>
    <row r="2272" ht="12.75" customHeight="1">
      <c r="A2272" s="59" t="s">
        <v>251</v>
      </c>
      <c r="B2272" s="60">
        <v>18.0</v>
      </c>
    </row>
    <row r="2273" ht="12.75" customHeight="1">
      <c r="A2273" s="59" t="s">
        <v>251</v>
      </c>
      <c r="B2273" s="60" t="s">
        <v>837</v>
      </c>
    </row>
    <row r="2274" ht="12.75" customHeight="1">
      <c r="A2274" s="59" t="s">
        <v>251</v>
      </c>
      <c r="B2274" s="60">
        <v>20.0</v>
      </c>
    </row>
    <row r="2275" ht="12.75" customHeight="1">
      <c r="A2275" s="59" t="s">
        <v>251</v>
      </c>
      <c r="B2275" s="60" t="s">
        <v>838</v>
      </c>
    </row>
    <row r="2276" ht="12.75" customHeight="1">
      <c r="A2276" s="59" t="s">
        <v>251</v>
      </c>
      <c r="B2276" s="60">
        <v>22.0</v>
      </c>
    </row>
    <row r="2277" ht="12.75" customHeight="1">
      <c r="A2277" s="59" t="s">
        <v>251</v>
      </c>
      <c r="B2277" s="60" t="s">
        <v>839</v>
      </c>
    </row>
    <row r="2278" ht="12.75" customHeight="1">
      <c r="A2278" s="59" t="s">
        <v>251</v>
      </c>
      <c r="B2278" s="60">
        <v>24.0</v>
      </c>
    </row>
    <row r="2279" ht="12.75" customHeight="1">
      <c r="A2279" s="59" t="s">
        <v>251</v>
      </c>
      <c r="B2279" s="60" t="s">
        <v>840</v>
      </c>
    </row>
    <row r="2280" ht="12.75" customHeight="1">
      <c r="A2280" s="59" t="s">
        <v>251</v>
      </c>
      <c r="B2280" s="60">
        <v>26.0</v>
      </c>
    </row>
    <row r="2281" ht="12.75" customHeight="1">
      <c r="A2281" s="59" t="s">
        <v>251</v>
      </c>
      <c r="B2281" s="60" t="s">
        <v>841</v>
      </c>
    </row>
    <row r="2282" ht="12.75" customHeight="1">
      <c r="A2282" s="59" t="s">
        <v>251</v>
      </c>
      <c r="B2282" s="60">
        <v>28.0</v>
      </c>
    </row>
    <row r="2283" ht="12.75" customHeight="1">
      <c r="A2283" s="59" t="s">
        <v>251</v>
      </c>
      <c r="B2283" s="60" t="s">
        <v>842</v>
      </c>
    </row>
    <row r="2284" ht="12.75" customHeight="1">
      <c r="A2284" s="59" t="s">
        <v>251</v>
      </c>
      <c r="B2284" s="60">
        <v>30.0</v>
      </c>
    </row>
    <row r="2285" ht="12.75" customHeight="1">
      <c r="A2285" s="59" t="s">
        <v>251</v>
      </c>
      <c r="B2285" s="60" t="s">
        <v>843</v>
      </c>
    </row>
    <row r="2286" ht="12.75" customHeight="1">
      <c r="A2286" s="59" t="s">
        <v>251</v>
      </c>
      <c r="B2286" s="60">
        <v>32.0</v>
      </c>
    </row>
    <row r="2287" ht="12.75" customHeight="1">
      <c r="A2287" s="59" t="s">
        <v>251</v>
      </c>
      <c r="B2287" s="60" t="s">
        <v>844</v>
      </c>
    </row>
    <row r="2288" ht="12.75" customHeight="1">
      <c r="A2288" s="59" t="s">
        <v>251</v>
      </c>
      <c r="B2288" s="60" t="s">
        <v>845</v>
      </c>
    </row>
    <row r="2289" ht="12.75" customHeight="1">
      <c r="A2289" s="59" t="s">
        <v>251</v>
      </c>
      <c r="B2289" s="60" t="s">
        <v>846</v>
      </c>
    </row>
    <row r="2290" ht="12.75" customHeight="1">
      <c r="A2290" s="59" t="s">
        <v>251</v>
      </c>
      <c r="B2290" s="60" t="s">
        <v>847</v>
      </c>
    </row>
    <row r="2291" ht="12.75" customHeight="1">
      <c r="A2291" s="59" t="s">
        <v>251</v>
      </c>
      <c r="B2291" s="60" t="s">
        <v>848</v>
      </c>
    </row>
    <row r="2292" ht="12.75" customHeight="1">
      <c r="A2292" s="59" t="s">
        <v>251</v>
      </c>
      <c r="B2292" s="60" t="s">
        <v>849</v>
      </c>
    </row>
    <row r="2293" ht="12.75" customHeight="1">
      <c r="A2293" s="59" t="s">
        <v>251</v>
      </c>
      <c r="B2293" s="60" t="s">
        <v>850</v>
      </c>
    </row>
    <row r="2294" ht="12.75" customHeight="1">
      <c r="A2294" s="59" t="s">
        <v>251</v>
      </c>
      <c r="B2294" s="60" t="s">
        <v>851</v>
      </c>
    </row>
    <row r="2295" ht="12.75" customHeight="1">
      <c r="A2295" s="59" t="s">
        <v>251</v>
      </c>
      <c r="B2295" s="60" t="s">
        <v>852</v>
      </c>
    </row>
    <row r="2296" ht="12.75" customHeight="1">
      <c r="A2296" s="59" t="s">
        <v>251</v>
      </c>
      <c r="B2296" s="60" t="s">
        <v>853</v>
      </c>
    </row>
    <row r="2297" ht="12.75" customHeight="1">
      <c r="A2297" s="59" t="s">
        <v>251</v>
      </c>
      <c r="B2297" s="60" t="s">
        <v>854</v>
      </c>
    </row>
    <row r="2298" ht="12.75" customHeight="1">
      <c r="A2298" s="59" t="s">
        <v>251</v>
      </c>
      <c r="B2298" s="60" t="s">
        <v>855</v>
      </c>
    </row>
    <row r="2299" ht="12.75" customHeight="1">
      <c r="A2299" s="59" t="s">
        <v>251</v>
      </c>
      <c r="B2299" s="60" t="s">
        <v>856</v>
      </c>
    </row>
    <row r="2300" ht="12.75" customHeight="1">
      <c r="A2300" s="59" t="s">
        <v>251</v>
      </c>
      <c r="B2300" s="60" t="s">
        <v>857</v>
      </c>
    </row>
    <row r="2301" ht="12.75" customHeight="1">
      <c r="A2301" s="59" t="s">
        <v>251</v>
      </c>
      <c r="B2301" s="60" t="s">
        <v>858</v>
      </c>
    </row>
    <row r="2302" ht="12.75" customHeight="1">
      <c r="A2302" s="59" t="s">
        <v>251</v>
      </c>
      <c r="B2302" s="60" t="s">
        <v>859</v>
      </c>
    </row>
    <row r="2303" ht="12.75" customHeight="1">
      <c r="A2303" s="59" t="s">
        <v>251</v>
      </c>
      <c r="B2303" s="60" t="s">
        <v>860</v>
      </c>
    </row>
    <row r="2304" ht="12.75" customHeight="1">
      <c r="A2304" s="59" t="s">
        <v>251</v>
      </c>
      <c r="B2304" s="60" t="s">
        <v>861</v>
      </c>
    </row>
    <row r="2305" ht="12.75" customHeight="1">
      <c r="A2305" s="59" t="s">
        <v>251</v>
      </c>
      <c r="B2305" s="60" t="s">
        <v>862</v>
      </c>
    </row>
    <row r="2306" ht="12.75" customHeight="1">
      <c r="A2306" s="59" t="s">
        <v>251</v>
      </c>
      <c r="B2306" s="60" t="s">
        <v>863</v>
      </c>
    </row>
    <row r="2307" ht="12.75" customHeight="1">
      <c r="A2307" s="59" t="s">
        <v>251</v>
      </c>
      <c r="B2307" s="60" t="s">
        <v>864</v>
      </c>
    </row>
    <row r="2308" ht="12.75" customHeight="1">
      <c r="A2308" s="59" t="s">
        <v>251</v>
      </c>
      <c r="B2308" s="60" t="s">
        <v>865</v>
      </c>
    </row>
    <row r="2309" ht="12.75" customHeight="1">
      <c r="A2309" s="59" t="s">
        <v>251</v>
      </c>
      <c r="B2309" s="60" t="s">
        <v>866</v>
      </c>
    </row>
    <row r="2310" ht="12.75" customHeight="1">
      <c r="A2310" s="59" t="s">
        <v>251</v>
      </c>
      <c r="B2310" s="60" t="s">
        <v>867</v>
      </c>
    </row>
    <row r="2311" ht="12.75" customHeight="1">
      <c r="A2311" s="59" t="s">
        <v>251</v>
      </c>
      <c r="B2311" s="60" t="s">
        <v>868</v>
      </c>
    </row>
    <row r="2312" ht="12.75" customHeight="1">
      <c r="A2312" s="59" t="s">
        <v>251</v>
      </c>
      <c r="B2312" s="60" t="s">
        <v>869</v>
      </c>
    </row>
    <row r="2313" ht="12.75" customHeight="1">
      <c r="A2313" s="59" t="s">
        <v>251</v>
      </c>
      <c r="B2313" s="60" t="s">
        <v>870</v>
      </c>
    </row>
    <row r="2314" ht="12.75" customHeight="1">
      <c r="A2314" s="59" t="s">
        <v>251</v>
      </c>
      <c r="B2314" s="60" t="s">
        <v>871</v>
      </c>
    </row>
    <row r="2315" ht="12.75" customHeight="1">
      <c r="A2315" s="59" t="s">
        <v>251</v>
      </c>
      <c r="B2315" s="60" t="s">
        <v>872</v>
      </c>
    </row>
    <row r="2316" ht="12.75" customHeight="1">
      <c r="A2316" s="59" t="s">
        <v>251</v>
      </c>
      <c r="B2316" s="60" t="s">
        <v>873</v>
      </c>
    </row>
    <row r="2317" ht="12.75" customHeight="1">
      <c r="A2317" s="59" t="s">
        <v>251</v>
      </c>
      <c r="B2317" s="60" t="s">
        <v>874</v>
      </c>
    </row>
    <row r="2318" ht="12.75" customHeight="1">
      <c r="A2318" s="59" t="s">
        <v>251</v>
      </c>
      <c r="B2318" s="60" t="s">
        <v>875</v>
      </c>
    </row>
    <row r="2319" ht="12.75" customHeight="1">
      <c r="A2319" s="59" t="s">
        <v>251</v>
      </c>
      <c r="B2319" s="60" t="s">
        <v>876</v>
      </c>
    </row>
    <row r="2320" ht="12.75" customHeight="1">
      <c r="A2320" s="59" t="s">
        <v>251</v>
      </c>
      <c r="B2320" s="60" t="s">
        <v>877</v>
      </c>
    </row>
    <row r="2321" ht="12.75" customHeight="1">
      <c r="A2321" s="59" t="s">
        <v>251</v>
      </c>
      <c r="B2321" s="60" t="s">
        <v>878</v>
      </c>
    </row>
    <row r="2322" ht="12.75" customHeight="1">
      <c r="A2322" s="59" t="s">
        <v>251</v>
      </c>
      <c r="B2322" s="60" t="s">
        <v>879</v>
      </c>
    </row>
    <row r="2323" ht="12.75" customHeight="1">
      <c r="A2323" s="59" t="s">
        <v>251</v>
      </c>
      <c r="B2323" s="60" t="s">
        <v>880</v>
      </c>
    </row>
    <row r="2324" ht="12.75" customHeight="1">
      <c r="A2324" s="59" t="s">
        <v>251</v>
      </c>
      <c r="B2324" s="60" t="s">
        <v>881</v>
      </c>
    </row>
    <row r="2325" ht="12.75" customHeight="1">
      <c r="A2325" s="59" t="s">
        <v>251</v>
      </c>
      <c r="B2325" s="60" t="s">
        <v>882</v>
      </c>
    </row>
    <row r="2326" ht="12.75" customHeight="1">
      <c r="A2326" s="59" t="s">
        <v>251</v>
      </c>
      <c r="B2326" s="60" t="s">
        <v>883</v>
      </c>
    </row>
    <row r="2327" ht="12.75" customHeight="1">
      <c r="A2327" s="59" t="s">
        <v>251</v>
      </c>
      <c r="B2327" s="60" t="s">
        <v>884</v>
      </c>
    </row>
    <row r="2328" ht="12.75" customHeight="1">
      <c r="A2328" s="59" t="s">
        <v>251</v>
      </c>
      <c r="B2328" s="60" t="s">
        <v>885</v>
      </c>
    </row>
    <row r="2329" ht="12.75" customHeight="1">
      <c r="A2329" s="59" t="s">
        <v>251</v>
      </c>
      <c r="B2329" s="60" t="s">
        <v>886</v>
      </c>
    </row>
    <row r="2330" ht="12.75" customHeight="1">
      <c r="A2330" s="59" t="s">
        <v>251</v>
      </c>
      <c r="B2330" s="60" t="s">
        <v>887</v>
      </c>
    </row>
    <row r="2331" ht="12.75" customHeight="1">
      <c r="A2331" s="59" t="s">
        <v>251</v>
      </c>
      <c r="B2331" s="60" t="s">
        <v>888</v>
      </c>
    </row>
    <row r="2332" ht="12.75" customHeight="1">
      <c r="A2332" s="59" t="s">
        <v>251</v>
      </c>
      <c r="B2332" s="60" t="s">
        <v>889</v>
      </c>
    </row>
    <row r="2333" ht="12.75" customHeight="1">
      <c r="A2333" s="59" t="s">
        <v>251</v>
      </c>
      <c r="B2333" s="60" t="s">
        <v>890</v>
      </c>
    </row>
    <row r="2334" ht="12.75" customHeight="1">
      <c r="A2334" s="59" t="s">
        <v>251</v>
      </c>
      <c r="B2334" s="60" t="s">
        <v>891</v>
      </c>
    </row>
    <row r="2335" ht="12.75" customHeight="1">
      <c r="A2335" s="59" t="s">
        <v>251</v>
      </c>
      <c r="B2335" s="60" t="s">
        <v>892</v>
      </c>
    </row>
    <row r="2336" ht="12.75" customHeight="1">
      <c r="A2336" s="59" t="s">
        <v>251</v>
      </c>
      <c r="B2336" s="60" t="s">
        <v>893</v>
      </c>
    </row>
    <row r="2337" ht="12.75" customHeight="1">
      <c r="A2337" s="59" t="s">
        <v>251</v>
      </c>
      <c r="B2337" s="60" t="s">
        <v>894</v>
      </c>
    </row>
    <row r="2338" ht="12.75" customHeight="1">
      <c r="A2338" s="59" t="s">
        <v>251</v>
      </c>
      <c r="B2338" s="60" t="s">
        <v>895</v>
      </c>
    </row>
    <row r="2339" ht="12.75" customHeight="1">
      <c r="A2339" s="59" t="s">
        <v>251</v>
      </c>
      <c r="B2339" s="60" t="s">
        <v>896</v>
      </c>
    </row>
    <row r="2340" ht="12.75" customHeight="1">
      <c r="A2340" s="59" t="s">
        <v>251</v>
      </c>
      <c r="B2340" s="60" t="s">
        <v>897</v>
      </c>
    </row>
    <row r="2341" ht="12.75" customHeight="1">
      <c r="A2341" s="59" t="s">
        <v>251</v>
      </c>
      <c r="B2341" s="60" t="s">
        <v>898</v>
      </c>
    </row>
    <row r="2342" ht="12.75" customHeight="1">
      <c r="A2342" s="59" t="s">
        <v>251</v>
      </c>
      <c r="B2342" s="60" t="s">
        <v>899</v>
      </c>
    </row>
    <row r="2343" ht="12.75" customHeight="1">
      <c r="A2343" s="59" t="s">
        <v>251</v>
      </c>
      <c r="B2343" s="60" t="s">
        <v>900</v>
      </c>
    </row>
    <row r="2344" ht="12.75" customHeight="1">
      <c r="A2344" s="59" t="s">
        <v>251</v>
      </c>
      <c r="B2344" s="60" t="s">
        <v>901</v>
      </c>
    </row>
    <row r="2345" ht="12.75" customHeight="1">
      <c r="A2345" s="59" t="s">
        <v>251</v>
      </c>
      <c r="B2345" s="60" t="s">
        <v>902</v>
      </c>
    </row>
    <row r="2346" ht="12.75" customHeight="1">
      <c r="A2346" s="59" t="s">
        <v>251</v>
      </c>
      <c r="B2346" s="60" t="s">
        <v>903</v>
      </c>
    </row>
    <row r="2347" ht="12.75" customHeight="1">
      <c r="A2347" s="59" t="s">
        <v>251</v>
      </c>
      <c r="B2347" s="60" t="s">
        <v>904</v>
      </c>
    </row>
    <row r="2348" ht="12.75" customHeight="1">
      <c r="A2348" s="59" t="s">
        <v>251</v>
      </c>
      <c r="B2348" s="60" t="s">
        <v>905</v>
      </c>
    </row>
    <row r="2349" ht="12.75" customHeight="1">
      <c r="A2349" s="59" t="s">
        <v>251</v>
      </c>
      <c r="B2349" s="60" t="s">
        <v>906</v>
      </c>
    </row>
    <row r="2350" ht="12.75" customHeight="1">
      <c r="A2350" s="59" t="s">
        <v>251</v>
      </c>
      <c r="B2350" s="60" t="s">
        <v>907</v>
      </c>
    </row>
    <row r="2351" ht="12.75" customHeight="1">
      <c r="A2351" s="59" t="s">
        <v>251</v>
      </c>
      <c r="B2351" s="60" t="s">
        <v>908</v>
      </c>
    </row>
    <row r="2352" ht="12.75" customHeight="1">
      <c r="A2352" s="59" t="s">
        <v>251</v>
      </c>
      <c r="B2352" s="60" t="s">
        <v>909</v>
      </c>
    </row>
    <row r="2353" ht="12.75" customHeight="1">
      <c r="A2353" s="59" t="s">
        <v>251</v>
      </c>
      <c r="B2353" s="60" t="s">
        <v>910</v>
      </c>
    </row>
    <row r="2354" ht="12.75" customHeight="1">
      <c r="A2354" s="59" t="s">
        <v>251</v>
      </c>
      <c r="B2354" s="60" t="s">
        <v>911</v>
      </c>
    </row>
    <row r="2355" ht="12.75" customHeight="1">
      <c r="A2355" s="59" t="s">
        <v>251</v>
      </c>
      <c r="B2355" s="60" t="s">
        <v>912</v>
      </c>
    </row>
    <row r="2356" ht="12.75" customHeight="1">
      <c r="A2356" s="59" t="s">
        <v>251</v>
      </c>
      <c r="B2356" s="60" t="s">
        <v>913</v>
      </c>
    </row>
    <row r="2357" ht="12.75" customHeight="1">
      <c r="A2357" s="59" t="s">
        <v>251</v>
      </c>
      <c r="B2357" s="60" t="s">
        <v>914</v>
      </c>
    </row>
    <row r="2358" ht="12.75" customHeight="1">
      <c r="A2358" s="59" t="s">
        <v>251</v>
      </c>
      <c r="B2358" s="60" t="s">
        <v>915</v>
      </c>
    </row>
    <row r="2359" ht="12.75" customHeight="1">
      <c r="A2359" s="59" t="s">
        <v>251</v>
      </c>
      <c r="B2359" s="60" t="s">
        <v>916</v>
      </c>
    </row>
    <row r="2360" ht="12.75" customHeight="1">
      <c r="A2360" s="59" t="s">
        <v>251</v>
      </c>
      <c r="B2360" s="60" t="s">
        <v>917</v>
      </c>
    </row>
    <row r="2361" ht="12.75" customHeight="1">
      <c r="A2361" s="59" t="s">
        <v>251</v>
      </c>
      <c r="B2361" s="60" t="s">
        <v>918</v>
      </c>
    </row>
    <row r="2362" ht="12.75" customHeight="1">
      <c r="A2362" s="59" t="s">
        <v>251</v>
      </c>
      <c r="B2362" s="60" t="s">
        <v>919</v>
      </c>
    </row>
    <row r="2363" ht="12.75" customHeight="1">
      <c r="A2363" s="59" t="s">
        <v>251</v>
      </c>
      <c r="B2363" s="60" t="s">
        <v>920</v>
      </c>
    </row>
    <row r="2364" ht="12.75" customHeight="1">
      <c r="A2364" s="59" t="s">
        <v>251</v>
      </c>
      <c r="B2364" s="60" t="s">
        <v>921</v>
      </c>
    </row>
    <row r="2365" ht="12.75" customHeight="1">
      <c r="A2365" s="59" t="s">
        <v>251</v>
      </c>
      <c r="B2365" s="60" t="s">
        <v>922</v>
      </c>
    </row>
    <row r="2366" ht="12.75" customHeight="1">
      <c r="A2366" s="59" t="s">
        <v>251</v>
      </c>
      <c r="B2366" s="60" t="s">
        <v>923</v>
      </c>
    </row>
    <row r="2367" ht="12.75" customHeight="1">
      <c r="A2367" s="59" t="s">
        <v>251</v>
      </c>
      <c r="B2367" s="60" t="s">
        <v>924</v>
      </c>
    </row>
    <row r="2368" ht="12.75" customHeight="1">
      <c r="A2368" s="59" t="s">
        <v>251</v>
      </c>
      <c r="B2368" s="60" t="s">
        <v>925</v>
      </c>
    </row>
    <row r="2369" ht="12.75" customHeight="1">
      <c r="A2369" s="59" t="s">
        <v>251</v>
      </c>
      <c r="B2369" s="60" t="s">
        <v>926</v>
      </c>
    </row>
    <row r="2370" ht="12.75" customHeight="1">
      <c r="A2370" s="59" t="s">
        <v>251</v>
      </c>
      <c r="B2370" s="60" t="s">
        <v>927</v>
      </c>
    </row>
    <row r="2371" ht="12.75" customHeight="1">
      <c r="A2371" s="59" t="s">
        <v>251</v>
      </c>
      <c r="B2371" s="60" t="s">
        <v>928</v>
      </c>
    </row>
    <row r="2372" ht="12.75" customHeight="1">
      <c r="A2372" s="59" t="s">
        <v>251</v>
      </c>
      <c r="B2372" s="60" t="s">
        <v>929</v>
      </c>
    </row>
    <row r="2373" ht="12.75" customHeight="1">
      <c r="A2373" s="59" t="s">
        <v>251</v>
      </c>
      <c r="B2373" s="60" t="s">
        <v>930</v>
      </c>
    </row>
    <row r="2374" ht="12.75" customHeight="1">
      <c r="A2374" s="59" t="s">
        <v>251</v>
      </c>
      <c r="B2374" s="60" t="s">
        <v>931</v>
      </c>
    </row>
    <row r="2375" ht="12.75" customHeight="1">
      <c r="A2375" s="59" t="s">
        <v>251</v>
      </c>
      <c r="B2375" s="60" t="s">
        <v>932</v>
      </c>
    </row>
    <row r="2376" ht="12.75" customHeight="1">
      <c r="A2376" s="59" t="s">
        <v>251</v>
      </c>
      <c r="B2376" s="60" t="s">
        <v>933</v>
      </c>
    </row>
    <row r="2377" ht="12.75" customHeight="1">
      <c r="A2377" s="59" t="s">
        <v>251</v>
      </c>
      <c r="B2377" s="60" t="s">
        <v>934</v>
      </c>
    </row>
    <row r="2378" ht="12.75" customHeight="1">
      <c r="A2378" s="59" t="s">
        <v>251</v>
      </c>
      <c r="B2378" s="60" t="s">
        <v>935</v>
      </c>
    </row>
    <row r="2379" ht="12.75" customHeight="1">
      <c r="A2379" s="59" t="s">
        <v>251</v>
      </c>
      <c r="B2379" s="60" t="s">
        <v>936</v>
      </c>
    </row>
    <row r="2380" ht="12.75" customHeight="1">
      <c r="A2380" s="59" t="s">
        <v>251</v>
      </c>
      <c r="B2380" s="60" t="s">
        <v>937</v>
      </c>
    </row>
    <row r="2381" ht="12.75" customHeight="1">
      <c r="A2381" s="59" t="s">
        <v>251</v>
      </c>
      <c r="B2381" s="60" t="s">
        <v>938</v>
      </c>
    </row>
    <row r="2382" ht="12.75" customHeight="1">
      <c r="A2382" s="59" t="s">
        <v>251</v>
      </c>
      <c r="B2382" s="60" t="s">
        <v>939</v>
      </c>
    </row>
    <row r="2383" ht="12.75" customHeight="1">
      <c r="A2383" s="59" t="s">
        <v>251</v>
      </c>
      <c r="B2383" s="60" t="s">
        <v>940</v>
      </c>
    </row>
    <row r="2384" ht="12.75" customHeight="1">
      <c r="A2384" s="59" t="s">
        <v>251</v>
      </c>
      <c r="B2384" s="60" t="s">
        <v>941</v>
      </c>
    </row>
    <row r="2385" ht="12.75" customHeight="1">
      <c r="A2385" s="59" t="s">
        <v>251</v>
      </c>
      <c r="B2385" s="60" t="s">
        <v>942</v>
      </c>
    </row>
    <row r="2386" ht="12.75" customHeight="1">
      <c r="A2386" s="59" t="s">
        <v>251</v>
      </c>
      <c r="B2386" s="60" t="s">
        <v>943</v>
      </c>
    </row>
    <row r="2387" ht="12.75" customHeight="1">
      <c r="A2387" s="59" t="s">
        <v>251</v>
      </c>
      <c r="B2387" s="60" t="s">
        <v>944</v>
      </c>
    </row>
    <row r="2388" ht="12.75" customHeight="1">
      <c r="A2388" s="59" t="s">
        <v>251</v>
      </c>
      <c r="B2388" s="60" t="s">
        <v>945</v>
      </c>
    </row>
    <row r="2389" ht="12.75" customHeight="1">
      <c r="A2389" s="59" t="s">
        <v>251</v>
      </c>
      <c r="B2389" s="60" t="s">
        <v>946</v>
      </c>
    </row>
    <row r="2390" ht="12.75" customHeight="1">
      <c r="A2390" s="59" t="s">
        <v>251</v>
      </c>
      <c r="B2390" s="60" t="s">
        <v>947</v>
      </c>
    </row>
    <row r="2391" ht="12.75" customHeight="1">
      <c r="A2391" s="59" t="s">
        <v>251</v>
      </c>
      <c r="B2391" s="60" t="s">
        <v>948</v>
      </c>
    </row>
    <row r="2392" ht="12.75" customHeight="1">
      <c r="A2392" s="59" t="s">
        <v>251</v>
      </c>
      <c r="B2392" s="60" t="s">
        <v>949</v>
      </c>
    </row>
    <row r="2393" ht="12.75" customHeight="1">
      <c r="A2393" s="59" t="s">
        <v>251</v>
      </c>
      <c r="B2393" s="60" t="s">
        <v>950</v>
      </c>
    </row>
    <row r="2394" ht="12.75" customHeight="1">
      <c r="A2394" s="59" t="s">
        <v>251</v>
      </c>
      <c r="B2394" s="60" t="s">
        <v>951</v>
      </c>
    </row>
    <row r="2395" ht="12.75" customHeight="1">
      <c r="A2395" s="59" t="s">
        <v>251</v>
      </c>
      <c r="B2395" s="60" t="s">
        <v>952</v>
      </c>
    </row>
    <row r="2396" ht="12.75" customHeight="1">
      <c r="A2396" s="59" t="s">
        <v>251</v>
      </c>
      <c r="B2396" s="60" t="s">
        <v>953</v>
      </c>
    </row>
    <row r="2397" ht="12.75" customHeight="1">
      <c r="A2397" s="59" t="s">
        <v>251</v>
      </c>
      <c r="B2397" s="60" t="s">
        <v>954</v>
      </c>
    </row>
    <row r="2398" ht="12.75" customHeight="1">
      <c r="A2398" s="59" t="s">
        <v>251</v>
      </c>
      <c r="B2398" s="60" t="s">
        <v>955</v>
      </c>
    </row>
    <row r="2399" ht="12.75" customHeight="1">
      <c r="A2399" s="59" t="s">
        <v>251</v>
      </c>
      <c r="B2399" s="60" t="s">
        <v>956</v>
      </c>
    </row>
    <row r="2400" ht="12.75" customHeight="1">
      <c r="A2400" s="59" t="s">
        <v>251</v>
      </c>
      <c r="B2400" s="60" t="s">
        <v>957</v>
      </c>
    </row>
    <row r="2401" ht="12.75" customHeight="1">
      <c r="A2401" s="59" t="s">
        <v>251</v>
      </c>
      <c r="B2401" s="60" t="s">
        <v>958</v>
      </c>
    </row>
    <row r="2402" ht="12.75" customHeight="1">
      <c r="A2402" s="59" t="s">
        <v>251</v>
      </c>
      <c r="B2402" s="60" t="s">
        <v>959</v>
      </c>
    </row>
    <row r="2403" ht="12.75" customHeight="1">
      <c r="A2403" s="59" t="s">
        <v>251</v>
      </c>
      <c r="B2403" s="60" t="s">
        <v>960</v>
      </c>
    </row>
    <row r="2404" ht="12.75" customHeight="1">
      <c r="A2404" s="59" t="s">
        <v>251</v>
      </c>
      <c r="B2404" s="60" t="s">
        <v>961</v>
      </c>
    </row>
    <row r="2405" ht="12.75" customHeight="1">
      <c r="A2405" s="59" t="s">
        <v>251</v>
      </c>
      <c r="B2405" s="60" t="s">
        <v>962</v>
      </c>
    </row>
    <row r="2406" ht="12.75" customHeight="1">
      <c r="A2406" s="59" t="s">
        <v>251</v>
      </c>
      <c r="B2406" s="60" t="s">
        <v>963</v>
      </c>
    </row>
    <row r="2407" ht="12.75" customHeight="1">
      <c r="A2407" s="59" t="s">
        <v>251</v>
      </c>
      <c r="B2407" s="60" t="s">
        <v>964</v>
      </c>
    </row>
    <row r="2408" ht="12.75" customHeight="1">
      <c r="A2408" s="59" t="s">
        <v>251</v>
      </c>
      <c r="B2408" s="60" t="s">
        <v>965</v>
      </c>
    </row>
    <row r="2409" ht="12.75" customHeight="1">
      <c r="A2409" s="59" t="s">
        <v>251</v>
      </c>
      <c r="B2409" s="60" t="s">
        <v>966</v>
      </c>
    </row>
    <row r="2410" ht="12.75" customHeight="1">
      <c r="A2410" s="59" t="s">
        <v>251</v>
      </c>
      <c r="B2410" s="60" t="s">
        <v>967</v>
      </c>
    </row>
    <row r="2411" ht="12.75" customHeight="1">
      <c r="A2411" s="59" t="s">
        <v>251</v>
      </c>
      <c r="B2411" s="60" t="s">
        <v>968</v>
      </c>
    </row>
    <row r="2412" ht="12.75" customHeight="1">
      <c r="A2412" s="59" t="s">
        <v>251</v>
      </c>
      <c r="B2412" s="60" t="s">
        <v>969</v>
      </c>
    </row>
    <row r="2413" ht="12.75" customHeight="1">
      <c r="A2413" s="59" t="s">
        <v>251</v>
      </c>
      <c r="B2413" s="60" t="s">
        <v>970</v>
      </c>
    </row>
    <row r="2414" ht="12.75" customHeight="1">
      <c r="A2414" s="59" t="s">
        <v>251</v>
      </c>
      <c r="B2414" s="60" t="s">
        <v>971</v>
      </c>
    </row>
    <row r="2415" ht="12.75" customHeight="1">
      <c r="A2415" s="59" t="s">
        <v>251</v>
      </c>
      <c r="B2415" s="60" t="s">
        <v>972</v>
      </c>
    </row>
    <row r="2416" ht="12.75" customHeight="1">
      <c r="A2416" s="59" t="s">
        <v>251</v>
      </c>
      <c r="B2416" s="60" t="s">
        <v>973</v>
      </c>
    </row>
    <row r="2417" ht="12.75" customHeight="1">
      <c r="A2417" s="59" t="s">
        <v>251</v>
      </c>
      <c r="B2417" s="60" t="s">
        <v>974</v>
      </c>
    </row>
    <row r="2418" ht="12.75" customHeight="1">
      <c r="A2418" s="59" t="s">
        <v>251</v>
      </c>
      <c r="B2418" s="60" t="s">
        <v>975</v>
      </c>
    </row>
    <row r="2419" ht="12.75" customHeight="1">
      <c r="A2419" s="59" t="s">
        <v>251</v>
      </c>
      <c r="B2419" s="60" t="s">
        <v>976</v>
      </c>
    </row>
    <row r="2420" ht="12.75" customHeight="1">
      <c r="A2420" s="59" t="s">
        <v>251</v>
      </c>
      <c r="B2420" s="60" t="s">
        <v>977</v>
      </c>
    </row>
    <row r="2421" ht="12.75" customHeight="1">
      <c r="A2421" s="59" t="s">
        <v>251</v>
      </c>
      <c r="B2421" s="60" t="s">
        <v>978</v>
      </c>
    </row>
    <row r="2422" ht="12.75" customHeight="1">
      <c r="A2422" s="59" t="s">
        <v>251</v>
      </c>
      <c r="B2422" s="60" t="s">
        <v>979</v>
      </c>
    </row>
    <row r="2423" ht="12.75" customHeight="1">
      <c r="A2423" s="59" t="s">
        <v>251</v>
      </c>
      <c r="B2423" s="60" t="s">
        <v>980</v>
      </c>
    </row>
    <row r="2424" ht="12.75" customHeight="1">
      <c r="A2424" s="59" t="s">
        <v>251</v>
      </c>
      <c r="B2424" s="60" t="s">
        <v>981</v>
      </c>
    </row>
    <row r="2425" ht="12.75" customHeight="1">
      <c r="A2425" s="59" t="s">
        <v>251</v>
      </c>
      <c r="B2425" s="60" t="s">
        <v>982</v>
      </c>
    </row>
    <row r="2426" ht="12.75" customHeight="1">
      <c r="A2426" s="59" t="s">
        <v>251</v>
      </c>
      <c r="B2426" s="60" t="s">
        <v>983</v>
      </c>
    </row>
    <row r="2427" ht="12.75" customHeight="1">
      <c r="A2427" s="59" t="s">
        <v>251</v>
      </c>
      <c r="B2427" s="60" t="s">
        <v>984</v>
      </c>
    </row>
    <row r="2428" ht="12.75" customHeight="1">
      <c r="A2428" s="59" t="s">
        <v>251</v>
      </c>
      <c r="B2428" s="60" t="s">
        <v>985</v>
      </c>
    </row>
    <row r="2429" ht="12.75" customHeight="1">
      <c r="A2429" s="59" t="s">
        <v>251</v>
      </c>
      <c r="B2429" s="60" t="s">
        <v>986</v>
      </c>
    </row>
    <row r="2430" ht="12.75" customHeight="1">
      <c r="A2430" s="59" t="s">
        <v>251</v>
      </c>
      <c r="B2430" s="60" t="s">
        <v>987</v>
      </c>
    </row>
    <row r="2431" ht="12.75" customHeight="1">
      <c r="A2431" s="59" t="s">
        <v>251</v>
      </c>
      <c r="B2431" s="60" t="s">
        <v>988</v>
      </c>
    </row>
    <row r="2432" ht="12.75" customHeight="1">
      <c r="A2432" s="59" t="s">
        <v>251</v>
      </c>
      <c r="B2432" s="60" t="s">
        <v>989</v>
      </c>
    </row>
    <row r="2433" ht="12.75" customHeight="1">
      <c r="A2433" s="59" t="s">
        <v>251</v>
      </c>
      <c r="B2433" s="60" t="s">
        <v>990</v>
      </c>
    </row>
    <row r="2434" ht="12.75" customHeight="1">
      <c r="A2434" s="59" t="s">
        <v>251</v>
      </c>
      <c r="B2434" s="60" t="s">
        <v>991</v>
      </c>
    </row>
    <row r="2435" ht="12.75" customHeight="1">
      <c r="A2435" s="59" t="s">
        <v>251</v>
      </c>
      <c r="B2435" s="60" t="s">
        <v>992</v>
      </c>
    </row>
    <row r="2436" ht="12.75" customHeight="1">
      <c r="A2436" s="59" t="s">
        <v>251</v>
      </c>
      <c r="B2436" s="60" t="s">
        <v>993</v>
      </c>
    </row>
    <row r="2437" ht="12.75" customHeight="1">
      <c r="A2437" s="59" t="s">
        <v>251</v>
      </c>
      <c r="B2437" s="60" t="s">
        <v>994</v>
      </c>
    </row>
    <row r="2438" ht="12.75" customHeight="1">
      <c r="A2438" s="59" t="s">
        <v>251</v>
      </c>
      <c r="B2438" s="60" t="s">
        <v>995</v>
      </c>
    </row>
    <row r="2439" ht="12.75" customHeight="1">
      <c r="A2439" s="59" t="s">
        <v>251</v>
      </c>
      <c r="B2439" s="60" t="s">
        <v>996</v>
      </c>
    </row>
    <row r="2440" ht="12.75" customHeight="1">
      <c r="A2440" s="59" t="s">
        <v>251</v>
      </c>
      <c r="B2440" s="60" t="s">
        <v>997</v>
      </c>
    </row>
    <row r="2441" ht="12.75" customHeight="1">
      <c r="A2441" s="59" t="s">
        <v>251</v>
      </c>
      <c r="B2441" s="60" t="s">
        <v>998</v>
      </c>
    </row>
    <row r="2442" ht="12.75" customHeight="1">
      <c r="A2442" s="59" t="s">
        <v>251</v>
      </c>
      <c r="B2442" s="60" t="s">
        <v>999</v>
      </c>
    </row>
    <row r="2443" ht="12.75" customHeight="1">
      <c r="A2443" s="59" t="s">
        <v>251</v>
      </c>
      <c r="B2443" s="60" t="s">
        <v>1000</v>
      </c>
    </row>
    <row r="2444" ht="12.75" customHeight="1">
      <c r="A2444" s="59" t="s">
        <v>251</v>
      </c>
      <c r="B2444" s="60" t="s">
        <v>1001</v>
      </c>
    </row>
    <row r="2445" ht="12.75" customHeight="1">
      <c r="A2445" s="59" t="s">
        <v>251</v>
      </c>
      <c r="B2445" s="60" t="s">
        <v>1002</v>
      </c>
    </row>
    <row r="2446" ht="12.75" customHeight="1">
      <c r="A2446" s="59" t="s">
        <v>251</v>
      </c>
      <c r="B2446" s="60" t="s">
        <v>1003</v>
      </c>
    </row>
    <row r="2447" ht="12.75" customHeight="1">
      <c r="A2447" s="59" t="s">
        <v>251</v>
      </c>
      <c r="B2447" s="60" t="s">
        <v>1004</v>
      </c>
    </row>
    <row r="2448" ht="12.75" customHeight="1">
      <c r="A2448" s="59" t="s">
        <v>251</v>
      </c>
      <c r="B2448" s="60" t="s">
        <v>1005</v>
      </c>
    </row>
    <row r="2449" ht="12.75" customHeight="1">
      <c r="A2449" s="59" t="s">
        <v>251</v>
      </c>
      <c r="B2449" s="60" t="s">
        <v>1006</v>
      </c>
    </row>
    <row r="2450" ht="12.75" customHeight="1">
      <c r="A2450" s="59" t="s">
        <v>251</v>
      </c>
      <c r="B2450" s="60" t="s">
        <v>1007</v>
      </c>
    </row>
    <row r="2451" ht="12.75" customHeight="1">
      <c r="A2451" s="59" t="s">
        <v>251</v>
      </c>
      <c r="B2451" s="60" t="s">
        <v>1008</v>
      </c>
    </row>
    <row r="2452" ht="12.75" customHeight="1">
      <c r="A2452" s="59" t="s">
        <v>251</v>
      </c>
      <c r="B2452" s="60" t="s">
        <v>1009</v>
      </c>
    </row>
    <row r="2453" ht="12.75" customHeight="1">
      <c r="A2453" s="59" t="s">
        <v>251</v>
      </c>
      <c r="B2453" s="60" t="s">
        <v>1010</v>
      </c>
    </row>
    <row r="2454" ht="12.75" customHeight="1">
      <c r="A2454" s="59" t="s">
        <v>251</v>
      </c>
      <c r="B2454" s="60" t="s">
        <v>1011</v>
      </c>
    </row>
    <row r="2455" ht="12.75" customHeight="1">
      <c r="A2455" s="59" t="s">
        <v>251</v>
      </c>
      <c r="B2455" s="60" t="s">
        <v>1012</v>
      </c>
    </row>
    <row r="2456" ht="12.75" customHeight="1">
      <c r="A2456" s="59" t="s">
        <v>251</v>
      </c>
      <c r="B2456" s="60" t="s">
        <v>1013</v>
      </c>
    </row>
    <row r="2457" ht="12.75" customHeight="1">
      <c r="A2457" s="59" t="s">
        <v>251</v>
      </c>
      <c r="B2457" s="60" t="s">
        <v>1014</v>
      </c>
    </row>
    <row r="2458" ht="12.75" customHeight="1">
      <c r="A2458" s="59" t="s">
        <v>251</v>
      </c>
      <c r="B2458" s="60" t="s">
        <v>1015</v>
      </c>
    </row>
    <row r="2459" ht="12.75" customHeight="1">
      <c r="A2459" s="59" t="s">
        <v>251</v>
      </c>
      <c r="B2459" s="60" t="s">
        <v>1016</v>
      </c>
    </row>
    <row r="2460" ht="12.75" customHeight="1">
      <c r="A2460" s="59" t="s">
        <v>251</v>
      </c>
      <c r="B2460" s="60" t="s">
        <v>1017</v>
      </c>
    </row>
    <row r="2461" ht="12.75" customHeight="1">
      <c r="A2461" s="59" t="s">
        <v>251</v>
      </c>
      <c r="B2461" s="60" t="s">
        <v>1018</v>
      </c>
    </row>
    <row r="2462" ht="12.75" customHeight="1">
      <c r="A2462" s="59" t="s">
        <v>251</v>
      </c>
      <c r="B2462" s="60" t="s">
        <v>1019</v>
      </c>
    </row>
    <row r="2463" ht="12.75" customHeight="1">
      <c r="A2463" s="59" t="s">
        <v>251</v>
      </c>
      <c r="B2463" s="60" t="s">
        <v>1020</v>
      </c>
    </row>
    <row r="2464" ht="12.75" customHeight="1">
      <c r="A2464" s="59" t="s">
        <v>251</v>
      </c>
      <c r="B2464" s="60" t="s">
        <v>1021</v>
      </c>
    </row>
    <row r="2465" ht="12.75" customHeight="1">
      <c r="A2465" s="59" t="s">
        <v>251</v>
      </c>
      <c r="B2465" s="60" t="s">
        <v>1022</v>
      </c>
    </row>
    <row r="2466" ht="12.75" customHeight="1">
      <c r="A2466" s="59" t="s">
        <v>251</v>
      </c>
      <c r="B2466" s="60" t="s">
        <v>1023</v>
      </c>
    </row>
    <row r="2467" ht="12.75" customHeight="1">
      <c r="A2467" s="59" t="s">
        <v>251</v>
      </c>
      <c r="B2467" s="60" t="s">
        <v>1024</v>
      </c>
    </row>
    <row r="2468" ht="12.75" customHeight="1">
      <c r="A2468" s="59" t="s">
        <v>251</v>
      </c>
      <c r="B2468" s="60" t="s">
        <v>1025</v>
      </c>
    </row>
    <row r="2469" ht="12.75" customHeight="1">
      <c r="A2469" s="59" t="s">
        <v>251</v>
      </c>
      <c r="B2469" s="60" t="s">
        <v>1026</v>
      </c>
    </row>
    <row r="2470" ht="12.75" customHeight="1">
      <c r="A2470" s="59" t="s">
        <v>251</v>
      </c>
      <c r="B2470" s="60" t="s">
        <v>1027</v>
      </c>
    </row>
    <row r="2471" ht="12.75" customHeight="1">
      <c r="A2471" s="59" t="s">
        <v>251</v>
      </c>
      <c r="B2471" s="60" t="s">
        <v>1028</v>
      </c>
    </row>
    <row r="2472" ht="12.75" customHeight="1">
      <c r="A2472" s="59" t="s">
        <v>251</v>
      </c>
      <c r="B2472" s="60" t="s">
        <v>1029</v>
      </c>
    </row>
    <row r="2473" ht="12.75" customHeight="1">
      <c r="A2473" s="59" t="s">
        <v>251</v>
      </c>
      <c r="B2473" s="60" t="s">
        <v>1030</v>
      </c>
    </row>
    <row r="2474" ht="12.75" customHeight="1">
      <c r="A2474" s="59" t="s">
        <v>251</v>
      </c>
      <c r="B2474" s="60" t="s">
        <v>1031</v>
      </c>
    </row>
    <row r="2475" ht="12.75" customHeight="1">
      <c r="A2475" s="59" t="s">
        <v>251</v>
      </c>
      <c r="B2475" s="60" t="s">
        <v>1032</v>
      </c>
    </row>
    <row r="2476" ht="12.75" customHeight="1">
      <c r="A2476" s="59" t="s">
        <v>251</v>
      </c>
      <c r="B2476" s="60" t="s">
        <v>1033</v>
      </c>
    </row>
    <row r="2477" ht="12.75" customHeight="1">
      <c r="A2477" s="59" t="s">
        <v>251</v>
      </c>
      <c r="B2477" s="60" t="s">
        <v>1034</v>
      </c>
    </row>
    <row r="2478" ht="12.75" customHeight="1">
      <c r="A2478" s="59" t="s">
        <v>251</v>
      </c>
      <c r="B2478" s="60" t="s">
        <v>1035</v>
      </c>
    </row>
    <row r="2479" ht="12.75" customHeight="1">
      <c r="A2479" s="59" t="s">
        <v>251</v>
      </c>
      <c r="B2479" s="60" t="s">
        <v>1036</v>
      </c>
    </row>
    <row r="2480" ht="12.75" customHeight="1">
      <c r="A2480" s="59" t="s">
        <v>251</v>
      </c>
      <c r="B2480" s="60" t="s">
        <v>1037</v>
      </c>
    </row>
    <row r="2481" ht="12.75" customHeight="1">
      <c r="A2481" s="59" t="s">
        <v>251</v>
      </c>
      <c r="B2481" s="60" t="s">
        <v>1038</v>
      </c>
    </row>
    <row r="2482" ht="12.75" customHeight="1">
      <c r="A2482" s="59" t="s">
        <v>251</v>
      </c>
      <c r="B2482" s="60" t="s">
        <v>1039</v>
      </c>
    </row>
    <row r="2483" ht="12.75" customHeight="1">
      <c r="A2483" s="59" t="s">
        <v>251</v>
      </c>
      <c r="B2483" s="60" t="s">
        <v>1040</v>
      </c>
    </row>
    <row r="2484" ht="12.75" customHeight="1">
      <c r="A2484" s="59" t="s">
        <v>251</v>
      </c>
      <c r="B2484" s="60" t="s">
        <v>1041</v>
      </c>
    </row>
    <row r="2485" ht="12.75" customHeight="1">
      <c r="A2485" s="59" t="s">
        <v>251</v>
      </c>
      <c r="B2485" s="60" t="s">
        <v>1042</v>
      </c>
    </row>
    <row r="2486" ht="12.75" customHeight="1">
      <c r="A2486" s="59" t="s">
        <v>251</v>
      </c>
      <c r="B2486" s="60" t="s">
        <v>1043</v>
      </c>
    </row>
    <row r="2487" ht="12.75" customHeight="1">
      <c r="A2487" s="59" t="s">
        <v>251</v>
      </c>
      <c r="B2487" s="60" t="s">
        <v>1044</v>
      </c>
    </row>
    <row r="2488" ht="12.75" customHeight="1">
      <c r="A2488" s="59" t="s">
        <v>251</v>
      </c>
      <c r="B2488" s="60" t="s">
        <v>1045</v>
      </c>
    </row>
    <row r="2489" ht="12.75" customHeight="1">
      <c r="A2489" s="59" t="s">
        <v>251</v>
      </c>
      <c r="B2489" s="60" t="s">
        <v>1046</v>
      </c>
    </row>
    <row r="2490" ht="12.75" customHeight="1">
      <c r="A2490" s="59" t="s">
        <v>251</v>
      </c>
      <c r="B2490" s="60" t="s">
        <v>1047</v>
      </c>
    </row>
    <row r="2491" ht="12.75" customHeight="1">
      <c r="A2491" s="59" t="s">
        <v>251</v>
      </c>
      <c r="B2491" s="60" t="s">
        <v>1048</v>
      </c>
    </row>
    <row r="2492" ht="12.75" customHeight="1">
      <c r="A2492" s="59" t="s">
        <v>251</v>
      </c>
      <c r="B2492" s="60" t="s">
        <v>1049</v>
      </c>
    </row>
    <row r="2493" ht="12.75" customHeight="1">
      <c r="A2493" s="59" t="s">
        <v>251</v>
      </c>
      <c r="B2493" s="60" t="s">
        <v>1050</v>
      </c>
    </row>
    <row r="2494" ht="12.75" customHeight="1">
      <c r="A2494" s="59" t="s">
        <v>251</v>
      </c>
      <c r="B2494" s="60" t="s">
        <v>1051</v>
      </c>
    </row>
    <row r="2495" ht="12.75" customHeight="1">
      <c r="A2495" s="59" t="s">
        <v>251</v>
      </c>
      <c r="B2495" s="60" t="s">
        <v>1052</v>
      </c>
    </row>
    <row r="2496" ht="12.75" customHeight="1">
      <c r="A2496" s="59" t="s">
        <v>251</v>
      </c>
      <c r="B2496" s="60" t="s">
        <v>1053</v>
      </c>
    </row>
    <row r="2497" ht="12.75" customHeight="1">
      <c r="A2497" s="59" t="s">
        <v>251</v>
      </c>
      <c r="B2497" s="60" t="s">
        <v>1054</v>
      </c>
    </row>
    <row r="2498" ht="12.75" customHeight="1">
      <c r="A2498" s="59" t="s">
        <v>251</v>
      </c>
      <c r="B2498" s="60" t="s">
        <v>1055</v>
      </c>
    </row>
    <row r="2499" ht="12.75" customHeight="1">
      <c r="A2499" s="59" t="s">
        <v>251</v>
      </c>
      <c r="B2499" s="60" t="s">
        <v>1056</v>
      </c>
    </row>
    <row r="2500" ht="12.75" customHeight="1">
      <c r="A2500" s="59" t="s">
        <v>251</v>
      </c>
      <c r="B2500" s="60" t="s">
        <v>1057</v>
      </c>
    </row>
    <row r="2501" ht="12.75" customHeight="1">
      <c r="A2501" s="59" t="s">
        <v>251</v>
      </c>
      <c r="B2501" s="60" t="s">
        <v>1058</v>
      </c>
    </row>
    <row r="2502" ht="12.75" customHeight="1">
      <c r="A2502" s="59" t="s">
        <v>251</v>
      </c>
      <c r="B2502" s="60" t="s">
        <v>1059</v>
      </c>
    </row>
    <row r="2503" ht="12.75" customHeight="1">
      <c r="A2503" s="59" t="s">
        <v>251</v>
      </c>
      <c r="B2503" s="60" t="s">
        <v>1060</v>
      </c>
    </row>
    <row r="2504" ht="12.75" customHeight="1">
      <c r="A2504" s="59" t="s">
        <v>251</v>
      </c>
      <c r="B2504" s="60" t="s">
        <v>1061</v>
      </c>
    </row>
    <row r="2505" ht="12.75" customHeight="1">
      <c r="A2505" s="59" t="s">
        <v>251</v>
      </c>
      <c r="B2505" s="60" t="s">
        <v>1062</v>
      </c>
    </row>
    <row r="2506" ht="12.75" customHeight="1">
      <c r="A2506" s="59" t="s">
        <v>251</v>
      </c>
      <c r="B2506" s="60" t="s">
        <v>1063</v>
      </c>
    </row>
    <row r="2507" ht="12.75" customHeight="1">
      <c r="A2507" s="59" t="s">
        <v>251</v>
      </c>
      <c r="B2507" s="60" t="s">
        <v>1064</v>
      </c>
    </row>
    <row r="2508" ht="12.75" customHeight="1">
      <c r="A2508" s="59" t="s">
        <v>251</v>
      </c>
      <c r="B2508" s="60" t="s">
        <v>1065</v>
      </c>
    </row>
    <row r="2509" ht="12.75" customHeight="1">
      <c r="A2509" s="59" t="s">
        <v>251</v>
      </c>
      <c r="B2509" s="60" t="s">
        <v>1066</v>
      </c>
    </row>
    <row r="2510" ht="12.75" customHeight="1">
      <c r="A2510" s="59" t="s">
        <v>251</v>
      </c>
      <c r="B2510" s="60" t="s">
        <v>1067</v>
      </c>
    </row>
    <row r="2511" ht="12.75" customHeight="1">
      <c r="A2511" s="59" t="s">
        <v>251</v>
      </c>
      <c r="B2511" s="60" t="s">
        <v>1068</v>
      </c>
    </row>
    <row r="2512" ht="12.75" customHeight="1">
      <c r="A2512" s="59" t="s">
        <v>251</v>
      </c>
      <c r="B2512" s="60" t="s">
        <v>1069</v>
      </c>
    </row>
    <row r="2513" ht="12.75" customHeight="1">
      <c r="A2513" s="59" t="s">
        <v>251</v>
      </c>
      <c r="B2513" s="60" t="s">
        <v>1070</v>
      </c>
    </row>
    <row r="2514" ht="12.75" customHeight="1">
      <c r="A2514" s="59" t="s">
        <v>251</v>
      </c>
      <c r="B2514" s="60" t="s">
        <v>1071</v>
      </c>
    </row>
    <row r="2515" ht="12.75" customHeight="1">
      <c r="A2515" s="59" t="s">
        <v>251</v>
      </c>
      <c r="B2515" s="60" t="s">
        <v>1072</v>
      </c>
    </row>
    <row r="2516" ht="12.75" customHeight="1">
      <c r="A2516" s="59" t="s">
        <v>251</v>
      </c>
      <c r="B2516" s="60" t="s">
        <v>1073</v>
      </c>
    </row>
    <row r="2517" ht="12.75" customHeight="1">
      <c r="A2517" s="59" t="s">
        <v>251</v>
      </c>
      <c r="B2517" s="60" t="s">
        <v>1074</v>
      </c>
    </row>
    <row r="2518" ht="12.75" customHeight="1">
      <c r="A2518" s="59" t="s">
        <v>251</v>
      </c>
      <c r="B2518" s="60" t="s">
        <v>1075</v>
      </c>
    </row>
    <row r="2519" ht="12.75" customHeight="1">
      <c r="A2519" s="59" t="s">
        <v>251</v>
      </c>
      <c r="B2519" s="60" t="s">
        <v>1076</v>
      </c>
    </row>
    <row r="2520" ht="12.75" customHeight="1">
      <c r="A2520" s="59" t="s">
        <v>251</v>
      </c>
      <c r="B2520" s="60" t="s">
        <v>1077</v>
      </c>
    </row>
    <row r="2521" ht="12.75" customHeight="1">
      <c r="A2521" s="59" t="s">
        <v>251</v>
      </c>
      <c r="B2521" s="60" t="s">
        <v>1078</v>
      </c>
    </row>
    <row r="2522" ht="12.75" customHeight="1">
      <c r="A2522" s="59" t="s">
        <v>251</v>
      </c>
      <c r="B2522" s="60" t="s">
        <v>1079</v>
      </c>
    </row>
    <row r="2523" ht="12.75" customHeight="1">
      <c r="A2523" s="59" t="s">
        <v>251</v>
      </c>
      <c r="B2523" s="60" t="s">
        <v>1080</v>
      </c>
    </row>
    <row r="2524" ht="12.75" customHeight="1">
      <c r="A2524" s="59" t="s">
        <v>251</v>
      </c>
      <c r="B2524" s="60" t="s">
        <v>1081</v>
      </c>
    </row>
    <row r="2525" ht="12.75" customHeight="1">
      <c r="A2525" s="59" t="s">
        <v>251</v>
      </c>
      <c r="B2525" s="60" t="s">
        <v>1082</v>
      </c>
    </row>
    <row r="2526" ht="12.75" customHeight="1">
      <c r="A2526" s="59" t="s">
        <v>251</v>
      </c>
      <c r="B2526" s="60" t="s">
        <v>1083</v>
      </c>
    </row>
    <row r="2527" ht="12.75" customHeight="1">
      <c r="A2527" s="59" t="s">
        <v>251</v>
      </c>
      <c r="B2527" s="60" t="s">
        <v>1084</v>
      </c>
    </row>
    <row r="2528" ht="12.75" customHeight="1">
      <c r="A2528" s="59" t="s">
        <v>251</v>
      </c>
      <c r="B2528" s="60" t="s">
        <v>1085</v>
      </c>
    </row>
    <row r="2529" ht="12.75" customHeight="1">
      <c r="A2529" s="59" t="s">
        <v>251</v>
      </c>
      <c r="B2529" s="60" t="s">
        <v>1086</v>
      </c>
    </row>
    <row r="2530" ht="12.75" customHeight="1">
      <c r="A2530" s="59" t="s">
        <v>251</v>
      </c>
      <c r="B2530" s="60" t="s">
        <v>1087</v>
      </c>
    </row>
    <row r="2531" ht="12.75" customHeight="1">
      <c r="A2531" s="59" t="s">
        <v>251</v>
      </c>
      <c r="B2531" s="60" t="s">
        <v>1088</v>
      </c>
    </row>
    <row r="2532" ht="12.75" customHeight="1">
      <c r="A2532" s="59" t="s">
        <v>251</v>
      </c>
      <c r="B2532" s="60" t="s">
        <v>1089</v>
      </c>
    </row>
    <row r="2533" ht="12.75" customHeight="1">
      <c r="A2533" s="59" t="s">
        <v>251</v>
      </c>
      <c r="B2533" s="60" t="s">
        <v>1090</v>
      </c>
    </row>
    <row r="2534" ht="12.75" customHeight="1">
      <c r="A2534" s="59" t="s">
        <v>251</v>
      </c>
      <c r="B2534" s="60" t="s">
        <v>1091</v>
      </c>
    </row>
    <row r="2535" ht="12.75" customHeight="1">
      <c r="A2535" s="59" t="s">
        <v>251</v>
      </c>
      <c r="B2535" s="60" t="s">
        <v>1092</v>
      </c>
    </row>
    <row r="2536" ht="12.75" customHeight="1">
      <c r="A2536" s="59" t="s">
        <v>251</v>
      </c>
      <c r="B2536" s="60" t="s">
        <v>1093</v>
      </c>
    </row>
    <row r="2537" ht="12.75" customHeight="1">
      <c r="A2537" s="59" t="s">
        <v>251</v>
      </c>
      <c r="B2537" s="60" t="s">
        <v>1094</v>
      </c>
    </row>
    <row r="2538" ht="12.75" customHeight="1">
      <c r="A2538" s="59" t="s">
        <v>251</v>
      </c>
      <c r="B2538" s="60" t="s">
        <v>1095</v>
      </c>
    </row>
    <row r="2539" ht="12.75" customHeight="1">
      <c r="A2539" s="59" t="s">
        <v>251</v>
      </c>
      <c r="B2539" s="60" t="s">
        <v>1096</v>
      </c>
    </row>
    <row r="2540" ht="12.75" customHeight="1">
      <c r="A2540" s="59" t="s">
        <v>251</v>
      </c>
      <c r="B2540" s="60" t="s">
        <v>1097</v>
      </c>
    </row>
    <row r="2541" ht="12.75" customHeight="1">
      <c r="A2541" s="59" t="s">
        <v>251</v>
      </c>
      <c r="B2541" s="60" t="s">
        <v>1098</v>
      </c>
    </row>
    <row r="2542" ht="12.75" customHeight="1">
      <c r="A2542" s="59" t="s">
        <v>251</v>
      </c>
      <c r="B2542" s="60" t="s">
        <v>1099</v>
      </c>
    </row>
    <row r="2543" ht="12.75" customHeight="1">
      <c r="A2543" s="59" t="s">
        <v>251</v>
      </c>
      <c r="B2543" s="60" t="s">
        <v>1100</v>
      </c>
    </row>
    <row r="2544" ht="12.75" customHeight="1">
      <c r="A2544" s="59" t="s">
        <v>251</v>
      </c>
      <c r="B2544" s="60" t="s">
        <v>1101</v>
      </c>
    </row>
    <row r="2545" ht="12.75" customHeight="1">
      <c r="A2545" s="59" t="s">
        <v>251</v>
      </c>
      <c r="B2545" s="60" t="s">
        <v>1102</v>
      </c>
    </row>
    <row r="2546" ht="12.75" customHeight="1">
      <c r="A2546" s="59" t="s">
        <v>251</v>
      </c>
      <c r="B2546" s="60" t="s">
        <v>1103</v>
      </c>
    </row>
    <row r="2547" ht="12.75" customHeight="1">
      <c r="A2547" s="59" t="s">
        <v>251</v>
      </c>
      <c r="B2547" s="60" t="s">
        <v>1104</v>
      </c>
    </row>
    <row r="2548" ht="12.75" customHeight="1">
      <c r="A2548" s="59" t="s">
        <v>251</v>
      </c>
      <c r="B2548" s="60" t="s">
        <v>1105</v>
      </c>
    </row>
    <row r="2549" ht="12.75" customHeight="1">
      <c r="A2549" s="59" t="s">
        <v>251</v>
      </c>
      <c r="B2549" s="60" t="s">
        <v>1106</v>
      </c>
    </row>
    <row r="2550" ht="12.75" customHeight="1">
      <c r="A2550" s="59" t="s">
        <v>251</v>
      </c>
      <c r="B2550" s="60" t="s">
        <v>1107</v>
      </c>
    </row>
    <row r="2551" ht="12.75" customHeight="1">
      <c r="A2551" s="59" t="s">
        <v>251</v>
      </c>
      <c r="B2551" s="60" t="s">
        <v>1108</v>
      </c>
    </row>
    <row r="2552" ht="12.75" customHeight="1">
      <c r="A2552" s="59" t="s">
        <v>251</v>
      </c>
      <c r="B2552" s="60" t="s">
        <v>1109</v>
      </c>
    </row>
    <row r="2553" ht="12.75" customHeight="1">
      <c r="A2553" s="59" t="s">
        <v>251</v>
      </c>
      <c r="B2553" s="60" t="s">
        <v>1110</v>
      </c>
    </row>
    <row r="2554" ht="12.75" customHeight="1">
      <c r="A2554" s="59" t="s">
        <v>251</v>
      </c>
      <c r="B2554" s="60" t="s">
        <v>1111</v>
      </c>
    </row>
    <row r="2555" ht="12.75" customHeight="1">
      <c r="A2555" s="59" t="s">
        <v>251</v>
      </c>
      <c r="B2555" s="60" t="s">
        <v>1112</v>
      </c>
    </row>
    <row r="2556" ht="12.75" customHeight="1">
      <c r="A2556" s="59" t="s">
        <v>251</v>
      </c>
      <c r="B2556" s="60" t="s">
        <v>1113</v>
      </c>
    </row>
    <row r="2557" ht="12.75" customHeight="1">
      <c r="A2557" s="59" t="s">
        <v>251</v>
      </c>
      <c r="B2557" s="60" t="s">
        <v>1114</v>
      </c>
    </row>
    <row r="2558" ht="12.75" customHeight="1">
      <c r="A2558" s="59" t="s">
        <v>251</v>
      </c>
      <c r="B2558" s="60" t="s">
        <v>1115</v>
      </c>
    </row>
    <row r="2559" ht="12.75" customHeight="1">
      <c r="A2559" s="59" t="s">
        <v>251</v>
      </c>
      <c r="B2559" s="60" t="s">
        <v>1116</v>
      </c>
    </row>
    <row r="2560" ht="12.75" customHeight="1">
      <c r="A2560" s="59" t="s">
        <v>251</v>
      </c>
      <c r="B2560" s="60" t="s">
        <v>1117</v>
      </c>
    </row>
    <row r="2561" ht="12.75" customHeight="1">
      <c r="A2561" s="59" t="s">
        <v>251</v>
      </c>
      <c r="B2561" s="60" t="s">
        <v>1118</v>
      </c>
    </row>
    <row r="2562" ht="12.75" customHeight="1">
      <c r="A2562" s="59" t="s">
        <v>251</v>
      </c>
      <c r="B2562" s="60" t="s">
        <v>1119</v>
      </c>
    </row>
    <row r="2563" ht="12.75" customHeight="1">
      <c r="A2563" s="59" t="s">
        <v>251</v>
      </c>
      <c r="B2563" s="60" t="s">
        <v>1120</v>
      </c>
    </row>
    <row r="2564" ht="12.75" customHeight="1">
      <c r="A2564" s="59" t="s">
        <v>251</v>
      </c>
      <c r="B2564" s="60" t="s">
        <v>1121</v>
      </c>
    </row>
    <row r="2565" ht="12.75" customHeight="1">
      <c r="A2565" s="59" t="s">
        <v>251</v>
      </c>
      <c r="B2565" s="60" t="s">
        <v>1122</v>
      </c>
    </row>
    <row r="2566" ht="12.75" customHeight="1">
      <c r="A2566" s="59" t="s">
        <v>251</v>
      </c>
      <c r="B2566" s="60" t="s">
        <v>1123</v>
      </c>
    </row>
    <row r="2567" ht="12.75" customHeight="1">
      <c r="A2567" s="59" t="s">
        <v>251</v>
      </c>
      <c r="B2567" s="60" t="s">
        <v>1124</v>
      </c>
    </row>
    <row r="2568" ht="12.75" customHeight="1">
      <c r="A2568" s="59" t="s">
        <v>251</v>
      </c>
      <c r="B2568" s="60" t="s">
        <v>1125</v>
      </c>
    </row>
    <row r="2569" ht="12.75" customHeight="1">
      <c r="A2569" s="59" t="s">
        <v>251</v>
      </c>
      <c r="B2569" s="60" t="s">
        <v>1126</v>
      </c>
    </row>
    <row r="2570" ht="12.75" customHeight="1">
      <c r="A2570" s="59" t="s">
        <v>251</v>
      </c>
      <c r="B2570" s="60" t="s">
        <v>1127</v>
      </c>
    </row>
    <row r="2571" ht="12.75" customHeight="1">
      <c r="A2571" s="59" t="s">
        <v>251</v>
      </c>
      <c r="B2571" s="60" t="s">
        <v>1128</v>
      </c>
    </row>
    <row r="2572" ht="12.75" customHeight="1">
      <c r="A2572" s="59" t="s">
        <v>251</v>
      </c>
      <c r="B2572" s="60" t="s">
        <v>1129</v>
      </c>
    </row>
    <row r="2573" ht="12.75" customHeight="1">
      <c r="A2573" s="59" t="s">
        <v>251</v>
      </c>
      <c r="B2573" s="60" t="s">
        <v>1130</v>
      </c>
    </row>
    <row r="2574" ht="12.75" customHeight="1">
      <c r="A2574" s="59" t="s">
        <v>251</v>
      </c>
      <c r="B2574" s="60" t="s">
        <v>1131</v>
      </c>
    </row>
    <row r="2575" ht="12.75" customHeight="1">
      <c r="A2575" s="59" t="s">
        <v>251</v>
      </c>
      <c r="B2575" s="60" t="s">
        <v>1132</v>
      </c>
    </row>
    <row r="2576" ht="12.75" customHeight="1">
      <c r="A2576" s="59" t="s">
        <v>251</v>
      </c>
      <c r="B2576" s="60" t="s">
        <v>1133</v>
      </c>
    </row>
    <row r="2577" ht="12.75" customHeight="1">
      <c r="A2577" s="59" t="s">
        <v>251</v>
      </c>
      <c r="B2577" s="60" t="s">
        <v>1134</v>
      </c>
    </row>
    <row r="2578" ht="12.75" customHeight="1">
      <c r="A2578" s="59" t="s">
        <v>251</v>
      </c>
      <c r="B2578" s="60" t="s">
        <v>1135</v>
      </c>
    </row>
    <row r="2579" ht="12.75" customHeight="1">
      <c r="A2579" s="59" t="s">
        <v>251</v>
      </c>
      <c r="B2579" s="60" t="s">
        <v>1136</v>
      </c>
    </row>
    <row r="2580" ht="12.75" customHeight="1">
      <c r="A2580" s="59" t="s">
        <v>251</v>
      </c>
      <c r="B2580" s="60" t="s">
        <v>1137</v>
      </c>
    </row>
    <row r="2581" ht="12.75" customHeight="1">
      <c r="A2581" s="59" t="s">
        <v>251</v>
      </c>
      <c r="B2581" s="60" t="s">
        <v>1138</v>
      </c>
    </row>
    <row r="2582" ht="12.75" customHeight="1">
      <c r="A2582" s="59" t="s">
        <v>251</v>
      </c>
      <c r="B2582" s="60" t="s">
        <v>1139</v>
      </c>
    </row>
    <row r="2583" ht="12.75" customHeight="1">
      <c r="A2583" s="59" t="s">
        <v>251</v>
      </c>
      <c r="B2583" s="60" t="s">
        <v>1140</v>
      </c>
    </row>
    <row r="2584" ht="12.75" customHeight="1">
      <c r="A2584" s="59" t="s">
        <v>251</v>
      </c>
      <c r="B2584" s="60" t="s">
        <v>1141</v>
      </c>
    </row>
    <row r="2585" ht="12.75" customHeight="1">
      <c r="A2585" s="59" t="s">
        <v>251</v>
      </c>
      <c r="B2585" s="60" t="s">
        <v>1142</v>
      </c>
    </row>
    <row r="2586" ht="12.75" customHeight="1">
      <c r="A2586" s="59" t="s">
        <v>251</v>
      </c>
      <c r="B2586" s="60" t="s">
        <v>1143</v>
      </c>
    </row>
    <row r="2587" ht="12.75" customHeight="1">
      <c r="A2587" s="59" t="s">
        <v>251</v>
      </c>
      <c r="B2587" s="60" t="s">
        <v>1144</v>
      </c>
    </row>
    <row r="2588" ht="12.75" customHeight="1">
      <c r="A2588" s="59" t="s">
        <v>251</v>
      </c>
      <c r="B2588" s="60" t="s">
        <v>1145</v>
      </c>
    </row>
    <row r="2589" ht="12.75" customHeight="1">
      <c r="A2589" s="59" t="s">
        <v>251</v>
      </c>
      <c r="B2589" s="60" t="s">
        <v>1146</v>
      </c>
    </row>
    <row r="2590" ht="12.75" customHeight="1">
      <c r="A2590" s="59" t="s">
        <v>251</v>
      </c>
      <c r="B2590" s="60" t="s">
        <v>1147</v>
      </c>
    </row>
    <row r="2591" ht="12.75" customHeight="1">
      <c r="A2591" s="59" t="s">
        <v>251</v>
      </c>
      <c r="B2591" s="60" t="s">
        <v>1148</v>
      </c>
    </row>
    <row r="2592" ht="12.75" customHeight="1">
      <c r="A2592" s="59" t="s">
        <v>251</v>
      </c>
      <c r="B2592" s="60" t="s">
        <v>1149</v>
      </c>
    </row>
    <row r="2593" ht="12.75" customHeight="1">
      <c r="A2593" s="59" t="s">
        <v>251</v>
      </c>
      <c r="B2593" s="60" t="s">
        <v>1150</v>
      </c>
    </row>
    <row r="2594" ht="12.75" customHeight="1">
      <c r="A2594" s="59" t="s">
        <v>251</v>
      </c>
      <c r="B2594" s="60" t="s">
        <v>1151</v>
      </c>
    </row>
    <row r="2595" ht="12.75" customHeight="1">
      <c r="A2595" s="59" t="s">
        <v>251</v>
      </c>
      <c r="B2595" s="60" t="s">
        <v>1152</v>
      </c>
    </row>
    <row r="2596" ht="12.75" customHeight="1">
      <c r="A2596" s="59" t="s">
        <v>251</v>
      </c>
      <c r="B2596" s="60" t="s">
        <v>1153</v>
      </c>
    </row>
    <row r="2597" ht="12.75" customHeight="1">
      <c r="A2597" s="59" t="s">
        <v>251</v>
      </c>
      <c r="B2597" s="60" t="s">
        <v>1154</v>
      </c>
    </row>
    <row r="2598" ht="12.75" customHeight="1">
      <c r="A2598" s="59" t="s">
        <v>251</v>
      </c>
      <c r="B2598" s="60" t="s">
        <v>1155</v>
      </c>
    </row>
    <row r="2599" ht="12.75" customHeight="1">
      <c r="A2599" s="59" t="s">
        <v>251</v>
      </c>
      <c r="B2599" s="60" t="s">
        <v>1156</v>
      </c>
    </row>
    <row r="2600" ht="12.75" customHeight="1">
      <c r="A2600" s="59" t="s">
        <v>251</v>
      </c>
      <c r="B2600" s="60" t="s">
        <v>1157</v>
      </c>
    </row>
    <row r="2601" ht="12.75" customHeight="1">
      <c r="A2601" s="59" t="s">
        <v>251</v>
      </c>
      <c r="B2601" s="60" t="s">
        <v>1158</v>
      </c>
    </row>
    <row r="2602" ht="12.75" customHeight="1">
      <c r="A2602" s="59" t="s">
        <v>251</v>
      </c>
      <c r="B2602" s="60" t="s">
        <v>1159</v>
      </c>
    </row>
    <row r="2603" ht="12.75" customHeight="1">
      <c r="A2603" s="59" t="s">
        <v>251</v>
      </c>
      <c r="B2603" s="60" t="s">
        <v>1160</v>
      </c>
    </row>
    <row r="2604" ht="12.75" customHeight="1">
      <c r="A2604" s="59" t="s">
        <v>251</v>
      </c>
      <c r="B2604" s="60" t="s">
        <v>1161</v>
      </c>
    </row>
    <row r="2605" ht="12.75" customHeight="1">
      <c r="A2605" s="59" t="s">
        <v>251</v>
      </c>
      <c r="B2605" s="60" t="s">
        <v>1162</v>
      </c>
    </row>
    <row r="2606" ht="12.75" customHeight="1">
      <c r="A2606" s="59" t="s">
        <v>251</v>
      </c>
      <c r="B2606" s="60" t="s">
        <v>1163</v>
      </c>
    </row>
    <row r="2607" ht="12.75" customHeight="1">
      <c r="A2607" s="59" t="s">
        <v>251</v>
      </c>
      <c r="B2607" s="60" t="s">
        <v>1164</v>
      </c>
    </row>
    <row r="2608" ht="12.75" customHeight="1">
      <c r="A2608" s="59" t="s">
        <v>251</v>
      </c>
      <c r="B2608" s="60" t="s">
        <v>1165</v>
      </c>
    </row>
    <row r="2609" ht="12.75" customHeight="1">
      <c r="A2609" s="59" t="s">
        <v>251</v>
      </c>
      <c r="B2609" s="60" t="s">
        <v>1166</v>
      </c>
    </row>
    <row r="2610" ht="12.75" customHeight="1">
      <c r="A2610" s="59" t="s">
        <v>251</v>
      </c>
      <c r="B2610" s="60" t="s">
        <v>1167</v>
      </c>
    </row>
    <row r="2611" ht="12.75" customHeight="1">
      <c r="A2611" s="59" t="s">
        <v>251</v>
      </c>
      <c r="B2611" s="60" t="s">
        <v>1168</v>
      </c>
    </row>
    <row r="2612" ht="12.75" customHeight="1">
      <c r="A2612" s="59" t="s">
        <v>251</v>
      </c>
      <c r="B2612" s="60" t="s">
        <v>1169</v>
      </c>
    </row>
    <row r="2613" ht="12.75" customHeight="1">
      <c r="A2613" s="59" t="s">
        <v>251</v>
      </c>
      <c r="B2613" s="60" t="s">
        <v>1170</v>
      </c>
    </row>
    <row r="2614" ht="12.75" customHeight="1">
      <c r="A2614" s="59" t="s">
        <v>251</v>
      </c>
      <c r="B2614" s="60" t="s">
        <v>1171</v>
      </c>
    </row>
    <row r="2615" ht="12.75" customHeight="1">
      <c r="A2615" s="59" t="s">
        <v>251</v>
      </c>
      <c r="B2615" s="60" t="s">
        <v>1172</v>
      </c>
    </row>
    <row r="2616" ht="12.75" customHeight="1">
      <c r="A2616" s="59" t="s">
        <v>251</v>
      </c>
      <c r="B2616" s="60" t="s">
        <v>1173</v>
      </c>
    </row>
    <row r="2617" ht="12.75" customHeight="1">
      <c r="A2617" s="59" t="s">
        <v>251</v>
      </c>
      <c r="B2617" s="60" t="s">
        <v>1174</v>
      </c>
    </row>
    <row r="2618" ht="12.75" customHeight="1">
      <c r="A2618" s="59" t="s">
        <v>251</v>
      </c>
      <c r="B2618" s="60" t="s">
        <v>1175</v>
      </c>
    </row>
    <row r="2619" ht="12.75" customHeight="1">
      <c r="A2619" s="59" t="s">
        <v>251</v>
      </c>
      <c r="B2619" s="60" t="s">
        <v>1176</v>
      </c>
    </row>
    <row r="2620" ht="12.75" customHeight="1">
      <c r="A2620" s="59" t="s">
        <v>251</v>
      </c>
      <c r="B2620" s="60" t="s">
        <v>1177</v>
      </c>
    </row>
    <row r="2621" ht="12.75" customHeight="1">
      <c r="A2621" s="59" t="s">
        <v>251</v>
      </c>
      <c r="B2621" s="60" t="s">
        <v>1178</v>
      </c>
    </row>
    <row r="2622" ht="12.75" customHeight="1">
      <c r="A2622" s="59" t="s">
        <v>251</v>
      </c>
      <c r="B2622" s="60" t="s">
        <v>1179</v>
      </c>
    </row>
    <row r="2623" ht="12.75" customHeight="1">
      <c r="A2623" s="59" t="s">
        <v>251</v>
      </c>
      <c r="B2623" s="60" t="s">
        <v>1180</v>
      </c>
    </row>
    <row r="2624" ht="12.75" customHeight="1">
      <c r="A2624" s="59" t="s">
        <v>251</v>
      </c>
      <c r="B2624" s="60" t="s">
        <v>1181</v>
      </c>
    </row>
    <row r="2625" ht="12.75" customHeight="1">
      <c r="A2625" s="59" t="s">
        <v>251</v>
      </c>
      <c r="B2625" s="60" t="s">
        <v>1182</v>
      </c>
    </row>
    <row r="2626" ht="12.75" customHeight="1">
      <c r="A2626" s="59" t="s">
        <v>251</v>
      </c>
      <c r="B2626" s="60" t="s">
        <v>1183</v>
      </c>
    </row>
    <row r="2627" ht="12.75" customHeight="1">
      <c r="A2627" s="59" t="s">
        <v>251</v>
      </c>
      <c r="B2627" s="60" t="s">
        <v>1184</v>
      </c>
    </row>
    <row r="2628" ht="12.75" customHeight="1">
      <c r="A2628" s="59" t="s">
        <v>251</v>
      </c>
      <c r="B2628" s="60" t="s">
        <v>1185</v>
      </c>
    </row>
    <row r="2629" ht="12.75" customHeight="1">
      <c r="A2629" s="59" t="s">
        <v>251</v>
      </c>
      <c r="B2629" s="60" t="s">
        <v>1186</v>
      </c>
    </row>
    <row r="2630" ht="12.75" customHeight="1">
      <c r="A2630" s="59" t="s">
        <v>251</v>
      </c>
      <c r="B2630" s="60" t="s">
        <v>1187</v>
      </c>
    </row>
    <row r="2631" ht="12.75" customHeight="1">
      <c r="A2631" s="59" t="s">
        <v>251</v>
      </c>
      <c r="B2631" s="60" t="s">
        <v>1188</v>
      </c>
    </row>
    <row r="2632" ht="12.75" customHeight="1">
      <c r="A2632" s="59" t="s">
        <v>251</v>
      </c>
      <c r="B2632" s="60" t="s">
        <v>1189</v>
      </c>
    </row>
    <row r="2633" ht="12.75" customHeight="1">
      <c r="A2633" s="59" t="s">
        <v>251</v>
      </c>
      <c r="B2633" s="60" t="s">
        <v>1190</v>
      </c>
    </row>
    <row r="2634" ht="12.75" customHeight="1">
      <c r="A2634" s="59" t="s">
        <v>251</v>
      </c>
      <c r="B2634" s="60" t="s">
        <v>1191</v>
      </c>
    </row>
    <row r="2635" ht="12.75" customHeight="1">
      <c r="A2635" s="59" t="s">
        <v>251</v>
      </c>
      <c r="B2635" s="60" t="s">
        <v>1192</v>
      </c>
    </row>
    <row r="2636" ht="12.75" customHeight="1">
      <c r="A2636" s="59" t="s">
        <v>215</v>
      </c>
      <c r="B2636" s="60">
        <v>23.0</v>
      </c>
    </row>
    <row r="2637" ht="12.75" customHeight="1">
      <c r="A2637" s="59" t="s">
        <v>215</v>
      </c>
      <c r="B2637" s="60">
        <v>24.0</v>
      </c>
    </row>
    <row r="2638" ht="12.75" customHeight="1">
      <c r="A2638" s="59" t="s">
        <v>215</v>
      </c>
      <c r="B2638" s="60">
        <v>25.0</v>
      </c>
    </row>
    <row r="2639" ht="12.75" customHeight="1">
      <c r="A2639" s="59" t="s">
        <v>215</v>
      </c>
      <c r="B2639" s="60">
        <v>26.0</v>
      </c>
    </row>
    <row r="2640" ht="12.75" customHeight="1">
      <c r="A2640" s="59" t="s">
        <v>215</v>
      </c>
      <c r="B2640" s="60">
        <v>27.0</v>
      </c>
    </row>
    <row r="2641" ht="12.75" customHeight="1">
      <c r="A2641" s="59" t="s">
        <v>215</v>
      </c>
      <c r="B2641" s="60">
        <v>28.0</v>
      </c>
    </row>
    <row r="2642" ht="12.75" customHeight="1">
      <c r="A2642" s="59" t="s">
        <v>215</v>
      </c>
      <c r="B2642" s="60">
        <v>29.0</v>
      </c>
    </row>
    <row r="2643" ht="12.75" customHeight="1">
      <c r="A2643" s="59" t="s">
        <v>215</v>
      </c>
      <c r="B2643" s="60">
        <v>30.0</v>
      </c>
    </row>
    <row r="2644" ht="12.75" customHeight="1">
      <c r="A2644" s="59" t="s">
        <v>215</v>
      </c>
      <c r="B2644" s="60">
        <v>31.0</v>
      </c>
    </row>
    <row r="2645" ht="12.75" customHeight="1">
      <c r="A2645" s="59" t="s">
        <v>215</v>
      </c>
      <c r="B2645" s="60">
        <v>0.0</v>
      </c>
    </row>
    <row r="2646" ht="12.75" customHeight="1">
      <c r="A2646" s="59" t="s">
        <v>215</v>
      </c>
      <c r="B2646" s="60">
        <v>0.0</v>
      </c>
    </row>
    <row r="2647" ht="12.75" customHeight="1">
      <c r="A2647" s="59" t="s">
        <v>215</v>
      </c>
      <c r="B2647" s="60">
        <v>2.0</v>
      </c>
    </row>
    <row r="2648" ht="12.75" customHeight="1">
      <c r="A2648" s="59" t="s">
        <v>215</v>
      </c>
      <c r="B2648" s="60">
        <v>4.0</v>
      </c>
    </row>
    <row r="2649" ht="12.75" customHeight="1">
      <c r="A2649" s="59" t="s">
        <v>215</v>
      </c>
      <c r="B2649" s="60">
        <v>6.0</v>
      </c>
    </row>
    <row r="2650" ht="12.75" customHeight="1">
      <c r="A2650" s="59" t="s">
        <v>215</v>
      </c>
      <c r="B2650" s="60">
        <v>8.0</v>
      </c>
    </row>
    <row r="2651" ht="12.75" customHeight="1">
      <c r="A2651" s="59" t="s">
        <v>215</v>
      </c>
      <c r="B2651" s="60">
        <v>10.0</v>
      </c>
    </row>
    <row r="2652" ht="12.75" customHeight="1">
      <c r="A2652" s="59" t="s">
        <v>215</v>
      </c>
      <c r="B2652" s="60">
        <v>12.0</v>
      </c>
    </row>
    <row r="2653" ht="12.75" customHeight="1">
      <c r="A2653" s="59" t="s">
        <v>215</v>
      </c>
      <c r="B2653" s="60" t="s">
        <v>1193</v>
      </c>
    </row>
    <row r="2654" ht="12.75" customHeight="1">
      <c r="A2654" s="59" t="s">
        <v>215</v>
      </c>
      <c r="B2654" s="60" t="s">
        <v>1194</v>
      </c>
    </row>
    <row r="2655" ht="12.75" customHeight="1">
      <c r="A2655" s="59" t="s">
        <v>215</v>
      </c>
      <c r="B2655" s="60" t="s">
        <v>1195</v>
      </c>
    </row>
    <row r="2656" ht="12.75" customHeight="1">
      <c r="A2656" s="59" t="s">
        <v>215</v>
      </c>
      <c r="B2656" s="60" t="s">
        <v>1196</v>
      </c>
    </row>
    <row r="2657" ht="12.75" customHeight="1">
      <c r="A2657" s="59" t="s">
        <v>215</v>
      </c>
      <c r="B2657" s="60" t="s">
        <v>1197</v>
      </c>
    </row>
    <row r="2658" ht="12.75" customHeight="1">
      <c r="A2658" s="59" t="s">
        <v>215</v>
      </c>
      <c r="B2658" s="60" t="s">
        <v>1198</v>
      </c>
    </row>
    <row r="2659" ht="12.75" customHeight="1">
      <c r="A2659" s="59" t="s">
        <v>215</v>
      </c>
      <c r="B2659" s="60" t="s">
        <v>1199</v>
      </c>
    </row>
    <row r="2660" ht="12.75" customHeight="1">
      <c r="A2660" s="59" t="s">
        <v>215</v>
      </c>
      <c r="B2660" s="60" t="s">
        <v>805</v>
      </c>
    </row>
    <row r="2661" ht="12.75" customHeight="1">
      <c r="A2661" s="59" t="s">
        <v>215</v>
      </c>
      <c r="B2661" s="60" t="s">
        <v>1200</v>
      </c>
    </row>
    <row r="2662" ht="12.75" customHeight="1">
      <c r="A2662" s="59" t="s">
        <v>215</v>
      </c>
      <c r="B2662" s="60" t="s">
        <v>806</v>
      </c>
    </row>
    <row r="2663" ht="12.75" customHeight="1">
      <c r="A2663" s="59" t="s">
        <v>215</v>
      </c>
      <c r="B2663" s="60" t="s">
        <v>807</v>
      </c>
    </row>
    <row r="2664" ht="12.75" customHeight="1">
      <c r="A2664" s="59" t="s">
        <v>215</v>
      </c>
      <c r="B2664" s="60" t="s">
        <v>753</v>
      </c>
    </row>
    <row r="2665" ht="12.75" customHeight="1">
      <c r="A2665" s="59" t="s">
        <v>215</v>
      </c>
      <c r="B2665" s="60" t="s">
        <v>757</v>
      </c>
    </row>
    <row r="2666" ht="12.75" customHeight="1">
      <c r="A2666" s="59" t="s">
        <v>215</v>
      </c>
      <c r="B2666" s="60" t="s">
        <v>761</v>
      </c>
    </row>
    <row r="2667" ht="12.75" customHeight="1">
      <c r="A2667" s="59" t="s">
        <v>215</v>
      </c>
      <c r="B2667" s="60" t="s">
        <v>765</v>
      </c>
    </row>
    <row r="2668" ht="12.75" customHeight="1">
      <c r="A2668" s="59" t="s">
        <v>215</v>
      </c>
      <c r="B2668" s="60" t="s">
        <v>808</v>
      </c>
    </row>
    <row r="2669" ht="12.75" customHeight="1">
      <c r="A2669" s="59" t="s">
        <v>215</v>
      </c>
      <c r="B2669" s="60" t="s">
        <v>1201</v>
      </c>
    </row>
    <row r="2670" ht="12.75" customHeight="1">
      <c r="A2670" s="59" t="s">
        <v>215</v>
      </c>
      <c r="B2670" s="60" t="s">
        <v>815</v>
      </c>
    </row>
    <row r="2671" ht="12.75" customHeight="1">
      <c r="A2671" s="59" t="s">
        <v>215</v>
      </c>
      <c r="B2671" s="60" t="s">
        <v>816</v>
      </c>
    </row>
    <row r="2672" ht="12.75" customHeight="1">
      <c r="A2672" s="59" t="s">
        <v>215</v>
      </c>
      <c r="B2672" s="60" t="s">
        <v>771</v>
      </c>
    </row>
    <row r="2673" ht="12.75" customHeight="1">
      <c r="A2673" s="59" t="s">
        <v>215</v>
      </c>
      <c r="B2673" s="60" t="s">
        <v>775</v>
      </c>
    </row>
    <row r="2674" ht="12.75" customHeight="1">
      <c r="A2674" s="59" t="s">
        <v>215</v>
      </c>
      <c r="B2674" s="60" t="s">
        <v>779</v>
      </c>
    </row>
    <row r="2675" ht="12.75" customHeight="1">
      <c r="A2675" s="59" t="s">
        <v>215</v>
      </c>
      <c r="B2675" s="60" t="s">
        <v>783</v>
      </c>
    </row>
    <row r="2676" ht="12.75" customHeight="1">
      <c r="A2676" s="59" t="s">
        <v>215</v>
      </c>
      <c r="B2676" s="60" t="s">
        <v>817</v>
      </c>
    </row>
    <row r="2677" ht="12.75" customHeight="1">
      <c r="A2677" s="59" t="s">
        <v>215</v>
      </c>
      <c r="B2677" s="60" t="s">
        <v>818</v>
      </c>
    </row>
    <row r="2678" ht="12.75" customHeight="1">
      <c r="A2678" s="59" t="s">
        <v>215</v>
      </c>
      <c r="B2678" s="60" t="s">
        <v>1202</v>
      </c>
    </row>
    <row r="2679" ht="12.75" customHeight="1">
      <c r="A2679" s="59" t="s">
        <v>215</v>
      </c>
      <c r="B2679" s="60" t="s">
        <v>873</v>
      </c>
    </row>
    <row r="2680" ht="12.75" customHeight="1">
      <c r="A2680" s="59" t="s">
        <v>215</v>
      </c>
      <c r="B2680" s="60" t="s">
        <v>1203</v>
      </c>
    </row>
    <row r="2681" ht="12.75" customHeight="1">
      <c r="A2681" s="59" t="s">
        <v>215</v>
      </c>
      <c r="B2681" s="60" t="s">
        <v>874</v>
      </c>
    </row>
    <row r="2682" ht="12.75" customHeight="1">
      <c r="A2682" s="59" t="s">
        <v>215</v>
      </c>
      <c r="B2682" s="60" t="s">
        <v>1204</v>
      </c>
    </row>
    <row r="2683" ht="12.75" customHeight="1">
      <c r="A2683" s="59" t="s">
        <v>215</v>
      </c>
      <c r="B2683" s="60" t="s">
        <v>875</v>
      </c>
    </row>
    <row r="2684" ht="12.75" customHeight="1">
      <c r="A2684" s="59" t="s">
        <v>215</v>
      </c>
      <c r="B2684" s="60" t="s">
        <v>1205</v>
      </c>
    </row>
    <row r="2685" ht="12.75" customHeight="1">
      <c r="A2685" s="59" t="s">
        <v>215</v>
      </c>
      <c r="B2685" s="60" t="s">
        <v>876</v>
      </c>
    </row>
    <row r="2686" ht="12.75" customHeight="1">
      <c r="A2686" s="59" t="s">
        <v>215</v>
      </c>
      <c r="B2686" s="60" t="s">
        <v>1206</v>
      </c>
    </row>
    <row r="2687" ht="12.75" customHeight="1">
      <c r="A2687" s="59" t="s">
        <v>215</v>
      </c>
      <c r="B2687" s="60" t="s">
        <v>1207</v>
      </c>
    </row>
    <row r="2688" ht="12.75" customHeight="1">
      <c r="A2688" s="59" t="s">
        <v>215</v>
      </c>
      <c r="B2688" s="60" t="s">
        <v>825</v>
      </c>
    </row>
    <row r="2689" ht="12.75" customHeight="1">
      <c r="A2689" s="59" t="s">
        <v>215</v>
      </c>
      <c r="B2689" s="60" t="s">
        <v>788</v>
      </c>
    </row>
    <row r="2690" ht="12.75" customHeight="1">
      <c r="A2690" s="59" t="s">
        <v>215</v>
      </c>
      <c r="B2690" s="60" t="s">
        <v>792</v>
      </c>
    </row>
    <row r="2691" ht="12.75" customHeight="1">
      <c r="A2691" s="59" t="s">
        <v>215</v>
      </c>
      <c r="B2691" s="60" t="s">
        <v>796</v>
      </c>
    </row>
    <row r="2692" ht="12.75" customHeight="1">
      <c r="A2692" s="59" t="s">
        <v>215</v>
      </c>
      <c r="B2692" s="60" t="s">
        <v>800</v>
      </c>
    </row>
    <row r="2693" ht="12.75" customHeight="1">
      <c r="A2693" s="59" t="s">
        <v>215</v>
      </c>
      <c r="B2693" s="60" t="s">
        <v>826</v>
      </c>
    </row>
    <row r="2694" ht="12.75" customHeight="1">
      <c r="A2694" s="59" t="s">
        <v>215</v>
      </c>
      <c r="B2694" s="60" t="s">
        <v>827</v>
      </c>
    </row>
    <row r="2695" ht="12.75" customHeight="1">
      <c r="A2695" s="59" t="s">
        <v>215</v>
      </c>
      <c r="B2695" s="60" t="s">
        <v>828</v>
      </c>
    </row>
    <row r="2696" ht="12.75" customHeight="1">
      <c r="A2696" s="59" t="s">
        <v>215</v>
      </c>
      <c r="B2696" s="60" t="s">
        <v>1208</v>
      </c>
    </row>
    <row r="2697" ht="12.75" customHeight="1">
      <c r="A2697" s="59" t="s">
        <v>215</v>
      </c>
      <c r="B2697" s="60" t="s">
        <v>892</v>
      </c>
    </row>
    <row r="2698" ht="12.75" customHeight="1">
      <c r="A2698" s="59" t="s">
        <v>215</v>
      </c>
      <c r="B2698" s="60" t="s">
        <v>1209</v>
      </c>
    </row>
    <row r="2699" ht="12.75" customHeight="1">
      <c r="A2699" s="59" t="s">
        <v>215</v>
      </c>
      <c r="B2699" s="60" t="s">
        <v>893</v>
      </c>
    </row>
    <row r="2700" ht="12.75" customHeight="1">
      <c r="A2700" s="59" t="s">
        <v>215</v>
      </c>
      <c r="B2700" s="60" t="s">
        <v>1210</v>
      </c>
    </row>
    <row r="2701" ht="12.75" customHeight="1">
      <c r="A2701" s="59" t="s">
        <v>215</v>
      </c>
      <c r="B2701" s="60" t="s">
        <v>894</v>
      </c>
    </row>
    <row r="2702" ht="12.75" customHeight="1">
      <c r="A2702" s="59" t="s">
        <v>215</v>
      </c>
      <c r="B2702" s="60" t="s">
        <v>1211</v>
      </c>
    </row>
    <row r="2703" ht="12.75" customHeight="1">
      <c r="A2703" s="59" t="s">
        <v>215</v>
      </c>
      <c r="B2703" s="60" t="s">
        <v>895</v>
      </c>
    </row>
    <row r="2704" ht="12.75" customHeight="1">
      <c r="A2704" s="59" t="s">
        <v>215</v>
      </c>
      <c r="B2704" s="60" t="s">
        <v>1212</v>
      </c>
    </row>
    <row r="2705" ht="12.75" customHeight="1">
      <c r="A2705" s="59" t="s">
        <v>215</v>
      </c>
      <c r="B2705" s="60">
        <v>32.0</v>
      </c>
    </row>
    <row r="2706" ht="12.75" customHeight="1">
      <c r="A2706" s="59" t="s">
        <v>215</v>
      </c>
      <c r="B2706" s="60">
        <v>33.0</v>
      </c>
    </row>
    <row r="2707" ht="12.75" customHeight="1">
      <c r="A2707" s="59" t="s">
        <v>215</v>
      </c>
      <c r="B2707" s="60">
        <v>34.0</v>
      </c>
    </row>
    <row r="2708" ht="12.75" customHeight="1">
      <c r="A2708" s="59" t="s">
        <v>215</v>
      </c>
      <c r="B2708" s="60">
        <v>14.0</v>
      </c>
    </row>
    <row r="2709" ht="12.75" customHeight="1">
      <c r="A2709" s="59" t="s">
        <v>215</v>
      </c>
      <c r="B2709" s="60" t="s">
        <v>835</v>
      </c>
    </row>
    <row r="2710" ht="12.75" customHeight="1">
      <c r="A2710" s="59" t="s">
        <v>215</v>
      </c>
      <c r="B2710" s="60">
        <v>16.0</v>
      </c>
    </row>
    <row r="2711" ht="12.75" customHeight="1">
      <c r="A2711" s="59" t="s">
        <v>215</v>
      </c>
      <c r="B2711" s="60" t="s">
        <v>836</v>
      </c>
    </row>
    <row r="2712" ht="12.75" customHeight="1">
      <c r="A2712" s="59" t="s">
        <v>215</v>
      </c>
      <c r="B2712" s="60">
        <v>18.0</v>
      </c>
    </row>
    <row r="2713" ht="12.75" customHeight="1">
      <c r="A2713" s="59" t="s">
        <v>215</v>
      </c>
      <c r="B2713" s="60" t="s">
        <v>837</v>
      </c>
    </row>
    <row r="2714" ht="12.75" customHeight="1">
      <c r="A2714" s="59" t="s">
        <v>215</v>
      </c>
      <c r="B2714" s="60">
        <v>20.0</v>
      </c>
    </row>
    <row r="2715" ht="12.75" customHeight="1">
      <c r="A2715" s="59" t="s">
        <v>215</v>
      </c>
      <c r="B2715" s="60" t="s">
        <v>838</v>
      </c>
    </row>
    <row r="2716" ht="12.75" customHeight="1">
      <c r="A2716" s="59" t="s">
        <v>215</v>
      </c>
      <c r="B2716" s="60">
        <v>22.0</v>
      </c>
    </row>
    <row r="2717" ht="12.75" customHeight="1">
      <c r="A2717" s="59" t="s">
        <v>215</v>
      </c>
      <c r="B2717" s="60" t="s">
        <v>839</v>
      </c>
    </row>
    <row r="2718" ht="12.75" customHeight="1">
      <c r="A2718" s="59" t="s">
        <v>215</v>
      </c>
      <c r="B2718" s="60" t="s">
        <v>1213</v>
      </c>
    </row>
    <row r="2719" ht="12.75" customHeight="1">
      <c r="A2719" s="59" t="s">
        <v>215</v>
      </c>
      <c r="B2719" s="60" t="s">
        <v>840</v>
      </c>
    </row>
    <row r="2720" ht="12.75" customHeight="1">
      <c r="A2720" s="59" t="s">
        <v>215</v>
      </c>
      <c r="B2720" s="60" t="s">
        <v>1214</v>
      </c>
    </row>
    <row r="2721" ht="12.75" customHeight="1">
      <c r="A2721" s="59" t="s">
        <v>215</v>
      </c>
      <c r="B2721" s="60" t="s">
        <v>841</v>
      </c>
    </row>
    <row r="2722" ht="12.75" customHeight="1">
      <c r="A2722" s="59" t="s">
        <v>215</v>
      </c>
      <c r="B2722" s="60" t="s">
        <v>1215</v>
      </c>
    </row>
    <row r="2723" ht="12.75" customHeight="1">
      <c r="A2723" s="59" t="s">
        <v>215</v>
      </c>
      <c r="B2723" s="60" t="s">
        <v>842</v>
      </c>
    </row>
    <row r="2724" ht="12.75" customHeight="1">
      <c r="A2724" s="59" t="s">
        <v>215</v>
      </c>
      <c r="B2724" s="60" t="s">
        <v>1216</v>
      </c>
    </row>
    <row r="2725" ht="12.75" customHeight="1">
      <c r="A2725" s="59" t="s">
        <v>215</v>
      </c>
      <c r="B2725" s="60" t="s">
        <v>843</v>
      </c>
    </row>
    <row r="2726" ht="12.75" customHeight="1">
      <c r="A2726" s="59" t="s">
        <v>215</v>
      </c>
      <c r="B2726" s="60" t="s">
        <v>1217</v>
      </c>
    </row>
    <row r="2727" ht="12.75" customHeight="1">
      <c r="A2727" s="59" t="s">
        <v>215</v>
      </c>
      <c r="B2727" s="60" t="s">
        <v>844</v>
      </c>
    </row>
    <row r="2728" ht="12.75" customHeight="1">
      <c r="A2728" s="59" t="s">
        <v>215</v>
      </c>
      <c r="B2728" s="60" t="s">
        <v>1218</v>
      </c>
    </row>
    <row r="2729" ht="12.75" customHeight="1">
      <c r="A2729" s="59" t="s">
        <v>215</v>
      </c>
      <c r="B2729" s="60" t="s">
        <v>1219</v>
      </c>
    </row>
    <row r="2730" ht="12.75" customHeight="1">
      <c r="A2730" s="59" t="s">
        <v>215</v>
      </c>
      <c r="B2730" s="60" t="s">
        <v>1220</v>
      </c>
    </row>
    <row r="2731" ht="12.75" customHeight="1">
      <c r="A2731" s="59" t="s">
        <v>215</v>
      </c>
      <c r="B2731" s="60" t="s">
        <v>853</v>
      </c>
    </row>
    <row r="2732" ht="12.75" customHeight="1">
      <c r="A2732" s="59" t="s">
        <v>215</v>
      </c>
      <c r="B2732" s="60" t="s">
        <v>854</v>
      </c>
    </row>
    <row r="2733" ht="12.75" customHeight="1">
      <c r="A2733" s="59" t="s">
        <v>215</v>
      </c>
      <c r="B2733" s="60" t="s">
        <v>855</v>
      </c>
    </row>
    <row r="2734" ht="12.75" customHeight="1">
      <c r="A2734" s="59" t="s">
        <v>215</v>
      </c>
      <c r="B2734" s="60" t="s">
        <v>856</v>
      </c>
    </row>
    <row r="2735" ht="12.75" customHeight="1">
      <c r="A2735" s="59" t="s">
        <v>215</v>
      </c>
      <c r="B2735" s="60" t="s">
        <v>857</v>
      </c>
    </row>
    <row r="2736" ht="12.75" customHeight="1">
      <c r="A2736" s="59" t="s">
        <v>215</v>
      </c>
      <c r="B2736" s="60" t="s">
        <v>858</v>
      </c>
    </row>
    <row r="2737" ht="12.75" customHeight="1">
      <c r="A2737" s="59" t="s">
        <v>215</v>
      </c>
      <c r="B2737" s="60" t="s">
        <v>1221</v>
      </c>
    </row>
    <row r="2738" ht="12.75" customHeight="1">
      <c r="A2738" s="59" t="s">
        <v>215</v>
      </c>
      <c r="B2738" s="60" t="s">
        <v>1222</v>
      </c>
    </row>
    <row r="2739" ht="12.75" customHeight="1">
      <c r="A2739" s="59" t="s">
        <v>215</v>
      </c>
      <c r="B2739" s="60" t="s">
        <v>859</v>
      </c>
    </row>
    <row r="2740" ht="12.75" customHeight="1">
      <c r="A2740" s="59" t="s">
        <v>215</v>
      </c>
      <c r="B2740" s="60" t="s">
        <v>1223</v>
      </c>
    </row>
    <row r="2741" ht="12.75" customHeight="1">
      <c r="A2741" s="59" t="s">
        <v>215</v>
      </c>
      <c r="B2741" s="60" t="s">
        <v>860</v>
      </c>
    </row>
    <row r="2742" ht="12.75" customHeight="1">
      <c r="A2742" s="59" t="s">
        <v>215</v>
      </c>
      <c r="B2742" s="60" t="s">
        <v>861</v>
      </c>
    </row>
    <row r="2743" ht="12.75" customHeight="1">
      <c r="A2743" s="59" t="s">
        <v>215</v>
      </c>
      <c r="B2743" s="60" t="s">
        <v>1224</v>
      </c>
    </row>
    <row r="2744" ht="12.75" customHeight="1">
      <c r="A2744" s="59" t="s">
        <v>215</v>
      </c>
      <c r="B2744" s="60" t="s">
        <v>870</v>
      </c>
    </row>
    <row r="2745" ht="12.75" customHeight="1">
      <c r="A2745" s="59" t="s">
        <v>215</v>
      </c>
      <c r="B2745" s="60" t="s">
        <v>871</v>
      </c>
    </row>
    <row r="2746" ht="12.75" customHeight="1">
      <c r="A2746" s="59" t="s">
        <v>215</v>
      </c>
      <c r="B2746" s="60" t="s">
        <v>872</v>
      </c>
    </row>
    <row r="2747" ht="12.75" customHeight="1">
      <c r="A2747" s="59" t="s">
        <v>215</v>
      </c>
      <c r="B2747" s="60" t="s">
        <v>1225</v>
      </c>
    </row>
    <row r="2748" ht="12.75" customHeight="1">
      <c r="A2748" s="59" t="s">
        <v>215</v>
      </c>
      <c r="B2748" s="60" t="s">
        <v>1226</v>
      </c>
    </row>
    <row r="2749" ht="12.75" customHeight="1">
      <c r="A2749" s="59" t="s">
        <v>215</v>
      </c>
      <c r="B2749" s="60" t="s">
        <v>1227</v>
      </c>
    </row>
    <row r="2750" ht="12.75" customHeight="1">
      <c r="A2750" s="59" t="s">
        <v>215</v>
      </c>
      <c r="B2750" s="60" t="s">
        <v>1228</v>
      </c>
    </row>
    <row r="2751" ht="12.75" customHeight="1">
      <c r="A2751" s="59" t="s">
        <v>215</v>
      </c>
      <c r="B2751" s="60" t="s">
        <v>877</v>
      </c>
    </row>
    <row r="2752" ht="12.75" customHeight="1">
      <c r="A2752" s="59" t="s">
        <v>215</v>
      </c>
      <c r="B2752" s="60" t="s">
        <v>1229</v>
      </c>
    </row>
    <row r="2753" ht="12.75" customHeight="1">
      <c r="A2753" s="59" t="s">
        <v>215</v>
      </c>
      <c r="B2753" s="60" t="s">
        <v>1230</v>
      </c>
    </row>
    <row r="2754" ht="12.75" customHeight="1">
      <c r="A2754" s="59" t="s">
        <v>215</v>
      </c>
      <c r="B2754" s="60" t="s">
        <v>1231</v>
      </c>
    </row>
    <row r="2755" ht="12.75" customHeight="1">
      <c r="A2755" s="59" t="s">
        <v>215</v>
      </c>
      <c r="B2755" s="60" t="s">
        <v>878</v>
      </c>
    </row>
    <row r="2756" ht="12.75" customHeight="1">
      <c r="A2756" s="59" t="s">
        <v>215</v>
      </c>
      <c r="B2756" s="60" t="s">
        <v>879</v>
      </c>
    </row>
    <row r="2757" ht="12.75" customHeight="1">
      <c r="A2757" s="59" t="s">
        <v>215</v>
      </c>
      <c r="B2757" s="60" t="s">
        <v>1232</v>
      </c>
    </row>
    <row r="2758" ht="12.75" customHeight="1">
      <c r="A2758" s="59" t="s">
        <v>215</v>
      </c>
      <c r="B2758" s="60" t="s">
        <v>1233</v>
      </c>
    </row>
    <row r="2759" ht="12.75" customHeight="1">
      <c r="A2759" s="59" t="s">
        <v>215</v>
      </c>
      <c r="B2759" s="60" t="s">
        <v>880</v>
      </c>
    </row>
    <row r="2760" ht="12.75" customHeight="1">
      <c r="A2760" s="59" t="s">
        <v>215</v>
      </c>
      <c r="B2760" s="60" t="s">
        <v>889</v>
      </c>
    </row>
    <row r="2761" ht="12.75" customHeight="1">
      <c r="A2761" s="59" t="s">
        <v>215</v>
      </c>
      <c r="B2761" s="60" t="s">
        <v>890</v>
      </c>
    </row>
    <row r="2762" ht="12.75" customHeight="1">
      <c r="A2762" s="59" t="s">
        <v>215</v>
      </c>
      <c r="B2762" s="60" t="s">
        <v>891</v>
      </c>
    </row>
    <row r="2763" ht="12.75" customHeight="1">
      <c r="A2763" s="59" t="s">
        <v>215</v>
      </c>
      <c r="B2763" s="60" t="s">
        <v>1234</v>
      </c>
    </row>
    <row r="2764" ht="12.75" customHeight="1">
      <c r="A2764" s="59" t="s">
        <v>215</v>
      </c>
      <c r="B2764" s="60" t="s">
        <v>1235</v>
      </c>
    </row>
    <row r="2765" ht="12.75" customHeight="1">
      <c r="A2765" s="59" t="s">
        <v>215</v>
      </c>
      <c r="B2765" s="60" t="s">
        <v>1236</v>
      </c>
    </row>
    <row r="2766" ht="12.75" customHeight="1">
      <c r="A2766" s="59" t="s">
        <v>215</v>
      </c>
      <c r="B2766" s="60" t="s">
        <v>1237</v>
      </c>
    </row>
    <row r="2767" ht="12.75" customHeight="1">
      <c r="A2767" s="59" t="s">
        <v>215</v>
      </c>
      <c r="B2767" s="60" t="s">
        <v>896</v>
      </c>
    </row>
    <row r="2768" ht="12.75" customHeight="1">
      <c r="A2768" s="59" t="s">
        <v>215</v>
      </c>
      <c r="B2768" s="60" t="s">
        <v>1238</v>
      </c>
    </row>
    <row r="2769" ht="12.75" customHeight="1">
      <c r="A2769" s="59" t="s">
        <v>215</v>
      </c>
      <c r="B2769" s="60" t="s">
        <v>1239</v>
      </c>
    </row>
    <row r="2770" ht="12.75" customHeight="1">
      <c r="A2770" s="59" t="s">
        <v>215</v>
      </c>
      <c r="B2770" s="60" t="s">
        <v>1240</v>
      </c>
    </row>
    <row r="2771" ht="12.75" customHeight="1">
      <c r="A2771" s="59" t="s">
        <v>215</v>
      </c>
      <c r="B2771" s="60" t="s">
        <v>897</v>
      </c>
    </row>
    <row r="2772" ht="12.75" customHeight="1">
      <c r="A2772" s="59" t="s">
        <v>215</v>
      </c>
      <c r="B2772" s="60" t="s">
        <v>898</v>
      </c>
    </row>
    <row r="2773" ht="12.75" customHeight="1">
      <c r="A2773" s="59" t="s">
        <v>215</v>
      </c>
      <c r="B2773" s="60" t="s">
        <v>1241</v>
      </c>
    </row>
    <row r="2774" ht="12.75" customHeight="1">
      <c r="A2774" s="59" t="s">
        <v>215</v>
      </c>
      <c r="B2774" s="60" t="s">
        <v>1242</v>
      </c>
    </row>
    <row r="2775" ht="12.75" customHeight="1">
      <c r="A2775" s="59" t="s">
        <v>215</v>
      </c>
      <c r="B2775" s="60" t="s">
        <v>899</v>
      </c>
    </row>
    <row r="2776" ht="12.75" customHeight="1">
      <c r="A2776" s="59" t="s">
        <v>215</v>
      </c>
      <c r="B2776" s="60" t="s">
        <v>1243</v>
      </c>
    </row>
    <row r="2777" ht="12.75" customHeight="1">
      <c r="A2777" s="59" t="s">
        <v>215</v>
      </c>
      <c r="B2777" s="60" t="s">
        <v>1244</v>
      </c>
    </row>
    <row r="2778" ht="12.75" customHeight="1">
      <c r="A2778" s="59" t="s">
        <v>215</v>
      </c>
      <c r="B2778" s="60" t="s">
        <v>1245</v>
      </c>
    </row>
    <row r="2779" ht="12.75" customHeight="1">
      <c r="A2779" s="59" t="s">
        <v>215</v>
      </c>
      <c r="B2779" s="60" t="s">
        <v>1246</v>
      </c>
    </row>
    <row r="2780" ht="12.75" customHeight="1">
      <c r="A2780" s="59" t="s">
        <v>215</v>
      </c>
      <c r="B2780" s="60" t="s">
        <v>1247</v>
      </c>
    </row>
    <row r="2781" ht="12.75" customHeight="1">
      <c r="A2781" s="59" t="s">
        <v>215</v>
      </c>
      <c r="B2781" s="60" t="s">
        <v>1248</v>
      </c>
    </row>
    <row r="2782" ht="12.75" customHeight="1">
      <c r="A2782" s="59" t="s">
        <v>215</v>
      </c>
      <c r="B2782" s="60" t="s">
        <v>1249</v>
      </c>
    </row>
    <row r="2783" ht="12.75" customHeight="1">
      <c r="A2783" s="59" t="s">
        <v>215</v>
      </c>
      <c r="B2783" s="60" t="s">
        <v>1250</v>
      </c>
    </row>
    <row r="2784" ht="12.75" customHeight="1">
      <c r="A2784" s="59" t="s">
        <v>215</v>
      </c>
      <c r="B2784" s="60" t="s">
        <v>1251</v>
      </c>
    </row>
    <row r="2785" ht="12.75" customHeight="1">
      <c r="A2785" s="59" t="s">
        <v>215</v>
      </c>
      <c r="B2785" s="60" t="s">
        <v>1252</v>
      </c>
    </row>
    <row r="2786" ht="12.75" customHeight="1">
      <c r="A2786" s="59" t="s">
        <v>215</v>
      </c>
      <c r="B2786" s="60" t="s">
        <v>1253</v>
      </c>
    </row>
    <row r="2787" ht="12.75" customHeight="1">
      <c r="A2787" s="59" t="s">
        <v>215</v>
      </c>
      <c r="B2787" s="60" t="s">
        <v>1254</v>
      </c>
    </row>
    <row r="2788" ht="12.75" customHeight="1">
      <c r="A2788" s="59" t="s">
        <v>215</v>
      </c>
      <c r="B2788" s="60" t="s">
        <v>908</v>
      </c>
    </row>
    <row r="2789" ht="12.75" customHeight="1">
      <c r="A2789" s="59" t="s">
        <v>215</v>
      </c>
      <c r="B2789" s="60" t="s">
        <v>909</v>
      </c>
    </row>
    <row r="2790" ht="12.75" customHeight="1">
      <c r="A2790" s="59" t="s">
        <v>215</v>
      </c>
      <c r="B2790" s="60" t="s">
        <v>910</v>
      </c>
    </row>
    <row r="2791" ht="12.75" customHeight="1">
      <c r="A2791" s="59" t="s">
        <v>215</v>
      </c>
      <c r="B2791" s="60" t="s">
        <v>911</v>
      </c>
    </row>
    <row r="2792" ht="12.75" customHeight="1">
      <c r="A2792" s="59" t="s">
        <v>215</v>
      </c>
      <c r="B2792" s="60" t="s">
        <v>912</v>
      </c>
    </row>
    <row r="2793" ht="12.75" customHeight="1">
      <c r="A2793" s="59" t="s">
        <v>215</v>
      </c>
      <c r="B2793" s="60" t="s">
        <v>913</v>
      </c>
    </row>
    <row r="2794" ht="12.75" customHeight="1">
      <c r="A2794" s="59" t="s">
        <v>215</v>
      </c>
      <c r="B2794" s="60" t="s">
        <v>914</v>
      </c>
    </row>
    <row r="2795" ht="12.75" customHeight="1">
      <c r="A2795" s="59" t="s">
        <v>215</v>
      </c>
      <c r="B2795" s="60" t="s">
        <v>915</v>
      </c>
    </row>
    <row r="2796" ht="12.75" customHeight="1">
      <c r="A2796" s="59" t="s">
        <v>215</v>
      </c>
      <c r="B2796" s="60" t="s">
        <v>916</v>
      </c>
    </row>
    <row r="2797" ht="12.75" customHeight="1">
      <c r="A2797" s="59" t="s">
        <v>215</v>
      </c>
      <c r="B2797" s="60" t="s">
        <v>917</v>
      </c>
    </row>
    <row r="2798" ht="12.75" customHeight="1">
      <c r="A2798" s="59" t="s">
        <v>215</v>
      </c>
      <c r="B2798" s="60" t="s">
        <v>918</v>
      </c>
    </row>
    <row r="2799" ht="12.75" customHeight="1">
      <c r="A2799" s="59" t="s">
        <v>215</v>
      </c>
      <c r="B2799" s="60" t="s">
        <v>1255</v>
      </c>
    </row>
    <row r="2800" ht="12.75" customHeight="1">
      <c r="A2800" s="59" t="s">
        <v>215</v>
      </c>
      <c r="B2800" s="60" t="s">
        <v>1256</v>
      </c>
    </row>
    <row r="2801" ht="12.75" customHeight="1">
      <c r="A2801" s="59" t="s">
        <v>215</v>
      </c>
      <c r="B2801" s="60" t="s">
        <v>1257</v>
      </c>
    </row>
    <row r="2802" ht="12.75" customHeight="1">
      <c r="A2802" s="59" t="s">
        <v>215</v>
      </c>
      <c r="B2802" s="60" t="s">
        <v>1258</v>
      </c>
    </row>
    <row r="2803" ht="12.75" customHeight="1">
      <c r="A2803" s="59" t="s">
        <v>215</v>
      </c>
      <c r="B2803" s="60" t="s">
        <v>1259</v>
      </c>
    </row>
    <row r="2804" ht="12.75" customHeight="1">
      <c r="A2804" s="59" t="s">
        <v>215</v>
      </c>
      <c r="B2804" s="60" t="s">
        <v>1260</v>
      </c>
    </row>
    <row r="2805" ht="12.75" customHeight="1">
      <c r="A2805" s="59" t="s">
        <v>215</v>
      </c>
      <c r="B2805" s="60" t="s">
        <v>1261</v>
      </c>
    </row>
    <row r="2806" ht="12.75" customHeight="1">
      <c r="A2806" s="59" t="s">
        <v>215</v>
      </c>
      <c r="B2806" s="60" t="s">
        <v>927</v>
      </c>
    </row>
    <row r="2807" ht="12.75" customHeight="1">
      <c r="A2807" s="59" t="s">
        <v>215</v>
      </c>
      <c r="B2807" s="60" t="s">
        <v>1262</v>
      </c>
    </row>
    <row r="2808" ht="12.75" customHeight="1">
      <c r="A2808" s="59" t="s">
        <v>215</v>
      </c>
      <c r="B2808" s="60" t="s">
        <v>928</v>
      </c>
    </row>
    <row r="2809" ht="12.75" customHeight="1">
      <c r="A2809" s="59" t="s">
        <v>215</v>
      </c>
      <c r="B2809" s="60" t="s">
        <v>1263</v>
      </c>
    </row>
    <row r="2810" ht="12.75" customHeight="1">
      <c r="A2810" s="59" t="s">
        <v>215</v>
      </c>
      <c r="B2810" s="60" t="s">
        <v>929</v>
      </c>
    </row>
    <row r="2811" ht="12.75" customHeight="1">
      <c r="A2811" s="59" t="s">
        <v>215</v>
      </c>
      <c r="B2811" s="60" t="s">
        <v>930</v>
      </c>
    </row>
    <row r="2812" ht="12.75" customHeight="1">
      <c r="A2812" s="59" t="s">
        <v>215</v>
      </c>
      <c r="B2812" s="60" t="s">
        <v>931</v>
      </c>
    </row>
    <row r="2813" ht="12.75" customHeight="1">
      <c r="A2813" s="59" t="s">
        <v>215</v>
      </c>
      <c r="B2813" s="60" t="s">
        <v>932</v>
      </c>
    </row>
    <row r="2814" ht="12.75" customHeight="1">
      <c r="A2814" s="59" t="s">
        <v>215</v>
      </c>
      <c r="B2814" s="60" t="s">
        <v>933</v>
      </c>
    </row>
    <row r="2815" ht="12.75" customHeight="1">
      <c r="A2815" s="59" t="s">
        <v>215</v>
      </c>
      <c r="B2815" s="60" t="s">
        <v>934</v>
      </c>
    </row>
    <row r="2816" ht="12.75" customHeight="1">
      <c r="A2816" s="59" t="s">
        <v>215</v>
      </c>
      <c r="B2816" s="60" t="s">
        <v>935</v>
      </c>
    </row>
    <row r="2817" ht="12.75" customHeight="1">
      <c r="A2817" s="59" t="s">
        <v>215</v>
      </c>
      <c r="B2817" s="60" t="s">
        <v>936</v>
      </c>
    </row>
    <row r="2818" ht="12.75" customHeight="1">
      <c r="A2818" s="59" t="s">
        <v>215</v>
      </c>
      <c r="B2818" s="60" t="s">
        <v>937</v>
      </c>
    </row>
    <row r="2819" ht="12.75" customHeight="1">
      <c r="A2819" s="59" t="s">
        <v>215</v>
      </c>
      <c r="B2819" s="60" t="s">
        <v>1264</v>
      </c>
    </row>
    <row r="2820" ht="12.75" customHeight="1">
      <c r="A2820" s="59" t="s">
        <v>215</v>
      </c>
      <c r="B2820" s="60" t="s">
        <v>946</v>
      </c>
    </row>
    <row r="2821" ht="12.75" customHeight="1">
      <c r="A2821" s="59" t="s">
        <v>215</v>
      </c>
      <c r="B2821" s="60" t="s">
        <v>947</v>
      </c>
    </row>
    <row r="2822" ht="12.75" customHeight="1">
      <c r="A2822" s="59" t="s">
        <v>215</v>
      </c>
      <c r="B2822" s="60" t="s">
        <v>948</v>
      </c>
    </row>
    <row r="2823" ht="12.75" customHeight="1">
      <c r="A2823" s="59" t="s">
        <v>215</v>
      </c>
      <c r="B2823" s="60" t="s">
        <v>949</v>
      </c>
    </row>
    <row r="2824" ht="12.75" customHeight="1">
      <c r="A2824" s="59" t="s">
        <v>215</v>
      </c>
      <c r="B2824" s="60" t="s">
        <v>950</v>
      </c>
    </row>
    <row r="2825" ht="12.75" customHeight="1">
      <c r="A2825" s="59" t="s">
        <v>215</v>
      </c>
      <c r="B2825" s="60" t="s">
        <v>951</v>
      </c>
    </row>
    <row r="2826" ht="12.75" customHeight="1">
      <c r="A2826" s="59" t="s">
        <v>215</v>
      </c>
      <c r="B2826" s="60" t="s">
        <v>952</v>
      </c>
    </row>
    <row r="2827" ht="12.75" customHeight="1">
      <c r="A2827" s="59" t="s">
        <v>215</v>
      </c>
      <c r="B2827" s="60" t="s">
        <v>953</v>
      </c>
    </row>
    <row r="2828" ht="12.75" customHeight="1">
      <c r="A2828" s="59" t="s">
        <v>215</v>
      </c>
      <c r="B2828" s="60" t="s">
        <v>954</v>
      </c>
    </row>
    <row r="2829" ht="12.75" customHeight="1">
      <c r="A2829" s="59" t="s">
        <v>215</v>
      </c>
      <c r="B2829" s="60" t="s">
        <v>955</v>
      </c>
    </row>
    <row r="2830" ht="12.75" customHeight="1">
      <c r="A2830" s="59" t="s">
        <v>215</v>
      </c>
      <c r="B2830" s="60" t="s">
        <v>956</v>
      </c>
    </row>
    <row r="2831" ht="12.75" customHeight="1">
      <c r="A2831" s="59" t="s">
        <v>215</v>
      </c>
      <c r="B2831" s="60" t="s">
        <v>1265</v>
      </c>
    </row>
    <row r="2832" ht="12.75" customHeight="1">
      <c r="A2832" s="59" t="s">
        <v>215</v>
      </c>
      <c r="B2832" s="60" t="s">
        <v>957</v>
      </c>
    </row>
    <row r="2833" ht="12.75" customHeight="1">
      <c r="A2833" s="59" t="s">
        <v>215</v>
      </c>
      <c r="B2833" s="60" t="s">
        <v>1266</v>
      </c>
    </row>
    <row r="2834" ht="12.75" customHeight="1">
      <c r="A2834" s="59" t="s">
        <v>215</v>
      </c>
      <c r="B2834" s="60" t="s">
        <v>1267</v>
      </c>
    </row>
    <row r="2835" ht="12.75" customHeight="1">
      <c r="A2835" s="59" t="s">
        <v>215</v>
      </c>
      <c r="B2835" s="60" t="s">
        <v>1268</v>
      </c>
    </row>
    <row r="2836" ht="12.75" customHeight="1">
      <c r="A2836" s="59" t="s">
        <v>215</v>
      </c>
      <c r="B2836" s="60" t="s">
        <v>1269</v>
      </c>
    </row>
    <row r="2837" ht="12.75" customHeight="1">
      <c r="A2837" s="59" t="s">
        <v>215</v>
      </c>
      <c r="B2837" s="60" t="s">
        <v>1270</v>
      </c>
    </row>
    <row r="2838" ht="12.75" customHeight="1">
      <c r="A2838" s="59" t="s">
        <v>215</v>
      </c>
      <c r="B2838" s="60" t="s">
        <v>1271</v>
      </c>
    </row>
    <row r="2839" ht="12.75" customHeight="1">
      <c r="A2839" s="59" t="s">
        <v>215</v>
      </c>
      <c r="B2839" s="60" t="s">
        <v>1272</v>
      </c>
    </row>
    <row r="2840" ht="12.75" customHeight="1">
      <c r="A2840" s="59" t="s">
        <v>215</v>
      </c>
      <c r="B2840" s="60" t="s">
        <v>1273</v>
      </c>
    </row>
    <row r="2841" ht="12.75" customHeight="1">
      <c r="A2841" s="59" t="s">
        <v>215</v>
      </c>
      <c r="B2841" s="60" t="s">
        <v>1274</v>
      </c>
    </row>
    <row r="2842" ht="12.75" customHeight="1">
      <c r="A2842" s="59" t="s">
        <v>215</v>
      </c>
      <c r="B2842" s="60" t="s">
        <v>1275</v>
      </c>
    </row>
    <row r="2843" ht="12.75" customHeight="1">
      <c r="A2843" s="59" t="s">
        <v>215</v>
      </c>
      <c r="B2843" s="60" t="s">
        <v>1276</v>
      </c>
    </row>
    <row r="2844" ht="12.75" customHeight="1">
      <c r="A2844" s="59" t="s">
        <v>215</v>
      </c>
      <c r="B2844" s="60" t="s">
        <v>965</v>
      </c>
    </row>
    <row r="2845" ht="12.75" customHeight="1">
      <c r="A2845" s="59" t="s">
        <v>215</v>
      </c>
      <c r="B2845" s="60" t="s">
        <v>966</v>
      </c>
    </row>
    <row r="2846" ht="12.75" customHeight="1">
      <c r="A2846" s="59" t="s">
        <v>215</v>
      </c>
      <c r="B2846" s="60" t="s">
        <v>967</v>
      </c>
    </row>
    <row r="2847" ht="12.75" customHeight="1">
      <c r="A2847" s="59" t="s">
        <v>215</v>
      </c>
      <c r="B2847" s="60" t="s">
        <v>968</v>
      </c>
    </row>
    <row r="2848" ht="12.75" customHeight="1">
      <c r="A2848" s="59" t="s">
        <v>215</v>
      </c>
      <c r="B2848" s="60" t="s">
        <v>969</v>
      </c>
    </row>
    <row r="2849" ht="12.75" customHeight="1">
      <c r="A2849" s="59" t="s">
        <v>215</v>
      </c>
      <c r="B2849" s="60" t="s">
        <v>970</v>
      </c>
    </row>
    <row r="2850" ht="12.75" customHeight="1">
      <c r="A2850" s="59" t="s">
        <v>215</v>
      </c>
      <c r="B2850" s="60" t="s">
        <v>971</v>
      </c>
    </row>
    <row r="2851" ht="12.75" customHeight="1">
      <c r="A2851" s="59" t="s">
        <v>215</v>
      </c>
      <c r="B2851" s="60" t="s">
        <v>972</v>
      </c>
    </row>
    <row r="2852" ht="12.75" customHeight="1">
      <c r="A2852" s="59" t="s">
        <v>215</v>
      </c>
      <c r="B2852" s="60" t="s">
        <v>973</v>
      </c>
    </row>
    <row r="2853" ht="12.75" customHeight="1">
      <c r="A2853" s="59" t="s">
        <v>215</v>
      </c>
      <c r="B2853" s="60" t="s">
        <v>974</v>
      </c>
    </row>
    <row r="2854" ht="12.75" customHeight="1">
      <c r="A2854" s="59" t="s">
        <v>215</v>
      </c>
      <c r="B2854" s="60" t="s">
        <v>975</v>
      </c>
    </row>
    <row r="2855" ht="12.75" customHeight="1">
      <c r="A2855" s="59" t="s">
        <v>215</v>
      </c>
      <c r="B2855" s="60" t="s">
        <v>1277</v>
      </c>
    </row>
    <row r="2856" ht="12.75" customHeight="1">
      <c r="A2856" s="59" t="s">
        <v>215</v>
      </c>
      <c r="B2856" s="60" t="s">
        <v>976</v>
      </c>
    </row>
    <row r="2857" ht="12.75" customHeight="1">
      <c r="A2857" s="59" t="s">
        <v>215</v>
      </c>
      <c r="B2857" s="60" t="s">
        <v>1278</v>
      </c>
    </row>
    <row r="2858" ht="12.75" customHeight="1">
      <c r="A2858" s="59" t="s">
        <v>215</v>
      </c>
      <c r="B2858" s="60" t="s">
        <v>1279</v>
      </c>
    </row>
    <row r="2859" ht="12.75" customHeight="1">
      <c r="A2859" s="59" t="s">
        <v>215</v>
      </c>
      <c r="B2859" s="60" t="s">
        <v>1280</v>
      </c>
    </row>
    <row r="2860" ht="12.75" customHeight="1">
      <c r="A2860" s="59" t="s">
        <v>215</v>
      </c>
      <c r="B2860" s="60" t="s">
        <v>1281</v>
      </c>
    </row>
    <row r="2861" ht="12.75" customHeight="1">
      <c r="A2861" s="59" t="s">
        <v>215</v>
      </c>
      <c r="B2861" s="60" t="s">
        <v>1282</v>
      </c>
    </row>
    <row r="2862" ht="12.75" customHeight="1">
      <c r="A2862" s="59" t="s">
        <v>215</v>
      </c>
      <c r="B2862" s="60" t="s">
        <v>1283</v>
      </c>
    </row>
    <row r="2863" ht="12.75" customHeight="1">
      <c r="A2863" s="59" t="s">
        <v>215</v>
      </c>
      <c r="B2863" s="60" t="s">
        <v>1284</v>
      </c>
    </row>
    <row r="2864" ht="12.75" customHeight="1">
      <c r="A2864" s="59" t="s">
        <v>215</v>
      </c>
      <c r="B2864" s="60" t="s">
        <v>1285</v>
      </c>
    </row>
    <row r="2865" ht="12.75" customHeight="1">
      <c r="A2865" s="59" t="s">
        <v>215</v>
      </c>
      <c r="B2865" s="60" t="s">
        <v>1286</v>
      </c>
    </row>
    <row r="2866" ht="12.75" customHeight="1">
      <c r="A2866" s="59" t="s">
        <v>215</v>
      </c>
      <c r="B2866" s="60" t="s">
        <v>1287</v>
      </c>
    </row>
    <row r="2867" ht="12.75" customHeight="1">
      <c r="A2867" s="59" t="s">
        <v>215</v>
      </c>
      <c r="B2867" s="60" t="s">
        <v>984</v>
      </c>
    </row>
    <row r="2868" ht="12.75" customHeight="1">
      <c r="A2868" s="59" t="s">
        <v>215</v>
      </c>
      <c r="B2868" s="60" t="s">
        <v>985</v>
      </c>
    </row>
    <row r="2869" ht="12.75" customHeight="1">
      <c r="A2869" s="59" t="s">
        <v>215</v>
      </c>
      <c r="B2869" s="60" t="s">
        <v>986</v>
      </c>
    </row>
    <row r="2870" ht="12.75" customHeight="1">
      <c r="A2870" s="59" t="s">
        <v>215</v>
      </c>
      <c r="B2870" s="60" t="s">
        <v>987</v>
      </c>
    </row>
    <row r="2871" ht="12.75" customHeight="1">
      <c r="A2871" s="59" t="s">
        <v>215</v>
      </c>
      <c r="B2871" s="60" t="s">
        <v>988</v>
      </c>
    </row>
    <row r="2872" ht="12.75" customHeight="1">
      <c r="A2872" s="59" t="s">
        <v>215</v>
      </c>
      <c r="B2872" s="60" t="s">
        <v>989</v>
      </c>
    </row>
    <row r="2873" ht="12.75" customHeight="1">
      <c r="A2873" s="59" t="s">
        <v>215</v>
      </c>
      <c r="B2873" s="60" t="s">
        <v>990</v>
      </c>
    </row>
    <row r="2874" ht="12.75" customHeight="1">
      <c r="A2874" s="59" t="s">
        <v>215</v>
      </c>
      <c r="B2874" s="60" t="s">
        <v>991</v>
      </c>
    </row>
    <row r="2875" ht="12.75" customHeight="1">
      <c r="A2875" s="59" t="s">
        <v>215</v>
      </c>
      <c r="B2875" s="60" t="s">
        <v>992</v>
      </c>
    </row>
    <row r="2876" ht="12.75" customHeight="1">
      <c r="A2876" s="59" t="s">
        <v>215</v>
      </c>
      <c r="B2876" s="60" t="s">
        <v>993</v>
      </c>
    </row>
    <row r="2877" ht="12.75" customHeight="1">
      <c r="A2877" s="59" t="s">
        <v>215</v>
      </c>
      <c r="B2877" s="60" t="s">
        <v>994</v>
      </c>
    </row>
    <row r="2878" ht="12.75" customHeight="1">
      <c r="A2878" s="59" t="s">
        <v>215</v>
      </c>
      <c r="B2878" s="60" t="s">
        <v>1002</v>
      </c>
    </row>
    <row r="2879" ht="12.75" customHeight="1">
      <c r="A2879" s="59" t="s">
        <v>215</v>
      </c>
      <c r="B2879" s="60" t="s">
        <v>1003</v>
      </c>
    </row>
    <row r="2880" ht="12.75" customHeight="1">
      <c r="A2880" s="59" t="s">
        <v>215</v>
      </c>
      <c r="B2880" s="60" t="s">
        <v>1004</v>
      </c>
    </row>
    <row r="2881" ht="12.75" customHeight="1">
      <c r="A2881" s="59" t="s">
        <v>215</v>
      </c>
      <c r="B2881" s="60" t="s">
        <v>1005</v>
      </c>
    </row>
    <row r="2882" ht="12.75" customHeight="1">
      <c r="A2882" s="59" t="s">
        <v>215</v>
      </c>
      <c r="B2882" s="60" t="s">
        <v>1006</v>
      </c>
    </row>
    <row r="2883" ht="12.75" customHeight="1">
      <c r="A2883" s="59" t="s">
        <v>215</v>
      </c>
      <c r="B2883" s="60" t="s">
        <v>1007</v>
      </c>
    </row>
    <row r="2884" ht="12.75" customHeight="1">
      <c r="A2884" s="59" t="s">
        <v>215</v>
      </c>
      <c r="B2884" s="60" t="s">
        <v>1008</v>
      </c>
    </row>
    <row r="2885" ht="12.75" customHeight="1">
      <c r="A2885" s="59" t="s">
        <v>215</v>
      </c>
      <c r="B2885" s="60" t="s">
        <v>1009</v>
      </c>
    </row>
    <row r="2886" ht="12.75" customHeight="1">
      <c r="A2886" s="59" t="s">
        <v>215</v>
      </c>
      <c r="B2886" s="60" t="s">
        <v>1010</v>
      </c>
    </row>
    <row r="2887" ht="12.75" customHeight="1">
      <c r="A2887" s="59" t="s">
        <v>215</v>
      </c>
      <c r="B2887" s="60" t="s">
        <v>1288</v>
      </c>
    </row>
    <row r="2888" ht="12.75" customHeight="1">
      <c r="A2888" s="59" t="s">
        <v>215</v>
      </c>
      <c r="B2888" s="60" t="s">
        <v>1289</v>
      </c>
    </row>
    <row r="2889" ht="12.75" customHeight="1">
      <c r="A2889" s="59" t="s">
        <v>215</v>
      </c>
      <c r="B2889" s="60" t="s">
        <v>1018</v>
      </c>
    </row>
    <row r="2890" ht="12.75" customHeight="1">
      <c r="A2890" s="59" t="s">
        <v>215</v>
      </c>
      <c r="B2890" s="60" t="s">
        <v>1019</v>
      </c>
    </row>
    <row r="2891" ht="12.75" customHeight="1">
      <c r="A2891" s="59" t="s">
        <v>215</v>
      </c>
      <c r="B2891" s="60" t="s">
        <v>1020</v>
      </c>
    </row>
    <row r="2892" ht="12.75" customHeight="1">
      <c r="A2892" s="59" t="s">
        <v>215</v>
      </c>
      <c r="B2892" s="60" t="s">
        <v>1021</v>
      </c>
    </row>
    <row r="2893" ht="12.75" customHeight="1">
      <c r="A2893" s="59" t="s">
        <v>215</v>
      </c>
      <c r="B2893" s="60" t="s">
        <v>1022</v>
      </c>
    </row>
    <row r="2894" ht="12.75" customHeight="1">
      <c r="A2894" s="59" t="s">
        <v>215</v>
      </c>
      <c r="B2894" s="60" t="s">
        <v>1023</v>
      </c>
    </row>
    <row r="2895" ht="12.75" customHeight="1">
      <c r="A2895" s="59" t="s">
        <v>215</v>
      </c>
      <c r="B2895" s="60" t="s">
        <v>1024</v>
      </c>
    </row>
    <row r="2896" ht="12.75" customHeight="1">
      <c r="A2896" s="59" t="s">
        <v>215</v>
      </c>
      <c r="B2896" s="60" t="s">
        <v>1025</v>
      </c>
    </row>
    <row r="2897" ht="12.75" customHeight="1">
      <c r="A2897" s="59" t="s">
        <v>215</v>
      </c>
      <c r="B2897" s="60" t="s">
        <v>1026</v>
      </c>
    </row>
    <row r="2898" ht="12.75" customHeight="1">
      <c r="A2898" s="59" t="s">
        <v>215</v>
      </c>
      <c r="B2898" s="60" t="s">
        <v>1027</v>
      </c>
    </row>
    <row r="2899" ht="12.75" customHeight="1">
      <c r="A2899" s="59" t="s">
        <v>215</v>
      </c>
      <c r="B2899" s="60" t="s">
        <v>1028</v>
      </c>
    </row>
    <row r="2900" ht="12.75" customHeight="1">
      <c r="A2900" s="59" t="s">
        <v>215</v>
      </c>
      <c r="B2900" s="60" t="s">
        <v>1036</v>
      </c>
    </row>
    <row r="2901" ht="12.75" customHeight="1">
      <c r="A2901" s="59" t="s">
        <v>215</v>
      </c>
      <c r="B2901" s="60" t="s">
        <v>1037</v>
      </c>
    </row>
    <row r="2902" ht="12.75" customHeight="1">
      <c r="A2902" s="59" t="s">
        <v>215</v>
      </c>
      <c r="B2902" s="60" t="s">
        <v>1038</v>
      </c>
    </row>
    <row r="2903" ht="12.75" customHeight="1">
      <c r="A2903" s="59" t="s">
        <v>215</v>
      </c>
      <c r="B2903" s="60" t="s">
        <v>1039</v>
      </c>
    </row>
    <row r="2904" ht="12.75" customHeight="1">
      <c r="A2904" s="59" t="s">
        <v>215</v>
      </c>
      <c r="B2904" s="60" t="s">
        <v>1040</v>
      </c>
    </row>
    <row r="2905" ht="12.75" customHeight="1">
      <c r="A2905" s="59" t="s">
        <v>215</v>
      </c>
      <c r="B2905" s="60" t="s">
        <v>1041</v>
      </c>
    </row>
    <row r="2906" ht="12.75" customHeight="1">
      <c r="A2906" s="59" t="s">
        <v>215</v>
      </c>
      <c r="B2906" s="60" t="s">
        <v>1042</v>
      </c>
    </row>
    <row r="2907" ht="12.75" customHeight="1">
      <c r="A2907" s="59" t="s">
        <v>215</v>
      </c>
      <c r="B2907" s="60" t="s">
        <v>1043</v>
      </c>
    </row>
    <row r="2908" ht="12.75" customHeight="1">
      <c r="A2908" s="59" t="s">
        <v>215</v>
      </c>
      <c r="B2908" s="60" t="s">
        <v>1044</v>
      </c>
    </row>
    <row r="2909" ht="12.75" customHeight="1">
      <c r="A2909" s="59" t="s">
        <v>215</v>
      </c>
      <c r="B2909" s="60" t="s">
        <v>1045</v>
      </c>
    </row>
    <row r="2910" ht="12.75" customHeight="1">
      <c r="A2910" s="59" t="s">
        <v>215</v>
      </c>
      <c r="B2910" s="60" t="s">
        <v>1046</v>
      </c>
    </row>
    <row r="2911" ht="12.75" customHeight="1">
      <c r="A2911" s="59" t="s">
        <v>215</v>
      </c>
      <c r="B2911" s="60" t="s">
        <v>1290</v>
      </c>
    </row>
    <row r="2912" ht="12.75" customHeight="1">
      <c r="A2912" s="59" t="s">
        <v>215</v>
      </c>
      <c r="B2912" s="60" t="s">
        <v>1078</v>
      </c>
    </row>
    <row r="2913" ht="12.75" customHeight="1">
      <c r="A2913" s="59" t="s">
        <v>215</v>
      </c>
      <c r="B2913" s="60" t="s">
        <v>1291</v>
      </c>
    </row>
    <row r="2914" ht="12.75" customHeight="1">
      <c r="A2914" s="59" t="s">
        <v>215</v>
      </c>
      <c r="B2914" s="60" t="s">
        <v>1080</v>
      </c>
    </row>
    <row r="2915" ht="12.75" customHeight="1">
      <c r="A2915" s="59" t="s">
        <v>215</v>
      </c>
      <c r="B2915" s="60" t="s">
        <v>1292</v>
      </c>
    </row>
    <row r="2916" ht="12.75" customHeight="1">
      <c r="A2916" s="59" t="s">
        <v>215</v>
      </c>
      <c r="B2916" s="60" t="s">
        <v>1082</v>
      </c>
    </row>
    <row r="2917" ht="12.75" customHeight="1">
      <c r="A2917" s="59" t="s">
        <v>215</v>
      </c>
      <c r="B2917" s="60" t="s">
        <v>1293</v>
      </c>
    </row>
    <row r="2918" ht="12.75" customHeight="1">
      <c r="A2918" s="59" t="s">
        <v>215</v>
      </c>
      <c r="B2918" s="60" t="s">
        <v>1084</v>
      </c>
    </row>
    <row r="2919" ht="12.75" customHeight="1">
      <c r="A2919" s="59" t="s">
        <v>215</v>
      </c>
      <c r="B2919" s="60" t="s">
        <v>1294</v>
      </c>
    </row>
    <row r="2920" ht="12.75" customHeight="1">
      <c r="A2920" s="59" t="s">
        <v>215</v>
      </c>
      <c r="B2920" s="60" t="s">
        <v>1054</v>
      </c>
    </row>
    <row r="2921" ht="12.75" customHeight="1">
      <c r="A2921" s="59" t="s">
        <v>215</v>
      </c>
      <c r="B2921" s="60" t="s">
        <v>1055</v>
      </c>
    </row>
    <row r="2922" ht="12.75" customHeight="1">
      <c r="A2922" s="59" t="s">
        <v>215</v>
      </c>
      <c r="B2922" s="60" t="s">
        <v>1056</v>
      </c>
    </row>
    <row r="2923" ht="12.75" customHeight="1">
      <c r="A2923" s="59" t="s">
        <v>215</v>
      </c>
      <c r="B2923" s="60" t="s">
        <v>1057</v>
      </c>
    </row>
    <row r="2924" ht="12.75" customHeight="1">
      <c r="A2924" s="59" t="s">
        <v>215</v>
      </c>
      <c r="B2924" s="60" t="s">
        <v>1058</v>
      </c>
    </row>
    <row r="2925" ht="12.75" customHeight="1">
      <c r="A2925" s="59" t="s">
        <v>215</v>
      </c>
      <c r="B2925" s="60" t="s">
        <v>1059</v>
      </c>
    </row>
    <row r="2926" ht="12.75" customHeight="1">
      <c r="A2926" s="59" t="s">
        <v>215</v>
      </c>
      <c r="B2926" s="60" t="s">
        <v>1060</v>
      </c>
    </row>
    <row r="2927" ht="12.75" customHeight="1">
      <c r="A2927" s="59" t="s">
        <v>215</v>
      </c>
      <c r="B2927" s="60" t="s">
        <v>1061</v>
      </c>
    </row>
    <row r="2928" ht="12.75" customHeight="1">
      <c r="A2928" s="59" t="s">
        <v>215</v>
      </c>
      <c r="B2928" s="60" t="s">
        <v>1086</v>
      </c>
    </row>
    <row r="2929" ht="12.75" customHeight="1">
      <c r="A2929" s="59" t="s">
        <v>215</v>
      </c>
      <c r="B2929" s="60" t="s">
        <v>1295</v>
      </c>
    </row>
    <row r="2930" ht="12.75" customHeight="1">
      <c r="A2930" s="59" t="s">
        <v>215</v>
      </c>
      <c r="B2930" s="60" t="s">
        <v>1296</v>
      </c>
    </row>
    <row r="2931" ht="12.75" customHeight="1">
      <c r="A2931" s="59" t="s">
        <v>215</v>
      </c>
      <c r="B2931" s="60" t="s">
        <v>1068</v>
      </c>
    </row>
    <row r="2932" ht="12.75" customHeight="1">
      <c r="A2932" s="59" t="s">
        <v>215</v>
      </c>
      <c r="B2932" s="60" t="s">
        <v>1069</v>
      </c>
    </row>
    <row r="2933" ht="12.75" customHeight="1">
      <c r="A2933" s="59" t="s">
        <v>215</v>
      </c>
      <c r="B2933" s="60" t="s">
        <v>1070</v>
      </c>
    </row>
    <row r="2934" ht="12.75" customHeight="1">
      <c r="A2934" s="59" t="s">
        <v>215</v>
      </c>
      <c r="B2934" s="60" t="s">
        <v>1071</v>
      </c>
    </row>
    <row r="2935" ht="12.75" customHeight="1">
      <c r="A2935" s="59" t="s">
        <v>215</v>
      </c>
      <c r="B2935" s="60" t="s">
        <v>1072</v>
      </c>
    </row>
    <row r="2936" ht="12.75" customHeight="1">
      <c r="A2936" s="59" t="s">
        <v>215</v>
      </c>
      <c r="B2936" s="60" t="s">
        <v>1073</v>
      </c>
    </row>
    <row r="2937" ht="12.75" customHeight="1">
      <c r="A2937" s="59" t="s">
        <v>215</v>
      </c>
      <c r="B2937" s="60" t="s">
        <v>1074</v>
      </c>
    </row>
    <row r="2938" ht="12.75" customHeight="1">
      <c r="A2938" s="59" t="s">
        <v>215</v>
      </c>
      <c r="B2938" s="60" t="s">
        <v>1075</v>
      </c>
    </row>
    <row r="2939" ht="12.75" customHeight="1">
      <c r="A2939" s="59" t="s">
        <v>215</v>
      </c>
      <c r="B2939" s="60" t="s">
        <v>1076</v>
      </c>
    </row>
    <row r="2940" ht="12.75" customHeight="1">
      <c r="A2940" s="59" t="s">
        <v>215</v>
      </c>
      <c r="B2940" s="60" t="s">
        <v>1077</v>
      </c>
    </row>
    <row r="2941" ht="12.75" customHeight="1">
      <c r="A2941" s="59" t="s">
        <v>215</v>
      </c>
      <c r="B2941" s="60" t="s">
        <v>1297</v>
      </c>
    </row>
    <row r="2942" ht="12.75" customHeight="1">
      <c r="A2942" s="59" t="s">
        <v>215</v>
      </c>
      <c r="B2942" s="60" t="s">
        <v>1079</v>
      </c>
    </row>
    <row r="2943" ht="12.75" customHeight="1">
      <c r="A2943" s="59" t="s">
        <v>215</v>
      </c>
      <c r="B2943" s="60" t="s">
        <v>1298</v>
      </c>
    </row>
    <row r="2944" ht="12.75" customHeight="1">
      <c r="A2944" s="59" t="s">
        <v>215</v>
      </c>
      <c r="B2944" s="60" t="s">
        <v>1081</v>
      </c>
    </row>
    <row r="2945" ht="12.75" customHeight="1">
      <c r="A2945" s="59" t="s">
        <v>215</v>
      </c>
      <c r="B2945" s="60" t="s">
        <v>1299</v>
      </c>
    </row>
    <row r="2946" ht="12.75" customHeight="1">
      <c r="A2946" s="59" t="s">
        <v>215</v>
      </c>
      <c r="B2946" s="60" t="s">
        <v>1083</v>
      </c>
    </row>
    <row r="2947" ht="12.75" customHeight="1">
      <c r="A2947" s="59" t="s">
        <v>215</v>
      </c>
      <c r="B2947" s="60" t="s">
        <v>1300</v>
      </c>
    </row>
    <row r="2948" ht="12.75" customHeight="1">
      <c r="A2948" s="59" t="s">
        <v>215</v>
      </c>
      <c r="B2948" s="60" t="s">
        <v>1085</v>
      </c>
    </row>
    <row r="2949" ht="12.75" customHeight="1">
      <c r="A2949" s="59" t="s">
        <v>215</v>
      </c>
      <c r="B2949" s="60" t="s">
        <v>1301</v>
      </c>
    </row>
    <row r="2950" ht="12.75" customHeight="1">
      <c r="A2950" s="59" t="s">
        <v>215</v>
      </c>
      <c r="B2950" s="60" t="s">
        <v>1087</v>
      </c>
    </row>
    <row r="2951" ht="12.75" customHeight="1">
      <c r="A2951" s="59" t="s">
        <v>215</v>
      </c>
      <c r="B2951" s="60" t="s">
        <v>1302</v>
      </c>
    </row>
    <row r="2952" ht="12.75" customHeight="1">
      <c r="A2952" s="59" t="s">
        <v>215</v>
      </c>
      <c r="B2952" s="60" t="s">
        <v>1303</v>
      </c>
    </row>
    <row r="2953" ht="12.75" customHeight="1">
      <c r="A2953" s="59" t="s">
        <v>215</v>
      </c>
      <c r="B2953" s="60" t="s">
        <v>1304</v>
      </c>
    </row>
    <row r="2954" ht="12.75" customHeight="1">
      <c r="A2954" s="59" t="s">
        <v>215</v>
      </c>
      <c r="B2954" s="60" t="s">
        <v>1305</v>
      </c>
    </row>
    <row r="2955" ht="12.75" customHeight="1">
      <c r="A2955" s="59" t="s">
        <v>215</v>
      </c>
      <c r="B2955" s="60" t="s">
        <v>1306</v>
      </c>
    </row>
    <row r="2956" ht="12.75" customHeight="1">
      <c r="A2956" s="59" t="s">
        <v>215</v>
      </c>
      <c r="B2956" s="60" t="s">
        <v>1307</v>
      </c>
    </row>
    <row r="2957" ht="12.75" customHeight="1">
      <c r="A2957" s="59" t="s">
        <v>215</v>
      </c>
      <c r="B2957" s="60" t="s">
        <v>1308</v>
      </c>
    </row>
    <row r="2958" ht="12.75" customHeight="1">
      <c r="A2958" s="59" t="s">
        <v>215</v>
      </c>
      <c r="B2958" s="60" t="s">
        <v>1096</v>
      </c>
    </row>
    <row r="2959" ht="12.75" customHeight="1">
      <c r="A2959" s="59" t="s">
        <v>215</v>
      </c>
      <c r="B2959" s="60" t="s">
        <v>1309</v>
      </c>
    </row>
    <row r="2960" ht="12.75" customHeight="1">
      <c r="A2960" s="59" t="s">
        <v>215</v>
      </c>
      <c r="B2960" s="60" t="s">
        <v>1097</v>
      </c>
    </row>
    <row r="2961" ht="12.75" customHeight="1">
      <c r="A2961" s="59" t="s">
        <v>215</v>
      </c>
      <c r="B2961" s="60" t="s">
        <v>1310</v>
      </c>
    </row>
    <row r="2962" ht="12.75" customHeight="1">
      <c r="A2962" s="59" t="s">
        <v>215</v>
      </c>
      <c r="B2962" s="60" t="s">
        <v>1098</v>
      </c>
    </row>
    <row r="2963" ht="12.75" customHeight="1">
      <c r="A2963" s="59" t="s">
        <v>215</v>
      </c>
      <c r="B2963" s="60" t="s">
        <v>1099</v>
      </c>
    </row>
    <row r="2964" ht="12.75" customHeight="1">
      <c r="A2964" s="59" t="s">
        <v>215</v>
      </c>
      <c r="B2964" s="60" t="s">
        <v>1100</v>
      </c>
    </row>
    <row r="2965" ht="12.75" customHeight="1">
      <c r="A2965" s="59" t="s">
        <v>215</v>
      </c>
      <c r="B2965" s="60" t="s">
        <v>1101</v>
      </c>
    </row>
    <row r="2966" ht="12.75" customHeight="1">
      <c r="A2966" s="59" t="s">
        <v>215</v>
      </c>
      <c r="B2966" s="60" t="s">
        <v>1102</v>
      </c>
    </row>
    <row r="2967" ht="12.75" customHeight="1">
      <c r="A2967" s="59" t="s">
        <v>215</v>
      </c>
      <c r="B2967" s="60" t="s">
        <v>1103</v>
      </c>
    </row>
    <row r="2968" ht="12.75" customHeight="1">
      <c r="A2968" s="59" t="s">
        <v>215</v>
      </c>
      <c r="B2968" s="60" t="s">
        <v>1104</v>
      </c>
    </row>
    <row r="2969" ht="12.75" customHeight="1">
      <c r="A2969" s="59" t="s">
        <v>215</v>
      </c>
      <c r="B2969" s="60" t="s">
        <v>1105</v>
      </c>
    </row>
    <row r="2970" ht="12.75" customHeight="1">
      <c r="A2970" s="59" t="s">
        <v>215</v>
      </c>
      <c r="B2970" s="60" t="s">
        <v>1106</v>
      </c>
    </row>
    <row r="2971" ht="12.75" customHeight="1">
      <c r="A2971" s="59" t="s">
        <v>215</v>
      </c>
      <c r="B2971" s="60" t="s">
        <v>1107</v>
      </c>
    </row>
    <row r="2972" ht="12.75" customHeight="1">
      <c r="A2972" s="59" t="s">
        <v>215</v>
      </c>
      <c r="B2972" s="60" t="s">
        <v>1108</v>
      </c>
    </row>
    <row r="2973" ht="12.75" customHeight="1">
      <c r="A2973" s="59" t="s">
        <v>215</v>
      </c>
      <c r="B2973" s="60" t="s">
        <v>1109</v>
      </c>
    </row>
    <row r="2974" ht="12.75" customHeight="1">
      <c r="A2974" s="59" t="s">
        <v>215</v>
      </c>
      <c r="B2974" s="60" t="s">
        <v>1110</v>
      </c>
    </row>
    <row r="2975" ht="12.75" customHeight="1">
      <c r="A2975" s="59" t="s">
        <v>215</v>
      </c>
      <c r="B2975" s="60" t="s">
        <v>1111</v>
      </c>
    </row>
    <row r="2976" ht="12.75" customHeight="1">
      <c r="A2976" s="59" t="s">
        <v>215</v>
      </c>
      <c r="B2976" s="60" t="s">
        <v>1112</v>
      </c>
    </row>
    <row r="2977" ht="12.75" customHeight="1">
      <c r="A2977" s="59" t="s">
        <v>215</v>
      </c>
      <c r="B2977" s="60" t="s">
        <v>1311</v>
      </c>
    </row>
    <row r="2978" ht="12.75" customHeight="1">
      <c r="A2978" s="59" t="s">
        <v>215</v>
      </c>
      <c r="B2978" s="60" t="s">
        <v>1312</v>
      </c>
    </row>
    <row r="2979" ht="12.75" customHeight="1">
      <c r="A2979" s="59" t="s">
        <v>215</v>
      </c>
      <c r="B2979" s="60" t="s">
        <v>1313</v>
      </c>
    </row>
    <row r="2980" ht="12.75" customHeight="1">
      <c r="A2980" s="59" t="s">
        <v>215</v>
      </c>
      <c r="B2980" s="60" t="s">
        <v>1314</v>
      </c>
    </row>
    <row r="2981" ht="12.75" customHeight="1">
      <c r="A2981" s="59" t="s">
        <v>215</v>
      </c>
      <c r="B2981" s="60" t="s">
        <v>1315</v>
      </c>
    </row>
    <row r="2982" ht="12.75" customHeight="1">
      <c r="A2982" s="59" t="s">
        <v>215</v>
      </c>
      <c r="B2982" s="60" t="s">
        <v>1316</v>
      </c>
    </row>
    <row r="2983" ht="12.75" customHeight="1">
      <c r="A2983" s="59" t="s">
        <v>215</v>
      </c>
      <c r="B2983" s="60" t="s">
        <v>1317</v>
      </c>
    </row>
    <row r="2984" ht="12.75" customHeight="1">
      <c r="A2984" s="59" t="s">
        <v>215</v>
      </c>
      <c r="B2984" s="60" t="s">
        <v>1318</v>
      </c>
    </row>
    <row r="2985" ht="12.75" customHeight="1">
      <c r="A2985" s="59" t="s">
        <v>215</v>
      </c>
      <c r="B2985" s="60" t="s">
        <v>1319</v>
      </c>
    </row>
    <row r="2986" ht="12.75" customHeight="1">
      <c r="A2986" s="59" t="s">
        <v>215</v>
      </c>
      <c r="B2986" s="60" t="s">
        <v>1320</v>
      </c>
    </row>
    <row r="2987" ht="12.75" customHeight="1">
      <c r="A2987" s="59" t="s">
        <v>215</v>
      </c>
      <c r="B2987" s="60" t="s">
        <v>1127</v>
      </c>
    </row>
    <row r="2988" ht="12.75" customHeight="1">
      <c r="A2988" s="59" t="s">
        <v>215</v>
      </c>
      <c r="B2988" s="60" t="s">
        <v>1128</v>
      </c>
    </row>
    <row r="2989" ht="12.75" customHeight="1">
      <c r="A2989" s="59" t="s">
        <v>215</v>
      </c>
      <c r="B2989" s="60" t="s">
        <v>1129</v>
      </c>
    </row>
    <row r="2990" ht="12.75" customHeight="1">
      <c r="A2990" s="59" t="s">
        <v>215</v>
      </c>
      <c r="B2990" s="60" t="s">
        <v>1130</v>
      </c>
    </row>
    <row r="2991" ht="12.75" customHeight="1">
      <c r="A2991" s="59" t="s">
        <v>215</v>
      </c>
      <c r="B2991" s="60" t="s">
        <v>1131</v>
      </c>
    </row>
    <row r="2992" ht="12.75" customHeight="1">
      <c r="A2992" s="59" t="s">
        <v>215</v>
      </c>
      <c r="B2992" s="60" t="s">
        <v>1132</v>
      </c>
    </row>
    <row r="2993" ht="12.75" customHeight="1">
      <c r="A2993" s="59" t="s">
        <v>215</v>
      </c>
      <c r="B2993" s="60" t="s">
        <v>1133</v>
      </c>
    </row>
    <row r="2994" ht="12.75" customHeight="1">
      <c r="A2994" s="59" t="s">
        <v>215</v>
      </c>
      <c r="B2994" s="60" t="s">
        <v>1134</v>
      </c>
    </row>
    <row r="2995" ht="12.75" customHeight="1">
      <c r="A2995" s="59" t="s">
        <v>215</v>
      </c>
      <c r="B2995" s="60" t="s">
        <v>1135</v>
      </c>
    </row>
    <row r="2996" ht="12.75" customHeight="1">
      <c r="A2996" s="59" t="s">
        <v>215</v>
      </c>
      <c r="B2996" s="60" t="s">
        <v>1136</v>
      </c>
    </row>
    <row r="2997" ht="12.75" customHeight="1">
      <c r="A2997" s="59" t="s">
        <v>215</v>
      </c>
      <c r="B2997" s="60" t="s">
        <v>1137</v>
      </c>
    </row>
    <row r="2998" ht="12.75" customHeight="1">
      <c r="A2998" s="59" t="s">
        <v>215</v>
      </c>
      <c r="B2998" s="60" t="s">
        <v>1321</v>
      </c>
    </row>
    <row r="2999" ht="12.75" customHeight="1">
      <c r="A2999" s="59" t="s">
        <v>215</v>
      </c>
      <c r="B2999" s="60" t="s">
        <v>1138</v>
      </c>
    </row>
    <row r="3000" ht="12.75" customHeight="1">
      <c r="A3000" s="59" t="s">
        <v>215</v>
      </c>
      <c r="B3000" s="60" t="s">
        <v>1322</v>
      </c>
    </row>
    <row r="3001" ht="12.75" customHeight="1">
      <c r="A3001" s="59" t="s">
        <v>215</v>
      </c>
      <c r="B3001" s="60" t="s">
        <v>1139</v>
      </c>
    </row>
    <row r="3002" ht="12.75" customHeight="1">
      <c r="A3002" s="59" t="s">
        <v>215</v>
      </c>
      <c r="B3002" s="60" t="s">
        <v>1323</v>
      </c>
    </row>
    <row r="3003" ht="12.75" customHeight="1">
      <c r="A3003" s="59" t="s">
        <v>215</v>
      </c>
      <c r="B3003" s="60" t="s">
        <v>1140</v>
      </c>
    </row>
    <row r="3004" ht="12.75" customHeight="1">
      <c r="A3004" s="59" t="s">
        <v>215</v>
      </c>
      <c r="B3004" s="60" t="s">
        <v>1324</v>
      </c>
    </row>
    <row r="3005" ht="12.75" customHeight="1">
      <c r="A3005" s="59" t="s">
        <v>215</v>
      </c>
      <c r="B3005" s="60" t="s">
        <v>1141</v>
      </c>
    </row>
    <row r="3006" ht="12.75" customHeight="1">
      <c r="A3006" s="59" t="s">
        <v>215</v>
      </c>
      <c r="B3006" s="60" t="s">
        <v>1325</v>
      </c>
    </row>
    <row r="3007" ht="12.75" customHeight="1">
      <c r="A3007" s="59" t="s">
        <v>215</v>
      </c>
      <c r="B3007" s="60" t="s">
        <v>1142</v>
      </c>
    </row>
    <row r="3008" ht="12.75" customHeight="1">
      <c r="A3008" s="59" t="s">
        <v>215</v>
      </c>
      <c r="B3008" s="60" t="s">
        <v>1326</v>
      </c>
    </row>
    <row r="3009" ht="12.75" customHeight="1">
      <c r="A3009" s="59" t="s">
        <v>215</v>
      </c>
      <c r="B3009" s="60" t="s">
        <v>1143</v>
      </c>
    </row>
    <row r="3010" ht="12.75" customHeight="1">
      <c r="A3010" s="59" t="s">
        <v>215</v>
      </c>
      <c r="B3010" s="60" t="s">
        <v>1144</v>
      </c>
    </row>
    <row r="3011" ht="12.75" customHeight="1">
      <c r="A3011" s="59" t="s">
        <v>215</v>
      </c>
      <c r="B3011" s="60" t="s">
        <v>1145</v>
      </c>
    </row>
    <row r="3012" ht="12.75" customHeight="1">
      <c r="A3012" s="59" t="s">
        <v>215</v>
      </c>
      <c r="B3012" s="60" t="s">
        <v>1327</v>
      </c>
    </row>
    <row r="3013" ht="12.75" customHeight="1">
      <c r="A3013" s="59" t="s">
        <v>215</v>
      </c>
      <c r="B3013" s="60" t="s">
        <v>1328</v>
      </c>
    </row>
    <row r="3014" ht="12.75" customHeight="1">
      <c r="A3014" s="59" t="s">
        <v>215</v>
      </c>
      <c r="B3014" s="60" t="s">
        <v>1329</v>
      </c>
    </row>
    <row r="3015" ht="12.75" customHeight="1">
      <c r="A3015" s="59" t="s">
        <v>215</v>
      </c>
      <c r="B3015" s="60" t="s">
        <v>1330</v>
      </c>
    </row>
    <row r="3016" ht="12.75" customHeight="1">
      <c r="A3016" s="59" t="s">
        <v>215</v>
      </c>
      <c r="B3016" s="60" t="s">
        <v>1331</v>
      </c>
    </row>
    <row r="3017" ht="12.75" customHeight="1">
      <c r="A3017" s="59" t="s">
        <v>215</v>
      </c>
      <c r="B3017" s="60" t="s">
        <v>1332</v>
      </c>
    </row>
    <row r="3018" ht="12.75" customHeight="1">
      <c r="A3018" s="59" t="s">
        <v>215</v>
      </c>
      <c r="B3018" s="60" t="s">
        <v>1333</v>
      </c>
    </row>
    <row r="3019" ht="12.75" customHeight="1">
      <c r="A3019" s="59" t="s">
        <v>215</v>
      </c>
      <c r="B3019" s="60" t="s">
        <v>1334</v>
      </c>
    </row>
    <row r="3020" ht="12.75" customHeight="1">
      <c r="A3020" s="59" t="s">
        <v>215</v>
      </c>
      <c r="B3020" s="60" t="s">
        <v>1335</v>
      </c>
    </row>
    <row r="3021" ht="12.75" customHeight="1">
      <c r="A3021" s="59" t="s">
        <v>215</v>
      </c>
      <c r="B3021" s="60" t="s">
        <v>1336</v>
      </c>
    </row>
    <row r="3022" ht="12.75" customHeight="1">
      <c r="A3022" s="59" t="s">
        <v>215</v>
      </c>
      <c r="B3022" s="60" t="s">
        <v>1337</v>
      </c>
    </row>
    <row r="3023" ht="12.75" customHeight="1">
      <c r="A3023" s="59" t="s">
        <v>215</v>
      </c>
      <c r="B3023" s="60" t="s">
        <v>1338</v>
      </c>
    </row>
    <row r="3024" ht="12.75" customHeight="1">
      <c r="A3024" s="59" t="s">
        <v>215</v>
      </c>
      <c r="B3024" s="60" t="s">
        <v>1339</v>
      </c>
    </row>
    <row r="3025" ht="12.75" customHeight="1">
      <c r="A3025" s="59" t="s">
        <v>215</v>
      </c>
      <c r="B3025" s="60" t="s">
        <v>1340</v>
      </c>
    </row>
    <row r="3026" ht="12.75" customHeight="1">
      <c r="A3026" s="59" t="s">
        <v>215</v>
      </c>
      <c r="B3026" s="60" t="s">
        <v>1341</v>
      </c>
    </row>
    <row r="3027" ht="12.75" customHeight="1">
      <c r="A3027" s="59" t="s">
        <v>215</v>
      </c>
      <c r="B3027" s="60" t="s">
        <v>1342</v>
      </c>
    </row>
    <row r="3028" ht="12.75" customHeight="1">
      <c r="A3028" s="59" t="s">
        <v>215</v>
      </c>
      <c r="B3028" s="60" t="s">
        <v>1343</v>
      </c>
    </row>
    <row r="3029" ht="12.75" customHeight="1">
      <c r="A3029" s="59" t="s">
        <v>215</v>
      </c>
      <c r="B3029" s="60" t="s">
        <v>1344</v>
      </c>
    </row>
    <row r="3030" ht="12.75" customHeight="1">
      <c r="A3030" s="59" t="s">
        <v>215</v>
      </c>
      <c r="B3030" s="60" t="s">
        <v>1345</v>
      </c>
    </row>
    <row r="3031" ht="12.75" customHeight="1">
      <c r="A3031" s="59" t="s">
        <v>215</v>
      </c>
      <c r="B3031" s="60" t="s">
        <v>1346</v>
      </c>
    </row>
    <row r="3032" ht="12.75" customHeight="1">
      <c r="A3032" s="59" t="s">
        <v>215</v>
      </c>
      <c r="B3032" s="60" t="s">
        <v>1347</v>
      </c>
    </row>
    <row r="3033" ht="12.75" customHeight="1">
      <c r="A3033" s="59" t="s">
        <v>215</v>
      </c>
      <c r="B3033" s="60" t="s">
        <v>1160</v>
      </c>
    </row>
    <row r="3034" ht="12.75" customHeight="1">
      <c r="A3034" s="59" t="s">
        <v>215</v>
      </c>
      <c r="B3034" s="60" t="s">
        <v>1161</v>
      </c>
    </row>
    <row r="3035" ht="12.75" customHeight="1">
      <c r="A3035" s="59" t="s">
        <v>215</v>
      </c>
      <c r="B3035" s="60" t="s">
        <v>1162</v>
      </c>
    </row>
    <row r="3036" ht="12.75" customHeight="1">
      <c r="A3036" s="59" t="s">
        <v>215</v>
      </c>
      <c r="B3036" s="60" t="s">
        <v>1163</v>
      </c>
    </row>
    <row r="3037" ht="12.75" customHeight="1">
      <c r="A3037" s="59" t="s">
        <v>215</v>
      </c>
      <c r="B3037" s="60" t="s">
        <v>1164</v>
      </c>
    </row>
    <row r="3038" ht="12.75" customHeight="1">
      <c r="A3038" s="59" t="s">
        <v>215</v>
      </c>
      <c r="B3038" s="60" t="s">
        <v>1165</v>
      </c>
    </row>
    <row r="3039" ht="12.75" customHeight="1">
      <c r="A3039" s="59" t="s">
        <v>215</v>
      </c>
      <c r="B3039" s="60" t="s">
        <v>1166</v>
      </c>
    </row>
    <row r="3040" ht="12.75" customHeight="1">
      <c r="A3040" s="59" t="s">
        <v>215</v>
      </c>
      <c r="B3040" s="60" t="s">
        <v>1167</v>
      </c>
    </row>
    <row r="3041" ht="12.75" customHeight="1">
      <c r="A3041" s="59" t="s">
        <v>215</v>
      </c>
      <c r="B3041" s="60" t="s">
        <v>1168</v>
      </c>
    </row>
    <row r="3042" ht="12.75" customHeight="1">
      <c r="A3042" s="59" t="s">
        <v>215</v>
      </c>
      <c r="B3042" s="60" t="s">
        <v>1169</v>
      </c>
    </row>
    <row r="3043" ht="12.75" customHeight="1">
      <c r="A3043" s="59" t="s">
        <v>215</v>
      </c>
      <c r="B3043" s="60" t="s">
        <v>1170</v>
      </c>
    </row>
    <row r="3044" ht="12.75" customHeight="1">
      <c r="A3044" s="59" t="s">
        <v>215</v>
      </c>
      <c r="B3044" s="60" t="s">
        <v>1348</v>
      </c>
    </row>
    <row r="3045" ht="12.75" customHeight="1">
      <c r="A3045" s="59" t="s">
        <v>215</v>
      </c>
      <c r="B3045" s="60" t="s">
        <v>1171</v>
      </c>
    </row>
    <row r="3046" ht="12.75" customHeight="1">
      <c r="A3046" s="59" t="s">
        <v>215</v>
      </c>
      <c r="B3046" s="60" t="s">
        <v>1349</v>
      </c>
    </row>
    <row r="3047" ht="12.75" customHeight="1">
      <c r="A3047" s="59" t="s">
        <v>215</v>
      </c>
      <c r="B3047" s="60" t="s">
        <v>1172</v>
      </c>
    </row>
    <row r="3048" ht="12.75" customHeight="1">
      <c r="A3048" s="59" t="s">
        <v>215</v>
      </c>
      <c r="B3048" s="60" t="s">
        <v>1350</v>
      </c>
    </row>
    <row r="3049" ht="12.75" customHeight="1">
      <c r="A3049" s="59" t="s">
        <v>215</v>
      </c>
      <c r="B3049" s="60" t="s">
        <v>1173</v>
      </c>
    </row>
    <row r="3050" ht="12.75" customHeight="1">
      <c r="A3050" s="59" t="s">
        <v>215</v>
      </c>
      <c r="B3050" s="60" t="s">
        <v>1351</v>
      </c>
    </row>
    <row r="3051" ht="12.75" customHeight="1">
      <c r="A3051" s="59" t="s">
        <v>215</v>
      </c>
      <c r="B3051" s="60" t="s">
        <v>1174</v>
      </c>
    </row>
    <row r="3052" ht="12.75" customHeight="1">
      <c r="A3052" s="59" t="s">
        <v>215</v>
      </c>
      <c r="B3052" s="60" t="s">
        <v>1352</v>
      </c>
    </row>
    <row r="3053" ht="12.75" customHeight="1">
      <c r="A3053" s="59" t="s">
        <v>215</v>
      </c>
      <c r="B3053" s="60" t="s">
        <v>1175</v>
      </c>
    </row>
    <row r="3054" ht="12.75" customHeight="1">
      <c r="A3054" s="59" t="s">
        <v>215</v>
      </c>
      <c r="B3054" s="60" t="s">
        <v>1353</v>
      </c>
    </row>
    <row r="3055" ht="12.75" customHeight="1">
      <c r="A3055" s="59" t="s">
        <v>215</v>
      </c>
      <c r="B3055" s="60" t="s">
        <v>1176</v>
      </c>
    </row>
    <row r="3056" ht="12.75" customHeight="1">
      <c r="A3056" s="59" t="s">
        <v>215</v>
      </c>
      <c r="B3056" s="60" t="s">
        <v>1177</v>
      </c>
    </row>
    <row r="3057" ht="12.75" customHeight="1">
      <c r="A3057" s="59" t="s">
        <v>215</v>
      </c>
      <c r="B3057" s="60" t="s">
        <v>1178</v>
      </c>
    </row>
    <row r="3058" ht="12.75" customHeight="1">
      <c r="A3058" s="59" t="s">
        <v>225</v>
      </c>
      <c r="B3058" s="60">
        <v>23.0</v>
      </c>
    </row>
    <row r="3059" ht="12.75" customHeight="1">
      <c r="A3059" s="59" t="s">
        <v>225</v>
      </c>
      <c r="B3059" s="60">
        <v>24.0</v>
      </c>
    </row>
    <row r="3060" ht="12.75" customHeight="1">
      <c r="A3060" s="59" t="s">
        <v>225</v>
      </c>
      <c r="B3060" s="60">
        <v>25.0</v>
      </c>
    </row>
    <row r="3061" ht="12.75" customHeight="1">
      <c r="A3061" s="59" t="s">
        <v>225</v>
      </c>
      <c r="B3061" s="60">
        <v>26.0</v>
      </c>
    </row>
    <row r="3062" ht="12.75" customHeight="1">
      <c r="A3062" s="59" t="s">
        <v>225</v>
      </c>
      <c r="B3062" s="60">
        <v>27.0</v>
      </c>
    </row>
    <row r="3063" ht="12.75" customHeight="1">
      <c r="A3063" s="59" t="s">
        <v>225</v>
      </c>
      <c r="B3063" s="60">
        <v>28.0</v>
      </c>
    </row>
    <row r="3064" ht="12.75" customHeight="1">
      <c r="A3064" s="59" t="s">
        <v>225</v>
      </c>
      <c r="B3064" s="60">
        <v>29.0</v>
      </c>
    </row>
    <row r="3065" ht="12.75" customHeight="1">
      <c r="A3065" s="59" t="s">
        <v>225</v>
      </c>
      <c r="B3065" s="60">
        <v>30.0</v>
      </c>
    </row>
    <row r="3066" ht="12.75" customHeight="1">
      <c r="A3066" s="59" t="s">
        <v>225</v>
      </c>
      <c r="B3066" s="60">
        <v>31.0</v>
      </c>
    </row>
    <row r="3067" ht="12.75" customHeight="1">
      <c r="A3067" s="59" t="s">
        <v>225</v>
      </c>
      <c r="B3067" s="60">
        <v>0.0</v>
      </c>
    </row>
    <row r="3068" ht="12.75" customHeight="1">
      <c r="A3068" s="59" t="s">
        <v>225</v>
      </c>
      <c r="B3068" s="60">
        <v>0.0</v>
      </c>
    </row>
    <row r="3069" ht="12.75" customHeight="1">
      <c r="A3069" s="59" t="s">
        <v>225</v>
      </c>
      <c r="B3069" s="60">
        <v>2.0</v>
      </c>
    </row>
    <row r="3070" ht="12.75" customHeight="1">
      <c r="A3070" s="59" t="s">
        <v>225</v>
      </c>
      <c r="B3070" s="60">
        <v>4.0</v>
      </c>
    </row>
    <row r="3071" ht="12.75" customHeight="1">
      <c r="A3071" s="59" t="s">
        <v>225</v>
      </c>
      <c r="B3071" s="60">
        <v>6.0</v>
      </c>
    </row>
    <row r="3072" ht="12.75" customHeight="1">
      <c r="A3072" s="59" t="s">
        <v>225</v>
      </c>
      <c r="B3072" s="60">
        <v>8.0</v>
      </c>
    </row>
    <row r="3073" ht="12.75" customHeight="1">
      <c r="A3073" s="59" t="s">
        <v>225</v>
      </c>
      <c r="B3073" s="60">
        <v>10.0</v>
      </c>
    </row>
    <row r="3074" ht="12.75" customHeight="1">
      <c r="A3074" s="59" t="s">
        <v>225</v>
      </c>
      <c r="B3074" s="60">
        <v>12.0</v>
      </c>
    </row>
    <row r="3075" ht="12.75" customHeight="1">
      <c r="A3075" s="59" t="s">
        <v>225</v>
      </c>
      <c r="B3075" s="60" t="s">
        <v>803</v>
      </c>
    </row>
    <row r="3076" ht="12.75" customHeight="1">
      <c r="A3076" s="59" t="s">
        <v>225</v>
      </c>
      <c r="B3076" s="60" t="s">
        <v>804</v>
      </c>
    </row>
    <row r="3077" ht="12.75" customHeight="1">
      <c r="A3077" s="59" t="s">
        <v>225</v>
      </c>
      <c r="B3077" s="60" t="s">
        <v>76</v>
      </c>
    </row>
    <row r="3078" ht="12.75" customHeight="1">
      <c r="A3078" s="59" t="s">
        <v>225</v>
      </c>
      <c r="B3078" s="60" t="s">
        <v>80</v>
      </c>
    </row>
    <row r="3079" ht="12.75" customHeight="1">
      <c r="A3079" s="59" t="s">
        <v>225</v>
      </c>
      <c r="B3079" s="60" t="s">
        <v>83</v>
      </c>
    </row>
    <row r="3080" ht="12.75" customHeight="1">
      <c r="A3080" s="59" t="s">
        <v>225</v>
      </c>
      <c r="B3080" s="60" t="s">
        <v>85</v>
      </c>
    </row>
    <row r="3081" ht="12.75" customHeight="1">
      <c r="A3081" s="59" t="s">
        <v>225</v>
      </c>
      <c r="B3081" s="60" t="s">
        <v>1193</v>
      </c>
    </row>
    <row r="3082" ht="12.75" customHeight="1">
      <c r="A3082" s="59" t="s">
        <v>225</v>
      </c>
      <c r="B3082" s="60" t="s">
        <v>1194</v>
      </c>
    </row>
    <row r="3083" ht="12.75" customHeight="1">
      <c r="A3083" s="59" t="s">
        <v>225</v>
      </c>
      <c r="B3083" s="60" t="s">
        <v>1195</v>
      </c>
    </row>
    <row r="3084" ht="12.75" customHeight="1">
      <c r="A3084" s="59" t="s">
        <v>225</v>
      </c>
      <c r="B3084" s="60" t="s">
        <v>1196</v>
      </c>
    </row>
    <row r="3085" ht="12.75" customHeight="1">
      <c r="A3085" s="59" t="s">
        <v>225</v>
      </c>
      <c r="B3085" s="60" t="s">
        <v>1197</v>
      </c>
    </row>
    <row r="3086" ht="12.75" customHeight="1">
      <c r="A3086" s="59" t="s">
        <v>225</v>
      </c>
      <c r="B3086" s="60" t="s">
        <v>1198</v>
      </c>
    </row>
    <row r="3087" ht="12.75" customHeight="1">
      <c r="A3087" s="59" t="s">
        <v>225</v>
      </c>
      <c r="B3087" s="60" t="s">
        <v>1199</v>
      </c>
    </row>
    <row r="3088" ht="12.75" customHeight="1">
      <c r="A3088" s="59" t="s">
        <v>225</v>
      </c>
      <c r="B3088" s="60" t="s">
        <v>805</v>
      </c>
    </row>
    <row r="3089" ht="12.75" customHeight="1">
      <c r="A3089" s="59" t="s">
        <v>225</v>
      </c>
      <c r="B3089" s="60" t="s">
        <v>1200</v>
      </c>
    </row>
    <row r="3090" ht="12.75" customHeight="1">
      <c r="A3090" s="59" t="s">
        <v>225</v>
      </c>
      <c r="B3090" s="60" t="s">
        <v>806</v>
      </c>
    </row>
    <row r="3091" ht="12.75" customHeight="1">
      <c r="A3091" s="59" t="s">
        <v>225</v>
      </c>
      <c r="B3091" s="60" t="s">
        <v>807</v>
      </c>
    </row>
    <row r="3092" ht="12.75" customHeight="1">
      <c r="A3092" s="59" t="s">
        <v>225</v>
      </c>
      <c r="B3092" s="60" t="s">
        <v>753</v>
      </c>
    </row>
    <row r="3093" ht="12.75" customHeight="1">
      <c r="A3093" s="59" t="s">
        <v>225</v>
      </c>
      <c r="B3093" s="60" t="s">
        <v>757</v>
      </c>
    </row>
    <row r="3094" ht="12.75" customHeight="1">
      <c r="A3094" s="59" t="s">
        <v>225</v>
      </c>
      <c r="B3094" s="60" t="s">
        <v>761</v>
      </c>
    </row>
    <row r="3095" ht="12.75" customHeight="1">
      <c r="A3095" s="59" t="s">
        <v>225</v>
      </c>
      <c r="B3095" s="60" t="s">
        <v>765</v>
      </c>
    </row>
    <row r="3096" ht="12.75" customHeight="1">
      <c r="A3096" s="59" t="s">
        <v>225</v>
      </c>
      <c r="B3096" s="60" t="s">
        <v>808</v>
      </c>
    </row>
    <row r="3097" ht="12.75" customHeight="1">
      <c r="A3097" s="59" t="s">
        <v>225</v>
      </c>
      <c r="B3097" s="60" t="s">
        <v>809</v>
      </c>
    </row>
    <row r="3098" ht="12.75" customHeight="1">
      <c r="A3098" s="59" t="s">
        <v>225</v>
      </c>
      <c r="B3098" s="60" t="s">
        <v>810</v>
      </c>
    </row>
    <row r="3099" ht="12.75" customHeight="1">
      <c r="A3099" s="59" t="s">
        <v>225</v>
      </c>
      <c r="B3099" s="60" t="s">
        <v>811</v>
      </c>
    </row>
    <row r="3100" ht="12.75" customHeight="1">
      <c r="A3100" s="59" t="s">
        <v>225</v>
      </c>
      <c r="B3100" s="60" t="s">
        <v>812</v>
      </c>
    </row>
    <row r="3101" ht="12.75" customHeight="1">
      <c r="A3101" s="59" t="s">
        <v>225</v>
      </c>
      <c r="B3101" s="60" t="s">
        <v>813</v>
      </c>
    </row>
    <row r="3102" ht="12.75" customHeight="1">
      <c r="A3102" s="59" t="s">
        <v>225</v>
      </c>
      <c r="B3102" s="60" t="s">
        <v>814</v>
      </c>
    </row>
    <row r="3103" ht="12.75" customHeight="1">
      <c r="A3103" s="59" t="s">
        <v>225</v>
      </c>
      <c r="B3103" s="60" t="s">
        <v>1201</v>
      </c>
    </row>
    <row r="3104" ht="12.75" customHeight="1">
      <c r="A3104" s="59" t="s">
        <v>225</v>
      </c>
      <c r="B3104" s="60" t="s">
        <v>815</v>
      </c>
    </row>
    <row r="3105" ht="12.75" customHeight="1">
      <c r="A3105" s="59" t="s">
        <v>225</v>
      </c>
      <c r="B3105" s="60" t="s">
        <v>816</v>
      </c>
    </row>
    <row r="3106" ht="12.75" customHeight="1">
      <c r="A3106" s="59" t="s">
        <v>225</v>
      </c>
      <c r="B3106" s="60" t="s">
        <v>771</v>
      </c>
    </row>
    <row r="3107" ht="12.75" customHeight="1">
      <c r="A3107" s="59" t="s">
        <v>225</v>
      </c>
      <c r="B3107" s="60" t="s">
        <v>775</v>
      </c>
    </row>
    <row r="3108" ht="12.75" customHeight="1">
      <c r="A3108" s="59" t="s">
        <v>225</v>
      </c>
      <c r="B3108" s="60" t="s">
        <v>779</v>
      </c>
    </row>
    <row r="3109" ht="12.75" customHeight="1">
      <c r="A3109" s="59" t="s">
        <v>225</v>
      </c>
      <c r="B3109" s="60" t="s">
        <v>783</v>
      </c>
    </row>
    <row r="3110" ht="12.75" customHeight="1">
      <c r="A3110" s="59" t="s">
        <v>225</v>
      </c>
      <c r="B3110" s="60" t="s">
        <v>817</v>
      </c>
    </row>
    <row r="3111" ht="12.75" customHeight="1">
      <c r="A3111" s="59" t="s">
        <v>225</v>
      </c>
      <c r="B3111" s="60" t="s">
        <v>818</v>
      </c>
    </row>
    <row r="3112" ht="12.75" customHeight="1">
      <c r="A3112" s="59" t="s">
        <v>225</v>
      </c>
      <c r="B3112" s="60" t="s">
        <v>1202</v>
      </c>
    </row>
    <row r="3113" ht="12.75" customHeight="1">
      <c r="A3113" s="59" t="s">
        <v>225</v>
      </c>
      <c r="B3113" s="60" t="s">
        <v>873</v>
      </c>
    </row>
    <row r="3114" ht="12.75" customHeight="1">
      <c r="A3114" s="59" t="s">
        <v>225</v>
      </c>
      <c r="B3114" s="60" t="s">
        <v>1203</v>
      </c>
    </row>
    <row r="3115" ht="12.75" customHeight="1">
      <c r="A3115" s="59" t="s">
        <v>225</v>
      </c>
      <c r="B3115" s="60" t="s">
        <v>874</v>
      </c>
    </row>
    <row r="3116" ht="12.75" customHeight="1">
      <c r="A3116" s="59" t="s">
        <v>225</v>
      </c>
      <c r="B3116" s="60" t="s">
        <v>1204</v>
      </c>
    </row>
    <row r="3117" ht="12.75" customHeight="1">
      <c r="A3117" s="59" t="s">
        <v>225</v>
      </c>
      <c r="B3117" s="60" t="s">
        <v>875</v>
      </c>
    </row>
    <row r="3118" ht="12.75" customHeight="1">
      <c r="A3118" s="59" t="s">
        <v>225</v>
      </c>
      <c r="B3118" s="60" t="s">
        <v>1205</v>
      </c>
    </row>
    <row r="3119" ht="12.75" customHeight="1">
      <c r="A3119" s="59" t="s">
        <v>225</v>
      </c>
      <c r="B3119" s="60" t="s">
        <v>876</v>
      </c>
    </row>
    <row r="3120" ht="12.75" customHeight="1">
      <c r="A3120" s="59" t="s">
        <v>225</v>
      </c>
      <c r="B3120" s="60" t="s">
        <v>1206</v>
      </c>
    </row>
    <row r="3121" ht="12.75" customHeight="1">
      <c r="A3121" s="59" t="s">
        <v>225</v>
      </c>
      <c r="B3121" s="60" t="s">
        <v>819</v>
      </c>
    </row>
    <row r="3122" ht="12.75" customHeight="1">
      <c r="A3122" s="59" t="s">
        <v>225</v>
      </c>
      <c r="B3122" s="60" t="s">
        <v>820</v>
      </c>
    </row>
    <row r="3123" ht="12.75" customHeight="1">
      <c r="A3123" s="59" t="s">
        <v>225</v>
      </c>
      <c r="B3123" s="60" t="s">
        <v>821</v>
      </c>
    </row>
    <row r="3124" ht="12.75" customHeight="1">
      <c r="A3124" s="59" t="s">
        <v>225</v>
      </c>
      <c r="B3124" s="60" t="s">
        <v>822</v>
      </c>
    </row>
    <row r="3125" ht="12.75" customHeight="1">
      <c r="A3125" s="59" t="s">
        <v>225</v>
      </c>
      <c r="B3125" s="60" t="s">
        <v>823</v>
      </c>
    </row>
    <row r="3126" ht="12.75" customHeight="1">
      <c r="A3126" s="59" t="s">
        <v>225</v>
      </c>
      <c r="B3126" s="60" t="s">
        <v>824</v>
      </c>
    </row>
    <row r="3127" ht="12.75" customHeight="1">
      <c r="A3127" s="59" t="s">
        <v>225</v>
      </c>
      <c r="B3127" s="60" t="s">
        <v>1207</v>
      </c>
    </row>
    <row r="3128" ht="12.75" customHeight="1">
      <c r="A3128" s="59" t="s">
        <v>225</v>
      </c>
      <c r="B3128" s="60" t="s">
        <v>825</v>
      </c>
    </row>
    <row r="3129" ht="12.75" customHeight="1">
      <c r="A3129" s="59" t="s">
        <v>225</v>
      </c>
      <c r="B3129" s="60" t="s">
        <v>788</v>
      </c>
    </row>
    <row r="3130" ht="12.75" customHeight="1">
      <c r="A3130" s="59" t="s">
        <v>225</v>
      </c>
      <c r="B3130" s="60" t="s">
        <v>792</v>
      </c>
    </row>
    <row r="3131" ht="12.75" customHeight="1">
      <c r="A3131" s="59" t="s">
        <v>225</v>
      </c>
      <c r="B3131" s="60" t="s">
        <v>796</v>
      </c>
    </row>
    <row r="3132" ht="12.75" customHeight="1">
      <c r="A3132" s="59" t="s">
        <v>225</v>
      </c>
      <c r="B3132" s="60" t="s">
        <v>800</v>
      </c>
    </row>
    <row r="3133" ht="12.75" customHeight="1">
      <c r="A3133" s="59" t="s">
        <v>225</v>
      </c>
      <c r="B3133" s="60" t="s">
        <v>826</v>
      </c>
    </row>
    <row r="3134" ht="12.75" customHeight="1">
      <c r="A3134" s="59" t="s">
        <v>225</v>
      </c>
      <c r="B3134" s="60" t="s">
        <v>827</v>
      </c>
    </row>
    <row r="3135" ht="12.75" customHeight="1">
      <c r="A3135" s="59" t="s">
        <v>225</v>
      </c>
      <c r="B3135" s="60" t="s">
        <v>828</v>
      </c>
    </row>
    <row r="3136" ht="12.75" customHeight="1">
      <c r="A3136" s="59" t="s">
        <v>225</v>
      </c>
      <c r="B3136" s="60" t="s">
        <v>1208</v>
      </c>
    </row>
    <row r="3137" ht="12.75" customHeight="1">
      <c r="A3137" s="59" t="s">
        <v>225</v>
      </c>
      <c r="B3137" s="60" t="s">
        <v>892</v>
      </c>
    </row>
    <row r="3138" ht="12.75" customHeight="1">
      <c r="A3138" s="59" t="s">
        <v>225</v>
      </c>
      <c r="B3138" s="60" t="s">
        <v>1209</v>
      </c>
    </row>
    <row r="3139" ht="12.75" customHeight="1">
      <c r="A3139" s="59" t="s">
        <v>225</v>
      </c>
      <c r="B3139" s="60" t="s">
        <v>893</v>
      </c>
    </row>
    <row r="3140" ht="12.75" customHeight="1">
      <c r="A3140" s="59" t="s">
        <v>225</v>
      </c>
      <c r="B3140" s="60" t="s">
        <v>1210</v>
      </c>
    </row>
    <row r="3141" ht="12.75" customHeight="1">
      <c r="A3141" s="59" t="s">
        <v>225</v>
      </c>
      <c r="B3141" s="60" t="s">
        <v>894</v>
      </c>
    </row>
    <row r="3142" ht="12.75" customHeight="1">
      <c r="A3142" s="59" t="s">
        <v>225</v>
      </c>
      <c r="B3142" s="60" t="s">
        <v>1211</v>
      </c>
    </row>
    <row r="3143" ht="12.75" customHeight="1">
      <c r="A3143" s="59" t="s">
        <v>225</v>
      </c>
      <c r="B3143" s="60" t="s">
        <v>895</v>
      </c>
    </row>
    <row r="3144" ht="12.75" customHeight="1">
      <c r="A3144" s="59" t="s">
        <v>225</v>
      </c>
      <c r="B3144" s="60" t="s">
        <v>1212</v>
      </c>
    </row>
    <row r="3145" ht="12.75" customHeight="1">
      <c r="A3145" s="59" t="s">
        <v>225</v>
      </c>
      <c r="B3145" s="60" t="s">
        <v>829</v>
      </c>
    </row>
    <row r="3146" ht="12.75" customHeight="1">
      <c r="A3146" s="59" t="s">
        <v>225</v>
      </c>
      <c r="B3146" s="60" t="s">
        <v>830</v>
      </c>
    </row>
    <row r="3147" ht="12.75" customHeight="1">
      <c r="A3147" s="59" t="s">
        <v>225</v>
      </c>
      <c r="B3147" s="60" t="s">
        <v>831</v>
      </c>
    </row>
    <row r="3148" ht="12.75" customHeight="1">
      <c r="A3148" s="59" t="s">
        <v>225</v>
      </c>
      <c r="B3148" s="60" t="s">
        <v>832</v>
      </c>
    </row>
    <row r="3149" ht="12.75" customHeight="1">
      <c r="A3149" s="59" t="s">
        <v>225</v>
      </c>
      <c r="B3149" s="60" t="s">
        <v>833</v>
      </c>
    </row>
    <row r="3150" ht="12.75" customHeight="1">
      <c r="A3150" s="59" t="s">
        <v>225</v>
      </c>
      <c r="B3150" s="60" t="s">
        <v>834</v>
      </c>
    </row>
    <row r="3151" ht="12.75" customHeight="1">
      <c r="A3151" s="59" t="s">
        <v>225</v>
      </c>
      <c r="B3151" s="60">
        <v>32.0</v>
      </c>
    </row>
    <row r="3152" ht="12.75" customHeight="1">
      <c r="A3152" s="59" t="s">
        <v>225</v>
      </c>
      <c r="B3152" s="60">
        <v>33.0</v>
      </c>
    </row>
    <row r="3153" ht="12.75" customHeight="1">
      <c r="A3153" s="59" t="s">
        <v>225</v>
      </c>
      <c r="B3153" s="60">
        <v>34.0</v>
      </c>
    </row>
    <row r="3154" ht="12.75" customHeight="1">
      <c r="A3154" s="59" t="s">
        <v>225</v>
      </c>
      <c r="B3154" s="60">
        <v>14.0</v>
      </c>
    </row>
    <row r="3155" ht="12.75" customHeight="1">
      <c r="A3155" s="59" t="s">
        <v>225</v>
      </c>
      <c r="B3155" s="60" t="s">
        <v>835</v>
      </c>
    </row>
    <row r="3156" ht="12.75" customHeight="1">
      <c r="A3156" s="59" t="s">
        <v>225</v>
      </c>
      <c r="B3156" s="60">
        <v>16.0</v>
      </c>
    </row>
    <row r="3157" ht="12.75" customHeight="1">
      <c r="A3157" s="59" t="s">
        <v>225</v>
      </c>
      <c r="B3157" s="60" t="s">
        <v>836</v>
      </c>
    </row>
    <row r="3158" ht="12.75" customHeight="1">
      <c r="A3158" s="59" t="s">
        <v>225</v>
      </c>
      <c r="B3158" s="60">
        <v>18.0</v>
      </c>
    </row>
    <row r="3159" ht="12.75" customHeight="1">
      <c r="A3159" s="59" t="s">
        <v>225</v>
      </c>
      <c r="B3159" s="60" t="s">
        <v>837</v>
      </c>
    </row>
    <row r="3160" ht="12.75" customHeight="1">
      <c r="A3160" s="59" t="s">
        <v>225</v>
      </c>
      <c r="B3160" s="60">
        <v>20.0</v>
      </c>
    </row>
    <row r="3161" ht="12.75" customHeight="1">
      <c r="A3161" s="59" t="s">
        <v>225</v>
      </c>
      <c r="B3161" s="60" t="s">
        <v>838</v>
      </c>
    </row>
    <row r="3162" ht="12.75" customHeight="1">
      <c r="A3162" s="59" t="s">
        <v>225</v>
      </c>
      <c r="B3162" s="60">
        <v>22.0</v>
      </c>
    </row>
    <row r="3163" ht="12.75" customHeight="1">
      <c r="A3163" s="59" t="s">
        <v>225</v>
      </c>
      <c r="B3163" s="60" t="s">
        <v>839</v>
      </c>
    </row>
    <row r="3164" ht="12.75" customHeight="1">
      <c r="A3164" s="59" t="s">
        <v>225</v>
      </c>
      <c r="B3164" s="60" t="s">
        <v>1213</v>
      </c>
    </row>
    <row r="3165" ht="12.75" customHeight="1">
      <c r="A3165" s="59" t="s">
        <v>225</v>
      </c>
      <c r="B3165" s="60" t="s">
        <v>840</v>
      </c>
    </row>
    <row r="3166" ht="12.75" customHeight="1">
      <c r="A3166" s="59" t="s">
        <v>225</v>
      </c>
      <c r="B3166" s="60" t="s">
        <v>1214</v>
      </c>
    </row>
    <row r="3167" ht="12.75" customHeight="1">
      <c r="A3167" s="59" t="s">
        <v>225</v>
      </c>
      <c r="B3167" s="60" t="s">
        <v>841</v>
      </c>
    </row>
    <row r="3168" ht="12.75" customHeight="1">
      <c r="A3168" s="59" t="s">
        <v>225</v>
      </c>
      <c r="B3168" s="60" t="s">
        <v>1215</v>
      </c>
    </row>
    <row r="3169" ht="12.75" customHeight="1">
      <c r="A3169" s="59" t="s">
        <v>225</v>
      </c>
      <c r="B3169" s="60" t="s">
        <v>842</v>
      </c>
    </row>
    <row r="3170" ht="12.75" customHeight="1">
      <c r="A3170" s="59" t="s">
        <v>225</v>
      </c>
      <c r="B3170" s="60" t="s">
        <v>1216</v>
      </c>
    </row>
    <row r="3171" ht="12.75" customHeight="1">
      <c r="A3171" s="59" t="s">
        <v>225</v>
      </c>
      <c r="B3171" s="60" t="s">
        <v>843</v>
      </c>
    </row>
    <row r="3172" ht="12.75" customHeight="1">
      <c r="A3172" s="59" t="s">
        <v>225</v>
      </c>
      <c r="B3172" s="60" t="s">
        <v>1217</v>
      </c>
    </row>
    <row r="3173" ht="12.75" customHeight="1">
      <c r="A3173" s="59" t="s">
        <v>225</v>
      </c>
      <c r="B3173" s="60" t="s">
        <v>844</v>
      </c>
    </row>
    <row r="3174" ht="12.75" customHeight="1">
      <c r="A3174" s="59" t="s">
        <v>225</v>
      </c>
      <c r="B3174" s="60" t="s">
        <v>845</v>
      </c>
    </row>
    <row r="3175" ht="12.75" customHeight="1">
      <c r="A3175" s="59" t="s">
        <v>225</v>
      </c>
      <c r="B3175" s="60" t="s">
        <v>846</v>
      </c>
    </row>
    <row r="3176" ht="12.75" customHeight="1">
      <c r="A3176" s="59" t="s">
        <v>225</v>
      </c>
      <c r="B3176" s="60" t="s">
        <v>847</v>
      </c>
    </row>
    <row r="3177" ht="12.75" customHeight="1">
      <c r="A3177" s="59" t="s">
        <v>225</v>
      </c>
      <c r="B3177" s="60" t="s">
        <v>848</v>
      </c>
    </row>
    <row r="3178" ht="12.75" customHeight="1">
      <c r="A3178" s="59" t="s">
        <v>225</v>
      </c>
      <c r="B3178" s="60" t="s">
        <v>849</v>
      </c>
    </row>
    <row r="3179" ht="12.75" customHeight="1">
      <c r="A3179" s="59" t="s">
        <v>225</v>
      </c>
      <c r="B3179" s="60" t="s">
        <v>850</v>
      </c>
    </row>
    <row r="3180" ht="12.75" customHeight="1">
      <c r="A3180" s="59" t="s">
        <v>225</v>
      </c>
      <c r="B3180" s="60" t="s">
        <v>851</v>
      </c>
    </row>
    <row r="3181" ht="12.75" customHeight="1">
      <c r="A3181" s="59" t="s">
        <v>225</v>
      </c>
      <c r="B3181" s="60" t="s">
        <v>852</v>
      </c>
    </row>
    <row r="3182" ht="12.75" customHeight="1">
      <c r="A3182" s="59" t="s">
        <v>225</v>
      </c>
      <c r="B3182" s="60" t="s">
        <v>1218</v>
      </c>
    </row>
    <row r="3183" ht="12.75" customHeight="1">
      <c r="A3183" s="59" t="s">
        <v>225</v>
      </c>
      <c r="B3183" s="60" t="s">
        <v>1219</v>
      </c>
    </row>
    <row r="3184" ht="12.75" customHeight="1">
      <c r="A3184" s="59" t="s">
        <v>225</v>
      </c>
      <c r="B3184" s="60" t="s">
        <v>1220</v>
      </c>
    </row>
    <row r="3185" ht="12.75" customHeight="1">
      <c r="A3185" s="59" t="s">
        <v>225</v>
      </c>
      <c r="B3185" s="60" t="s">
        <v>853</v>
      </c>
    </row>
    <row r="3186" ht="12.75" customHeight="1">
      <c r="A3186" s="59" t="s">
        <v>225</v>
      </c>
      <c r="B3186" s="60" t="s">
        <v>854</v>
      </c>
    </row>
    <row r="3187" ht="12.75" customHeight="1">
      <c r="A3187" s="59" t="s">
        <v>225</v>
      </c>
      <c r="B3187" s="60" t="s">
        <v>855</v>
      </c>
    </row>
    <row r="3188" ht="12.75" customHeight="1">
      <c r="A3188" s="59" t="s">
        <v>225</v>
      </c>
      <c r="B3188" s="60" t="s">
        <v>856</v>
      </c>
    </row>
    <row r="3189" ht="12.75" customHeight="1">
      <c r="A3189" s="59" t="s">
        <v>225</v>
      </c>
      <c r="B3189" s="60" t="s">
        <v>857</v>
      </c>
    </row>
    <row r="3190" ht="12.75" customHeight="1">
      <c r="A3190" s="59" t="s">
        <v>225</v>
      </c>
      <c r="B3190" s="60" t="s">
        <v>858</v>
      </c>
    </row>
    <row r="3191" ht="12.75" customHeight="1">
      <c r="A3191" s="59" t="s">
        <v>225</v>
      </c>
      <c r="B3191" s="60" t="s">
        <v>859</v>
      </c>
    </row>
    <row r="3192" ht="12.75" customHeight="1">
      <c r="A3192" s="59" t="s">
        <v>225</v>
      </c>
      <c r="B3192" s="60" t="s">
        <v>860</v>
      </c>
    </row>
    <row r="3193" ht="12.75" customHeight="1">
      <c r="A3193" s="59" t="s">
        <v>225</v>
      </c>
      <c r="B3193" s="60" t="s">
        <v>861</v>
      </c>
    </row>
    <row r="3194" ht="12.75" customHeight="1">
      <c r="A3194" s="59" t="s">
        <v>225</v>
      </c>
      <c r="B3194" s="60" t="s">
        <v>862</v>
      </c>
    </row>
    <row r="3195" ht="12.75" customHeight="1">
      <c r="A3195" s="59" t="s">
        <v>225</v>
      </c>
      <c r="B3195" s="60" t="s">
        <v>863</v>
      </c>
    </row>
    <row r="3196" ht="12.75" customHeight="1">
      <c r="A3196" s="59" t="s">
        <v>225</v>
      </c>
      <c r="B3196" s="60" t="s">
        <v>864</v>
      </c>
    </row>
    <row r="3197" ht="12.75" customHeight="1">
      <c r="A3197" s="59" t="s">
        <v>225</v>
      </c>
      <c r="B3197" s="60" t="s">
        <v>865</v>
      </c>
    </row>
    <row r="3198" ht="12.75" customHeight="1">
      <c r="A3198" s="59" t="s">
        <v>225</v>
      </c>
      <c r="B3198" s="60" t="s">
        <v>866</v>
      </c>
    </row>
    <row r="3199" ht="12.75" customHeight="1">
      <c r="A3199" s="59" t="s">
        <v>225</v>
      </c>
      <c r="B3199" s="60" t="s">
        <v>867</v>
      </c>
    </row>
    <row r="3200" ht="12.75" customHeight="1">
      <c r="A3200" s="59" t="s">
        <v>225</v>
      </c>
      <c r="B3200" s="60" t="s">
        <v>868</v>
      </c>
    </row>
    <row r="3201" ht="12.75" customHeight="1">
      <c r="A3201" s="59" t="s">
        <v>225</v>
      </c>
      <c r="B3201" s="60" t="s">
        <v>869</v>
      </c>
    </row>
    <row r="3202" ht="12.75" customHeight="1">
      <c r="A3202" s="59" t="s">
        <v>225</v>
      </c>
      <c r="B3202" s="60" t="s">
        <v>1354</v>
      </c>
    </row>
    <row r="3203" ht="12.75" customHeight="1">
      <c r="A3203" s="59" t="s">
        <v>225</v>
      </c>
      <c r="B3203" s="60" t="s">
        <v>870</v>
      </c>
    </row>
    <row r="3204" ht="12.75" customHeight="1">
      <c r="A3204" s="59" t="s">
        <v>225</v>
      </c>
      <c r="B3204" s="60" t="s">
        <v>871</v>
      </c>
    </row>
    <row r="3205" ht="12.75" customHeight="1">
      <c r="A3205" s="59" t="s">
        <v>225</v>
      </c>
      <c r="B3205" s="60" t="s">
        <v>872</v>
      </c>
    </row>
    <row r="3206" ht="12.75" customHeight="1">
      <c r="A3206" s="59" t="s">
        <v>225</v>
      </c>
      <c r="B3206" s="60" t="s">
        <v>1225</v>
      </c>
    </row>
    <row r="3207" ht="12.75" customHeight="1">
      <c r="A3207" s="59" t="s">
        <v>225</v>
      </c>
      <c r="B3207" s="60" t="s">
        <v>1226</v>
      </c>
    </row>
    <row r="3208" ht="12.75" customHeight="1">
      <c r="A3208" s="59" t="s">
        <v>225</v>
      </c>
      <c r="B3208" s="60" t="s">
        <v>1227</v>
      </c>
    </row>
    <row r="3209" ht="12.75" customHeight="1">
      <c r="A3209" s="59" t="s">
        <v>225</v>
      </c>
      <c r="B3209" s="60" t="s">
        <v>1228</v>
      </c>
    </row>
    <row r="3210" ht="12.75" customHeight="1">
      <c r="A3210" s="59" t="s">
        <v>225</v>
      </c>
      <c r="B3210" s="60" t="s">
        <v>877</v>
      </c>
    </row>
    <row r="3211" ht="12.75" customHeight="1">
      <c r="A3211" s="59" t="s">
        <v>225</v>
      </c>
      <c r="B3211" s="60" t="s">
        <v>1229</v>
      </c>
    </row>
    <row r="3212" ht="12.75" customHeight="1">
      <c r="A3212" s="59" t="s">
        <v>225</v>
      </c>
      <c r="B3212" s="60" t="s">
        <v>1230</v>
      </c>
    </row>
    <row r="3213" ht="12.75" customHeight="1">
      <c r="A3213" s="59" t="s">
        <v>225</v>
      </c>
      <c r="B3213" s="60" t="s">
        <v>878</v>
      </c>
    </row>
    <row r="3214" ht="12.75" customHeight="1">
      <c r="A3214" s="59" t="s">
        <v>225</v>
      </c>
      <c r="B3214" s="60" t="s">
        <v>1231</v>
      </c>
    </row>
    <row r="3215" ht="12.75" customHeight="1">
      <c r="A3215" s="59" t="s">
        <v>225</v>
      </c>
      <c r="B3215" s="60" t="s">
        <v>879</v>
      </c>
    </row>
    <row r="3216" ht="12.75" customHeight="1">
      <c r="A3216" s="59" t="s">
        <v>225</v>
      </c>
      <c r="B3216" s="60" t="s">
        <v>1232</v>
      </c>
    </row>
    <row r="3217" ht="12.75" customHeight="1">
      <c r="A3217" s="59" t="s">
        <v>225</v>
      </c>
      <c r="B3217" s="60" t="s">
        <v>880</v>
      </c>
    </row>
    <row r="3218" ht="12.75" customHeight="1">
      <c r="A3218" s="59" t="s">
        <v>225</v>
      </c>
      <c r="B3218" s="60" t="s">
        <v>881</v>
      </c>
    </row>
    <row r="3219" ht="12.75" customHeight="1">
      <c r="A3219" s="59" t="s">
        <v>225</v>
      </c>
      <c r="B3219" s="60" t="s">
        <v>882</v>
      </c>
    </row>
    <row r="3220" ht="12.75" customHeight="1">
      <c r="A3220" s="59" t="s">
        <v>225</v>
      </c>
      <c r="B3220" s="60" t="s">
        <v>883</v>
      </c>
    </row>
    <row r="3221" ht="12.75" customHeight="1">
      <c r="A3221" s="59" t="s">
        <v>225</v>
      </c>
      <c r="B3221" s="60" t="s">
        <v>884</v>
      </c>
    </row>
    <row r="3222" ht="12.75" customHeight="1">
      <c r="A3222" s="59" t="s">
        <v>225</v>
      </c>
      <c r="B3222" s="60" t="s">
        <v>885</v>
      </c>
    </row>
    <row r="3223" ht="12.75" customHeight="1">
      <c r="A3223" s="59" t="s">
        <v>225</v>
      </c>
      <c r="B3223" s="60" t="s">
        <v>886</v>
      </c>
    </row>
    <row r="3224" ht="12.75" customHeight="1">
      <c r="A3224" s="59" t="s">
        <v>225</v>
      </c>
      <c r="B3224" s="60" t="s">
        <v>887</v>
      </c>
    </row>
    <row r="3225" ht="12.75" customHeight="1">
      <c r="A3225" s="59" t="s">
        <v>225</v>
      </c>
      <c r="B3225" s="60" t="s">
        <v>888</v>
      </c>
    </row>
    <row r="3226" ht="12.75" customHeight="1">
      <c r="A3226" s="59" t="s">
        <v>225</v>
      </c>
      <c r="B3226" s="60" t="s">
        <v>1355</v>
      </c>
    </row>
    <row r="3227" ht="12.75" customHeight="1">
      <c r="A3227" s="59" t="s">
        <v>225</v>
      </c>
      <c r="B3227" s="60" t="s">
        <v>889</v>
      </c>
    </row>
    <row r="3228" ht="12.75" customHeight="1">
      <c r="A3228" s="59" t="s">
        <v>225</v>
      </c>
      <c r="B3228" s="60" t="s">
        <v>890</v>
      </c>
    </row>
    <row r="3229" ht="12.75" customHeight="1">
      <c r="A3229" s="59" t="s">
        <v>225</v>
      </c>
      <c r="B3229" s="60" t="s">
        <v>891</v>
      </c>
    </row>
    <row r="3230" ht="12.75" customHeight="1">
      <c r="A3230" s="59" t="s">
        <v>225</v>
      </c>
      <c r="B3230" s="60" t="s">
        <v>1234</v>
      </c>
    </row>
    <row r="3231" ht="12.75" customHeight="1">
      <c r="A3231" s="59" t="s">
        <v>225</v>
      </c>
      <c r="B3231" s="60" t="s">
        <v>1235</v>
      </c>
    </row>
    <row r="3232" ht="12.75" customHeight="1">
      <c r="A3232" s="59" t="s">
        <v>225</v>
      </c>
      <c r="B3232" s="60" t="s">
        <v>1236</v>
      </c>
    </row>
    <row r="3233" ht="12.75" customHeight="1">
      <c r="A3233" s="59" t="s">
        <v>225</v>
      </c>
      <c r="B3233" s="60" t="s">
        <v>1237</v>
      </c>
    </row>
    <row r="3234" ht="12.75" customHeight="1">
      <c r="A3234" s="59" t="s">
        <v>225</v>
      </c>
      <c r="B3234" s="60" t="s">
        <v>896</v>
      </c>
    </row>
    <row r="3235" ht="12.75" customHeight="1">
      <c r="A3235" s="59" t="s">
        <v>225</v>
      </c>
      <c r="B3235" s="60" t="s">
        <v>1238</v>
      </c>
    </row>
    <row r="3236" ht="12.75" customHeight="1">
      <c r="A3236" s="59" t="s">
        <v>225</v>
      </c>
      <c r="B3236" s="60" t="s">
        <v>1239</v>
      </c>
    </row>
    <row r="3237" ht="12.75" customHeight="1">
      <c r="A3237" s="59" t="s">
        <v>225</v>
      </c>
      <c r="B3237" s="60" t="s">
        <v>897</v>
      </c>
    </row>
    <row r="3238" ht="12.75" customHeight="1">
      <c r="A3238" s="59" t="s">
        <v>225</v>
      </c>
      <c r="B3238" s="60" t="s">
        <v>1240</v>
      </c>
    </row>
    <row r="3239" ht="12.75" customHeight="1">
      <c r="A3239" s="59" t="s">
        <v>225</v>
      </c>
      <c r="B3239" s="60" t="s">
        <v>898</v>
      </c>
    </row>
    <row r="3240" ht="12.75" customHeight="1">
      <c r="A3240" s="59" t="s">
        <v>225</v>
      </c>
      <c r="B3240" s="60" t="s">
        <v>1241</v>
      </c>
    </row>
    <row r="3241" ht="12.75" customHeight="1">
      <c r="A3241" s="59" t="s">
        <v>225</v>
      </c>
      <c r="B3241" s="60" t="s">
        <v>899</v>
      </c>
    </row>
    <row r="3242" ht="12.75" customHeight="1">
      <c r="A3242" s="59" t="s">
        <v>225</v>
      </c>
      <c r="B3242" s="60" t="s">
        <v>900</v>
      </c>
    </row>
    <row r="3243" ht="12.75" customHeight="1">
      <c r="A3243" s="59" t="s">
        <v>225</v>
      </c>
      <c r="B3243" s="60" t="s">
        <v>901</v>
      </c>
    </row>
    <row r="3244" ht="12.75" customHeight="1">
      <c r="A3244" s="59" t="s">
        <v>225</v>
      </c>
      <c r="B3244" s="60" t="s">
        <v>902</v>
      </c>
    </row>
    <row r="3245" ht="12.75" customHeight="1">
      <c r="A3245" s="59" t="s">
        <v>225</v>
      </c>
      <c r="B3245" s="60" t="s">
        <v>903</v>
      </c>
    </row>
    <row r="3246" ht="12.75" customHeight="1">
      <c r="A3246" s="59" t="s">
        <v>225</v>
      </c>
      <c r="B3246" s="60" t="s">
        <v>904</v>
      </c>
    </row>
    <row r="3247" ht="12.75" customHeight="1">
      <c r="A3247" s="59" t="s">
        <v>225</v>
      </c>
      <c r="B3247" s="60" t="s">
        <v>905</v>
      </c>
    </row>
    <row r="3248" ht="12.75" customHeight="1">
      <c r="A3248" s="59" t="s">
        <v>225</v>
      </c>
      <c r="B3248" s="60" t="s">
        <v>906</v>
      </c>
    </row>
    <row r="3249" ht="12.75" customHeight="1">
      <c r="A3249" s="59" t="s">
        <v>225</v>
      </c>
      <c r="B3249" s="60" t="s">
        <v>907</v>
      </c>
    </row>
    <row r="3250" ht="12.75" customHeight="1">
      <c r="A3250" s="59" t="s">
        <v>225</v>
      </c>
      <c r="B3250" s="60" t="s">
        <v>1243</v>
      </c>
    </row>
    <row r="3251" ht="12.75" customHeight="1">
      <c r="A3251" s="59" t="s">
        <v>225</v>
      </c>
      <c r="B3251" s="60" t="s">
        <v>1244</v>
      </c>
    </row>
    <row r="3252" ht="12.75" customHeight="1">
      <c r="A3252" s="59" t="s">
        <v>225</v>
      </c>
      <c r="B3252" s="60" t="s">
        <v>1245</v>
      </c>
    </row>
    <row r="3253" ht="12.75" customHeight="1">
      <c r="A3253" s="59" t="s">
        <v>225</v>
      </c>
      <c r="B3253" s="60" t="s">
        <v>1246</v>
      </c>
    </row>
    <row r="3254" ht="12.75" customHeight="1">
      <c r="A3254" s="59" t="s">
        <v>225</v>
      </c>
      <c r="B3254" s="60" t="s">
        <v>1247</v>
      </c>
    </row>
    <row r="3255" ht="12.75" customHeight="1">
      <c r="A3255" s="59" t="s">
        <v>225</v>
      </c>
      <c r="B3255" s="60" t="s">
        <v>1248</v>
      </c>
    </row>
    <row r="3256" ht="12.75" customHeight="1">
      <c r="A3256" s="59" t="s">
        <v>225</v>
      </c>
      <c r="B3256" s="60" t="s">
        <v>1249</v>
      </c>
    </row>
    <row r="3257" ht="12.75" customHeight="1">
      <c r="A3257" s="59" t="s">
        <v>225</v>
      </c>
      <c r="B3257" s="60" t="s">
        <v>1250</v>
      </c>
    </row>
    <row r="3258" ht="12.75" customHeight="1">
      <c r="A3258" s="59" t="s">
        <v>225</v>
      </c>
      <c r="B3258" s="60" t="s">
        <v>1251</v>
      </c>
    </row>
    <row r="3259" ht="12.75" customHeight="1">
      <c r="A3259" s="59" t="s">
        <v>225</v>
      </c>
      <c r="B3259" s="60" t="s">
        <v>1252</v>
      </c>
    </row>
    <row r="3260" ht="12.75" customHeight="1">
      <c r="A3260" s="59" t="s">
        <v>225</v>
      </c>
      <c r="B3260" s="60" t="s">
        <v>1253</v>
      </c>
    </row>
    <row r="3261" ht="12.75" customHeight="1">
      <c r="A3261" s="59" t="s">
        <v>225</v>
      </c>
      <c r="B3261" s="60" t="s">
        <v>1254</v>
      </c>
    </row>
    <row r="3262" ht="12.75" customHeight="1">
      <c r="A3262" s="59" t="s">
        <v>225</v>
      </c>
      <c r="B3262" s="60" t="s">
        <v>908</v>
      </c>
    </row>
    <row r="3263" ht="12.75" customHeight="1">
      <c r="A3263" s="59" t="s">
        <v>225</v>
      </c>
      <c r="B3263" s="60" t="s">
        <v>909</v>
      </c>
    </row>
    <row r="3264" ht="12.75" customHeight="1">
      <c r="A3264" s="59" t="s">
        <v>225</v>
      </c>
      <c r="B3264" s="60" t="s">
        <v>910</v>
      </c>
    </row>
    <row r="3265" ht="12.75" customHeight="1">
      <c r="A3265" s="59" t="s">
        <v>225</v>
      </c>
      <c r="B3265" s="60" t="s">
        <v>911</v>
      </c>
    </row>
    <row r="3266" ht="12.75" customHeight="1">
      <c r="A3266" s="59" t="s">
        <v>225</v>
      </c>
      <c r="B3266" s="60" t="s">
        <v>912</v>
      </c>
    </row>
    <row r="3267" ht="12.75" customHeight="1">
      <c r="A3267" s="59" t="s">
        <v>225</v>
      </c>
      <c r="B3267" s="60" t="s">
        <v>913</v>
      </c>
    </row>
    <row r="3268" ht="12.75" customHeight="1">
      <c r="A3268" s="59" t="s">
        <v>225</v>
      </c>
      <c r="B3268" s="60" t="s">
        <v>914</v>
      </c>
    </row>
    <row r="3269" ht="12.75" customHeight="1">
      <c r="A3269" s="59" t="s">
        <v>225</v>
      </c>
      <c r="B3269" s="60" t="s">
        <v>915</v>
      </c>
    </row>
    <row r="3270" ht="12.75" customHeight="1">
      <c r="A3270" s="59" t="s">
        <v>225</v>
      </c>
      <c r="B3270" s="60" t="s">
        <v>916</v>
      </c>
    </row>
    <row r="3271" ht="12.75" customHeight="1">
      <c r="A3271" s="59" t="s">
        <v>225</v>
      </c>
      <c r="B3271" s="60" t="s">
        <v>917</v>
      </c>
    </row>
    <row r="3272" ht="12.75" customHeight="1">
      <c r="A3272" s="59" t="s">
        <v>225</v>
      </c>
      <c r="B3272" s="60" t="s">
        <v>918</v>
      </c>
    </row>
    <row r="3273" ht="12.75" customHeight="1">
      <c r="A3273" s="59" t="s">
        <v>225</v>
      </c>
      <c r="B3273" s="60" t="s">
        <v>919</v>
      </c>
    </row>
    <row r="3274" ht="12.75" customHeight="1">
      <c r="A3274" s="59" t="s">
        <v>225</v>
      </c>
      <c r="B3274" s="60" t="s">
        <v>920</v>
      </c>
    </row>
    <row r="3275" ht="12.75" customHeight="1">
      <c r="A3275" s="59" t="s">
        <v>225</v>
      </c>
      <c r="B3275" s="60" t="s">
        <v>921</v>
      </c>
    </row>
    <row r="3276" ht="12.75" customHeight="1">
      <c r="A3276" s="59" t="s">
        <v>225</v>
      </c>
      <c r="B3276" s="60" t="s">
        <v>922</v>
      </c>
    </row>
    <row r="3277" ht="12.75" customHeight="1">
      <c r="A3277" s="59" t="s">
        <v>225</v>
      </c>
      <c r="B3277" s="60" t="s">
        <v>923</v>
      </c>
    </row>
    <row r="3278" ht="12.75" customHeight="1">
      <c r="A3278" s="59" t="s">
        <v>225</v>
      </c>
      <c r="B3278" s="60" t="s">
        <v>924</v>
      </c>
    </row>
    <row r="3279" ht="12.75" customHeight="1">
      <c r="A3279" s="59" t="s">
        <v>225</v>
      </c>
      <c r="B3279" s="60" t="s">
        <v>925</v>
      </c>
    </row>
    <row r="3280" ht="12.75" customHeight="1">
      <c r="A3280" s="59" t="s">
        <v>225</v>
      </c>
      <c r="B3280" s="60" t="s">
        <v>1255</v>
      </c>
    </row>
    <row r="3281" ht="12.75" customHeight="1">
      <c r="A3281" s="59" t="s">
        <v>225</v>
      </c>
      <c r="B3281" s="60" t="s">
        <v>1256</v>
      </c>
    </row>
    <row r="3282" ht="12.75" customHeight="1">
      <c r="A3282" s="59" t="s">
        <v>225</v>
      </c>
      <c r="B3282" s="60" t="s">
        <v>1257</v>
      </c>
    </row>
    <row r="3283" ht="12.75" customHeight="1">
      <c r="A3283" s="59" t="s">
        <v>225</v>
      </c>
      <c r="B3283" s="60" t="s">
        <v>1258</v>
      </c>
    </row>
    <row r="3284" ht="12.75" customHeight="1">
      <c r="A3284" s="59" t="s">
        <v>225</v>
      </c>
      <c r="B3284" s="60" t="s">
        <v>1259</v>
      </c>
    </row>
    <row r="3285" ht="12.75" customHeight="1">
      <c r="A3285" s="59" t="s">
        <v>225</v>
      </c>
      <c r="B3285" s="60" t="s">
        <v>1260</v>
      </c>
    </row>
    <row r="3286" ht="12.75" customHeight="1">
      <c r="A3286" s="59" t="s">
        <v>225</v>
      </c>
      <c r="B3286" s="60" t="s">
        <v>1261</v>
      </c>
    </row>
    <row r="3287" ht="12.75" customHeight="1">
      <c r="A3287" s="59" t="s">
        <v>225</v>
      </c>
      <c r="B3287" s="60" t="s">
        <v>927</v>
      </c>
    </row>
    <row r="3288" ht="12.75" customHeight="1">
      <c r="A3288" s="59" t="s">
        <v>225</v>
      </c>
      <c r="B3288" s="60" t="s">
        <v>1262</v>
      </c>
    </row>
    <row r="3289" ht="12.75" customHeight="1">
      <c r="A3289" s="59" t="s">
        <v>225</v>
      </c>
      <c r="B3289" s="60" t="s">
        <v>928</v>
      </c>
    </row>
    <row r="3290" ht="12.75" customHeight="1">
      <c r="A3290" s="59" t="s">
        <v>225</v>
      </c>
      <c r="B3290" s="60" t="s">
        <v>1263</v>
      </c>
    </row>
    <row r="3291" ht="12.75" customHeight="1">
      <c r="A3291" s="59" t="s">
        <v>225</v>
      </c>
      <c r="B3291" s="60" t="s">
        <v>929</v>
      </c>
    </row>
    <row r="3292" ht="12.75" customHeight="1">
      <c r="A3292" s="59" t="s">
        <v>225</v>
      </c>
      <c r="B3292" s="60" t="s">
        <v>930</v>
      </c>
    </row>
    <row r="3293" ht="12.75" customHeight="1">
      <c r="A3293" s="59" t="s">
        <v>225</v>
      </c>
      <c r="B3293" s="60" t="s">
        <v>931</v>
      </c>
    </row>
    <row r="3294" ht="12.75" customHeight="1">
      <c r="A3294" s="59" t="s">
        <v>225</v>
      </c>
      <c r="B3294" s="60" t="s">
        <v>932</v>
      </c>
    </row>
    <row r="3295" ht="12.75" customHeight="1">
      <c r="A3295" s="59" t="s">
        <v>225</v>
      </c>
      <c r="B3295" s="60" t="s">
        <v>933</v>
      </c>
    </row>
    <row r="3296" ht="12.75" customHeight="1">
      <c r="A3296" s="59" t="s">
        <v>225</v>
      </c>
      <c r="B3296" s="60" t="s">
        <v>934</v>
      </c>
    </row>
    <row r="3297" ht="12.75" customHeight="1">
      <c r="A3297" s="59" t="s">
        <v>225</v>
      </c>
      <c r="B3297" s="60" t="s">
        <v>935</v>
      </c>
    </row>
    <row r="3298" ht="12.75" customHeight="1">
      <c r="A3298" s="59" t="s">
        <v>225</v>
      </c>
      <c r="B3298" s="60" t="s">
        <v>936</v>
      </c>
    </row>
    <row r="3299" ht="12.75" customHeight="1">
      <c r="A3299" s="59" t="s">
        <v>225</v>
      </c>
      <c r="B3299" s="60" t="s">
        <v>937</v>
      </c>
    </row>
    <row r="3300" ht="12.75" customHeight="1">
      <c r="A3300" s="59" t="s">
        <v>225</v>
      </c>
      <c r="B3300" s="60" t="s">
        <v>939</v>
      </c>
    </row>
    <row r="3301" ht="12.75" customHeight="1">
      <c r="A3301" s="59" t="s">
        <v>225</v>
      </c>
      <c r="B3301" s="60" t="s">
        <v>940</v>
      </c>
    </row>
    <row r="3302" ht="12.75" customHeight="1">
      <c r="A3302" s="59" t="s">
        <v>225</v>
      </c>
      <c r="B3302" s="60" t="s">
        <v>941</v>
      </c>
    </row>
    <row r="3303" ht="12.75" customHeight="1">
      <c r="A3303" s="59" t="s">
        <v>225</v>
      </c>
      <c r="B3303" s="60" t="s">
        <v>942</v>
      </c>
    </row>
    <row r="3304" ht="12.75" customHeight="1">
      <c r="A3304" s="59" t="s">
        <v>225</v>
      </c>
      <c r="B3304" s="60" t="s">
        <v>943</v>
      </c>
    </row>
    <row r="3305" ht="12.75" customHeight="1">
      <c r="A3305" s="59" t="s">
        <v>225</v>
      </c>
      <c r="B3305" s="60" t="s">
        <v>944</v>
      </c>
    </row>
    <row r="3306" ht="12.75" customHeight="1">
      <c r="A3306" s="59" t="s">
        <v>225</v>
      </c>
      <c r="B3306" s="60" t="s">
        <v>1264</v>
      </c>
    </row>
    <row r="3307" ht="12.75" customHeight="1">
      <c r="A3307" s="59" t="s">
        <v>225</v>
      </c>
      <c r="B3307" s="60" t="s">
        <v>946</v>
      </c>
    </row>
    <row r="3308" ht="12.75" customHeight="1">
      <c r="A3308" s="59" t="s">
        <v>225</v>
      </c>
      <c r="B3308" s="60" t="s">
        <v>947</v>
      </c>
    </row>
    <row r="3309" ht="12.75" customHeight="1">
      <c r="A3309" s="59" t="s">
        <v>225</v>
      </c>
      <c r="B3309" s="60" t="s">
        <v>948</v>
      </c>
    </row>
    <row r="3310" ht="12.75" customHeight="1">
      <c r="A3310" s="59" t="s">
        <v>225</v>
      </c>
      <c r="B3310" s="60" t="s">
        <v>949</v>
      </c>
    </row>
    <row r="3311" ht="12.75" customHeight="1">
      <c r="A3311" s="59" t="s">
        <v>225</v>
      </c>
      <c r="B3311" s="60" t="s">
        <v>950</v>
      </c>
    </row>
    <row r="3312" ht="12.75" customHeight="1">
      <c r="A3312" s="59" t="s">
        <v>225</v>
      </c>
      <c r="B3312" s="60" t="s">
        <v>951</v>
      </c>
    </row>
    <row r="3313" ht="12.75" customHeight="1">
      <c r="A3313" s="59" t="s">
        <v>225</v>
      </c>
      <c r="B3313" s="60" t="s">
        <v>952</v>
      </c>
    </row>
    <row r="3314" ht="12.75" customHeight="1">
      <c r="A3314" s="59" t="s">
        <v>225</v>
      </c>
      <c r="B3314" s="60" t="s">
        <v>953</v>
      </c>
    </row>
    <row r="3315" ht="12.75" customHeight="1">
      <c r="A3315" s="59" t="s">
        <v>225</v>
      </c>
      <c r="B3315" s="60" t="s">
        <v>954</v>
      </c>
    </row>
    <row r="3316" ht="12.75" customHeight="1">
      <c r="A3316" s="59" t="s">
        <v>225</v>
      </c>
      <c r="B3316" s="60" t="s">
        <v>955</v>
      </c>
    </row>
    <row r="3317" ht="12.75" customHeight="1">
      <c r="A3317" s="59" t="s">
        <v>225</v>
      </c>
      <c r="B3317" s="60" t="s">
        <v>956</v>
      </c>
    </row>
    <row r="3318" ht="12.75" customHeight="1">
      <c r="A3318" s="59" t="s">
        <v>225</v>
      </c>
      <c r="B3318" s="60" t="s">
        <v>1265</v>
      </c>
    </row>
    <row r="3319" ht="12.75" customHeight="1">
      <c r="A3319" s="59" t="s">
        <v>225</v>
      </c>
      <c r="B3319" s="60" t="s">
        <v>957</v>
      </c>
    </row>
    <row r="3320" ht="12.75" customHeight="1">
      <c r="A3320" s="59" t="s">
        <v>225</v>
      </c>
      <c r="B3320" s="60" t="s">
        <v>1266</v>
      </c>
    </row>
    <row r="3321" ht="12.75" customHeight="1">
      <c r="A3321" s="59" t="s">
        <v>225</v>
      </c>
      <c r="B3321" s="60" t="s">
        <v>1267</v>
      </c>
    </row>
    <row r="3322" ht="12.75" customHeight="1">
      <c r="A3322" s="59" t="s">
        <v>225</v>
      </c>
      <c r="B3322" s="60" t="s">
        <v>1268</v>
      </c>
    </row>
    <row r="3323" ht="12.75" customHeight="1">
      <c r="A3323" s="59" t="s">
        <v>225</v>
      </c>
      <c r="B3323" s="60" t="s">
        <v>1269</v>
      </c>
    </row>
    <row r="3324" ht="12.75" customHeight="1">
      <c r="A3324" s="59" t="s">
        <v>225</v>
      </c>
      <c r="B3324" s="60" t="s">
        <v>1270</v>
      </c>
    </row>
    <row r="3325" ht="12.75" customHeight="1">
      <c r="A3325" s="59" t="s">
        <v>225</v>
      </c>
      <c r="B3325" s="60" t="s">
        <v>1271</v>
      </c>
    </row>
    <row r="3326" ht="12.75" customHeight="1">
      <c r="A3326" s="59" t="s">
        <v>225</v>
      </c>
      <c r="B3326" s="60" t="s">
        <v>1272</v>
      </c>
    </row>
    <row r="3327" ht="12.75" customHeight="1">
      <c r="A3327" s="59" t="s">
        <v>225</v>
      </c>
      <c r="B3327" s="60" t="s">
        <v>1273</v>
      </c>
    </row>
    <row r="3328" ht="12.75" customHeight="1">
      <c r="A3328" s="59" t="s">
        <v>225</v>
      </c>
      <c r="B3328" s="60" t="s">
        <v>1274</v>
      </c>
    </row>
    <row r="3329" ht="12.75" customHeight="1">
      <c r="A3329" s="59" t="s">
        <v>225</v>
      </c>
      <c r="B3329" s="60" t="s">
        <v>1275</v>
      </c>
    </row>
    <row r="3330" ht="12.75" customHeight="1">
      <c r="A3330" s="59" t="s">
        <v>225</v>
      </c>
      <c r="B3330" s="60" t="s">
        <v>958</v>
      </c>
    </row>
    <row r="3331" ht="12.75" customHeight="1">
      <c r="A3331" s="59" t="s">
        <v>225</v>
      </c>
      <c r="B3331" s="60" t="s">
        <v>959</v>
      </c>
    </row>
    <row r="3332" ht="12.75" customHeight="1">
      <c r="A3332" s="59" t="s">
        <v>225</v>
      </c>
      <c r="B3332" s="60" t="s">
        <v>960</v>
      </c>
    </row>
    <row r="3333" ht="12.75" customHeight="1">
      <c r="A3333" s="59" t="s">
        <v>225</v>
      </c>
      <c r="B3333" s="60" t="s">
        <v>961</v>
      </c>
    </row>
    <row r="3334" ht="12.75" customHeight="1">
      <c r="A3334" s="59" t="s">
        <v>225</v>
      </c>
      <c r="B3334" s="60" t="s">
        <v>962</v>
      </c>
    </row>
    <row r="3335" ht="12.75" customHeight="1">
      <c r="A3335" s="59" t="s">
        <v>225</v>
      </c>
      <c r="B3335" s="60" t="s">
        <v>963</v>
      </c>
    </row>
    <row r="3336" ht="12.75" customHeight="1">
      <c r="A3336" s="59" t="s">
        <v>225</v>
      </c>
      <c r="B3336" s="60" t="s">
        <v>1276</v>
      </c>
    </row>
    <row r="3337" ht="12.75" customHeight="1">
      <c r="A3337" s="59" t="s">
        <v>225</v>
      </c>
      <c r="B3337" s="60" t="s">
        <v>965</v>
      </c>
    </row>
    <row r="3338" ht="12.75" customHeight="1">
      <c r="A3338" s="59" t="s">
        <v>225</v>
      </c>
      <c r="B3338" s="60" t="s">
        <v>966</v>
      </c>
    </row>
    <row r="3339" ht="12.75" customHeight="1">
      <c r="A3339" s="59" t="s">
        <v>225</v>
      </c>
      <c r="B3339" s="60" t="s">
        <v>967</v>
      </c>
    </row>
    <row r="3340" ht="12.75" customHeight="1">
      <c r="A3340" s="59" t="s">
        <v>225</v>
      </c>
      <c r="B3340" s="60" t="s">
        <v>968</v>
      </c>
    </row>
    <row r="3341" ht="12.75" customHeight="1">
      <c r="A3341" s="59" t="s">
        <v>225</v>
      </c>
      <c r="B3341" s="60" t="s">
        <v>969</v>
      </c>
    </row>
    <row r="3342" ht="12.75" customHeight="1">
      <c r="A3342" s="59" t="s">
        <v>225</v>
      </c>
      <c r="B3342" s="60" t="s">
        <v>970</v>
      </c>
    </row>
    <row r="3343" ht="12.75" customHeight="1">
      <c r="A3343" s="59" t="s">
        <v>225</v>
      </c>
      <c r="B3343" s="60" t="s">
        <v>971</v>
      </c>
    </row>
    <row r="3344" ht="12.75" customHeight="1">
      <c r="A3344" s="59" t="s">
        <v>225</v>
      </c>
      <c r="B3344" s="60" t="s">
        <v>972</v>
      </c>
    </row>
    <row r="3345" ht="12.75" customHeight="1">
      <c r="A3345" s="59" t="s">
        <v>225</v>
      </c>
      <c r="B3345" s="60" t="s">
        <v>973</v>
      </c>
    </row>
    <row r="3346" ht="12.75" customHeight="1">
      <c r="A3346" s="59" t="s">
        <v>225</v>
      </c>
      <c r="B3346" s="60" t="s">
        <v>974</v>
      </c>
    </row>
    <row r="3347" ht="12.75" customHeight="1">
      <c r="A3347" s="59" t="s">
        <v>225</v>
      </c>
      <c r="B3347" s="60" t="s">
        <v>975</v>
      </c>
    </row>
    <row r="3348" ht="12.75" customHeight="1">
      <c r="A3348" s="59" t="s">
        <v>225</v>
      </c>
      <c r="B3348" s="60" t="s">
        <v>1277</v>
      </c>
    </row>
    <row r="3349" ht="12.75" customHeight="1">
      <c r="A3349" s="59" t="s">
        <v>225</v>
      </c>
      <c r="B3349" s="60" t="s">
        <v>976</v>
      </c>
    </row>
    <row r="3350" ht="12.75" customHeight="1">
      <c r="A3350" s="59" t="s">
        <v>225</v>
      </c>
      <c r="B3350" s="60" t="s">
        <v>1278</v>
      </c>
    </row>
    <row r="3351" ht="12.75" customHeight="1">
      <c r="A3351" s="59" t="s">
        <v>225</v>
      </c>
      <c r="B3351" s="60" t="s">
        <v>1279</v>
      </c>
    </row>
    <row r="3352" ht="12.75" customHeight="1">
      <c r="A3352" s="59" t="s">
        <v>225</v>
      </c>
      <c r="B3352" s="60" t="s">
        <v>1280</v>
      </c>
    </row>
    <row r="3353" ht="12.75" customHeight="1">
      <c r="A3353" s="59" t="s">
        <v>225</v>
      </c>
      <c r="B3353" s="60" t="s">
        <v>1281</v>
      </c>
    </row>
    <row r="3354" ht="12.75" customHeight="1">
      <c r="A3354" s="59" t="s">
        <v>225</v>
      </c>
      <c r="B3354" s="60" t="s">
        <v>1282</v>
      </c>
    </row>
    <row r="3355" ht="12.75" customHeight="1">
      <c r="A3355" s="59" t="s">
        <v>225</v>
      </c>
      <c r="B3355" s="60" t="s">
        <v>1283</v>
      </c>
    </row>
    <row r="3356" ht="12.75" customHeight="1">
      <c r="A3356" s="59" t="s">
        <v>225</v>
      </c>
      <c r="B3356" s="60" t="s">
        <v>1284</v>
      </c>
    </row>
    <row r="3357" ht="12.75" customHeight="1">
      <c r="A3357" s="59" t="s">
        <v>225</v>
      </c>
      <c r="B3357" s="60" t="s">
        <v>1285</v>
      </c>
    </row>
    <row r="3358" ht="12.75" customHeight="1">
      <c r="A3358" s="59" t="s">
        <v>225</v>
      </c>
      <c r="B3358" s="60" t="s">
        <v>1286</v>
      </c>
    </row>
    <row r="3359" ht="12.75" customHeight="1">
      <c r="A3359" s="59" t="s">
        <v>225</v>
      </c>
      <c r="B3359" s="60" t="s">
        <v>1287</v>
      </c>
    </row>
    <row r="3360" ht="12.75" customHeight="1">
      <c r="A3360" s="59" t="s">
        <v>225</v>
      </c>
      <c r="B3360" s="60" t="s">
        <v>977</v>
      </c>
    </row>
    <row r="3361" ht="12.75" customHeight="1">
      <c r="A3361" s="59" t="s">
        <v>225</v>
      </c>
      <c r="B3361" s="60" t="s">
        <v>978</v>
      </c>
    </row>
    <row r="3362" ht="12.75" customHeight="1">
      <c r="A3362" s="59" t="s">
        <v>225</v>
      </c>
      <c r="B3362" s="60" t="s">
        <v>979</v>
      </c>
    </row>
    <row r="3363" ht="12.75" customHeight="1">
      <c r="A3363" s="59" t="s">
        <v>225</v>
      </c>
      <c r="B3363" s="60" t="s">
        <v>980</v>
      </c>
    </row>
    <row r="3364" ht="12.75" customHeight="1">
      <c r="A3364" s="59" t="s">
        <v>225</v>
      </c>
      <c r="B3364" s="60" t="s">
        <v>981</v>
      </c>
    </row>
    <row r="3365" ht="12.75" customHeight="1">
      <c r="A3365" s="59" t="s">
        <v>225</v>
      </c>
      <c r="B3365" s="60" t="s">
        <v>982</v>
      </c>
    </row>
    <row r="3366" ht="12.75" customHeight="1">
      <c r="A3366" s="59" t="s">
        <v>225</v>
      </c>
      <c r="B3366" s="60" t="s">
        <v>984</v>
      </c>
    </row>
    <row r="3367" ht="12.75" customHeight="1">
      <c r="A3367" s="59" t="s">
        <v>225</v>
      </c>
      <c r="B3367" s="60" t="s">
        <v>985</v>
      </c>
    </row>
    <row r="3368" ht="12.75" customHeight="1">
      <c r="A3368" s="59" t="s">
        <v>225</v>
      </c>
      <c r="B3368" s="60" t="s">
        <v>986</v>
      </c>
    </row>
    <row r="3369" ht="12.75" customHeight="1">
      <c r="A3369" s="59" t="s">
        <v>225</v>
      </c>
      <c r="B3369" s="60" t="s">
        <v>987</v>
      </c>
    </row>
    <row r="3370" ht="12.75" customHeight="1">
      <c r="A3370" s="59" t="s">
        <v>225</v>
      </c>
      <c r="B3370" s="60" t="s">
        <v>988</v>
      </c>
    </row>
    <row r="3371" ht="12.75" customHeight="1">
      <c r="A3371" s="59" t="s">
        <v>225</v>
      </c>
      <c r="B3371" s="60" t="s">
        <v>989</v>
      </c>
    </row>
    <row r="3372" ht="12.75" customHeight="1">
      <c r="A3372" s="59" t="s">
        <v>225</v>
      </c>
      <c r="B3372" s="60" t="s">
        <v>990</v>
      </c>
    </row>
    <row r="3373" ht="12.75" customHeight="1">
      <c r="A3373" s="59" t="s">
        <v>225</v>
      </c>
      <c r="B3373" s="60" t="s">
        <v>991</v>
      </c>
    </row>
    <row r="3374" ht="12.75" customHeight="1">
      <c r="A3374" s="59" t="s">
        <v>225</v>
      </c>
      <c r="B3374" s="60" t="s">
        <v>992</v>
      </c>
    </row>
    <row r="3375" ht="12.75" customHeight="1">
      <c r="A3375" s="59" t="s">
        <v>225</v>
      </c>
      <c r="B3375" s="60" t="s">
        <v>993</v>
      </c>
    </row>
    <row r="3376" ht="12.75" customHeight="1">
      <c r="A3376" s="59" t="s">
        <v>225</v>
      </c>
      <c r="B3376" s="60" t="s">
        <v>994</v>
      </c>
    </row>
    <row r="3377" ht="12.75" customHeight="1">
      <c r="A3377" s="59" t="s">
        <v>225</v>
      </c>
      <c r="B3377" s="60" t="s">
        <v>995</v>
      </c>
    </row>
    <row r="3378" ht="12.75" customHeight="1">
      <c r="A3378" s="59" t="s">
        <v>225</v>
      </c>
      <c r="B3378" s="60" t="s">
        <v>996</v>
      </c>
    </row>
    <row r="3379" ht="12.75" customHeight="1">
      <c r="A3379" s="59" t="s">
        <v>225</v>
      </c>
      <c r="B3379" s="60" t="s">
        <v>997</v>
      </c>
    </row>
    <row r="3380" ht="12.75" customHeight="1">
      <c r="A3380" s="59" t="s">
        <v>225</v>
      </c>
      <c r="B3380" s="60" t="s">
        <v>998</v>
      </c>
    </row>
    <row r="3381" ht="12.75" customHeight="1">
      <c r="A3381" s="59" t="s">
        <v>225</v>
      </c>
      <c r="B3381" s="60" t="s">
        <v>999</v>
      </c>
    </row>
    <row r="3382" ht="12.75" customHeight="1">
      <c r="A3382" s="59" t="s">
        <v>225</v>
      </c>
      <c r="B3382" s="60" t="s">
        <v>1000</v>
      </c>
    </row>
    <row r="3383" ht="12.75" customHeight="1">
      <c r="A3383" s="59" t="s">
        <v>225</v>
      </c>
      <c r="B3383" s="60" t="s">
        <v>1001</v>
      </c>
    </row>
    <row r="3384" ht="12.75" customHeight="1">
      <c r="A3384" s="59" t="s">
        <v>225</v>
      </c>
      <c r="B3384" s="60" t="s">
        <v>1002</v>
      </c>
    </row>
    <row r="3385" ht="12.75" customHeight="1">
      <c r="A3385" s="59" t="s">
        <v>225</v>
      </c>
      <c r="B3385" s="60" t="s">
        <v>1003</v>
      </c>
    </row>
    <row r="3386" ht="12.75" customHeight="1">
      <c r="A3386" s="59" t="s">
        <v>225</v>
      </c>
      <c r="B3386" s="60" t="s">
        <v>1004</v>
      </c>
    </row>
    <row r="3387" ht="12.75" customHeight="1">
      <c r="A3387" s="59" t="s">
        <v>225</v>
      </c>
      <c r="B3387" s="60" t="s">
        <v>1005</v>
      </c>
    </row>
    <row r="3388" ht="12.75" customHeight="1">
      <c r="A3388" s="59" t="s">
        <v>225</v>
      </c>
      <c r="B3388" s="60" t="s">
        <v>1006</v>
      </c>
    </row>
    <row r="3389" ht="12.75" customHeight="1">
      <c r="A3389" s="59" t="s">
        <v>225</v>
      </c>
      <c r="B3389" s="60" t="s">
        <v>1007</v>
      </c>
    </row>
    <row r="3390" ht="12.75" customHeight="1">
      <c r="A3390" s="59" t="s">
        <v>225</v>
      </c>
      <c r="B3390" s="60" t="s">
        <v>1008</v>
      </c>
    </row>
    <row r="3391" ht="12.75" customHeight="1">
      <c r="A3391" s="59" t="s">
        <v>225</v>
      </c>
      <c r="B3391" s="60" t="s">
        <v>1009</v>
      </c>
    </row>
    <row r="3392" ht="12.75" customHeight="1">
      <c r="A3392" s="59" t="s">
        <v>225</v>
      </c>
      <c r="B3392" s="60" t="s">
        <v>1010</v>
      </c>
    </row>
    <row r="3393" ht="12.75" customHeight="1">
      <c r="A3393" s="59" t="s">
        <v>225</v>
      </c>
      <c r="B3393" s="60" t="s">
        <v>1288</v>
      </c>
    </row>
    <row r="3394" ht="12.75" customHeight="1">
      <c r="A3394" s="59" t="s">
        <v>225</v>
      </c>
      <c r="B3394" s="60" t="s">
        <v>1289</v>
      </c>
    </row>
    <row r="3395" ht="12.75" customHeight="1">
      <c r="A3395" s="59" t="s">
        <v>225</v>
      </c>
      <c r="B3395" s="60" t="s">
        <v>1011</v>
      </c>
    </row>
    <row r="3396" ht="12.75" customHeight="1">
      <c r="A3396" s="59" t="s">
        <v>225</v>
      </c>
      <c r="B3396" s="60" t="s">
        <v>1012</v>
      </c>
    </row>
    <row r="3397" ht="12.75" customHeight="1">
      <c r="A3397" s="59" t="s">
        <v>225</v>
      </c>
      <c r="B3397" s="60" t="s">
        <v>1013</v>
      </c>
    </row>
    <row r="3398" ht="12.75" customHeight="1">
      <c r="A3398" s="59" t="s">
        <v>225</v>
      </c>
      <c r="B3398" s="60" t="s">
        <v>1014</v>
      </c>
    </row>
    <row r="3399" ht="12.75" customHeight="1">
      <c r="A3399" s="59" t="s">
        <v>225</v>
      </c>
      <c r="B3399" s="60" t="s">
        <v>1015</v>
      </c>
    </row>
    <row r="3400" ht="12.75" customHeight="1">
      <c r="A3400" s="59" t="s">
        <v>225</v>
      </c>
      <c r="B3400" s="60" t="s">
        <v>1016</v>
      </c>
    </row>
    <row r="3401" ht="12.75" customHeight="1">
      <c r="A3401" s="59" t="s">
        <v>225</v>
      </c>
      <c r="B3401" s="60" t="s">
        <v>1017</v>
      </c>
    </row>
    <row r="3402" ht="12.75" customHeight="1">
      <c r="A3402" s="59" t="s">
        <v>225</v>
      </c>
      <c r="B3402" s="60" t="s">
        <v>1018</v>
      </c>
    </row>
    <row r="3403" ht="12.75" customHeight="1">
      <c r="A3403" s="59" t="s">
        <v>225</v>
      </c>
      <c r="B3403" s="60" t="s">
        <v>1019</v>
      </c>
    </row>
    <row r="3404" ht="12.75" customHeight="1">
      <c r="A3404" s="59" t="s">
        <v>225</v>
      </c>
      <c r="B3404" s="60" t="s">
        <v>1020</v>
      </c>
    </row>
    <row r="3405" ht="12.75" customHeight="1">
      <c r="A3405" s="59" t="s">
        <v>225</v>
      </c>
      <c r="B3405" s="60" t="s">
        <v>1021</v>
      </c>
    </row>
    <row r="3406" ht="12.75" customHeight="1">
      <c r="A3406" s="59" t="s">
        <v>225</v>
      </c>
      <c r="B3406" s="60" t="s">
        <v>1022</v>
      </c>
    </row>
    <row r="3407" ht="12.75" customHeight="1">
      <c r="A3407" s="59" t="s">
        <v>225</v>
      </c>
      <c r="B3407" s="60" t="s">
        <v>1023</v>
      </c>
    </row>
    <row r="3408" ht="12.75" customHeight="1">
      <c r="A3408" s="59" t="s">
        <v>225</v>
      </c>
      <c r="B3408" s="60" t="s">
        <v>1024</v>
      </c>
    </row>
    <row r="3409" ht="12.75" customHeight="1">
      <c r="A3409" s="59" t="s">
        <v>225</v>
      </c>
      <c r="B3409" s="60" t="s">
        <v>1025</v>
      </c>
    </row>
    <row r="3410" ht="12.75" customHeight="1">
      <c r="A3410" s="59" t="s">
        <v>225</v>
      </c>
      <c r="B3410" s="60" t="s">
        <v>1026</v>
      </c>
    </row>
    <row r="3411" ht="12.75" customHeight="1">
      <c r="A3411" s="59" t="s">
        <v>225</v>
      </c>
      <c r="B3411" s="60" t="s">
        <v>1027</v>
      </c>
    </row>
    <row r="3412" ht="12.75" customHeight="1">
      <c r="A3412" s="59" t="s">
        <v>225</v>
      </c>
      <c r="B3412" s="60" t="s">
        <v>1028</v>
      </c>
    </row>
    <row r="3413" ht="12.75" customHeight="1">
      <c r="A3413" s="59" t="s">
        <v>225</v>
      </c>
      <c r="B3413" s="60" t="s">
        <v>1029</v>
      </c>
    </row>
    <row r="3414" ht="12.75" customHeight="1">
      <c r="A3414" s="59" t="s">
        <v>225</v>
      </c>
      <c r="B3414" s="60" t="s">
        <v>1030</v>
      </c>
    </row>
    <row r="3415" ht="12.75" customHeight="1">
      <c r="A3415" s="59" t="s">
        <v>225</v>
      </c>
      <c r="B3415" s="60" t="s">
        <v>1031</v>
      </c>
    </row>
    <row r="3416" ht="12.75" customHeight="1">
      <c r="A3416" s="59" t="s">
        <v>225</v>
      </c>
      <c r="B3416" s="60" t="s">
        <v>1032</v>
      </c>
    </row>
    <row r="3417" ht="12.75" customHeight="1">
      <c r="A3417" s="59" t="s">
        <v>225</v>
      </c>
      <c r="B3417" s="60" t="s">
        <v>1033</v>
      </c>
    </row>
    <row r="3418" ht="12.75" customHeight="1">
      <c r="A3418" s="59" t="s">
        <v>225</v>
      </c>
      <c r="B3418" s="60" t="s">
        <v>1034</v>
      </c>
    </row>
    <row r="3419" ht="12.75" customHeight="1">
      <c r="A3419" s="59" t="s">
        <v>225</v>
      </c>
      <c r="B3419" s="60" t="s">
        <v>1035</v>
      </c>
    </row>
    <row r="3420" ht="12.75" customHeight="1">
      <c r="A3420" s="59" t="s">
        <v>225</v>
      </c>
      <c r="B3420" s="60" t="s">
        <v>1036</v>
      </c>
    </row>
    <row r="3421" ht="12.75" customHeight="1">
      <c r="A3421" s="59" t="s">
        <v>225</v>
      </c>
      <c r="B3421" s="60" t="s">
        <v>1037</v>
      </c>
    </row>
    <row r="3422" ht="12.75" customHeight="1">
      <c r="A3422" s="59" t="s">
        <v>225</v>
      </c>
      <c r="B3422" s="60" t="s">
        <v>1038</v>
      </c>
    </row>
    <row r="3423" ht="12.75" customHeight="1">
      <c r="A3423" s="59" t="s">
        <v>225</v>
      </c>
      <c r="B3423" s="60" t="s">
        <v>1039</v>
      </c>
    </row>
    <row r="3424" ht="12.75" customHeight="1">
      <c r="A3424" s="59" t="s">
        <v>225</v>
      </c>
      <c r="B3424" s="60" t="s">
        <v>1040</v>
      </c>
    </row>
    <row r="3425" ht="12.75" customHeight="1">
      <c r="A3425" s="59" t="s">
        <v>225</v>
      </c>
      <c r="B3425" s="60" t="s">
        <v>1041</v>
      </c>
    </row>
    <row r="3426" ht="12.75" customHeight="1">
      <c r="A3426" s="59" t="s">
        <v>225</v>
      </c>
      <c r="B3426" s="60" t="s">
        <v>1042</v>
      </c>
    </row>
    <row r="3427" ht="12.75" customHeight="1">
      <c r="A3427" s="59" t="s">
        <v>225</v>
      </c>
      <c r="B3427" s="60" t="s">
        <v>1043</v>
      </c>
    </row>
    <row r="3428" ht="12.75" customHeight="1">
      <c r="A3428" s="59" t="s">
        <v>225</v>
      </c>
      <c r="B3428" s="60" t="s">
        <v>1044</v>
      </c>
    </row>
    <row r="3429" ht="12.75" customHeight="1">
      <c r="A3429" s="59" t="s">
        <v>225</v>
      </c>
      <c r="B3429" s="60" t="s">
        <v>1045</v>
      </c>
    </row>
    <row r="3430" ht="12.75" customHeight="1">
      <c r="A3430" s="59" t="s">
        <v>225</v>
      </c>
      <c r="B3430" s="60" t="s">
        <v>1046</v>
      </c>
    </row>
    <row r="3431" ht="12.75" customHeight="1">
      <c r="A3431" s="59" t="s">
        <v>225</v>
      </c>
      <c r="B3431" s="60" t="s">
        <v>1047</v>
      </c>
    </row>
    <row r="3432" ht="12.75" customHeight="1">
      <c r="A3432" s="59" t="s">
        <v>225</v>
      </c>
      <c r="B3432" s="60" t="s">
        <v>1048</v>
      </c>
    </row>
    <row r="3433" ht="12.75" customHeight="1">
      <c r="A3433" s="59" t="s">
        <v>225</v>
      </c>
      <c r="B3433" s="60" t="s">
        <v>1049</v>
      </c>
    </row>
    <row r="3434" ht="12.75" customHeight="1">
      <c r="A3434" s="59" t="s">
        <v>225</v>
      </c>
      <c r="B3434" s="60" t="s">
        <v>1050</v>
      </c>
    </row>
    <row r="3435" ht="12.75" customHeight="1">
      <c r="A3435" s="59" t="s">
        <v>225</v>
      </c>
      <c r="B3435" s="60" t="s">
        <v>1051</v>
      </c>
    </row>
    <row r="3436" ht="12.75" customHeight="1">
      <c r="A3436" s="59" t="s">
        <v>225</v>
      </c>
      <c r="B3436" s="60" t="s">
        <v>1052</v>
      </c>
    </row>
    <row r="3437" ht="12.75" customHeight="1">
      <c r="A3437" s="59" t="s">
        <v>225</v>
      </c>
      <c r="B3437" s="60" t="s">
        <v>1053</v>
      </c>
    </row>
    <row r="3438" ht="12.75" customHeight="1">
      <c r="A3438" s="59" t="s">
        <v>225</v>
      </c>
      <c r="B3438" s="60" t="s">
        <v>1290</v>
      </c>
    </row>
    <row r="3439" ht="12.75" customHeight="1">
      <c r="A3439" s="59" t="s">
        <v>225</v>
      </c>
      <c r="B3439" s="60" t="s">
        <v>1078</v>
      </c>
    </row>
    <row r="3440" ht="12.75" customHeight="1">
      <c r="A3440" s="59" t="s">
        <v>225</v>
      </c>
      <c r="B3440" s="60" t="s">
        <v>1291</v>
      </c>
    </row>
    <row r="3441" ht="12.75" customHeight="1">
      <c r="A3441" s="59" t="s">
        <v>225</v>
      </c>
      <c r="B3441" s="60" t="s">
        <v>1080</v>
      </c>
    </row>
    <row r="3442" ht="12.75" customHeight="1">
      <c r="A3442" s="59" t="s">
        <v>225</v>
      </c>
      <c r="B3442" s="60" t="s">
        <v>1292</v>
      </c>
    </row>
    <row r="3443" ht="12.75" customHeight="1">
      <c r="A3443" s="59" t="s">
        <v>225</v>
      </c>
      <c r="B3443" s="60" t="s">
        <v>1082</v>
      </c>
    </row>
    <row r="3444" ht="12.75" customHeight="1">
      <c r="A3444" s="59" t="s">
        <v>225</v>
      </c>
      <c r="B3444" s="60" t="s">
        <v>1293</v>
      </c>
    </row>
    <row r="3445" ht="12.75" customHeight="1">
      <c r="A3445" s="59" t="s">
        <v>225</v>
      </c>
      <c r="B3445" s="60" t="s">
        <v>1084</v>
      </c>
    </row>
    <row r="3446" ht="12.75" customHeight="1">
      <c r="A3446" s="59" t="s">
        <v>225</v>
      </c>
      <c r="B3446" s="60" t="s">
        <v>1294</v>
      </c>
    </row>
    <row r="3447" ht="12.75" customHeight="1">
      <c r="A3447" s="59" t="s">
        <v>225</v>
      </c>
      <c r="B3447" s="60" t="s">
        <v>1054</v>
      </c>
    </row>
    <row r="3448" ht="12.75" customHeight="1">
      <c r="A3448" s="59" t="s">
        <v>225</v>
      </c>
      <c r="B3448" s="60" t="s">
        <v>1055</v>
      </c>
    </row>
    <row r="3449" ht="12.75" customHeight="1">
      <c r="A3449" s="59" t="s">
        <v>225</v>
      </c>
      <c r="B3449" s="60" t="s">
        <v>1056</v>
      </c>
    </row>
    <row r="3450" ht="12.75" customHeight="1">
      <c r="A3450" s="59" t="s">
        <v>225</v>
      </c>
      <c r="B3450" s="60" t="s">
        <v>1057</v>
      </c>
    </row>
    <row r="3451" ht="12.75" customHeight="1">
      <c r="A3451" s="59" t="s">
        <v>225</v>
      </c>
      <c r="B3451" s="60" t="s">
        <v>1058</v>
      </c>
    </row>
    <row r="3452" ht="12.75" customHeight="1">
      <c r="A3452" s="59" t="s">
        <v>225</v>
      </c>
      <c r="B3452" s="60" t="s">
        <v>1059</v>
      </c>
    </row>
    <row r="3453" ht="12.75" customHeight="1">
      <c r="A3453" s="59" t="s">
        <v>225</v>
      </c>
      <c r="B3453" s="60" t="s">
        <v>1060</v>
      </c>
    </row>
    <row r="3454" ht="12.75" customHeight="1">
      <c r="A3454" s="59" t="s">
        <v>225</v>
      </c>
      <c r="B3454" s="60" t="s">
        <v>1061</v>
      </c>
    </row>
    <row r="3455" ht="12.75" customHeight="1">
      <c r="A3455" s="59" t="s">
        <v>225</v>
      </c>
      <c r="B3455" s="60" t="s">
        <v>1062</v>
      </c>
    </row>
    <row r="3456" ht="12.75" customHeight="1">
      <c r="A3456" s="59" t="s">
        <v>225</v>
      </c>
      <c r="B3456" s="60" t="s">
        <v>1063</v>
      </c>
    </row>
    <row r="3457" ht="12.75" customHeight="1">
      <c r="A3457" s="59" t="s">
        <v>225</v>
      </c>
      <c r="B3457" s="60" t="s">
        <v>1064</v>
      </c>
    </row>
    <row r="3458" ht="12.75" customHeight="1">
      <c r="A3458" s="59" t="s">
        <v>225</v>
      </c>
      <c r="B3458" s="60" t="s">
        <v>1065</v>
      </c>
    </row>
    <row r="3459" ht="12.75" customHeight="1">
      <c r="A3459" s="59" t="s">
        <v>225</v>
      </c>
      <c r="B3459" s="60" t="s">
        <v>1066</v>
      </c>
    </row>
    <row r="3460" ht="12.75" customHeight="1">
      <c r="A3460" s="59" t="s">
        <v>225</v>
      </c>
      <c r="B3460" s="60" t="s">
        <v>1067</v>
      </c>
    </row>
    <row r="3461" ht="12.75" customHeight="1">
      <c r="A3461" s="59" t="s">
        <v>225</v>
      </c>
      <c r="B3461" s="60" t="s">
        <v>1086</v>
      </c>
    </row>
    <row r="3462" ht="12.75" customHeight="1">
      <c r="A3462" s="59" t="s">
        <v>225</v>
      </c>
      <c r="B3462" s="60" t="s">
        <v>1295</v>
      </c>
    </row>
    <row r="3463" ht="12.75" customHeight="1">
      <c r="A3463" s="59" t="s">
        <v>225</v>
      </c>
      <c r="B3463" s="60" t="s">
        <v>1296</v>
      </c>
    </row>
    <row r="3464" ht="12.75" customHeight="1">
      <c r="A3464" s="59" t="s">
        <v>225</v>
      </c>
      <c r="B3464" s="60" t="s">
        <v>1068</v>
      </c>
    </row>
    <row r="3465" ht="12.75" customHeight="1">
      <c r="A3465" s="59" t="s">
        <v>225</v>
      </c>
      <c r="B3465" s="60" t="s">
        <v>1069</v>
      </c>
    </row>
    <row r="3466" ht="12.75" customHeight="1">
      <c r="A3466" s="59" t="s">
        <v>225</v>
      </c>
      <c r="B3466" s="60" t="s">
        <v>1070</v>
      </c>
    </row>
    <row r="3467" ht="12.75" customHeight="1">
      <c r="A3467" s="59" t="s">
        <v>225</v>
      </c>
      <c r="B3467" s="60" t="s">
        <v>1071</v>
      </c>
    </row>
    <row r="3468" ht="12.75" customHeight="1">
      <c r="A3468" s="59" t="s">
        <v>225</v>
      </c>
      <c r="B3468" s="60" t="s">
        <v>1072</v>
      </c>
    </row>
    <row r="3469" ht="12.75" customHeight="1">
      <c r="A3469" s="59" t="s">
        <v>225</v>
      </c>
      <c r="B3469" s="60" t="s">
        <v>1073</v>
      </c>
    </row>
    <row r="3470" ht="12.75" customHeight="1">
      <c r="A3470" s="59" t="s">
        <v>225</v>
      </c>
      <c r="B3470" s="60" t="s">
        <v>1074</v>
      </c>
    </row>
    <row r="3471" ht="12.75" customHeight="1">
      <c r="A3471" s="59" t="s">
        <v>225</v>
      </c>
      <c r="B3471" s="60" t="s">
        <v>1075</v>
      </c>
    </row>
    <row r="3472" ht="12.75" customHeight="1">
      <c r="A3472" s="59" t="s">
        <v>225</v>
      </c>
      <c r="B3472" s="60" t="s">
        <v>1076</v>
      </c>
    </row>
    <row r="3473" ht="12.75" customHeight="1">
      <c r="A3473" s="59" t="s">
        <v>225</v>
      </c>
      <c r="B3473" s="60" t="s">
        <v>1077</v>
      </c>
    </row>
    <row r="3474" ht="12.75" customHeight="1">
      <c r="A3474" s="59" t="s">
        <v>225</v>
      </c>
      <c r="B3474" s="60" t="s">
        <v>1297</v>
      </c>
    </row>
    <row r="3475" ht="12.75" customHeight="1">
      <c r="A3475" s="59" t="s">
        <v>225</v>
      </c>
      <c r="B3475" s="60" t="s">
        <v>1079</v>
      </c>
    </row>
    <row r="3476" ht="12.75" customHeight="1">
      <c r="A3476" s="59" t="s">
        <v>225</v>
      </c>
      <c r="B3476" s="60" t="s">
        <v>1298</v>
      </c>
    </row>
    <row r="3477" ht="12.75" customHeight="1">
      <c r="A3477" s="59" t="s">
        <v>225</v>
      </c>
      <c r="B3477" s="60" t="s">
        <v>1081</v>
      </c>
    </row>
    <row r="3478" ht="12.75" customHeight="1">
      <c r="A3478" s="59" t="s">
        <v>225</v>
      </c>
      <c r="B3478" s="60" t="s">
        <v>1299</v>
      </c>
    </row>
    <row r="3479" ht="12.75" customHeight="1">
      <c r="A3479" s="59" t="s">
        <v>225</v>
      </c>
      <c r="B3479" s="60" t="s">
        <v>1083</v>
      </c>
    </row>
    <row r="3480" ht="12.75" customHeight="1">
      <c r="A3480" s="59" t="s">
        <v>225</v>
      </c>
      <c r="B3480" s="60" t="s">
        <v>1300</v>
      </c>
    </row>
    <row r="3481" ht="12.75" customHeight="1">
      <c r="A3481" s="59" t="s">
        <v>225</v>
      </c>
      <c r="B3481" s="60" t="s">
        <v>1085</v>
      </c>
    </row>
    <row r="3482" ht="12.75" customHeight="1">
      <c r="A3482" s="59" t="s">
        <v>225</v>
      </c>
      <c r="B3482" s="60" t="s">
        <v>1301</v>
      </c>
    </row>
    <row r="3483" ht="12.75" customHeight="1">
      <c r="A3483" s="59" t="s">
        <v>225</v>
      </c>
      <c r="B3483" s="60" t="s">
        <v>1087</v>
      </c>
    </row>
    <row r="3484" ht="12.75" customHeight="1">
      <c r="A3484" s="59" t="s">
        <v>225</v>
      </c>
      <c r="B3484" s="60" t="s">
        <v>1088</v>
      </c>
    </row>
    <row r="3485" ht="12.75" customHeight="1">
      <c r="A3485" s="59" t="s">
        <v>225</v>
      </c>
      <c r="B3485" s="60" t="s">
        <v>1089</v>
      </c>
    </row>
    <row r="3486" ht="12.75" customHeight="1">
      <c r="A3486" s="59" t="s">
        <v>225</v>
      </c>
      <c r="B3486" s="60" t="s">
        <v>1090</v>
      </c>
    </row>
    <row r="3487" ht="12.75" customHeight="1">
      <c r="A3487" s="59" t="s">
        <v>225</v>
      </c>
      <c r="B3487" s="60" t="s">
        <v>1091</v>
      </c>
    </row>
    <row r="3488" ht="12.75" customHeight="1">
      <c r="A3488" s="59" t="s">
        <v>225</v>
      </c>
      <c r="B3488" s="60" t="s">
        <v>1092</v>
      </c>
    </row>
    <row r="3489" ht="12.75" customHeight="1">
      <c r="A3489" s="59" t="s">
        <v>225</v>
      </c>
      <c r="B3489" s="60" t="s">
        <v>1093</v>
      </c>
    </row>
    <row r="3490" ht="12.75" customHeight="1">
      <c r="A3490" s="59" t="s">
        <v>225</v>
      </c>
      <c r="B3490" s="60" t="s">
        <v>1094</v>
      </c>
    </row>
    <row r="3491" ht="12.75" customHeight="1">
      <c r="A3491" s="59" t="s">
        <v>225</v>
      </c>
      <c r="B3491" s="60" t="s">
        <v>1095</v>
      </c>
    </row>
    <row r="3492" ht="12.75" customHeight="1">
      <c r="A3492" s="59" t="s">
        <v>225</v>
      </c>
      <c r="B3492" s="60" t="s">
        <v>1302</v>
      </c>
    </row>
    <row r="3493" ht="12.75" customHeight="1">
      <c r="A3493" s="59" t="s">
        <v>225</v>
      </c>
      <c r="B3493" s="60" t="s">
        <v>1303</v>
      </c>
    </row>
    <row r="3494" ht="12.75" customHeight="1">
      <c r="A3494" s="59" t="s">
        <v>225</v>
      </c>
      <c r="B3494" s="60" t="s">
        <v>1304</v>
      </c>
    </row>
    <row r="3495" ht="12.75" customHeight="1">
      <c r="A3495" s="59" t="s">
        <v>225</v>
      </c>
      <c r="B3495" s="60" t="s">
        <v>1305</v>
      </c>
    </row>
    <row r="3496" ht="12.75" customHeight="1">
      <c r="A3496" s="59" t="s">
        <v>225</v>
      </c>
      <c r="B3496" s="60" t="s">
        <v>1306</v>
      </c>
    </row>
    <row r="3497" ht="12.75" customHeight="1">
      <c r="A3497" s="59" t="s">
        <v>225</v>
      </c>
      <c r="B3497" s="60" t="s">
        <v>1307</v>
      </c>
    </row>
    <row r="3498" ht="12.75" customHeight="1">
      <c r="A3498" s="59" t="s">
        <v>225</v>
      </c>
      <c r="B3498" s="60" t="s">
        <v>1308</v>
      </c>
    </row>
    <row r="3499" ht="12.75" customHeight="1">
      <c r="A3499" s="59" t="s">
        <v>225</v>
      </c>
      <c r="B3499" s="60" t="s">
        <v>1096</v>
      </c>
    </row>
    <row r="3500" ht="12.75" customHeight="1">
      <c r="A3500" s="59" t="s">
        <v>225</v>
      </c>
      <c r="B3500" s="60" t="s">
        <v>1309</v>
      </c>
    </row>
    <row r="3501" ht="12.75" customHeight="1">
      <c r="A3501" s="59" t="s">
        <v>225</v>
      </c>
      <c r="B3501" s="60" t="s">
        <v>1097</v>
      </c>
    </row>
    <row r="3502" ht="12.75" customHeight="1">
      <c r="A3502" s="59" t="s">
        <v>225</v>
      </c>
      <c r="B3502" s="60" t="s">
        <v>1310</v>
      </c>
    </row>
    <row r="3503" ht="12.75" customHeight="1">
      <c r="A3503" s="59" t="s">
        <v>225</v>
      </c>
      <c r="B3503" s="60" t="s">
        <v>1098</v>
      </c>
    </row>
    <row r="3504" ht="12.75" customHeight="1">
      <c r="A3504" s="59" t="s">
        <v>225</v>
      </c>
      <c r="B3504" s="60" t="s">
        <v>1099</v>
      </c>
    </row>
    <row r="3505" ht="12.75" customHeight="1">
      <c r="A3505" s="59" t="s">
        <v>225</v>
      </c>
      <c r="B3505" s="60" t="s">
        <v>1100</v>
      </c>
    </row>
    <row r="3506" ht="12.75" customHeight="1">
      <c r="A3506" s="59" t="s">
        <v>225</v>
      </c>
      <c r="B3506" s="60" t="s">
        <v>1101</v>
      </c>
    </row>
    <row r="3507" ht="12.75" customHeight="1">
      <c r="A3507" s="59" t="s">
        <v>225</v>
      </c>
      <c r="B3507" s="60" t="s">
        <v>1102</v>
      </c>
    </row>
    <row r="3508" ht="12.75" customHeight="1">
      <c r="A3508" s="59" t="s">
        <v>225</v>
      </c>
      <c r="B3508" s="60" t="s">
        <v>1103</v>
      </c>
    </row>
    <row r="3509" ht="12.75" customHeight="1">
      <c r="A3509" s="59" t="s">
        <v>225</v>
      </c>
      <c r="B3509" s="60" t="s">
        <v>1104</v>
      </c>
    </row>
    <row r="3510" ht="12.75" customHeight="1">
      <c r="A3510" s="59" t="s">
        <v>225</v>
      </c>
      <c r="B3510" s="60" t="s">
        <v>1105</v>
      </c>
    </row>
    <row r="3511" ht="12.75" customHeight="1">
      <c r="A3511" s="59" t="s">
        <v>225</v>
      </c>
      <c r="B3511" s="60" t="s">
        <v>1106</v>
      </c>
    </row>
    <row r="3512" ht="12.75" customHeight="1">
      <c r="A3512" s="59" t="s">
        <v>225</v>
      </c>
      <c r="B3512" s="60" t="s">
        <v>1107</v>
      </c>
    </row>
    <row r="3513" ht="12.75" customHeight="1">
      <c r="A3513" s="59" t="s">
        <v>225</v>
      </c>
      <c r="B3513" s="60" t="s">
        <v>1108</v>
      </c>
    </row>
    <row r="3514" ht="12.75" customHeight="1">
      <c r="A3514" s="59" t="s">
        <v>225</v>
      </c>
      <c r="B3514" s="60" t="s">
        <v>1109</v>
      </c>
    </row>
    <row r="3515" ht="12.75" customHeight="1">
      <c r="A3515" s="59" t="s">
        <v>225</v>
      </c>
      <c r="B3515" s="60" t="s">
        <v>1110</v>
      </c>
    </row>
    <row r="3516" ht="12.75" customHeight="1">
      <c r="A3516" s="59" t="s">
        <v>225</v>
      </c>
      <c r="B3516" s="60" t="s">
        <v>1111</v>
      </c>
    </row>
    <row r="3517" ht="12.75" customHeight="1">
      <c r="A3517" s="59" t="s">
        <v>225</v>
      </c>
      <c r="B3517" s="60" t="s">
        <v>1112</v>
      </c>
    </row>
    <row r="3518" ht="12.75" customHeight="1">
      <c r="A3518" s="59" t="s">
        <v>225</v>
      </c>
      <c r="B3518" s="60" t="s">
        <v>1113</v>
      </c>
    </row>
    <row r="3519" ht="12.75" customHeight="1">
      <c r="A3519" s="59" t="s">
        <v>225</v>
      </c>
      <c r="B3519" s="60" t="s">
        <v>1114</v>
      </c>
    </row>
    <row r="3520" ht="12.75" customHeight="1">
      <c r="A3520" s="59" t="s">
        <v>225</v>
      </c>
      <c r="B3520" s="60" t="s">
        <v>1115</v>
      </c>
    </row>
    <row r="3521" ht="12.75" customHeight="1">
      <c r="A3521" s="59" t="s">
        <v>225</v>
      </c>
      <c r="B3521" s="60" t="s">
        <v>1116</v>
      </c>
    </row>
    <row r="3522" ht="12.75" customHeight="1">
      <c r="A3522" s="59" t="s">
        <v>225</v>
      </c>
      <c r="B3522" s="60" t="s">
        <v>1117</v>
      </c>
    </row>
    <row r="3523" ht="12.75" customHeight="1">
      <c r="A3523" s="59" t="s">
        <v>225</v>
      </c>
      <c r="B3523" s="60" t="s">
        <v>1118</v>
      </c>
    </row>
    <row r="3524" ht="12.75" customHeight="1">
      <c r="A3524" s="59" t="s">
        <v>225</v>
      </c>
      <c r="B3524" s="60" t="s">
        <v>1119</v>
      </c>
    </row>
    <row r="3525" ht="12.75" customHeight="1">
      <c r="A3525" s="59" t="s">
        <v>225</v>
      </c>
      <c r="B3525" s="60" t="s">
        <v>1120</v>
      </c>
    </row>
    <row r="3526" ht="12.75" customHeight="1">
      <c r="A3526" s="59" t="s">
        <v>225</v>
      </c>
      <c r="B3526" s="60" t="s">
        <v>1121</v>
      </c>
    </row>
    <row r="3527" ht="12.75" customHeight="1">
      <c r="A3527" s="59" t="s">
        <v>225</v>
      </c>
      <c r="B3527" s="60" t="s">
        <v>1122</v>
      </c>
    </row>
    <row r="3528" ht="12.75" customHeight="1">
      <c r="A3528" s="59" t="s">
        <v>225</v>
      </c>
      <c r="B3528" s="60" t="s">
        <v>1123</v>
      </c>
    </row>
    <row r="3529" ht="12.75" customHeight="1">
      <c r="A3529" s="59" t="s">
        <v>225</v>
      </c>
      <c r="B3529" s="60" t="s">
        <v>1124</v>
      </c>
    </row>
    <row r="3530" ht="12.75" customHeight="1">
      <c r="A3530" s="59" t="s">
        <v>225</v>
      </c>
      <c r="B3530" s="60" t="s">
        <v>1125</v>
      </c>
    </row>
    <row r="3531" ht="12.75" customHeight="1">
      <c r="A3531" s="59" t="s">
        <v>225</v>
      </c>
      <c r="B3531" s="60" t="s">
        <v>1126</v>
      </c>
    </row>
    <row r="3532" ht="12.75" customHeight="1">
      <c r="A3532" s="59" t="s">
        <v>225</v>
      </c>
      <c r="B3532" s="60" t="s">
        <v>1311</v>
      </c>
    </row>
    <row r="3533" ht="12.75" customHeight="1">
      <c r="A3533" s="59" t="s">
        <v>225</v>
      </c>
      <c r="B3533" s="60" t="s">
        <v>1312</v>
      </c>
    </row>
    <row r="3534" ht="12.75" customHeight="1">
      <c r="A3534" s="59" t="s">
        <v>225</v>
      </c>
      <c r="B3534" s="60" t="s">
        <v>1313</v>
      </c>
    </row>
    <row r="3535" ht="12.75" customHeight="1">
      <c r="A3535" s="59" t="s">
        <v>225</v>
      </c>
      <c r="B3535" s="60" t="s">
        <v>1314</v>
      </c>
    </row>
    <row r="3536" ht="12.75" customHeight="1">
      <c r="A3536" s="59" t="s">
        <v>225</v>
      </c>
      <c r="B3536" s="60" t="s">
        <v>1315</v>
      </c>
    </row>
    <row r="3537" ht="12.75" customHeight="1">
      <c r="A3537" s="59" t="s">
        <v>225</v>
      </c>
      <c r="B3537" s="60" t="s">
        <v>1316</v>
      </c>
    </row>
    <row r="3538" ht="12.75" customHeight="1">
      <c r="A3538" s="59" t="s">
        <v>225</v>
      </c>
      <c r="B3538" s="60" t="s">
        <v>1317</v>
      </c>
    </row>
    <row r="3539" ht="12.75" customHeight="1">
      <c r="A3539" s="59" t="s">
        <v>225</v>
      </c>
      <c r="B3539" s="60" t="s">
        <v>1318</v>
      </c>
    </row>
    <row r="3540" ht="12.75" customHeight="1">
      <c r="A3540" s="59" t="s">
        <v>225</v>
      </c>
      <c r="B3540" s="60" t="s">
        <v>1319</v>
      </c>
    </row>
    <row r="3541" ht="12.75" customHeight="1">
      <c r="A3541" s="59" t="s">
        <v>225</v>
      </c>
      <c r="B3541" s="60" t="s">
        <v>1320</v>
      </c>
    </row>
    <row r="3542" ht="12.75" customHeight="1">
      <c r="A3542" s="59" t="s">
        <v>225</v>
      </c>
      <c r="B3542" s="60" t="s">
        <v>1127</v>
      </c>
    </row>
    <row r="3543" ht="12.75" customHeight="1">
      <c r="A3543" s="59" t="s">
        <v>225</v>
      </c>
      <c r="B3543" s="60" t="s">
        <v>1128</v>
      </c>
    </row>
    <row r="3544" ht="12.75" customHeight="1">
      <c r="A3544" s="59" t="s">
        <v>225</v>
      </c>
      <c r="B3544" s="60" t="s">
        <v>1129</v>
      </c>
    </row>
    <row r="3545" ht="12.75" customHeight="1">
      <c r="A3545" s="59" t="s">
        <v>225</v>
      </c>
      <c r="B3545" s="60" t="s">
        <v>1130</v>
      </c>
    </row>
    <row r="3546" ht="12.75" customHeight="1">
      <c r="A3546" s="59" t="s">
        <v>225</v>
      </c>
      <c r="B3546" s="60" t="s">
        <v>1131</v>
      </c>
    </row>
    <row r="3547" ht="12.75" customHeight="1">
      <c r="A3547" s="59" t="s">
        <v>225</v>
      </c>
      <c r="B3547" s="60" t="s">
        <v>1132</v>
      </c>
    </row>
    <row r="3548" ht="12.75" customHeight="1">
      <c r="A3548" s="59" t="s">
        <v>225</v>
      </c>
      <c r="B3548" s="60" t="s">
        <v>1133</v>
      </c>
    </row>
    <row r="3549" ht="12.75" customHeight="1">
      <c r="A3549" s="59" t="s">
        <v>225</v>
      </c>
      <c r="B3549" s="60" t="s">
        <v>1134</v>
      </c>
    </row>
    <row r="3550" ht="12.75" customHeight="1">
      <c r="A3550" s="59" t="s">
        <v>225</v>
      </c>
      <c r="B3550" s="60" t="s">
        <v>1135</v>
      </c>
    </row>
    <row r="3551" ht="12.75" customHeight="1">
      <c r="A3551" s="59" t="s">
        <v>225</v>
      </c>
      <c r="B3551" s="60" t="s">
        <v>1136</v>
      </c>
    </row>
    <row r="3552" ht="12.75" customHeight="1">
      <c r="A3552" s="59" t="s">
        <v>225</v>
      </c>
      <c r="B3552" s="60" t="s">
        <v>1137</v>
      </c>
    </row>
    <row r="3553" ht="12.75" customHeight="1">
      <c r="A3553" s="59" t="s">
        <v>225</v>
      </c>
      <c r="B3553" s="60" t="s">
        <v>1321</v>
      </c>
    </row>
    <row r="3554" ht="12.75" customHeight="1">
      <c r="A3554" s="59" t="s">
        <v>225</v>
      </c>
      <c r="B3554" s="60" t="s">
        <v>1138</v>
      </c>
    </row>
    <row r="3555" ht="12.75" customHeight="1">
      <c r="A3555" s="59" t="s">
        <v>225</v>
      </c>
      <c r="B3555" s="60" t="s">
        <v>1322</v>
      </c>
    </row>
    <row r="3556" ht="12.75" customHeight="1">
      <c r="A3556" s="59" t="s">
        <v>225</v>
      </c>
      <c r="B3556" s="60" t="s">
        <v>1139</v>
      </c>
    </row>
    <row r="3557" ht="12.75" customHeight="1">
      <c r="A3557" s="59" t="s">
        <v>225</v>
      </c>
      <c r="B3557" s="60" t="s">
        <v>1323</v>
      </c>
    </row>
    <row r="3558" ht="12.75" customHeight="1">
      <c r="A3558" s="59" t="s">
        <v>225</v>
      </c>
      <c r="B3558" s="60" t="s">
        <v>1140</v>
      </c>
    </row>
    <row r="3559" ht="12.75" customHeight="1">
      <c r="A3559" s="59" t="s">
        <v>225</v>
      </c>
      <c r="B3559" s="60" t="s">
        <v>1324</v>
      </c>
    </row>
    <row r="3560" ht="12.75" customHeight="1">
      <c r="A3560" s="59" t="s">
        <v>225</v>
      </c>
      <c r="B3560" s="60" t="s">
        <v>1141</v>
      </c>
    </row>
    <row r="3561" ht="12.75" customHeight="1">
      <c r="A3561" s="59" t="s">
        <v>225</v>
      </c>
      <c r="B3561" s="60" t="s">
        <v>1325</v>
      </c>
    </row>
    <row r="3562" ht="12.75" customHeight="1">
      <c r="A3562" s="59" t="s">
        <v>225</v>
      </c>
      <c r="B3562" s="60" t="s">
        <v>1142</v>
      </c>
    </row>
    <row r="3563" ht="12.75" customHeight="1">
      <c r="A3563" s="59" t="s">
        <v>225</v>
      </c>
      <c r="B3563" s="60" t="s">
        <v>1326</v>
      </c>
    </row>
    <row r="3564" ht="12.75" customHeight="1">
      <c r="A3564" s="59" t="s">
        <v>225</v>
      </c>
      <c r="B3564" s="60" t="s">
        <v>1143</v>
      </c>
    </row>
    <row r="3565" ht="12.75" customHeight="1">
      <c r="A3565" s="59" t="s">
        <v>225</v>
      </c>
      <c r="B3565" s="60" t="s">
        <v>1144</v>
      </c>
    </row>
    <row r="3566" ht="12.75" customHeight="1">
      <c r="A3566" s="59" t="s">
        <v>225</v>
      </c>
      <c r="B3566" s="60" t="s">
        <v>1145</v>
      </c>
    </row>
    <row r="3567" ht="12.75" customHeight="1">
      <c r="A3567" s="59" t="s">
        <v>225</v>
      </c>
      <c r="B3567" s="60" t="s">
        <v>1146</v>
      </c>
    </row>
    <row r="3568" ht="12.75" customHeight="1">
      <c r="A3568" s="59" t="s">
        <v>225</v>
      </c>
      <c r="B3568" s="60" t="s">
        <v>1147</v>
      </c>
    </row>
    <row r="3569" ht="12.75" customHeight="1">
      <c r="A3569" s="59" t="s">
        <v>225</v>
      </c>
      <c r="B3569" s="60" t="s">
        <v>1148</v>
      </c>
    </row>
    <row r="3570" ht="12.75" customHeight="1">
      <c r="A3570" s="59" t="s">
        <v>225</v>
      </c>
      <c r="B3570" s="60" t="s">
        <v>1149</v>
      </c>
    </row>
    <row r="3571" ht="12.75" customHeight="1">
      <c r="A3571" s="59" t="s">
        <v>225</v>
      </c>
      <c r="B3571" s="60" t="s">
        <v>1150</v>
      </c>
    </row>
    <row r="3572" ht="12.75" customHeight="1">
      <c r="A3572" s="59" t="s">
        <v>225</v>
      </c>
      <c r="B3572" s="60" t="s">
        <v>1151</v>
      </c>
    </row>
    <row r="3573" ht="12.75" customHeight="1">
      <c r="A3573" s="59" t="s">
        <v>225</v>
      </c>
      <c r="B3573" s="60" t="s">
        <v>1152</v>
      </c>
    </row>
    <row r="3574" ht="12.75" customHeight="1">
      <c r="A3574" s="59" t="s">
        <v>225</v>
      </c>
      <c r="B3574" s="60" t="s">
        <v>1153</v>
      </c>
    </row>
    <row r="3575" ht="12.75" customHeight="1">
      <c r="A3575" s="59" t="s">
        <v>225</v>
      </c>
      <c r="B3575" s="60" t="s">
        <v>1154</v>
      </c>
    </row>
    <row r="3576" ht="12.75" customHeight="1">
      <c r="A3576" s="59" t="s">
        <v>225</v>
      </c>
      <c r="B3576" s="60" t="s">
        <v>1155</v>
      </c>
    </row>
    <row r="3577" ht="12.75" customHeight="1">
      <c r="A3577" s="59" t="s">
        <v>225</v>
      </c>
      <c r="B3577" s="60" t="s">
        <v>1156</v>
      </c>
    </row>
    <row r="3578" ht="12.75" customHeight="1">
      <c r="A3578" s="59" t="s">
        <v>225</v>
      </c>
      <c r="B3578" s="60" t="s">
        <v>1157</v>
      </c>
    </row>
    <row r="3579" ht="12.75" customHeight="1">
      <c r="A3579" s="59" t="s">
        <v>225</v>
      </c>
      <c r="B3579" s="60" t="s">
        <v>1158</v>
      </c>
    </row>
    <row r="3580" ht="12.75" customHeight="1">
      <c r="A3580" s="59" t="s">
        <v>225</v>
      </c>
      <c r="B3580" s="60" t="s">
        <v>1159</v>
      </c>
    </row>
    <row r="3581" ht="12.75" customHeight="1">
      <c r="A3581" s="59" t="s">
        <v>225</v>
      </c>
      <c r="B3581" s="60" t="s">
        <v>1327</v>
      </c>
    </row>
    <row r="3582" ht="12.75" customHeight="1">
      <c r="A3582" s="59" t="s">
        <v>225</v>
      </c>
      <c r="B3582" s="60" t="s">
        <v>1328</v>
      </c>
    </row>
    <row r="3583" ht="12.75" customHeight="1">
      <c r="A3583" s="59" t="s">
        <v>225</v>
      </c>
      <c r="B3583" s="60" t="s">
        <v>1329</v>
      </c>
    </row>
    <row r="3584" ht="12.75" customHeight="1">
      <c r="A3584" s="59" t="s">
        <v>225</v>
      </c>
      <c r="B3584" s="60" t="s">
        <v>1330</v>
      </c>
    </row>
    <row r="3585" ht="12.75" customHeight="1">
      <c r="A3585" s="59" t="s">
        <v>225</v>
      </c>
      <c r="B3585" s="60" t="s">
        <v>1331</v>
      </c>
    </row>
    <row r="3586" ht="12.75" customHeight="1">
      <c r="A3586" s="59" t="s">
        <v>225</v>
      </c>
      <c r="B3586" s="60" t="s">
        <v>1332</v>
      </c>
    </row>
    <row r="3587" ht="12.75" customHeight="1">
      <c r="A3587" s="59" t="s">
        <v>225</v>
      </c>
      <c r="B3587" s="60" t="s">
        <v>1333</v>
      </c>
    </row>
    <row r="3588" ht="12.75" customHeight="1">
      <c r="A3588" s="59" t="s">
        <v>225</v>
      </c>
      <c r="B3588" s="60" t="s">
        <v>1334</v>
      </c>
    </row>
    <row r="3589" ht="12.75" customHeight="1">
      <c r="A3589" s="59" t="s">
        <v>225</v>
      </c>
      <c r="B3589" s="60" t="s">
        <v>1335</v>
      </c>
    </row>
    <row r="3590" ht="12.75" customHeight="1">
      <c r="A3590" s="59" t="s">
        <v>225</v>
      </c>
      <c r="B3590" s="60" t="s">
        <v>1336</v>
      </c>
    </row>
    <row r="3591" ht="12.75" customHeight="1">
      <c r="A3591" s="59" t="s">
        <v>225</v>
      </c>
      <c r="B3591" s="60" t="s">
        <v>1337</v>
      </c>
    </row>
    <row r="3592" ht="12.75" customHeight="1">
      <c r="A3592" s="59" t="s">
        <v>225</v>
      </c>
      <c r="B3592" s="60" t="s">
        <v>1338</v>
      </c>
    </row>
    <row r="3593" ht="12.75" customHeight="1">
      <c r="A3593" s="59" t="s">
        <v>225</v>
      </c>
      <c r="B3593" s="60" t="s">
        <v>1339</v>
      </c>
    </row>
    <row r="3594" ht="12.75" customHeight="1">
      <c r="A3594" s="59" t="s">
        <v>225</v>
      </c>
      <c r="B3594" s="60" t="s">
        <v>1340</v>
      </c>
    </row>
    <row r="3595" ht="12.75" customHeight="1">
      <c r="A3595" s="59" t="s">
        <v>225</v>
      </c>
      <c r="B3595" s="60" t="s">
        <v>1341</v>
      </c>
    </row>
    <row r="3596" ht="12.75" customHeight="1">
      <c r="A3596" s="59" t="s">
        <v>225</v>
      </c>
      <c r="B3596" s="60" t="s">
        <v>1342</v>
      </c>
    </row>
    <row r="3597" ht="12.75" customHeight="1">
      <c r="A3597" s="59" t="s">
        <v>225</v>
      </c>
      <c r="B3597" s="60" t="s">
        <v>1343</v>
      </c>
    </row>
    <row r="3598" ht="12.75" customHeight="1">
      <c r="A3598" s="59" t="s">
        <v>225</v>
      </c>
      <c r="B3598" s="60" t="s">
        <v>1344</v>
      </c>
    </row>
    <row r="3599" ht="12.75" customHeight="1">
      <c r="A3599" s="59" t="s">
        <v>225</v>
      </c>
      <c r="B3599" s="60" t="s">
        <v>1345</v>
      </c>
    </row>
    <row r="3600" ht="12.75" customHeight="1">
      <c r="A3600" s="59" t="s">
        <v>225</v>
      </c>
      <c r="B3600" s="60" t="s">
        <v>1346</v>
      </c>
    </row>
    <row r="3601" ht="12.75" customHeight="1">
      <c r="A3601" s="59" t="s">
        <v>225</v>
      </c>
      <c r="B3601" s="60" t="s">
        <v>1347</v>
      </c>
    </row>
    <row r="3602" ht="12.75" customHeight="1">
      <c r="A3602" s="59" t="s">
        <v>225</v>
      </c>
      <c r="B3602" s="60" t="s">
        <v>1160</v>
      </c>
    </row>
    <row r="3603" ht="12.75" customHeight="1">
      <c r="A3603" s="59" t="s">
        <v>225</v>
      </c>
      <c r="B3603" s="60" t="s">
        <v>1161</v>
      </c>
    </row>
    <row r="3604" ht="12.75" customHeight="1">
      <c r="A3604" s="59" t="s">
        <v>225</v>
      </c>
      <c r="B3604" s="60" t="s">
        <v>1162</v>
      </c>
    </row>
    <row r="3605" ht="12.75" customHeight="1">
      <c r="A3605" s="59" t="s">
        <v>225</v>
      </c>
      <c r="B3605" s="60" t="s">
        <v>1163</v>
      </c>
    </row>
    <row r="3606" ht="12.75" customHeight="1">
      <c r="A3606" s="59" t="s">
        <v>225</v>
      </c>
      <c r="B3606" s="60" t="s">
        <v>1164</v>
      </c>
    </row>
    <row r="3607" ht="12.75" customHeight="1">
      <c r="A3607" s="59" t="s">
        <v>225</v>
      </c>
      <c r="B3607" s="60" t="s">
        <v>1165</v>
      </c>
    </row>
    <row r="3608" ht="12.75" customHeight="1">
      <c r="A3608" s="59" t="s">
        <v>225</v>
      </c>
      <c r="B3608" s="60" t="s">
        <v>1166</v>
      </c>
    </row>
    <row r="3609" ht="12.75" customHeight="1">
      <c r="A3609" s="59" t="s">
        <v>225</v>
      </c>
      <c r="B3609" s="60" t="s">
        <v>1167</v>
      </c>
    </row>
    <row r="3610" ht="12.75" customHeight="1">
      <c r="A3610" s="59" t="s">
        <v>225</v>
      </c>
      <c r="B3610" s="60" t="s">
        <v>1168</v>
      </c>
    </row>
    <row r="3611" ht="12.75" customHeight="1">
      <c r="A3611" s="59" t="s">
        <v>225</v>
      </c>
      <c r="B3611" s="60" t="s">
        <v>1169</v>
      </c>
    </row>
    <row r="3612" ht="12.75" customHeight="1">
      <c r="A3612" s="59" t="s">
        <v>225</v>
      </c>
      <c r="B3612" s="60" t="s">
        <v>1170</v>
      </c>
    </row>
    <row r="3613" ht="12.75" customHeight="1">
      <c r="A3613" s="59" t="s">
        <v>225</v>
      </c>
      <c r="B3613" s="60" t="s">
        <v>1348</v>
      </c>
    </row>
    <row r="3614" ht="12.75" customHeight="1">
      <c r="A3614" s="59" t="s">
        <v>225</v>
      </c>
      <c r="B3614" s="60" t="s">
        <v>1171</v>
      </c>
    </row>
    <row r="3615" ht="12.75" customHeight="1">
      <c r="A3615" s="59" t="s">
        <v>225</v>
      </c>
      <c r="B3615" s="60" t="s">
        <v>1349</v>
      </c>
    </row>
    <row r="3616" ht="12.75" customHeight="1">
      <c r="A3616" s="59" t="s">
        <v>225</v>
      </c>
      <c r="B3616" s="60" t="s">
        <v>1172</v>
      </c>
    </row>
    <row r="3617" ht="12.75" customHeight="1">
      <c r="A3617" s="59" t="s">
        <v>225</v>
      </c>
      <c r="B3617" s="60" t="s">
        <v>1350</v>
      </c>
    </row>
    <row r="3618" ht="12.75" customHeight="1">
      <c r="A3618" s="59" t="s">
        <v>225</v>
      </c>
      <c r="B3618" s="60" t="s">
        <v>1173</v>
      </c>
    </row>
    <row r="3619" ht="12.75" customHeight="1">
      <c r="A3619" s="59" t="s">
        <v>225</v>
      </c>
      <c r="B3619" s="60" t="s">
        <v>1351</v>
      </c>
    </row>
    <row r="3620" ht="12.75" customHeight="1">
      <c r="A3620" s="59" t="s">
        <v>225</v>
      </c>
      <c r="B3620" s="60" t="s">
        <v>1174</v>
      </c>
    </row>
    <row r="3621" ht="12.75" customHeight="1">
      <c r="A3621" s="59" t="s">
        <v>225</v>
      </c>
      <c r="B3621" s="60" t="s">
        <v>1352</v>
      </c>
    </row>
    <row r="3622" ht="12.75" customHeight="1">
      <c r="A3622" s="59" t="s">
        <v>225</v>
      </c>
      <c r="B3622" s="60" t="s">
        <v>1175</v>
      </c>
    </row>
    <row r="3623" ht="12.75" customHeight="1">
      <c r="A3623" s="59" t="s">
        <v>225</v>
      </c>
      <c r="B3623" s="60" t="s">
        <v>1353</v>
      </c>
    </row>
    <row r="3624" ht="12.75" customHeight="1">
      <c r="A3624" s="59" t="s">
        <v>225</v>
      </c>
      <c r="B3624" s="60" t="s">
        <v>1176</v>
      </c>
    </row>
    <row r="3625" ht="12.75" customHeight="1">
      <c r="A3625" s="59" t="s">
        <v>225</v>
      </c>
      <c r="B3625" s="60" t="s">
        <v>1177</v>
      </c>
    </row>
    <row r="3626" ht="12.75" customHeight="1">
      <c r="A3626" s="59" t="s">
        <v>225</v>
      </c>
      <c r="B3626" s="60" t="s">
        <v>1178</v>
      </c>
    </row>
    <row r="3627" ht="12.75" customHeight="1">
      <c r="A3627" s="59" t="s">
        <v>225</v>
      </c>
      <c r="B3627" s="60" t="s">
        <v>1179</v>
      </c>
    </row>
    <row r="3628" ht="12.75" customHeight="1">
      <c r="A3628" s="59" t="s">
        <v>225</v>
      </c>
      <c r="B3628" s="60" t="s">
        <v>1180</v>
      </c>
    </row>
    <row r="3629" ht="12.75" customHeight="1">
      <c r="A3629" s="59" t="s">
        <v>225</v>
      </c>
      <c r="B3629" s="60" t="s">
        <v>1181</v>
      </c>
    </row>
    <row r="3630" ht="12.75" customHeight="1">
      <c r="A3630" s="59" t="s">
        <v>225</v>
      </c>
      <c r="B3630" s="60" t="s">
        <v>1182</v>
      </c>
    </row>
    <row r="3631" ht="12.75" customHeight="1">
      <c r="A3631" s="59" t="s">
        <v>225</v>
      </c>
      <c r="B3631" s="60" t="s">
        <v>1183</v>
      </c>
    </row>
    <row r="3632" ht="12.75" customHeight="1">
      <c r="A3632" s="59" t="s">
        <v>225</v>
      </c>
      <c r="B3632" s="60" t="s">
        <v>1184</v>
      </c>
    </row>
    <row r="3633" ht="12.75" customHeight="1">
      <c r="A3633" s="59" t="s">
        <v>225</v>
      </c>
      <c r="B3633" s="60" t="s">
        <v>1185</v>
      </c>
    </row>
    <row r="3634" ht="12.75" customHeight="1">
      <c r="A3634" s="59" t="s">
        <v>225</v>
      </c>
      <c r="B3634" s="60" t="s">
        <v>1186</v>
      </c>
    </row>
    <row r="3635" ht="12.75" customHeight="1">
      <c r="A3635" s="59" t="s">
        <v>225</v>
      </c>
      <c r="B3635" s="60" t="s">
        <v>1187</v>
      </c>
    </row>
    <row r="3636" ht="12.75" customHeight="1">
      <c r="A3636" s="59" t="s">
        <v>225</v>
      </c>
      <c r="B3636" s="60" t="s">
        <v>1188</v>
      </c>
    </row>
    <row r="3637" ht="12.75" customHeight="1">
      <c r="A3637" s="59" t="s">
        <v>225</v>
      </c>
      <c r="B3637" s="60" t="s">
        <v>1189</v>
      </c>
    </row>
    <row r="3638" ht="12.75" customHeight="1">
      <c r="A3638" s="59" t="s">
        <v>225</v>
      </c>
      <c r="B3638" s="60" t="s">
        <v>1190</v>
      </c>
    </row>
    <row r="3639" ht="12.75" customHeight="1">
      <c r="A3639" s="59" t="s">
        <v>225</v>
      </c>
      <c r="B3639" s="60" t="s">
        <v>1191</v>
      </c>
    </row>
    <row r="3640" ht="12.75" customHeight="1">
      <c r="A3640" s="59" t="s">
        <v>225</v>
      </c>
      <c r="B3640" s="60" t="s">
        <v>1192</v>
      </c>
    </row>
    <row r="3641" ht="12.75" customHeight="1">
      <c r="A3641" s="59" t="s">
        <v>234</v>
      </c>
      <c r="B3641" s="60">
        <v>23.0</v>
      </c>
    </row>
    <row r="3642" ht="12.75" customHeight="1">
      <c r="A3642" s="59" t="s">
        <v>234</v>
      </c>
      <c r="B3642" s="60">
        <v>24.0</v>
      </c>
    </row>
    <row r="3643" ht="12.75" customHeight="1">
      <c r="A3643" s="59" t="s">
        <v>234</v>
      </c>
      <c r="B3643" s="60">
        <v>25.0</v>
      </c>
    </row>
    <row r="3644" ht="12.75" customHeight="1">
      <c r="A3644" s="59" t="s">
        <v>234</v>
      </c>
      <c r="B3644" s="60">
        <v>26.0</v>
      </c>
    </row>
    <row r="3645" ht="12.75" customHeight="1">
      <c r="A3645" s="59" t="s">
        <v>234</v>
      </c>
      <c r="B3645" s="60">
        <v>27.0</v>
      </c>
    </row>
    <row r="3646" ht="12.75" customHeight="1">
      <c r="A3646" s="59" t="s">
        <v>234</v>
      </c>
      <c r="B3646" s="60">
        <v>28.0</v>
      </c>
    </row>
    <row r="3647" ht="12.75" customHeight="1">
      <c r="A3647" s="59" t="s">
        <v>234</v>
      </c>
      <c r="B3647" s="60">
        <v>29.0</v>
      </c>
    </row>
    <row r="3648" ht="12.75" customHeight="1">
      <c r="A3648" s="59" t="s">
        <v>234</v>
      </c>
      <c r="B3648" s="60">
        <v>30.0</v>
      </c>
    </row>
    <row r="3649" ht="12.75" customHeight="1">
      <c r="A3649" s="59" t="s">
        <v>234</v>
      </c>
      <c r="B3649" s="60">
        <v>31.0</v>
      </c>
    </row>
    <row r="3650" ht="12.75" customHeight="1">
      <c r="A3650" s="59" t="s">
        <v>234</v>
      </c>
      <c r="B3650" s="60">
        <v>0.0</v>
      </c>
    </row>
    <row r="3651" ht="12.75" customHeight="1">
      <c r="A3651" s="59" t="s">
        <v>234</v>
      </c>
      <c r="B3651" s="60">
        <v>0.0</v>
      </c>
    </row>
    <row r="3652" ht="12.75" customHeight="1">
      <c r="A3652" s="59" t="s">
        <v>234</v>
      </c>
      <c r="B3652" s="60">
        <v>2.0</v>
      </c>
    </row>
    <row r="3653" ht="12.75" customHeight="1">
      <c r="A3653" s="59" t="s">
        <v>234</v>
      </c>
      <c r="B3653" s="60">
        <v>4.0</v>
      </c>
    </row>
    <row r="3654" ht="12.75" customHeight="1">
      <c r="A3654" s="59" t="s">
        <v>234</v>
      </c>
      <c r="B3654" s="60">
        <v>6.0</v>
      </c>
    </row>
    <row r="3655" ht="12.75" customHeight="1">
      <c r="A3655" s="59" t="s">
        <v>234</v>
      </c>
      <c r="B3655" s="60">
        <v>8.0</v>
      </c>
    </row>
    <row r="3656" ht="12.75" customHeight="1">
      <c r="A3656" s="59" t="s">
        <v>234</v>
      </c>
      <c r="B3656" s="60">
        <v>10.0</v>
      </c>
    </row>
    <row r="3657" ht="12.75" customHeight="1">
      <c r="A3657" s="59" t="s">
        <v>234</v>
      </c>
      <c r="B3657" s="60">
        <v>12.0</v>
      </c>
    </row>
    <row r="3658" ht="12.75" customHeight="1">
      <c r="A3658" s="59" t="s">
        <v>234</v>
      </c>
      <c r="B3658" s="60" t="s">
        <v>803</v>
      </c>
    </row>
    <row r="3659" ht="12.75" customHeight="1">
      <c r="A3659" s="59" t="s">
        <v>234</v>
      </c>
      <c r="B3659" s="60" t="s">
        <v>804</v>
      </c>
    </row>
    <row r="3660" ht="12.75" customHeight="1">
      <c r="A3660" s="59" t="s">
        <v>234</v>
      </c>
      <c r="B3660" s="60" t="s">
        <v>76</v>
      </c>
    </row>
    <row r="3661" ht="12.75" customHeight="1">
      <c r="A3661" s="59" t="s">
        <v>234</v>
      </c>
      <c r="B3661" s="60" t="s">
        <v>80</v>
      </c>
    </row>
    <row r="3662" ht="12.75" customHeight="1">
      <c r="A3662" s="59" t="s">
        <v>234</v>
      </c>
      <c r="B3662" s="60" t="s">
        <v>83</v>
      </c>
    </row>
    <row r="3663" ht="12.75" customHeight="1">
      <c r="A3663" s="59" t="s">
        <v>234</v>
      </c>
      <c r="B3663" s="60" t="s">
        <v>85</v>
      </c>
    </row>
    <row r="3664" ht="12.75" customHeight="1">
      <c r="A3664" s="59" t="s">
        <v>234</v>
      </c>
      <c r="B3664" s="60" t="s">
        <v>1193</v>
      </c>
    </row>
    <row r="3665" ht="12.75" customHeight="1">
      <c r="A3665" s="59" t="s">
        <v>234</v>
      </c>
      <c r="B3665" s="60" t="s">
        <v>1194</v>
      </c>
    </row>
    <row r="3666" ht="12.75" customHeight="1">
      <c r="A3666" s="59" t="s">
        <v>234</v>
      </c>
      <c r="B3666" s="60" t="s">
        <v>1195</v>
      </c>
    </row>
    <row r="3667" ht="12.75" customHeight="1">
      <c r="A3667" s="59" t="s">
        <v>234</v>
      </c>
      <c r="B3667" s="60" t="s">
        <v>1196</v>
      </c>
    </row>
    <row r="3668" ht="12.75" customHeight="1">
      <c r="A3668" s="59" t="s">
        <v>234</v>
      </c>
      <c r="B3668" s="60" t="s">
        <v>1197</v>
      </c>
    </row>
    <row r="3669" ht="12.75" customHeight="1">
      <c r="A3669" s="59" t="s">
        <v>234</v>
      </c>
      <c r="B3669" s="60" t="s">
        <v>1198</v>
      </c>
    </row>
    <row r="3670" ht="12.75" customHeight="1">
      <c r="A3670" s="59" t="s">
        <v>234</v>
      </c>
      <c r="B3670" s="60" t="s">
        <v>1199</v>
      </c>
    </row>
    <row r="3671" ht="12.75" customHeight="1">
      <c r="A3671" s="59" t="s">
        <v>234</v>
      </c>
      <c r="B3671" s="60" t="s">
        <v>805</v>
      </c>
    </row>
    <row r="3672" ht="12.75" customHeight="1">
      <c r="A3672" s="59" t="s">
        <v>234</v>
      </c>
      <c r="B3672" s="60" t="s">
        <v>1200</v>
      </c>
    </row>
    <row r="3673" ht="12.75" customHeight="1">
      <c r="A3673" s="59" t="s">
        <v>234</v>
      </c>
      <c r="B3673" s="60" t="s">
        <v>806</v>
      </c>
    </row>
    <row r="3674" ht="12.75" customHeight="1">
      <c r="A3674" s="59" t="s">
        <v>234</v>
      </c>
      <c r="B3674" s="60" t="s">
        <v>807</v>
      </c>
    </row>
    <row r="3675" ht="12.75" customHeight="1">
      <c r="A3675" s="59" t="s">
        <v>234</v>
      </c>
      <c r="B3675" s="60" t="s">
        <v>753</v>
      </c>
    </row>
    <row r="3676" ht="12.75" customHeight="1">
      <c r="A3676" s="59" t="s">
        <v>234</v>
      </c>
      <c r="B3676" s="60" t="s">
        <v>757</v>
      </c>
    </row>
    <row r="3677" ht="12.75" customHeight="1">
      <c r="A3677" s="59" t="s">
        <v>234</v>
      </c>
      <c r="B3677" s="60" t="s">
        <v>761</v>
      </c>
    </row>
    <row r="3678" ht="12.75" customHeight="1">
      <c r="A3678" s="59" t="s">
        <v>234</v>
      </c>
      <c r="B3678" s="60" t="s">
        <v>765</v>
      </c>
    </row>
    <row r="3679" ht="12.75" customHeight="1">
      <c r="A3679" s="59" t="s">
        <v>234</v>
      </c>
      <c r="B3679" s="60" t="s">
        <v>808</v>
      </c>
    </row>
    <row r="3680" ht="12.75" customHeight="1">
      <c r="A3680" s="59" t="s">
        <v>234</v>
      </c>
      <c r="B3680" s="60" t="s">
        <v>809</v>
      </c>
    </row>
    <row r="3681" ht="12.75" customHeight="1">
      <c r="A3681" s="59" t="s">
        <v>234</v>
      </c>
      <c r="B3681" s="60" t="s">
        <v>810</v>
      </c>
    </row>
    <row r="3682" ht="12.75" customHeight="1">
      <c r="A3682" s="59" t="s">
        <v>234</v>
      </c>
      <c r="B3682" s="60" t="s">
        <v>811</v>
      </c>
    </row>
    <row r="3683" ht="12.75" customHeight="1">
      <c r="A3683" s="59" t="s">
        <v>234</v>
      </c>
      <c r="B3683" s="60" t="s">
        <v>812</v>
      </c>
    </row>
    <row r="3684" ht="12.75" customHeight="1">
      <c r="A3684" s="59" t="s">
        <v>234</v>
      </c>
      <c r="B3684" s="60" t="s">
        <v>813</v>
      </c>
    </row>
    <row r="3685" ht="12.75" customHeight="1">
      <c r="A3685" s="59" t="s">
        <v>234</v>
      </c>
      <c r="B3685" s="60" t="s">
        <v>814</v>
      </c>
    </row>
    <row r="3686" ht="12.75" customHeight="1">
      <c r="A3686" s="59" t="s">
        <v>234</v>
      </c>
      <c r="B3686" s="60" t="s">
        <v>1201</v>
      </c>
    </row>
    <row r="3687" ht="12.75" customHeight="1">
      <c r="A3687" s="59" t="s">
        <v>234</v>
      </c>
      <c r="B3687" s="60" t="s">
        <v>815</v>
      </c>
    </row>
    <row r="3688" ht="12.75" customHeight="1">
      <c r="A3688" s="59" t="s">
        <v>234</v>
      </c>
      <c r="B3688" s="60" t="s">
        <v>816</v>
      </c>
    </row>
    <row r="3689" ht="12.75" customHeight="1">
      <c r="A3689" s="59" t="s">
        <v>234</v>
      </c>
      <c r="B3689" s="60" t="s">
        <v>771</v>
      </c>
    </row>
    <row r="3690" ht="12.75" customHeight="1">
      <c r="A3690" s="59" t="s">
        <v>234</v>
      </c>
      <c r="B3690" s="60" t="s">
        <v>775</v>
      </c>
    </row>
    <row r="3691" ht="12.75" customHeight="1">
      <c r="A3691" s="59" t="s">
        <v>234</v>
      </c>
      <c r="B3691" s="60" t="s">
        <v>779</v>
      </c>
    </row>
    <row r="3692" ht="12.75" customHeight="1">
      <c r="A3692" s="59" t="s">
        <v>234</v>
      </c>
      <c r="B3692" s="60" t="s">
        <v>783</v>
      </c>
    </row>
    <row r="3693" ht="12.75" customHeight="1">
      <c r="A3693" s="59" t="s">
        <v>234</v>
      </c>
      <c r="B3693" s="60" t="s">
        <v>817</v>
      </c>
    </row>
    <row r="3694" ht="12.75" customHeight="1">
      <c r="A3694" s="59" t="s">
        <v>234</v>
      </c>
      <c r="B3694" s="60" t="s">
        <v>818</v>
      </c>
    </row>
    <row r="3695" ht="12.75" customHeight="1">
      <c r="A3695" s="59" t="s">
        <v>234</v>
      </c>
      <c r="B3695" s="60" t="s">
        <v>1202</v>
      </c>
    </row>
    <row r="3696" ht="12.75" customHeight="1">
      <c r="A3696" s="59" t="s">
        <v>234</v>
      </c>
      <c r="B3696" s="60" t="s">
        <v>873</v>
      </c>
    </row>
    <row r="3697" ht="12.75" customHeight="1">
      <c r="A3697" s="59" t="s">
        <v>234</v>
      </c>
      <c r="B3697" s="60" t="s">
        <v>1203</v>
      </c>
    </row>
    <row r="3698" ht="12.75" customHeight="1">
      <c r="A3698" s="59" t="s">
        <v>234</v>
      </c>
      <c r="B3698" s="60" t="s">
        <v>874</v>
      </c>
    </row>
    <row r="3699" ht="12.75" customHeight="1">
      <c r="A3699" s="59" t="s">
        <v>234</v>
      </c>
      <c r="B3699" s="60" t="s">
        <v>1204</v>
      </c>
    </row>
    <row r="3700" ht="12.75" customHeight="1">
      <c r="A3700" s="59" t="s">
        <v>234</v>
      </c>
      <c r="B3700" s="60" t="s">
        <v>875</v>
      </c>
    </row>
    <row r="3701" ht="12.75" customHeight="1">
      <c r="A3701" s="59" t="s">
        <v>234</v>
      </c>
      <c r="B3701" s="60" t="s">
        <v>1205</v>
      </c>
    </row>
    <row r="3702" ht="12.75" customHeight="1">
      <c r="A3702" s="59" t="s">
        <v>234</v>
      </c>
      <c r="B3702" s="60" t="s">
        <v>876</v>
      </c>
    </row>
    <row r="3703" ht="12.75" customHeight="1">
      <c r="A3703" s="59" t="s">
        <v>234</v>
      </c>
      <c r="B3703" s="60" t="s">
        <v>1206</v>
      </c>
    </row>
    <row r="3704" ht="12.75" customHeight="1">
      <c r="A3704" s="59" t="s">
        <v>234</v>
      </c>
      <c r="B3704" s="60" t="s">
        <v>819</v>
      </c>
    </row>
    <row r="3705" ht="12.75" customHeight="1">
      <c r="A3705" s="59" t="s">
        <v>234</v>
      </c>
      <c r="B3705" s="60" t="s">
        <v>820</v>
      </c>
    </row>
    <row r="3706" ht="12.75" customHeight="1">
      <c r="A3706" s="59" t="s">
        <v>234</v>
      </c>
      <c r="B3706" s="60" t="s">
        <v>821</v>
      </c>
    </row>
    <row r="3707" ht="12.75" customHeight="1">
      <c r="A3707" s="59" t="s">
        <v>234</v>
      </c>
      <c r="B3707" s="60" t="s">
        <v>822</v>
      </c>
    </row>
    <row r="3708" ht="12.75" customHeight="1">
      <c r="A3708" s="59" t="s">
        <v>234</v>
      </c>
      <c r="B3708" s="60" t="s">
        <v>823</v>
      </c>
    </row>
    <row r="3709" ht="12.75" customHeight="1">
      <c r="A3709" s="59" t="s">
        <v>234</v>
      </c>
      <c r="B3709" s="60" t="s">
        <v>824</v>
      </c>
    </row>
    <row r="3710" ht="12.75" customHeight="1">
      <c r="A3710" s="59" t="s">
        <v>234</v>
      </c>
      <c r="B3710" s="60" t="s">
        <v>1207</v>
      </c>
    </row>
    <row r="3711" ht="12.75" customHeight="1">
      <c r="A3711" s="59" t="s">
        <v>234</v>
      </c>
      <c r="B3711" s="60" t="s">
        <v>825</v>
      </c>
    </row>
    <row r="3712" ht="12.75" customHeight="1">
      <c r="A3712" s="59" t="s">
        <v>234</v>
      </c>
      <c r="B3712" s="60" t="s">
        <v>788</v>
      </c>
    </row>
    <row r="3713" ht="12.75" customHeight="1">
      <c r="A3713" s="59" t="s">
        <v>234</v>
      </c>
      <c r="B3713" s="60" t="s">
        <v>792</v>
      </c>
    </row>
    <row r="3714" ht="12.75" customHeight="1">
      <c r="A3714" s="59" t="s">
        <v>234</v>
      </c>
      <c r="B3714" s="60" t="s">
        <v>796</v>
      </c>
    </row>
    <row r="3715" ht="12.75" customHeight="1">
      <c r="A3715" s="59" t="s">
        <v>234</v>
      </c>
      <c r="B3715" s="60" t="s">
        <v>800</v>
      </c>
    </row>
    <row r="3716" ht="12.75" customHeight="1">
      <c r="A3716" s="59" t="s">
        <v>234</v>
      </c>
      <c r="B3716" s="60" t="s">
        <v>826</v>
      </c>
    </row>
    <row r="3717" ht="12.75" customHeight="1">
      <c r="A3717" s="59" t="s">
        <v>234</v>
      </c>
      <c r="B3717" s="60" t="s">
        <v>827</v>
      </c>
    </row>
    <row r="3718" ht="12.75" customHeight="1">
      <c r="A3718" s="59" t="s">
        <v>234</v>
      </c>
      <c r="B3718" s="60" t="s">
        <v>828</v>
      </c>
    </row>
    <row r="3719" ht="12.75" customHeight="1">
      <c r="A3719" s="59" t="s">
        <v>234</v>
      </c>
      <c r="B3719" s="60" t="s">
        <v>1208</v>
      </c>
    </row>
    <row r="3720" ht="12.75" customHeight="1">
      <c r="A3720" s="59" t="s">
        <v>234</v>
      </c>
      <c r="B3720" s="60" t="s">
        <v>892</v>
      </c>
    </row>
    <row r="3721" ht="12.75" customHeight="1">
      <c r="A3721" s="59" t="s">
        <v>234</v>
      </c>
      <c r="B3721" s="60" t="s">
        <v>1209</v>
      </c>
    </row>
    <row r="3722" ht="12.75" customHeight="1">
      <c r="A3722" s="59" t="s">
        <v>234</v>
      </c>
      <c r="B3722" s="60" t="s">
        <v>893</v>
      </c>
    </row>
    <row r="3723" ht="12.75" customHeight="1">
      <c r="A3723" s="59" t="s">
        <v>234</v>
      </c>
      <c r="B3723" s="60" t="s">
        <v>1210</v>
      </c>
    </row>
    <row r="3724" ht="12.75" customHeight="1">
      <c r="A3724" s="59" t="s">
        <v>234</v>
      </c>
      <c r="B3724" s="60" t="s">
        <v>894</v>
      </c>
    </row>
    <row r="3725" ht="12.75" customHeight="1">
      <c r="A3725" s="59" t="s">
        <v>234</v>
      </c>
      <c r="B3725" s="60" t="s">
        <v>1211</v>
      </c>
    </row>
    <row r="3726" ht="12.75" customHeight="1">
      <c r="A3726" s="59" t="s">
        <v>234</v>
      </c>
      <c r="B3726" s="60" t="s">
        <v>895</v>
      </c>
    </row>
    <row r="3727" ht="12.75" customHeight="1">
      <c r="A3727" s="59" t="s">
        <v>234</v>
      </c>
      <c r="B3727" s="60" t="s">
        <v>1212</v>
      </c>
    </row>
    <row r="3728" ht="12.75" customHeight="1">
      <c r="A3728" s="59" t="s">
        <v>234</v>
      </c>
      <c r="B3728" s="60" t="s">
        <v>829</v>
      </c>
    </row>
    <row r="3729" ht="12.75" customHeight="1">
      <c r="A3729" s="59" t="s">
        <v>234</v>
      </c>
      <c r="B3729" s="60" t="s">
        <v>830</v>
      </c>
    </row>
    <row r="3730" ht="12.75" customHeight="1">
      <c r="A3730" s="59" t="s">
        <v>234</v>
      </c>
      <c r="B3730" s="60" t="s">
        <v>831</v>
      </c>
    </row>
    <row r="3731" ht="12.75" customHeight="1">
      <c r="A3731" s="59" t="s">
        <v>234</v>
      </c>
      <c r="B3731" s="60" t="s">
        <v>832</v>
      </c>
    </row>
    <row r="3732" ht="12.75" customHeight="1">
      <c r="A3732" s="59" t="s">
        <v>234</v>
      </c>
      <c r="B3732" s="60" t="s">
        <v>833</v>
      </c>
    </row>
    <row r="3733" ht="12.75" customHeight="1">
      <c r="A3733" s="59" t="s">
        <v>234</v>
      </c>
      <c r="B3733" s="60" t="s">
        <v>834</v>
      </c>
    </row>
    <row r="3734" ht="12.75" customHeight="1">
      <c r="A3734" s="59" t="s">
        <v>234</v>
      </c>
      <c r="B3734" s="60">
        <v>32.0</v>
      </c>
    </row>
    <row r="3735" ht="12.75" customHeight="1">
      <c r="A3735" s="59" t="s">
        <v>234</v>
      </c>
      <c r="B3735" s="60">
        <v>33.0</v>
      </c>
    </row>
    <row r="3736" ht="12.75" customHeight="1">
      <c r="A3736" s="59" t="s">
        <v>234</v>
      </c>
      <c r="B3736" s="60">
        <v>34.0</v>
      </c>
    </row>
    <row r="3737" ht="12.75" customHeight="1">
      <c r="A3737" s="59" t="s">
        <v>234</v>
      </c>
      <c r="B3737" s="60">
        <v>14.0</v>
      </c>
    </row>
    <row r="3738" ht="12.75" customHeight="1">
      <c r="A3738" s="59" t="s">
        <v>234</v>
      </c>
      <c r="B3738" s="60" t="s">
        <v>835</v>
      </c>
    </row>
    <row r="3739" ht="12.75" customHeight="1">
      <c r="A3739" s="59" t="s">
        <v>234</v>
      </c>
      <c r="B3739" s="60">
        <v>16.0</v>
      </c>
    </row>
    <row r="3740" ht="12.75" customHeight="1">
      <c r="A3740" s="59" t="s">
        <v>234</v>
      </c>
      <c r="B3740" s="60" t="s">
        <v>836</v>
      </c>
    </row>
    <row r="3741" ht="12.75" customHeight="1">
      <c r="A3741" s="59" t="s">
        <v>234</v>
      </c>
      <c r="B3741" s="60">
        <v>18.0</v>
      </c>
    </row>
    <row r="3742" ht="12.75" customHeight="1">
      <c r="A3742" s="59" t="s">
        <v>234</v>
      </c>
      <c r="B3742" s="60" t="s">
        <v>837</v>
      </c>
    </row>
    <row r="3743" ht="12.75" customHeight="1">
      <c r="A3743" s="59" t="s">
        <v>234</v>
      </c>
      <c r="B3743" s="60">
        <v>20.0</v>
      </c>
    </row>
    <row r="3744" ht="12.75" customHeight="1">
      <c r="A3744" s="59" t="s">
        <v>234</v>
      </c>
      <c r="B3744" s="60" t="s">
        <v>838</v>
      </c>
    </row>
    <row r="3745" ht="12.75" customHeight="1">
      <c r="A3745" s="59" t="s">
        <v>234</v>
      </c>
      <c r="B3745" s="60">
        <v>22.0</v>
      </c>
    </row>
    <row r="3746" ht="12.75" customHeight="1">
      <c r="A3746" s="59" t="s">
        <v>234</v>
      </c>
      <c r="B3746" s="60" t="s">
        <v>839</v>
      </c>
    </row>
    <row r="3747" ht="12.75" customHeight="1">
      <c r="A3747" s="59" t="s">
        <v>234</v>
      </c>
      <c r="B3747" s="60" t="s">
        <v>1213</v>
      </c>
    </row>
    <row r="3748" ht="12.75" customHeight="1">
      <c r="A3748" s="59" t="s">
        <v>234</v>
      </c>
      <c r="B3748" s="60" t="s">
        <v>840</v>
      </c>
    </row>
    <row r="3749" ht="12.75" customHeight="1">
      <c r="A3749" s="59" t="s">
        <v>234</v>
      </c>
      <c r="B3749" s="60" t="s">
        <v>1214</v>
      </c>
    </row>
    <row r="3750" ht="12.75" customHeight="1">
      <c r="A3750" s="59" t="s">
        <v>234</v>
      </c>
      <c r="B3750" s="60" t="s">
        <v>841</v>
      </c>
    </row>
    <row r="3751" ht="12.75" customHeight="1">
      <c r="A3751" s="59" t="s">
        <v>234</v>
      </c>
      <c r="B3751" s="60" t="s">
        <v>1215</v>
      </c>
    </row>
    <row r="3752" ht="12.75" customHeight="1">
      <c r="A3752" s="59" t="s">
        <v>234</v>
      </c>
      <c r="B3752" s="60" t="s">
        <v>842</v>
      </c>
    </row>
    <row r="3753" ht="12.75" customHeight="1">
      <c r="A3753" s="59" t="s">
        <v>234</v>
      </c>
      <c r="B3753" s="60" t="s">
        <v>1216</v>
      </c>
    </row>
    <row r="3754" ht="12.75" customHeight="1">
      <c r="A3754" s="59" t="s">
        <v>234</v>
      </c>
      <c r="B3754" s="60" t="s">
        <v>843</v>
      </c>
    </row>
    <row r="3755" ht="12.75" customHeight="1">
      <c r="A3755" s="59" t="s">
        <v>234</v>
      </c>
      <c r="B3755" s="60" t="s">
        <v>1217</v>
      </c>
    </row>
    <row r="3756" ht="12.75" customHeight="1">
      <c r="A3756" s="59" t="s">
        <v>234</v>
      </c>
      <c r="B3756" s="60" t="s">
        <v>844</v>
      </c>
    </row>
    <row r="3757" ht="12.75" customHeight="1">
      <c r="A3757" s="59" t="s">
        <v>234</v>
      </c>
      <c r="B3757" s="60" t="s">
        <v>845</v>
      </c>
    </row>
    <row r="3758" ht="12.75" customHeight="1">
      <c r="A3758" s="59" t="s">
        <v>234</v>
      </c>
      <c r="B3758" s="60" t="s">
        <v>846</v>
      </c>
    </row>
    <row r="3759" ht="12.75" customHeight="1">
      <c r="A3759" s="59" t="s">
        <v>234</v>
      </c>
      <c r="B3759" s="60" t="s">
        <v>847</v>
      </c>
    </row>
    <row r="3760" ht="12.75" customHeight="1">
      <c r="A3760" s="59" t="s">
        <v>234</v>
      </c>
      <c r="B3760" s="60" t="s">
        <v>848</v>
      </c>
    </row>
    <row r="3761" ht="12.75" customHeight="1">
      <c r="A3761" s="59" t="s">
        <v>234</v>
      </c>
      <c r="B3761" s="60" t="s">
        <v>849</v>
      </c>
    </row>
    <row r="3762" ht="12.75" customHeight="1">
      <c r="A3762" s="59" t="s">
        <v>234</v>
      </c>
      <c r="B3762" s="60" t="s">
        <v>850</v>
      </c>
    </row>
    <row r="3763" ht="12.75" customHeight="1">
      <c r="A3763" s="59" t="s">
        <v>234</v>
      </c>
      <c r="B3763" s="60" t="s">
        <v>851</v>
      </c>
    </row>
    <row r="3764" ht="12.75" customHeight="1">
      <c r="A3764" s="59" t="s">
        <v>234</v>
      </c>
      <c r="B3764" s="60" t="s">
        <v>852</v>
      </c>
    </row>
    <row r="3765" ht="12.75" customHeight="1">
      <c r="A3765" s="59" t="s">
        <v>234</v>
      </c>
      <c r="B3765" s="60" t="s">
        <v>1218</v>
      </c>
    </row>
    <row r="3766" ht="12.75" customHeight="1">
      <c r="A3766" s="59" t="s">
        <v>234</v>
      </c>
      <c r="B3766" s="60" t="s">
        <v>1219</v>
      </c>
    </row>
    <row r="3767" ht="12.75" customHeight="1">
      <c r="A3767" s="59" t="s">
        <v>234</v>
      </c>
      <c r="B3767" s="60" t="s">
        <v>1220</v>
      </c>
    </row>
    <row r="3768" ht="12.75" customHeight="1">
      <c r="A3768" s="59" t="s">
        <v>234</v>
      </c>
      <c r="B3768" s="60" t="s">
        <v>853</v>
      </c>
    </row>
    <row r="3769" ht="12.75" customHeight="1">
      <c r="A3769" s="59" t="s">
        <v>234</v>
      </c>
      <c r="B3769" s="60" t="s">
        <v>854</v>
      </c>
    </row>
    <row r="3770" ht="12.75" customHeight="1">
      <c r="A3770" s="59" t="s">
        <v>234</v>
      </c>
      <c r="B3770" s="60" t="s">
        <v>855</v>
      </c>
    </row>
    <row r="3771" ht="12.75" customHeight="1">
      <c r="A3771" s="59" t="s">
        <v>234</v>
      </c>
      <c r="B3771" s="60" t="s">
        <v>856</v>
      </c>
    </row>
    <row r="3772" ht="12.75" customHeight="1">
      <c r="A3772" s="59" t="s">
        <v>234</v>
      </c>
      <c r="B3772" s="60" t="s">
        <v>857</v>
      </c>
    </row>
    <row r="3773" ht="12.75" customHeight="1">
      <c r="A3773" s="59" t="s">
        <v>234</v>
      </c>
      <c r="B3773" s="60" t="s">
        <v>858</v>
      </c>
    </row>
    <row r="3774" ht="12.75" customHeight="1">
      <c r="A3774" s="59" t="s">
        <v>234</v>
      </c>
      <c r="B3774" s="60" t="s">
        <v>859</v>
      </c>
    </row>
    <row r="3775" ht="12.75" customHeight="1">
      <c r="A3775" s="59" t="s">
        <v>234</v>
      </c>
      <c r="B3775" s="60" t="s">
        <v>860</v>
      </c>
    </row>
    <row r="3776" ht="12.75" customHeight="1">
      <c r="A3776" s="59" t="s">
        <v>234</v>
      </c>
      <c r="B3776" s="60" t="s">
        <v>861</v>
      </c>
    </row>
    <row r="3777" ht="12.75" customHeight="1">
      <c r="A3777" s="59" t="s">
        <v>234</v>
      </c>
      <c r="B3777" s="60" t="s">
        <v>862</v>
      </c>
    </row>
    <row r="3778" ht="12.75" customHeight="1">
      <c r="A3778" s="59" t="s">
        <v>234</v>
      </c>
      <c r="B3778" s="60" t="s">
        <v>863</v>
      </c>
    </row>
    <row r="3779" ht="12.75" customHeight="1">
      <c r="A3779" s="59" t="s">
        <v>234</v>
      </c>
      <c r="B3779" s="60" t="s">
        <v>864</v>
      </c>
    </row>
    <row r="3780" ht="12.75" customHeight="1">
      <c r="A3780" s="59" t="s">
        <v>234</v>
      </c>
      <c r="B3780" s="60" t="s">
        <v>865</v>
      </c>
    </row>
    <row r="3781" ht="12.75" customHeight="1">
      <c r="A3781" s="59" t="s">
        <v>234</v>
      </c>
      <c r="B3781" s="60" t="s">
        <v>866</v>
      </c>
    </row>
    <row r="3782" ht="12.75" customHeight="1">
      <c r="A3782" s="59" t="s">
        <v>234</v>
      </c>
      <c r="B3782" s="60" t="s">
        <v>867</v>
      </c>
    </row>
    <row r="3783" ht="12.75" customHeight="1">
      <c r="A3783" s="59" t="s">
        <v>234</v>
      </c>
      <c r="B3783" s="60" t="s">
        <v>868</v>
      </c>
    </row>
    <row r="3784" ht="12.75" customHeight="1">
      <c r="A3784" s="59" t="s">
        <v>234</v>
      </c>
      <c r="B3784" s="60" t="s">
        <v>869</v>
      </c>
    </row>
    <row r="3785" ht="12.75" customHeight="1">
      <c r="A3785" s="59" t="s">
        <v>234</v>
      </c>
      <c r="B3785" s="60" t="s">
        <v>870</v>
      </c>
    </row>
    <row r="3786" ht="12.75" customHeight="1">
      <c r="A3786" s="59" t="s">
        <v>234</v>
      </c>
      <c r="B3786" s="60" t="s">
        <v>871</v>
      </c>
    </row>
    <row r="3787" ht="12.75" customHeight="1">
      <c r="A3787" s="59" t="s">
        <v>234</v>
      </c>
      <c r="B3787" s="60" t="s">
        <v>872</v>
      </c>
    </row>
    <row r="3788" ht="12.75" customHeight="1">
      <c r="A3788" s="59" t="s">
        <v>234</v>
      </c>
      <c r="B3788" s="60" t="s">
        <v>1225</v>
      </c>
    </row>
    <row r="3789" ht="12.75" customHeight="1">
      <c r="A3789" s="59" t="s">
        <v>234</v>
      </c>
      <c r="B3789" s="60" t="s">
        <v>1226</v>
      </c>
    </row>
    <row r="3790" ht="12.75" customHeight="1">
      <c r="A3790" s="59" t="s">
        <v>234</v>
      </c>
      <c r="B3790" s="60" t="s">
        <v>1227</v>
      </c>
    </row>
    <row r="3791" ht="12.75" customHeight="1">
      <c r="A3791" s="59" t="s">
        <v>234</v>
      </c>
      <c r="B3791" s="60" t="s">
        <v>1228</v>
      </c>
    </row>
    <row r="3792" ht="12.75" customHeight="1">
      <c r="A3792" s="59" t="s">
        <v>234</v>
      </c>
      <c r="B3792" s="60" t="s">
        <v>877</v>
      </c>
    </row>
    <row r="3793" ht="12.75" customHeight="1">
      <c r="A3793" s="59" t="s">
        <v>234</v>
      </c>
      <c r="B3793" s="60" t="s">
        <v>1230</v>
      </c>
    </row>
    <row r="3794" ht="12.75" customHeight="1">
      <c r="A3794" s="59" t="s">
        <v>234</v>
      </c>
      <c r="B3794" s="60" t="s">
        <v>878</v>
      </c>
    </row>
    <row r="3795" ht="12.75" customHeight="1">
      <c r="A3795" s="59" t="s">
        <v>234</v>
      </c>
      <c r="B3795" s="60" t="s">
        <v>879</v>
      </c>
    </row>
    <row r="3796" ht="12.75" customHeight="1">
      <c r="A3796" s="59" t="s">
        <v>234</v>
      </c>
      <c r="B3796" s="60" t="s">
        <v>880</v>
      </c>
    </row>
    <row r="3797" ht="12.75" customHeight="1">
      <c r="A3797" s="59" t="s">
        <v>234</v>
      </c>
      <c r="B3797" s="60" t="s">
        <v>881</v>
      </c>
    </row>
    <row r="3798" ht="12.75" customHeight="1">
      <c r="A3798" s="59" t="s">
        <v>234</v>
      </c>
      <c r="B3798" s="60" t="s">
        <v>882</v>
      </c>
    </row>
    <row r="3799" ht="12.75" customHeight="1">
      <c r="A3799" s="59" t="s">
        <v>234</v>
      </c>
      <c r="B3799" s="60" t="s">
        <v>883</v>
      </c>
    </row>
    <row r="3800" ht="12.75" customHeight="1">
      <c r="A3800" s="59" t="s">
        <v>234</v>
      </c>
      <c r="B3800" s="60" t="s">
        <v>884</v>
      </c>
    </row>
    <row r="3801" ht="12.75" customHeight="1">
      <c r="A3801" s="59" t="s">
        <v>234</v>
      </c>
      <c r="B3801" s="60" t="s">
        <v>885</v>
      </c>
    </row>
    <row r="3802" ht="12.75" customHeight="1">
      <c r="A3802" s="59" t="s">
        <v>234</v>
      </c>
      <c r="B3802" s="60" t="s">
        <v>886</v>
      </c>
    </row>
    <row r="3803" ht="12.75" customHeight="1">
      <c r="A3803" s="59" t="s">
        <v>234</v>
      </c>
      <c r="B3803" s="60" t="s">
        <v>887</v>
      </c>
    </row>
    <row r="3804" ht="12.75" customHeight="1">
      <c r="A3804" s="59" t="s">
        <v>234</v>
      </c>
      <c r="B3804" s="60" t="s">
        <v>888</v>
      </c>
    </row>
    <row r="3805" ht="12.75" customHeight="1">
      <c r="A3805" s="59" t="s">
        <v>234</v>
      </c>
      <c r="B3805" s="60" t="s">
        <v>889</v>
      </c>
    </row>
    <row r="3806" ht="12.75" customHeight="1">
      <c r="A3806" s="59" t="s">
        <v>234</v>
      </c>
      <c r="B3806" s="60" t="s">
        <v>890</v>
      </c>
    </row>
    <row r="3807" ht="12.75" customHeight="1">
      <c r="A3807" s="59" t="s">
        <v>234</v>
      </c>
      <c r="B3807" s="60" t="s">
        <v>891</v>
      </c>
    </row>
    <row r="3808" ht="12.75" customHeight="1">
      <c r="A3808" s="59" t="s">
        <v>234</v>
      </c>
      <c r="B3808" s="60" t="s">
        <v>1234</v>
      </c>
    </row>
    <row r="3809" ht="12.75" customHeight="1">
      <c r="A3809" s="59" t="s">
        <v>234</v>
      </c>
      <c r="B3809" s="60" t="s">
        <v>1235</v>
      </c>
    </row>
    <row r="3810" ht="12.75" customHeight="1">
      <c r="A3810" s="59" t="s">
        <v>234</v>
      </c>
      <c r="B3810" s="60" t="s">
        <v>1236</v>
      </c>
    </row>
    <row r="3811" ht="12.75" customHeight="1">
      <c r="A3811" s="59" t="s">
        <v>234</v>
      </c>
      <c r="B3811" s="60" t="s">
        <v>1237</v>
      </c>
    </row>
    <row r="3812" ht="12.75" customHeight="1">
      <c r="A3812" s="59" t="s">
        <v>234</v>
      </c>
      <c r="B3812" s="60" t="s">
        <v>896</v>
      </c>
    </row>
    <row r="3813" ht="12.75" customHeight="1">
      <c r="A3813" s="59" t="s">
        <v>234</v>
      </c>
      <c r="B3813" s="60" t="s">
        <v>1239</v>
      </c>
    </row>
    <row r="3814" ht="12.75" customHeight="1">
      <c r="A3814" s="59" t="s">
        <v>234</v>
      </c>
      <c r="B3814" s="60" t="s">
        <v>897</v>
      </c>
    </row>
    <row r="3815" ht="12.75" customHeight="1">
      <c r="A3815" s="59" t="s">
        <v>234</v>
      </c>
      <c r="B3815" s="60" t="s">
        <v>898</v>
      </c>
    </row>
    <row r="3816" ht="12.75" customHeight="1">
      <c r="A3816" s="59" t="s">
        <v>234</v>
      </c>
      <c r="B3816" s="60" t="s">
        <v>899</v>
      </c>
    </row>
    <row r="3817" ht="12.75" customHeight="1">
      <c r="A3817" s="59" t="s">
        <v>234</v>
      </c>
      <c r="B3817" s="60" t="s">
        <v>900</v>
      </c>
    </row>
    <row r="3818" ht="12.75" customHeight="1">
      <c r="A3818" s="59" t="s">
        <v>234</v>
      </c>
      <c r="B3818" s="60" t="s">
        <v>901</v>
      </c>
    </row>
    <row r="3819" ht="12.75" customHeight="1">
      <c r="A3819" s="59" t="s">
        <v>234</v>
      </c>
      <c r="B3819" s="60" t="s">
        <v>902</v>
      </c>
    </row>
    <row r="3820" ht="12.75" customHeight="1">
      <c r="A3820" s="59" t="s">
        <v>234</v>
      </c>
      <c r="B3820" s="60" t="s">
        <v>903</v>
      </c>
    </row>
    <row r="3821" ht="12.75" customHeight="1">
      <c r="A3821" s="59" t="s">
        <v>234</v>
      </c>
      <c r="B3821" s="60" t="s">
        <v>904</v>
      </c>
    </row>
    <row r="3822" ht="12.75" customHeight="1">
      <c r="A3822" s="59" t="s">
        <v>234</v>
      </c>
      <c r="B3822" s="60" t="s">
        <v>905</v>
      </c>
    </row>
    <row r="3823" ht="12.75" customHeight="1">
      <c r="A3823" s="59" t="s">
        <v>234</v>
      </c>
      <c r="B3823" s="60" t="s">
        <v>906</v>
      </c>
    </row>
    <row r="3824" ht="12.75" customHeight="1">
      <c r="A3824" s="59" t="s">
        <v>234</v>
      </c>
      <c r="B3824" s="60" t="s">
        <v>907</v>
      </c>
    </row>
    <row r="3825" ht="12.75" customHeight="1">
      <c r="A3825" s="59" t="s">
        <v>234</v>
      </c>
      <c r="B3825" s="60" t="s">
        <v>1243</v>
      </c>
    </row>
    <row r="3826" ht="12.75" customHeight="1">
      <c r="A3826" s="59" t="s">
        <v>234</v>
      </c>
      <c r="B3826" s="60" t="s">
        <v>1244</v>
      </c>
    </row>
    <row r="3827" ht="12.75" customHeight="1">
      <c r="A3827" s="59" t="s">
        <v>234</v>
      </c>
      <c r="B3827" s="60" t="s">
        <v>1245</v>
      </c>
    </row>
    <row r="3828" ht="12.75" customHeight="1">
      <c r="A3828" s="59" t="s">
        <v>234</v>
      </c>
      <c r="B3828" s="60" t="s">
        <v>1246</v>
      </c>
    </row>
    <row r="3829" ht="12.75" customHeight="1">
      <c r="A3829" s="59" t="s">
        <v>234</v>
      </c>
      <c r="B3829" s="60" t="s">
        <v>1247</v>
      </c>
    </row>
    <row r="3830" ht="12.75" customHeight="1">
      <c r="A3830" s="59" t="s">
        <v>234</v>
      </c>
      <c r="B3830" s="60" t="s">
        <v>1248</v>
      </c>
    </row>
    <row r="3831" ht="12.75" customHeight="1">
      <c r="A3831" s="59" t="s">
        <v>234</v>
      </c>
      <c r="B3831" s="60" t="s">
        <v>1249</v>
      </c>
    </row>
    <row r="3832" ht="12.75" customHeight="1">
      <c r="A3832" s="59" t="s">
        <v>234</v>
      </c>
      <c r="B3832" s="60" t="s">
        <v>1250</v>
      </c>
    </row>
    <row r="3833" ht="12.75" customHeight="1">
      <c r="A3833" s="59" t="s">
        <v>234</v>
      </c>
      <c r="B3833" s="60" t="s">
        <v>1251</v>
      </c>
    </row>
    <row r="3834" ht="12.75" customHeight="1">
      <c r="A3834" s="59" t="s">
        <v>234</v>
      </c>
      <c r="B3834" s="60" t="s">
        <v>1252</v>
      </c>
    </row>
    <row r="3835" ht="12.75" customHeight="1">
      <c r="A3835" s="59" t="s">
        <v>234</v>
      </c>
      <c r="B3835" s="60" t="s">
        <v>1253</v>
      </c>
    </row>
    <row r="3836" ht="12.75" customHeight="1">
      <c r="A3836" s="59" t="s">
        <v>234</v>
      </c>
      <c r="B3836" s="60" t="s">
        <v>1254</v>
      </c>
    </row>
    <row r="3837" ht="12.75" customHeight="1">
      <c r="A3837" s="59" t="s">
        <v>234</v>
      </c>
      <c r="B3837" s="60" t="s">
        <v>908</v>
      </c>
    </row>
    <row r="3838" ht="12.75" customHeight="1">
      <c r="A3838" s="59" t="s">
        <v>234</v>
      </c>
      <c r="B3838" s="60" t="s">
        <v>909</v>
      </c>
    </row>
    <row r="3839" ht="12.75" customHeight="1">
      <c r="A3839" s="59" t="s">
        <v>234</v>
      </c>
      <c r="B3839" s="60" t="s">
        <v>910</v>
      </c>
    </row>
    <row r="3840" ht="12.75" customHeight="1">
      <c r="A3840" s="59" t="s">
        <v>234</v>
      </c>
      <c r="B3840" s="60" t="s">
        <v>911</v>
      </c>
    </row>
    <row r="3841" ht="12.75" customHeight="1">
      <c r="A3841" s="59" t="s">
        <v>234</v>
      </c>
      <c r="B3841" s="60" t="s">
        <v>912</v>
      </c>
    </row>
    <row r="3842" ht="12.75" customHeight="1">
      <c r="A3842" s="59" t="s">
        <v>234</v>
      </c>
      <c r="B3842" s="60" t="s">
        <v>913</v>
      </c>
    </row>
    <row r="3843" ht="12.75" customHeight="1">
      <c r="A3843" s="59" t="s">
        <v>234</v>
      </c>
      <c r="B3843" s="60" t="s">
        <v>914</v>
      </c>
    </row>
    <row r="3844" ht="12.75" customHeight="1">
      <c r="A3844" s="59" t="s">
        <v>234</v>
      </c>
      <c r="B3844" s="60" t="s">
        <v>915</v>
      </c>
    </row>
    <row r="3845" ht="12.75" customHeight="1">
      <c r="A3845" s="59" t="s">
        <v>234</v>
      </c>
      <c r="B3845" s="60" t="s">
        <v>916</v>
      </c>
    </row>
    <row r="3846" ht="12.75" customHeight="1">
      <c r="A3846" s="59" t="s">
        <v>234</v>
      </c>
      <c r="B3846" s="60" t="s">
        <v>917</v>
      </c>
    </row>
    <row r="3847" ht="12.75" customHeight="1">
      <c r="A3847" s="59" t="s">
        <v>234</v>
      </c>
      <c r="B3847" s="60" t="s">
        <v>918</v>
      </c>
    </row>
    <row r="3848" ht="12.75" customHeight="1">
      <c r="A3848" s="59" t="s">
        <v>234</v>
      </c>
      <c r="B3848" s="60" t="s">
        <v>919</v>
      </c>
    </row>
    <row r="3849" ht="12.75" customHeight="1">
      <c r="A3849" s="59" t="s">
        <v>234</v>
      </c>
      <c r="B3849" s="60" t="s">
        <v>920</v>
      </c>
    </row>
    <row r="3850" ht="12.75" customHeight="1">
      <c r="A3850" s="59" t="s">
        <v>234</v>
      </c>
      <c r="B3850" s="60" t="s">
        <v>921</v>
      </c>
    </row>
    <row r="3851" ht="12.75" customHeight="1">
      <c r="A3851" s="59" t="s">
        <v>234</v>
      </c>
      <c r="B3851" s="60" t="s">
        <v>922</v>
      </c>
    </row>
    <row r="3852" ht="12.75" customHeight="1">
      <c r="A3852" s="59" t="s">
        <v>234</v>
      </c>
      <c r="B3852" s="60" t="s">
        <v>923</v>
      </c>
    </row>
    <row r="3853" ht="12.75" customHeight="1">
      <c r="A3853" s="59" t="s">
        <v>234</v>
      </c>
      <c r="B3853" s="60" t="s">
        <v>924</v>
      </c>
    </row>
    <row r="3854" ht="12.75" customHeight="1">
      <c r="A3854" s="59" t="s">
        <v>234</v>
      </c>
      <c r="B3854" s="60" t="s">
        <v>925</v>
      </c>
    </row>
    <row r="3855" ht="12.75" customHeight="1">
      <c r="A3855" s="59" t="s">
        <v>234</v>
      </c>
      <c r="B3855" s="60" t="s">
        <v>926</v>
      </c>
    </row>
    <row r="3856" ht="12.75" customHeight="1">
      <c r="A3856" s="59" t="s">
        <v>234</v>
      </c>
      <c r="B3856" s="60" t="s">
        <v>1255</v>
      </c>
    </row>
    <row r="3857" ht="12.75" customHeight="1">
      <c r="A3857" s="59" t="s">
        <v>234</v>
      </c>
      <c r="B3857" s="60" t="s">
        <v>1256</v>
      </c>
    </row>
    <row r="3858" ht="12.75" customHeight="1">
      <c r="A3858" s="59" t="s">
        <v>234</v>
      </c>
      <c r="B3858" s="60" t="s">
        <v>1257</v>
      </c>
    </row>
    <row r="3859" ht="12.75" customHeight="1">
      <c r="A3859" s="59" t="s">
        <v>234</v>
      </c>
      <c r="B3859" s="60" t="s">
        <v>1258</v>
      </c>
    </row>
    <row r="3860" ht="12.75" customHeight="1">
      <c r="A3860" s="59" t="s">
        <v>234</v>
      </c>
      <c r="B3860" s="60" t="s">
        <v>1259</v>
      </c>
    </row>
    <row r="3861" ht="12.75" customHeight="1">
      <c r="A3861" s="59" t="s">
        <v>234</v>
      </c>
      <c r="B3861" s="60" t="s">
        <v>1260</v>
      </c>
    </row>
    <row r="3862" ht="12.75" customHeight="1">
      <c r="A3862" s="59" t="s">
        <v>234</v>
      </c>
      <c r="B3862" s="60" t="s">
        <v>1261</v>
      </c>
    </row>
    <row r="3863" ht="12.75" customHeight="1">
      <c r="A3863" s="59" t="s">
        <v>234</v>
      </c>
      <c r="B3863" s="60" t="s">
        <v>927</v>
      </c>
    </row>
    <row r="3864" ht="12.75" customHeight="1">
      <c r="A3864" s="59" t="s">
        <v>234</v>
      </c>
      <c r="B3864" s="60" t="s">
        <v>1262</v>
      </c>
    </row>
    <row r="3865" ht="12.75" customHeight="1">
      <c r="A3865" s="59" t="s">
        <v>234</v>
      </c>
      <c r="B3865" s="60" t="s">
        <v>928</v>
      </c>
    </row>
    <row r="3866" ht="12.75" customHeight="1">
      <c r="A3866" s="59" t="s">
        <v>234</v>
      </c>
      <c r="B3866" s="60" t="s">
        <v>1263</v>
      </c>
    </row>
    <row r="3867" ht="12.75" customHeight="1">
      <c r="A3867" s="59" t="s">
        <v>234</v>
      </c>
      <c r="B3867" s="60" t="s">
        <v>929</v>
      </c>
    </row>
    <row r="3868" ht="12.75" customHeight="1">
      <c r="A3868" s="59" t="s">
        <v>234</v>
      </c>
      <c r="B3868" s="60" t="s">
        <v>930</v>
      </c>
    </row>
    <row r="3869" ht="12.75" customHeight="1">
      <c r="A3869" s="59" t="s">
        <v>234</v>
      </c>
      <c r="B3869" s="60" t="s">
        <v>931</v>
      </c>
    </row>
    <row r="3870" ht="12.75" customHeight="1">
      <c r="A3870" s="59" t="s">
        <v>234</v>
      </c>
      <c r="B3870" s="60" t="s">
        <v>932</v>
      </c>
    </row>
    <row r="3871" ht="12.75" customHeight="1">
      <c r="A3871" s="59" t="s">
        <v>234</v>
      </c>
      <c r="B3871" s="60" t="s">
        <v>933</v>
      </c>
    </row>
    <row r="3872" ht="12.75" customHeight="1">
      <c r="A3872" s="59" t="s">
        <v>234</v>
      </c>
      <c r="B3872" s="60" t="s">
        <v>934</v>
      </c>
    </row>
    <row r="3873" ht="12.75" customHeight="1">
      <c r="A3873" s="59" t="s">
        <v>234</v>
      </c>
      <c r="B3873" s="60" t="s">
        <v>935</v>
      </c>
    </row>
    <row r="3874" ht="12.75" customHeight="1">
      <c r="A3874" s="59" t="s">
        <v>234</v>
      </c>
      <c r="B3874" s="60" t="s">
        <v>936</v>
      </c>
    </row>
    <row r="3875" ht="12.75" customHeight="1">
      <c r="A3875" s="59" t="s">
        <v>234</v>
      </c>
      <c r="B3875" s="60" t="s">
        <v>937</v>
      </c>
    </row>
    <row r="3876" ht="12.75" customHeight="1">
      <c r="A3876" s="59" t="s">
        <v>234</v>
      </c>
      <c r="B3876" s="60" t="s">
        <v>939</v>
      </c>
    </row>
    <row r="3877" ht="12.75" customHeight="1">
      <c r="A3877" s="59" t="s">
        <v>234</v>
      </c>
      <c r="B3877" s="60" t="s">
        <v>940</v>
      </c>
    </row>
    <row r="3878" ht="12.75" customHeight="1">
      <c r="A3878" s="59" t="s">
        <v>234</v>
      </c>
      <c r="B3878" s="60" t="s">
        <v>941</v>
      </c>
    </row>
    <row r="3879" ht="12.75" customHeight="1">
      <c r="A3879" s="59" t="s">
        <v>234</v>
      </c>
      <c r="B3879" s="60" t="s">
        <v>942</v>
      </c>
    </row>
    <row r="3880" ht="12.75" customHeight="1">
      <c r="A3880" s="59" t="s">
        <v>234</v>
      </c>
      <c r="B3880" s="60" t="s">
        <v>943</v>
      </c>
    </row>
    <row r="3881" ht="12.75" customHeight="1">
      <c r="A3881" s="59" t="s">
        <v>234</v>
      </c>
      <c r="B3881" s="60" t="s">
        <v>944</v>
      </c>
    </row>
    <row r="3882" ht="12.75" customHeight="1">
      <c r="A3882" s="59" t="s">
        <v>234</v>
      </c>
      <c r="B3882" s="60" t="s">
        <v>945</v>
      </c>
    </row>
    <row r="3883" ht="12.75" customHeight="1">
      <c r="A3883" s="59" t="s">
        <v>234</v>
      </c>
      <c r="B3883" s="60" t="s">
        <v>1264</v>
      </c>
    </row>
    <row r="3884" ht="12.75" customHeight="1">
      <c r="A3884" s="59" t="s">
        <v>234</v>
      </c>
      <c r="B3884" s="60" t="s">
        <v>946</v>
      </c>
    </row>
    <row r="3885" ht="12.75" customHeight="1">
      <c r="A3885" s="59" t="s">
        <v>234</v>
      </c>
      <c r="B3885" s="60" t="s">
        <v>947</v>
      </c>
    </row>
    <row r="3886" ht="12.75" customHeight="1">
      <c r="A3886" s="59" t="s">
        <v>234</v>
      </c>
      <c r="B3886" s="60" t="s">
        <v>948</v>
      </c>
    </row>
    <row r="3887" ht="12.75" customHeight="1">
      <c r="A3887" s="59" t="s">
        <v>234</v>
      </c>
      <c r="B3887" s="60" t="s">
        <v>949</v>
      </c>
    </row>
    <row r="3888" ht="12.75" customHeight="1">
      <c r="A3888" s="59" t="s">
        <v>234</v>
      </c>
      <c r="B3888" s="60" t="s">
        <v>950</v>
      </c>
    </row>
    <row r="3889" ht="12.75" customHeight="1">
      <c r="A3889" s="59" t="s">
        <v>234</v>
      </c>
      <c r="B3889" s="60" t="s">
        <v>951</v>
      </c>
    </row>
    <row r="3890" ht="12.75" customHeight="1">
      <c r="A3890" s="59" t="s">
        <v>234</v>
      </c>
      <c r="B3890" s="60" t="s">
        <v>952</v>
      </c>
    </row>
    <row r="3891" ht="12.75" customHeight="1">
      <c r="A3891" s="59" t="s">
        <v>234</v>
      </c>
      <c r="B3891" s="60" t="s">
        <v>953</v>
      </c>
    </row>
    <row r="3892" ht="12.75" customHeight="1">
      <c r="A3892" s="59" t="s">
        <v>234</v>
      </c>
      <c r="B3892" s="60" t="s">
        <v>954</v>
      </c>
    </row>
    <row r="3893" ht="12.75" customHeight="1">
      <c r="A3893" s="59" t="s">
        <v>234</v>
      </c>
      <c r="B3893" s="60" t="s">
        <v>955</v>
      </c>
    </row>
    <row r="3894" ht="12.75" customHeight="1">
      <c r="A3894" s="59" t="s">
        <v>234</v>
      </c>
      <c r="B3894" s="60" t="s">
        <v>956</v>
      </c>
    </row>
    <row r="3895" ht="12.75" customHeight="1">
      <c r="A3895" s="59" t="s">
        <v>234</v>
      </c>
      <c r="B3895" s="60" t="s">
        <v>1265</v>
      </c>
    </row>
    <row r="3896" ht="12.75" customHeight="1">
      <c r="A3896" s="59" t="s">
        <v>234</v>
      </c>
      <c r="B3896" s="60" t="s">
        <v>957</v>
      </c>
    </row>
    <row r="3897" ht="12.75" customHeight="1">
      <c r="A3897" s="59" t="s">
        <v>234</v>
      </c>
      <c r="B3897" s="60" t="s">
        <v>1266</v>
      </c>
    </row>
    <row r="3898" ht="12.75" customHeight="1">
      <c r="A3898" s="59" t="s">
        <v>234</v>
      </c>
      <c r="B3898" s="60" t="s">
        <v>1267</v>
      </c>
    </row>
    <row r="3899" ht="12.75" customHeight="1">
      <c r="A3899" s="59" t="s">
        <v>234</v>
      </c>
      <c r="B3899" s="60" t="s">
        <v>1268</v>
      </c>
    </row>
    <row r="3900" ht="12.75" customHeight="1">
      <c r="A3900" s="59" t="s">
        <v>234</v>
      </c>
      <c r="B3900" s="60" t="s">
        <v>1269</v>
      </c>
    </row>
    <row r="3901" ht="12.75" customHeight="1">
      <c r="A3901" s="59" t="s">
        <v>234</v>
      </c>
      <c r="B3901" s="60" t="s">
        <v>1270</v>
      </c>
    </row>
    <row r="3902" ht="12.75" customHeight="1">
      <c r="A3902" s="59" t="s">
        <v>234</v>
      </c>
      <c r="B3902" s="60" t="s">
        <v>1271</v>
      </c>
    </row>
    <row r="3903" ht="12.75" customHeight="1">
      <c r="A3903" s="59" t="s">
        <v>234</v>
      </c>
      <c r="B3903" s="60" t="s">
        <v>1272</v>
      </c>
    </row>
    <row r="3904" ht="12.75" customHeight="1">
      <c r="A3904" s="59" t="s">
        <v>234</v>
      </c>
      <c r="B3904" s="60" t="s">
        <v>1273</v>
      </c>
    </row>
    <row r="3905" ht="12.75" customHeight="1">
      <c r="A3905" s="59" t="s">
        <v>234</v>
      </c>
      <c r="B3905" s="60" t="s">
        <v>1274</v>
      </c>
    </row>
    <row r="3906" ht="12.75" customHeight="1">
      <c r="A3906" s="59" t="s">
        <v>234</v>
      </c>
      <c r="B3906" s="60" t="s">
        <v>1275</v>
      </c>
    </row>
    <row r="3907" ht="12.75" customHeight="1">
      <c r="A3907" s="59" t="s">
        <v>234</v>
      </c>
      <c r="B3907" s="60" t="s">
        <v>958</v>
      </c>
    </row>
    <row r="3908" ht="12.75" customHeight="1">
      <c r="A3908" s="59" t="s">
        <v>234</v>
      </c>
      <c r="B3908" s="60" t="s">
        <v>959</v>
      </c>
    </row>
    <row r="3909" ht="12.75" customHeight="1">
      <c r="A3909" s="59" t="s">
        <v>234</v>
      </c>
      <c r="B3909" s="60" t="s">
        <v>960</v>
      </c>
    </row>
    <row r="3910" ht="12.75" customHeight="1">
      <c r="A3910" s="59" t="s">
        <v>234</v>
      </c>
      <c r="B3910" s="60" t="s">
        <v>961</v>
      </c>
    </row>
    <row r="3911" ht="12.75" customHeight="1">
      <c r="A3911" s="59" t="s">
        <v>234</v>
      </c>
      <c r="B3911" s="60" t="s">
        <v>962</v>
      </c>
    </row>
    <row r="3912" ht="12.75" customHeight="1">
      <c r="A3912" s="59" t="s">
        <v>234</v>
      </c>
      <c r="B3912" s="60" t="s">
        <v>963</v>
      </c>
    </row>
    <row r="3913" ht="12.75" customHeight="1">
      <c r="A3913" s="59" t="s">
        <v>234</v>
      </c>
      <c r="B3913" s="60" t="s">
        <v>964</v>
      </c>
    </row>
    <row r="3914" ht="12.75" customHeight="1">
      <c r="A3914" s="59" t="s">
        <v>234</v>
      </c>
      <c r="B3914" s="60" t="s">
        <v>1276</v>
      </c>
    </row>
    <row r="3915" ht="12.75" customHeight="1">
      <c r="A3915" s="59" t="s">
        <v>234</v>
      </c>
      <c r="B3915" s="60" t="s">
        <v>965</v>
      </c>
    </row>
    <row r="3916" ht="12.75" customHeight="1">
      <c r="A3916" s="59" t="s">
        <v>234</v>
      </c>
      <c r="B3916" s="60" t="s">
        <v>966</v>
      </c>
    </row>
    <row r="3917" ht="12.75" customHeight="1">
      <c r="A3917" s="59" t="s">
        <v>234</v>
      </c>
      <c r="B3917" s="60" t="s">
        <v>967</v>
      </c>
    </row>
    <row r="3918" ht="12.75" customHeight="1">
      <c r="A3918" s="59" t="s">
        <v>234</v>
      </c>
      <c r="B3918" s="60" t="s">
        <v>968</v>
      </c>
    </row>
    <row r="3919" ht="12.75" customHeight="1">
      <c r="A3919" s="59" t="s">
        <v>234</v>
      </c>
      <c r="B3919" s="60" t="s">
        <v>969</v>
      </c>
    </row>
    <row r="3920" ht="12.75" customHeight="1">
      <c r="A3920" s="59" t="s">
        <v>234</v>
      </c>
      <c r="B3920" s="60" t="s">
        <v>970</v>
      </c>
    </row>
    <row r="3921" ht="12.75" customHeight="1">
      <c r="A3921" s="59" t="s">
        <v>234</v>
      </c>
      <c r="B3921" s="60" t="s">
        <v>971</v>
      </c>
    </row>
    <row r="3922" ht="12.75" customHeight="1">
      <c r="A3922" s="59" t="s">
        <v>234</v>
      </c>
      <c r="B3922" s="60" t="s">
        <v>972</v>
      </c>
    </row>
    <row r="3923" ht="12.75" customHeight="1">
      <c r="A3923" s="59" t="s">
        <v>234</v>
      </c>
      <c r="B3923" s="60" t="s">
        <v>973</v>
      </c>
    </row>
    <row r="3924" ht="12.75" customHeight="1">
      <c r="A3924" s="59" t="s">
        <v>234</v>
      </c>
      <c r="B3924" s="60" t="s">
        <v>974</v>
      </c>
    </row>
    <row r="3925" ht="12.75" customHeight="1">
      <c r="A3925" s="59" t="s">
        <v>234</v>
      </c>
      <c r="B3925" s="60" t="s">
        <v>975</v>
      </c>
    </row>
    <row r="3926" ht="12.75" customHeight="1">
      <c r="A3926" s="59" t="s">
        <v>234</v>
      </c>
      <c r="B3926" s="60" t="s">
        <v>1277</v>
      </c>
    </row>
    <row r="3927" ht="12.75" customHeight="1">
      <c r="A3927" s="59" t="s">
        <v>234</v>
      </c>
      <c r="B3927" s="60" t="s">
        <v>976</v>
      </c>
    </row>
    <row r="3928" ht="12.75" customHeight="1">
      <c r="A3928" s="59" t="s">
        <v>234</v>
      </c>
      <c r="B3928" s="60" t="s">
        <v>1278</v>
      </c>
    </row>
    <row r="3929" ht="12.75" customHeight="1">
      <c r="A3929" s="59" t="s">
        <v>234</v>
      </c>
      <c r="B3929" s="60" t="s">
        <v>1279</v>
      </c>
    </row>
    <row r="3930" ht="12.75" customHeight="1">
      <c r="A3930" s="59" t="s">
        <v>234</v>
      </c>
      <c r="B3930" s="60" t="s">
        <v>1280</v>
      </c>
    </row>
    <row r="3931" ht="12.75" customHeight="1">
      <c r="A3931" s="59" t="s">
        <v>234</v>
      </c>
      <c r="B3931" s="60" t="s">
        <v>1281</v>
      </c>
    </row>
    <row r="3932" ht="12.75" customHeight="1">
      <c r="A3932" s="59" t="s">
        <v>234</v>
      </c>
      <c r="B3932" s="60" t="s">
        <v>1282</v>
      </c>
    </row>
    <row r="3933" ht="12.75" customHeight="1">
      <c r="A3933" s="59" t="s">
        <v>234</v>
      </c>
      <c r="B3933" s="60" t="s">
        <v>1283</v>
      </c>
    </row>
    <row r="3934" ht="12.75" customHeight="1">
      <c r="A3934" s="59" t="s">
        <v>234</v>
      </c>
      <c r="B3934" s="60" t="s">
        <v>1284</v>
      </c>
    </row>
    <row r="3935" ht="12.75" customHeight="1">
      <c r="A3935" s="59" t="s">
        <v>234</v>
      </c>
      <c r="B3935" s="60" t="s">
        <v>1285</v>
      </c>
    </row>
    <row r="3936" ht="12.75" customHeight="1">
      <c r="A3936" s="59" t="s">
        <v>234</v>
      </c>
      <c r="B3936" s="60" t="s">
        <v>1286</v>
      </c>
    </row>
    <row r="3937" ht="12.75" customHeight="1">
      <c r="A3937" s="59" t="s">
        <v>234</v>
      </c>
      <c r="B3937" s="60" t="s">
        <v>1287</v>
      </c>
    </row>
    <row r="3938" ht="12.75" customHeight="1">
      <c r="A3938" s="59" t="s">
        <v>234</v>
      </c>
      <c r="B3938" s="60" t="s">
        <v>977</v>
      </c>
    </row>
    <row r="3939" ht="12.75" customHeight="1">
      <c r="A3939" s="59" t="s">
        <v>234</v>
      </c>
      <c r="B3939" s="60" t="s">
        <v>978</v>
      </c>
    </row>
    <row r="3940" ht="12.75" customHeight="1">
      <c r="A3940" s="59" t="s">
        <v>234</v>
      </c>
      <c r="B3940" s="60" t="s">
        <v>979</v>
      </c>
    </row>
    <row r="3941" ht="12.75" customHeight="1">
      <c r="A3941" s="59" t="s">
        <v>234</v>
      </c>
      <c r="B3941" s="60" t="s">
        <v>980</v>
      </c>
    </row>
    <row r="3942" ht="12.75" customHeight="1">
      <c r="A3942" s="59" t="s">
        <v>234</v>
      </c>
      <c r="B3942" s="60" t="s">
        <v>981</v>
      </c>
    </row>
    <row r="3943" ht="12.75" customHeight="1">
      <c r="A3943" s="59" t="s">
        <v>234</v>
      </c>
      <c r="B3943" s="60" t="s">
        <v>982</v>
      </c>
    </row>
    <row r="3944" ht="12.75" customHeight="1">
      <c r="A3944" s="59" t="s">
        <v>234</v>
      </c>
      <c r="B3944" s="60" t="s">
        <v>983</v>
      </c>
    </row>
    <row r="3945" ht="12.75" customHeight="1">
      <c r="A3945" s="59" t="s">
        <v>234</v>
      </c>
      <c r="B3945" s="60" t="s">
        <v>984</v>
      </c>
    </row>
    <row r="3946" ht="12.75" customHeight="1">
      <c r="A3946" s="59" t="s">
        <v>234</v>
      </c>
      <c r="B3946" s="60" t="s">
        <v>985</v>
      </c>
    </row>
    <row r="3947" ht="12.75" customHeight="1">
      <c r="A3947" s="59" t="s">
        <v>234</v>
      </c>
      <c r="B3947" s="60" t="s">
        <v>986</v>
      </c>
    </row>
    <row r="3948" ht="12.75" customHeight="1">
      <c r="A3948" s="59" t="s">
        <v>234</v>
      </c>
      <c r="B3948" s="60" t="s">
        <v>987</v>
      </c>
    </row>
    <row r="3949" ht="12.75" customHeight="1">
      <c r="A3949" s="59" t="s">
        <v>234</v>
      </c>
      <c r="B3949" s="60" t="s">
        <v>988</v>
      </c>
    </row>
    <row r="3950" ht="12.75" customHeight="1">
      <c r="A3950" s="59" t="s">
        <v>234</v>
      </c>
      <c r="B3950" s="60" t="s">
        <v>989</v>
      </c>
    </row>
    <row r="3951" ht="12.75" customHeight="1">
      <c r="A3951" s="59" t="s">
        <v>234</v>
      </c>
      <c r="B3951" s="60" t="s">
        <v>990</v>
      </c>
    </row>
    <row r="3952" ht="12.75" customHeight="1">
      <c r="A3952" s="59" t="s">
        <v>234</v>
      </c>
      <c r="B3952" s="60" t="s">
        <v>991</v>
      </c>
    </row>
    <row r="3953" ht="12.75" customHeight="1">
      <c r="A3953" s="59" t="s">
        <v>234</v>
      </c>
      <c r="B3953" s="60" t="s">
        <v>992</v>
      </c>
    </row>
    <row r="3954" ht="12.75" customHeight="1">
      <c r="A3954" s="59" t="s">
        <v>234</v>
      </c>
      <c r="B3954" s="60" t="s">
        <v>993</v>
      </c>
    </row>
    <row r="3955" ht="12.75" customHeight="1">
      <c r="A3955" s="59" t="s">
        <v>234</v>
      </c>
      <c r="B3955" s="60" t="s">
        <v>994</v>
      </c>
    </row>
    <row r="3956" ht="12.75" customHeight="1">
      <c r="A3956" s="59" t="s">
        <v>234</v>
      </c>
      <c r="B3956" s="60" t="s">
        <v>995</v>
      </c>
    </row>
    <row r="3957" ht="12.75" customHeight="1">
      <c r="A3957" s="59" t="s">
        <v>234</v>
      </c>
      <c r="B3957" s="60" t="s">
        <v>996</v>
      </c>
    </row>
    <row r="3958" ht="12.75" customHeight="1">
      <c r="A3958" s="59" t="s">
        <v>234</v>
      </c>
      <c r="B3958" s="60" t="s">
        <v>997</v>
      </c>
    </row>
    <row r="3959" ht="12.75" customHeight="1">
      <c r="A3959" s="59" t="s">
        <v>234</v>
      </c>
      <c r="B3959" s="60" t="s">
        <v>998</v>
      </c>
    </row>
    <row r="3960" ht="12.75" customHeight="1">
      <c r="A3960" s="59" t="s">
        <v>234</v>
      </c>
      <c r="B3960" s="60" t="s">
        <v>999</v>
      </c>
    </row>
    <row r="3961" ht="12.75" customHeight="1">
      <c r="A3961" s="59" t="s">
        <v>234</v>
      </c>
      <c r="B3961" s="60" t="s">
        <v>1000</v>
      </c>
    </row>
    <row r="3962" ht="12.75" customHeight="1">
      <c r="A3962" s="59" t="s">
        <v>234</v>
      </c>
      <c r="B3962" s="60" t="s">
        <v>1001</v>
      </c>
    </row>
    <row r="3963" ht="12.75" customHeight="1">
      <c r="A3963" s="59" t="s">
        <v>234</v>
      </c>
      <c r="B3963" s="60" t="s">
        <v>1002</v>
      </c>
    </row>
    <row r="3964" ht="12.75" customHeight="1">
      <c r="A3964" s="59" t="s">
        <v>234</v>
      </c>
      <c r="B3964" s="60" t="s">
        <v>1003</v>
      </c>
    </row>
    <row r="3965" ht="12.75" customHeight="1">
      <c r="A3965" s="59" t="s">
        <v>234</v>
      </c>
      <c r="B3965" s="60" t="s">
        <v>1004</v>
      </c>
    </row>
    <row r="3966" ht="12.75" customHeight="1">
      <c r="A3966" s="59" t="s">
        <v>234</v>
      </c>
      <c r="B3966" s="60" t="s">
        <v>1005</v>
      </c>
    </row>
    <row r="3967" ht="12.75" customHeight="1">
      <c r="A3967" s="59" t="s">
        <v>234</v>
      </c>
      <c r="B3967" s="60" t="s">
        <v>1006</v>
      </c>
    </row>
    <row r="3968" ht="12.75" customHeight="1">
      <c r="A3968" s="59" t="s">
        <v>234</v>
      </c>
      <c r="B3968" s="60" t="s">
        <v>1007</v>
      </c>
    </row>
    <row r="3969" ht="12.75" customHeight="1">
      <c r="A3969" s="59" t="s">
        <v>234</v>
      </c>
      <c r="B3969" s="60" t="s">
        <v>1008</v>
      </c>
    </row>
    <row r="3970" ht="12.75" customHeight="1">
      <c r="A3970" s="59" t="s">
        <v>234</v>
      </c>
      <c r="B3970" s="60" t="s">
        <v>1009</v>
      </c>
    </row>
    <row r="3971" ht="12.75" customHeight="1">
      <c r="A3971" s="59" t="s">
        <v>234</v>
      </c>
      <c r="B3971" s="60" t="s">
        <v>1010</v>
      </c>
    </row>
    <row r="3972" ht="12.75" customHeight="1">
      <c r="A3972" s="59" t="s">
        <v>234</v>
      </c>
      <c r="B3972" s="60" t="s">
        <v>1288</v>
      </c>
    </row>
    <row r="3973" ht="12.75" customHeight="1">
      <c r="A3973" s="59" t="s">
        <v>234</v>
      </c>
      <c r="B3973" s="60" t="s">
        <v>1289</v>
      </c>
    </row>
    <row r="3974" ht="12.75" customHeight="1">
      <c r="A3974" s="59" t="s">
        <v>234</v>
      </c>
      <c r="B3974" s="60" t="s">
        <v>1011</v>
      </c>
    </row>
    <row r="3975" ht="12.75" customHeight="1">
      <c r="A3975" s="59" t="s">
        <v>234</v>
      </c>
      <c r="B3975" s="60" t="s">
        <v>1012</v>
      </c>
    </row>
    <row r="3976" ht="12.75" customHeight="1">
      <c r="A3976" s="59" t="s">
        <v>234</v>
      </c>
      <c r="B3976" s="60" t="s">
        <v>1013</v>
      </c>
    </row>
    <row r="3977" ht="12.75" customHeight="1">
      <c r="A3977" s="59" t="s">
        <v>234</v>
      </c>
      <c r="B3977" s="60" t="s">
        <v>1014</v>
      </c>
    </row>
    <row r="3978" ht="12.75" customHeight="1">
      <c r="A3978" s="59" t="s">
        <v>234</v>
      </c>
      <c r="B3978" s="60" t="s">
        <v>1015</v>
      </c>
    </row>
    <row r="3979" ht="12.75" customHeight="1">
      <c r="A3979" s="59" t="s">
        <v>234</v>
      </c>
      <c r="B3979" s="60" t="s">
        <v>1016</v>
      </c>
    </row>
    <row r="3980" ht="12.75" customHeight="1">
      <c r="A3980" s="59" t="s">
        <v>234</v>
      </c>
      <c r="B3980" s="60" t="s">
        <v>1017</v>
      </c>
    </row>
    <row r="3981" ht="12.75" customHeight="1">
      <c r="A3981" s="59" t="s">
        <v>234</v>
      </c>
      <c r="B3981" s="60" t="s">
        <v>1018</v>
      </c>
    </row>
    <row r="3982" ht="12.75" customHeight="1">
      <c r="A3982" s="59" t="s">
        <v>234</v>
      </c>
      <c r="B3982" s="60" t="s">
        <v>1019</v>
      </c>
    </row>
    <row r="3983" ht="12.75" customHeight="1">
      <c r="A3983" s="59" t="s">
        <v>234</v>
      </c>
      <c r="B3983" s="60" t="s">
        <v>1020</v>
      </c>
    </row>
    <row r="3984" ht="12.75" customHeight="1">
      <c r="A3984" s="59" t="s">
        <v>234</v>
      </c>
      <c r="B3984" s="60" t="s">
        <v>1021</v>
      </c>
    </row>
    <row r="3985" ht="12.75" customHeight="1">
      <c r="A3985" s="59" t="s">
        <v>234</v>
      </c>
      <c r="B3985" s="60" t="s">
        <v>1022</v>
      </c>
    </row>
    <row r="3986" ht="12.75" customHeight="1">
      <c r="A3986" s="59" t="s">
        <v>234</v>
      </c>
      <c r="B3986" s="60" t="s">
        <v>1023</v>
      </c>
    </row>
    <row r="3987" ht="12.75" customHeight="1">
      <c r="A3987" s="59" t="s">
        <v>234</v>
      </c>
      <c r="B3987" s="60" t="s">
        <v>1024</v>
      </c>
    </row>
    <row r="3988" ht="12.75" customHeight="1">
      <c r="A3988" s="59" t="s">
        <v>234</v>
      </c>
      <c r="B3988" s="60" t="s">
        <v>1025</v>
      </c>
    </row>
    <row r="3989" ht="12.75" customHeight="1">
      <c r="A3989" s="59" t="s">
        <v>234</v>
      </c>
      <c r="B3989" s="60" t="s">
        <v>1026</v>
      </c>
    </row>
    <row r="3990" ht="12.75" customHeight="1">
      <c r="A3990" s="59" t="s">
        <v>234</v>
      </c>
      <c r="B3990" s="60" t="s">
        <v>1027</v>
      </c>
    </row>
    <row r="3991" ht="12.75" customHeight="1">
      <c r="A3991" s="59" t="s">
        <v>234</v>
      </c>
      <c r="B3991" s="60" t="s">
        <v>1028</v>
      </c>
    </row>
    <row r="3992" ht="12.75" customHeight="1">
      <c r="A3992" s="59" t="s">
        <v>234</v>
      </c>
      <c r="B3992" s="60" t="s">
        <v>1029</v>
      </c>
    </row>
    <row r="3993" ht="12.75" customHeight="1">
      <c r="A3993" s="59" t="s">
        <v>234</v>
      </c>
      <c r="B3993" s="60" t="s">
        <v>1030</v>
      </c>
    </row>
    <row r="3994" ht="12.75" customHeight="1">
      <c r="A3994" s="59" t="s">
        <v>234</v>
      </c>
      <c r="B3994" s="60" t="s">
        <v>1031</v>
      </c>
    </row>
    <row r="3995" ht="12.75" customHeight="1">
      <c r="A3995" s="59" t="s">
        <v>234</v>
      </c>
      <c r="B3995" s="60" t="s">
        <v>1032</v>
      </c>
    </row>
    <row r="3996" ht="12.75" customHeight="1">
      <c r="A3996" s="59" t="s">
        <v>234</v>
      </c>
      <c r="B3996" s="60" t="s">
        <v>1033</v>
      </c>
    </row>
    <row r="3997" ht="12.75" customHeight="1">
      <c r="A3997" s="59" t="s">
        <v>234</v>
      </c>
      <c r="B3997" s="60" t="s">
        <v>1034</v>
      </c>
    </row>
    <row r="3998" ht="12.75" customHeight="1">
      <c r="A3998" s="59" t="s">
        <v>234</v>
      </c>
      <c r="B3998" s="60" t="s">
        <v>1035</v>
      </c>
    </row>
    <row r="3999" ht="12.75" customHeight="1">
      <c r="A3999" s="59" t="s">
        <v>234</v>
      </c>
      <c r="B3999" s="60" t="s">
        <v>1036</v>
      </c>
    </row>
    <row r="4000" ht="12.75" customHeight="1">
      <c r="A4000" s="59" t="s">
        <v>234</v>
      </c>
      <c r="B4000" s="60" t="s">
        <v>1037</v>
      </c>
    </row>
    <row r="4001" ht="12.75" customHeight="1">
      <c r="A4001" s="59" t="s">
        <v>234</v>
      </c>
      <c r="B4001" s="60" t="s">
        <v>1038</v>
      </c>
    </row>
    <row r="4002" ht="12.75" customHeight="1">
      <c r="A4002" s="59" t="s">
        <v>234</v>
      </c>
      <c r="B4002" s="60" t="s">
        <v>1039</v>
      </c>
    </row>
    <row r="4003" ht="12.75" customHeight="1">
      <c r="A4003" s="59" t="s">
        <v>234</v>
      </c>
      <c r="B4003" s="60" t="s">
        <v>1040</v>
      </c>
    </row>
    <row r="4004" ht="12.75" customHeight="1">
      <c r="A4004" s="59" t="s">
        <v>234</v>
      </c>
      <c r="B4004" s="60" t="s">
        <v>1041</v>
      </c>
    </row>
    <row r="4005" ht="12.75" customHeight="1">
      <c r="A4005" s="59" t="s">
        <v>234</v>
      </c>
      <c r="B4005" s="60" t="s">
        <v>1042</v>
      </c>
    </row>
    <row r="4006" ht="12.75" customHeight="1">
      <c r="A4006" s="59" t="s">
        <v>234</v>
      </c>
      <c r="B4006" s="60" t="s">
        <v>1043</v>
      </c>
    </row>
    <row r="4007" ht="12.75" customHeight="1">
      <c r="A4007" s="59" t="s">
        <v>234</v>
      </c>
      <c r="B4007" s="60" t="s">
        <v>1044</v>
      </c>
    </row>
    <row r="4008" ht="12.75" customHeight="1">
      <c r="A4008" s="59" t="s">
        <v>234</v>
      </c>
      <c r="B4008" s="60" t="s">
        <v>1045</v>
      </c>
    </row>
    <row r="4009" ht="12.75" customHeight="1">
      <c r="A4009" s="59" t="s">
        <v>234</v>
      </c>
      <c r="B4009" s="60" t="s">
        <v>1046</v>
      </c>
    </row>
    <row r="4010" ht="12.75" customHeight="1">
      <c r="A4010" s="59" t="s">
        <v>234</v>
      </c>
      <c r="B4010" s="60" t="s">
        <v>1047</v>
      </c>
    </row>
    <row r="4011" ht="12.75" customHeight="1">
      <c r="A4011" s="59" t="s">
        <v>234</v>
      </c>
      <c r="B4011" s="60" t="s">
        <v>1048</v>
      </c>
    </row>
    <row r="4012" ht="12.75" customHeight="1">
      <c r="A4012" s="59" t="s">
        <v>234</v>
      </c>
      <c r="B4012" s="60" t="s">
        <v>1049</v>
      </c>
    </row>
    <row r="4013" ht="12.75" customHeight="1">
      <c r="A4013" s="59" t="s">
        <v>234</v>
      </c>
      <c r="B4013" s="60" t="s">
        <v>1050</v>
      </c>
    </row>
    <row r="4014" ht="12.75" customHeight="1">
      <c r="A4014" s="59" t="s">
        <v>234</v>
      </c>
      <c r="B4014" s="60" t="s">
        <v>1051</v>
      </c>
    </row>
    <row r="4015" ht="12.75" customHeight="1">
      <c r="A4015" s="59" t="s">
        <v>234</v>
      </c>
      <c r="B4015" s="60" t="s">
        <v>1052</v>
      </c>
    </row>
    <row r="4016" ht="12.75" customHeight="1">
      <c r="A4016" s="59" t="s">
        <v>234</v>
      </c>
      <c r="B4016" s="60" t="s">
        <v>1053</v>
      </c>
    </row>
    <row r="4017" ht="12.75" customHeight="1">
      <c r="A4017" s="59" t="s">
        <v>234</v>
      </c>
      <c r="B4017" s="60" t="s">
        <v>1290</v>
      </c>
    </row>
    <row r="4018" ht="12.75" customHeight="1">
      <c r="A4018" s="59" t="s">
        <v>234</v>
      </c>
      <c r="B4018" s="60" t="s">
        <v>1078</v>
      </c>
    </row>
    <row r="4019" ht="12.75" customHeight="1">
      <c r="A4019" s="59" t="s">
        <v>234</v>
      </c>
      <c r="B4019" s="60" t="s">
        <v>1291</v>
      </c>
    </row>
    <row r="4020" ht="12.75" customHeight="1">
      <c r="A4020" s="59" t="s">
        <v>234</v>
      </c>
      <c r="B4020" s="60" t="s">
        <v>1080</v>
      </c>
    </row>
    <row r="4021" ht="12.75" customHeight="1">
      <c r="A4021" s="59" t="s">
        <v>234</v>
      </c>
      <c r="B4021" s="60" t="s">
        <v>1292</v>
      </c>
    </row>
    <row r="4022" ht="12.75" customHeight="1">
      <c r="A4022" s="59" t="s">
        <v>234</v>
      </c>
      <c r="B4022" s="60" t="s">
        <v>1082</v>
      </c>
    </row>
    <row r="4023" ht="12.75" customHeight="1">
      <c r="A4023" s="59" t="s">
        <v>234</v>
      </c>
      <c r="B4023" s="60" t="s">
        <v>1293</v>
      </c>
    </row>
    <row r="4024" ht="12.75" customHeight="1">
      <c r="A4024" s="59" t="s">
        <v>234</v>
      </c>
      <c r="B4024" s="60" t="s">
        <v>1084</v>
      </c>
    </row>
    <row r="4025" ht="12.75" customHeight="1">
      <c r="A4025" s="59" t="s">
        <v>234</v>
      </c>
      <c r="B4025" s="60" t="s">
        <v>1294</v>
      </c>
    </row>
    <row r="4026" ht="12.75" customHeight="1">
      <c r="A4026" s="59" t="s">
        <v>234</v>
      </c>
      <c r="B4026" s="60" t="s">
        <v>1054</v>
      </c>
    </row>
    <row r="4027" ht="12.75" customHeight="1">
      <c r="A4027" s="59" t="s">
        <v>234</v>
      </c>
      <c r="B4027" s="60" t="s">
        <v>1055</v>
      </c>
    </row>
    <row r="4028" ht="12.75" customHeight="1">
      <c r="A4028" s="59" t="s">
        <v>234</v>
      </c>
      <c r="B4028" s="60" t="s">
        <v>1056</v>
      </c>
    </row>
    <row r="4029" ht="12.75" customHeight="1">
      <c r="A4029" s="59" t="s">
        <v>234</v>
      </c>
      <c r="B4029" s="60" t="s">
        <v>1057</v>
      </c>
    </row>
    <row r="4030" ht="12.75" customHeight="1">
      <c r="A4030" s="59" t="s">
        <v>234</v>
      </c>
      <c r="B4030" s="60" t="s">
        <v>1058</v>
      </c>
    </row>
    <row r="4031" ht="12.75" customHeight="1">
      <c r="A4031" s="59" t="s">
        <v>234</v>
      </c>
      <c r="B4031" s="60" t="s">
        <v>1059</v>
      </c>
    </row>
    <row r="4032" ht="12.75" customHeight="1">
      <c r="A4032" s="59" t="s">
        <v>234</v>
      </c>
      <c r="B4032" s="60" t="s">
        <v>1060</v>
      </c>
    </row>
    <row r="4033" ht="12.75" customHeight="1">
      <c r="A4033" s="59" t="s">
        <v>234</v>
      </c>
      <c r="B4033" s="60" t="s">
        <v>1061</v>
      </c>
    </row>
    <row r="4034" ht="12.75" customHeight="1">
      <c r="A4034" s="59" t="s">
        <v>234</v>
      </c>
      <c r="B4034" s="60" t="s">
        <v>1062</v>
      </c>
    </row>
    <row r="4035" ht="12.75" customHeight="1">
      <c r="A4035" s="59" t="s">
        <v>234</v>
      </c>
      <c r="B4035" s="60" t="s">
        <v>1063</v>
      </c>
    </row>
    <row r="4036" ht="12.75" customHeight="1">
      <c r="A4036" s="59" t="s">
        <v>234</v>
      </c>
      <c r="B4036" s="60" t="s">
        <v>1064</v>
      </c>
    </row>
    <row r="4037" ht="12.75" customHeight="1">
      <c r="A4037" s="59" t="s">
        <v>234</v>
      </c>
      <c r="B4037" s="60" t="s">
        <v>1065</v>
      </c>
    </row>
    <row r="4038" ht="12.75" customHeight="1">
      <c r="A4038" s="59" t="s">
        <v>234</v>
      </c>
      <c r="B4038" s="60" t="s">
        <v>1066</v>
      </c>
    </row>
    <row r="4039" ht="12.75" customHeight="1">
      <c r="A4039" s="59" t="s">
        <v>234</v>
      </c>
      <c r="B4039" s="60" t="s">
        <v>1067</v>
      </c>
    </row>
    <row r="4040" ht="12.75" customHeight="1">
      <c r="A4040" s="59" t="s">
        <v>234</v>
      </c>
      <c r="B4040" s="60" t="s">
        <v>1086</v>
      </c>
    </row>
    <row r="4041" ht="12.75" customHeight="1">
      <c r="A4041" s="59" t="s">
        <v>234</v>
      </c>
      <c r="B4041" s="60" t="s">
        <v>1295</v>
      </c>
    </row>
    <row r="4042" ht="12.75" customHeight="1">
      <c r="A4042" s="59" t="s">
        <v>234</v>
      </c>
      <c r="B4042" s="60" t="s">
        <v>1296</v>
      </c>
    </row>
    <row r="4043" ht="12.75" customHeight="1">
      <c r="A4043" s="59" t="s">
        <v>234</v>
      </c>
      <c r="B4043" s="60" t="s">
        <v>1068</v>
      </c>
    </row>
    <row r="4044" ht="12.75" customHeight="1">
      <c r="A4044" s="59" t="s">
        <v>234</v>
      </c>
      <c r="B4044" s="60" t="s">
        <v>1069</v>
      </c>
    </row>
    <row r="4045" ht="12.75" customHeight="1">
      <c r="A4045" s="59" t="s">
        <v>234</v>
      </c>
      <c r="B4045" s="60" t="s">
        <v>1070</v>
      </c>
    </row>
    <row r="4046" ht="12.75" customHeight="1">
      <c r="A4046" s="59" t="s">
        <v>234</v>
      </c>
      <c r="B4046" s="60" t="s">
        <v>1071</v>
      </c>
    </row>
    <row r="4047" ht="12.75" customHeight="1">
      <c r="A4047" s="59" t="s">
        <v>234</v>
      </c>
      <c r="B4047" s="60" t="s">
        <v>1072</v>
      </c>
    </row>
    <row r="4048" ht="12.75" customHeight="1">
      <c r="A4048" s="59" t="s">
        <v>234</v>
      </c>
      <c r="B4048" s="60" t="s">
        <v>1073</v>
      </c>
    </row>
    <row r="4049" ht="12.75" customHeight="1">
      <c r="A4049" s="59" t="s">
        <v>234</v>
      </c>
      <c r="B4049" s="60" t="s">
        <v>1074</v>
      </c>
    </row>
    <row r="4050" ht="12.75" customHeight="1">
      <c r="A4050" s="59" t="s">
        <v>234</v>
      </c>
      <c r="B4050" s="60" t="s">
        <v>1075</v>
      </c>
    </row>
    <row r="4051" ht="12.75" customHeight="1">
      <c r="A4051" s="59" t="s">
        <v>234</v>
      </c>
      <c r="B4051" s="60" t="s">
        <v>1076</v>
      </c>
    </row>
    <row r="4052" ht="12.75" customHeight="1">
      <c r="A4052" s="59" t="s">
        <v>234</v>
      </c>
      <c r="B4052" s="60" t="s">
        <v>1077</v>
      </c>
    </row>
    <row r="4053" ht="12.75" customHeight="1">
      <c r="A4053" s="59" t="s">
        <v>234</v>
      </c>
      <c r="B4053" s="60" t="s">
        <v>1297</v>
      </c>
    </row>
    <row r="4054" ht="12.75" customHeight="1">
      <c r="A4054" s="59" t="s">
        <v>234</v>
      </c>
      <c r="B4054" s="60" t="s">
        <v>1079</v>
      </c>
    </row>
    <row r="4055" ht="12.75" customHeight="1">
      <c r="A4055" s="59" t="s">
        <v>234</v>
      </c>
      <c r="B4055" s="60" t="s">
        <v>1298</v>
      </c>
    </row>
    <row r="4056" ht="12.75" customHeight="1">
      <c r="A4056" s="59" t="s">
        <v>234</v>
      </c>
      <c r="B4056" s="60" t="s">
        <v>1081</v>
      </c>
    </row>
    <row r="4057" ht="12.75" customHeight="1">
      <c r="A4057" s="59" t="s">
        <v>234</v>
      </c>
      <c r="B4057" s="60" t="s">
        <v>1299</v>
      </c>
    </row>
    <row r="4058" ht="12.75" customHeight="1">
      <c r="A4058" s="59" t="s">
        <v>234</v>
      </c>
      <c r="B4058" s="60" t="s">
        <v>1083</v>
      </c>
    </row>
    <row r="4059" ht="12.75" customHeight="1">
      <c r="A4059" s="59" t="s">
        <v>234</v>
      </c>
      <c r="B4059" s="60" t="s">
        <v>1300</v>
      </c>
    </row>
    <row r="4060" ht="12.75" customHeight="1">
      <c r="A4060" s="59" t="s">
        <v>234</v>
      </c>
      <c r="B4060" s="60" t="s">
        <v>1085</v>
      </c>
    </row>
    <row r="4061" ht="12.75" customHeight="1">
      <c r="A4061" s="59" t="s">
        <v>234</v>
      </c>
      <c r="B4061" s="60" t="s">
        <v>1301</v>
      </c>
    </row>
    <row r="4062" ht="12.75" customHeight="1">
      <c r="A4062" s="59" t="s">
        <v>234</v>
      </c>
      <c r="B4062" s="60" t="s">
        <v>1087</v>
      </c>
    </row>
    <row r="4063" ht="12.75" customHeight="1">
      <c r="A4063" s="59" t="s">
        <v>234</v>
      </c>
      <c r="B4063" s="60" t="s">
        <v>1088</v>
      </c>
    </row>
    <row r="4064" ht="12.75" customHeight="1">
      <c r="A4064" s="59" t="s">
        <v>234</v>
      </c>
      <c r="B4064" s="60" t="s">
        <v>1089</v>
      </c>
    </row>
    <row r="4065" ht="12.75" customHeight="1">
      <c r="A4065" s="59" t="s">
        <v>234</v>
      </c>
      <c r="B4065" s="60" t="s">
        <v>1090</v>
      </c>
    </row>
    <row r="4066" ht="12.75" customHeight="1">
      <c r="A4066" s="59" t="s">
        <v>234</v>
      </c>
      <c r="B4066" s="60" t="s">
        <v>1091</v>
      </c>
    </row>
    <row r="4067" ht="12.75" customHeight="1">
      <c r="A4067" s="59" t="s">
        <v>234</v>
      </c>
      <c r="B4067" s="60" t="s">
        <v>1092</v>
      </c>
    </row>
    <row r="4068" ht="12.75" customHeight="1">
      <c r="A4068" s="59" t="s">
        <v>234</v>
      </c>
      <c r="B4068" s="60" t="s">
        <v>1093</v>
      </c>
    </row>
    <row r="4069" ht="12.75" customHeight="1">
      <c r="A4069" s="59" t="s">
        <v>234</v>
      </c>
      <c r="B4069" s="60" t="s">
        <v>1094</v>
      </c>
    </row>
    <row r="4070" ht="12.75" customHeight="1">
      <c r="A4070" s="59" t="s">
        <v>234</v>
      </c>
      <c r="B4070" s="60" t="s">
        <v>1095</v>
      </c>
    </row>
    <row r="4071" ht="12.75" customHeight="1">
      <c r="A4071" s="59" t="s">
        <v>234</v>
      </c>
      <c r="B4071" s="60" t="s">
        <v>1302</v>
      </c>
    </row>
    <row r="4072" ht="12.75" customHeight="1">
      <c r="A4072" s="59" t="s">
        <v>234</v>
      </c>
      <c r="B4072" s="60" t="s">
        <v>1303</v>
      </c>
    </row>
    <row r="4073" ht="12.75" customHeight="1">
      <c r="A4073" s="59" t="s">
        <v>234</v>
      </c>
      <c r="B4073" s="60" t="s">
        <v>1304</v>
      </c>
    </row>
    <row r="4074" ht="12.75" customHeight="1">
      <c r="A4074" s="59" t="s">
        <v>234</v>
      </c>
      <c r="B4074" s="60" t="s">
        <v>1305</v>
      </c>
    </row>
    <row r="4075" ht="12.75" customHeight="1">
      <c r="A4075" s="59" t="s">
        <v>234</v>
      </c>
      <c r="B4075" s="60" t="s">
        <v>1306</v>
      </c>
    </row>
    <row r="4076" ht="12.75" customHeight="1">
      <c r="A4076" s="59" t="s">
        <v>234</v>
      </c>
      <c r="B4076" s="60" t="s">
        <v>1307</v>
      </c>
    </row>
    <row r="4077" ht="12.75" customHeight="1">
      <c r="A4077" s="59" t="s">
        <v>234</v>
      </c>
      <c r="B4077" s="60" t="s">
        <v>1308</v>
      </c>
    </row>
    <row r="4078" ht="12.75" customHeight="1">
      <c r="A4078" s="59" t="s">
        <v>234</v>
      </c>
      <c r="B4078" s="60" t="s">
        <v>1096</v>
      </c>
    </row>
    <row r="4079" ht="12.75" customHeight="1">
      <c r="A4079" s="59" t="s">
        <v>234</v>
      </c>
      <c r="B4079" s="60" t="s">
        <v>1309</v>
      </c>
    </row>
    <row r="4080" ht="12.75" customHeight="1">
      <c r="A4080" s="59" t="s">
        <v>234</v>
      </c>
      <c r="B4080" s="60" t="s">
        <v>1097</v>
      </c>
    </row>
    <row r="4081" ht="12.75" customHeight="1">
      <c r="A4081" s="59" t="s">
        <v>234</v>
      </c>
      <c r="B4081" s="60" t="s">
        <v>1310</v>
      </c>
    </row>
    <row r="4082" ht="12.75" customHeight="1">
      <c r="A4082" s="59" t="s">
        <v>234</v>
      </c>
      <c r="B4082" s="60" t="s">
        <v>1098</v>
      </c>
    </row>
    <row r="4083" ht="12.75" customHeight="1">
      <c r="A4083" s="59" t="s">
        <v>234</v>
      </c>
      <c r="B4083" s="60" t="s">
        <v>1099</v>
      </c>
    </row>
    <row r="4084" ht="12.75" customHeight="1">
      <c r="A4084" s="59" t="s">
        <v>234</v>
      </c>
      <c r="B4084" s="60" t="s">
        <v>1100</v>
      </c>
    </row>
    <row r="4085" ht="12.75" customHeight="1">
      <c r="A4085" s="59" t="s">
        <v>234</v>
      </c>
      <c r="B4085" s="60" t="s">
        <v>1101</v>
      </c>
    </row>
    <row r="4086" ht="12.75" customHeight="1">
      <c r="A4086" s="59" t="s">
        <v>234</v>
      </c>
      <c r="B4086" s="60" t="s">
        <v>1102</v>
      </c>
    </row>
    <row r="4087" ht="12.75" customHeight="1">
      <c r="A4087" s="59" t="s">
        <v>234</v>
      </c>
      <c r="B4087" s="60" t="s">
        <v>1103</v>
      </c>
    </row>
    <row r="4088" ht="12.75" customHeight="1">
      <c r="A4088" s="59" t="s">
        <v>234</v>
      </c>
      <c r="B4088" s="60" t="s">
        <v>1104</v>
      </c>
    </row>
    <row r="4089" ht="12.75" customHeight="1">
      <c r="A4089" s="59" t="s">
        <v>234</v>
      </c>
      <c r="B4089" s="60" t="s">
        <v>1105</v>
      </c>
    </row>
    <row r="4090" ht="12.75" customHeight="1">
      <c r="A4090" s="59" t="s">
        <v>234</v>
      </c>
      <c r="B4090" s="60" t="s">
        <v>1106</v>
      </c>
    </row>
    <row r="4091" ht="12.75" customHeight="1">
      <c r="A4091" s="59" t="s">
        <v>234</v>
      </c>
      <c r="B4091" s="60" t="s">
        <v>1107</v>
      </c>
    </row>
    <row r="4092" ht="12.75" customHeight="1">
      <c r="A4092" s="59" t="s">
        <v>234</v>
      </c>
      <c r="B4092" s="60" t="s">
        <v>1108</v>
      </c>
    </row>
    <row r="4093" ht="12.75" customHeight="1">
      <c r="A4093" s="59" t="s">
        <v>234</v>
      </c>
      <c r="B4093" s="60" t="s">
        <v>1109</v>
      </c>
    </row>
    <row r="4094" ht="12.75" customHeight="1">
      <c r="A4094" s="59" t="s">
        <v>234</v>
      </c>
      <c r="B4094" s="60" t="s">
        <v>1110</v>
      </c>
    </row>
    <row r="4095" ht="12.75" customHeight="1">
      <c r="A4095" s="59" t="s">
        <v>234</v>
      </c>
      <c r="B4095" s="60" t="s">
        <v>1111</v>
      </c>
    </row>
    <row r="4096" ht="12.75" customHeight="1">
      <c r="A4096" s="59" t="s">
        <v>234</v>
      </c>
      <c r="B4096" s="60" t="s">
        <v>1112</v>
      </c>
    </row>
    <row r="4097" ht="12.75" customHeight="1">
      <c r="A4097" s="59" t="s">
        <v>234</v>
      </c>
      <c r="B4097" s="60" t="s">
        <v>1113</v>
      </c>
    </row>
    <row r="4098" ht="12.75" customHeight="1">
      <c r="A4098" s="59" t="s">
        <v>234</v>
      </c>
      <c r="B4098" s="60" t="s">
        <v>1114</v>
      </c>
    </row>
    <row r="4099" ht="12.75" customHeight="1">
      <c r="A4099" s="59" t="s">
        <v>234</v>
      </c>
      <c r="B4099" s="60" t="s">
        <v>1115</v>
      </c>
    </row>
    <row r="4100" ht="12.75" customHeight="1">
      <c r="A4100" s="59" t="s">
        <v>234</v>
      </c>
      <c r="B4100" s="60" t="s">
        <v>1116</v>
      </c>
    </row>
    <row r="4101" ht="12.75" customHeight="1">
      <c r="A4101" s="59" t="s">
        <v>234</v>
      </c>
      <c r="B4101" s="60" t="s">
        <v>1117</v>
      </c>
    </row>
    <row r="4102" ht="12.75" customHeight="1">
      <c r="A4102" s="59" t="s">
        <v>234</v>
      </c>
      <c r="B4102" s="60" t="s">
        <v>1118</v>
      </c>
    </row>
    <row r="4103" ht="12.75" customHeight="1">
      <c r="A4103" s="59" t="s">
        <v>234</v>
      </c>
      <c r="B4103" s="60" t="s">
        <v>1119</v>
      </c>
    </row>
    <row r="4104" ht="12.75" customHeight="1">
      <c r="A4104" s="59" t="s">
        <v>234</v>
      </c>
      <c r="B4104" s="60" t="s">
        <v>1120</v>
      </c>
    </row>
    <row r="4105" ht="12.75" customHeight="1">
      <c r="A4105" s="59" t="s">
        <v>234</v>
      </c>
      <c r="B4105" s="60" t="s">
        <v>1121</v>
      </c>
    </row>
    <row r="4106" ht="12.75" customHeight="1">
      <c r="A4106" s="59" t="s">
        <v>234</v>
      </c>
      <c r="B4106" s="60" t="s">
        <v>1122</v>
      </c>
    </row>
    <row r="4107" ht="12.75" customHeight="1">
      <c r="A4107" s="59" t="s">
        <v>234</v>
      </c>
      <c r="B4107" s="60" t="s">
        <v>1123</v>
      </c>
    </row>
    <row r="4108" ht="12.75" customHeight="1">
      <c r="A4108" s="59" t="s">
        <v>234</v>
      </c>
      <c r="B4108" s="60" t="s">
        <v>1124</v>
      </c>
    </row>
    <row r="4109" ht="12.75" customHeight="1">
      <c r="A4109" s="59" t="s">
        <v>234</v>
      </c>
      <c r="B4109" s="60" t="s">
        <v>1125</v>
      </c>
    </row>
    <row r="4110" ht="12.75" customHeight="1">
      <c r="A4110" s="59" t="s">
        <v>234</v>
      </c>
      <c r="B4110" s="60" t="s">
        <v>1126</v>
      </c>
    </row>
    <row r="4111" ht="12.75" customHeight="1">
      <c r="A4111" s="59" t="s">
        <v>234</v>
      </c>
      <c r="B4111" s="60" t="s">
        <v>1320</v>
      </c>
    </row>
    <row r="4112" ht="12.75" customHeight="1">
      <c r="A4112" s="59" t="s">
        <v>234</v>
      </c>
      <c r="B4112" s="60" t="s">
        <v>1127</v>
      </c>
    </row>
    <row r="4113" ht="12.75" customHeight="1">
      <c r="A4113" s="59" t="s">
        <v>234</v>
      </c>
      <c r="B4113" s="60" t="s">
        <v>1128</v>
      </c>
    </row>
    <row r="4114" ht="12.75" customHeight="1">
      <c r="A4114" s="59" t="s">
        <v>234</v>
      </c>
      <c r="B4114" s="60" t="s">
        <v>1129</v>
      </c>
    </row>
    <row r="4115" ht="12.75" customHeight="1">
      <c r="A4115" s="59" t="s">
        <v>234</v>
      </c>
      <c r="B4115" s="60" t="s">
        <v>1130</v>
      </c>
    </row>
    <row r="4116" ht="12.75" customHeight="1">
      <c r="A4116" s="59" t="s">
        <v>234</v>
      </c>
      <c r="B4116" s="60" t="s">
        <v>1131</v>
      </c>
    </row>
    <row r="4117" ht="12.75" customHeight="1">
      <c r="A4117" s="59" t="s">
        <v>234</v>
      </c>
      <c r="B4117" s="60" t="s">
        <v>1132</v>
      </c>
    </row>
    <row r="4118" ht="12.75" customHeight="1">
      <c r="A4118" s="59" t="s">
        <v>234</v>
      </c>
      <c r="B4118" s="60" t="s">
        <v>1133</v>
      </c>
    </row>
    <row r="4119" ht="12.75" customHeight="1">
      <c r="A4119" s="59" t="s">
        <v>234</v>
      </c>
      <c r="B4119" s="60" t="s">
        <v>1134</v>
      </c>
    </row>
    <row r="4120" ht="12.75" customHeight="1">
      <c r="A4120" s="59" t="s">
        <v>234</v>
      </c>
      <c r="B4120" s="60" t="s">
        <v>1135</v>
      </c>
    </row>
    <row r="4121" ht="12.75" customHeight="1">
      <c r="A4121" s="59" t="s">
        <v>234</v>
      </c>
      <c r="B4121" s="60" t="s">
        <v>1136</v>
      </c>
    </row>
    <row r="4122" ht="12.75" customHeight="1">
      <c r="A4122" s="59" t="s">
        <v>234</v>
      </c>
      <c r="B4122" s="60" t="s">
        <v>1137</v>
      </c>
    </row>
    <row r="4123" ht="12.75" customHeight="1">
      <c r="A4123" s="59" t="s">
        <v>234</v>
      </c>
      <c r="B4123" s="60" t="s">
        <v>1321</v>
      </c>
    </row>
    <row r="4124" ht="12.75" customHeight="1">
      <c r="A4124" s="59" t="s">
        <v>234</v>
      </c>
      <c r="B4124" s="60" t="s">
        <v>1138</v>
      </c>
    </row>
    <row r="4125" ht="12.75" customHeight="1">
      <c r="A4125" s="59" t="s">
        <v>234</v>
      </c>
      <c r="B4125" s="60" t="s">
        <v>1322</v>
      </c>
    </row>
    <row r="4126" ht="12.75" customHeight="1">
      <c r="A4126" s="59" t="s">
        <v>234</v>
      </c>
      <c r="B4126" s="60" t="s">
        <v>1139</v>
      </c>
    </row>
    <row r="4127" ht="12.75" customHeight="1">
      <c r="A4127" s="59" t="s">
        <v>234</v>
      </c>
      <c r="B4127" s="60" t="s">
        <v>1323</v>
      </c>
    </row>
    <row r="4128" ht="12.75" customHeight="1">
      <c r="A4128" s="59" t="s">
        <v>234</v>
      </c>
      <c r="B4128" s="60" t="s">
        <v>1140</v>
      </c>
    </row>
    <row r="4129" ht="12.75" customHeight="1">
      <c r="A4129" s="59" t="s">
        <v>234</v>
      </c>
      <c r="B4129" s="60" t="s">
        <v>1324</v>
      </c>
    </row>
    <row r="4130" ht="12.75" customHeight="1">
      <c r="A4130" s="59" t="s">
        <v>234</v>
      </c>
      <c r="B4130" s="60" t="s">
        <v>1141</v>
      </c>
    </row>
    <row r="4131" ht="12.75" customHeight="1">
      <c r="A4131" s="59" t="s">
        <v>234</v>
      </c>
      <c r="B4131" s="60" t="s">
        <v>1325</v>
      </c>
    </row>
    <row r="4132" ht="12.75" customHeight="1">
      <c r="A4132" s="59" t="s">
        <v>234</v>
      </c>
      <c r="B4132" s="60" t="s">
        <v>1142</v>
      </c>
    </row>
    <row r="4133" ht="12.75" customHeight="1">
      <c r="A4133" s="59" t="s">
        <v>234</v>
      </c>
      <c r="B4133" s="60" t="s">
        <v>1326</v>
      </c>
    </row>
    <row r="4134" ht="12.75" customHeight="1">
      <c r="A4134" s="59" t="s">
        <v>234</v>
      </c>
      <c r="B4134" s="60" t="s">
        <v>1143</v>
      </c>
    </row>
    <row r="4135" ht="12.75" customHeight="1">
      <c r="A4135" s="59" t="s">
        <v>234</v>
      </c>
      <c r="B4135" s="60" t="s">
        <v>1144</v>
      </c>
    </row>
    <row r="4136" ht="12.75" customHeight="1">
      <c r="A4136" s="59" t="s">
        <v>234</v>
      </c>
      <c r="B4136" s="60" t="s">
        <v>1145</v>
      </c>
    </row>
    <row r="4137" ht="12.75" customHeight="1">
      <c r="A4137" s="59" t="s">
        <v>234</v>
      </c>
      <c r="B4137" s="60" t="s">
        <v>1146</v>
      </c>
    </row>
    <row r="4138" ht="12.75" customHeight="1">
      <c r="A4138" s="59" t="s">
        <v>234</v>
      </c>
      <c r="B4138" s="60" t="s">
        <v>1147</v>
      </c>
    </row>
    <row r="4139" ht="12.75" customHeight="1">
      <c r="A4139" s="59" t="s">
        <v>234</v>
      </c>
      <c r="B4139" s="60" t="s">
        <v>1148</v>
      </c>
    </row>
    <row r="4140" ht="12.75" customHeight="1">
      <c r="A4140" s="59" t="s">
        <v>234</v>
      </c>
      <c r="B4140" s="60" t="s">
        <v>1149</v>
      </c>
    </row>
    <row r="4141" ht="12.75" customHeight="1">
      <c r="A4141" s="59" t="s">
        <v>234</v>
      </c>
      <c r="B4141" s="60" t="s">
        <v>1150</v>
      </c>
    </row>
    <row r="4142" ht="12.75" customHeight="1">
      <c r="A4142" s="59" t="s">
        <v>234</v>
      </c>
      <c r="B4142" s="60" t="s">
        <v>1151</v>
      </c>
    </row>
    <row r="4143" ht="12.75" customHeight="1">
      <c r="A4143" s="59" t="s">
        <v>234</v>
      </c>
      <c r="B4143" s="60" t="s">
        <v>1152</v>
      </c>
    </row>
    <row r="4144" ht="12.75" customHeight="1">
      <c r="A4144" s="59" t="s">
        <v>234</v>
      </c>
      <c r="B4144" s="60" t="s">
        <v>1153</v>
      </c>
    </row>
    <row r="4145" ht="12.75" customHeight="1">
      <c r="A4145" s="59" t="s">
        <v>234</v>
      </c>
      <c r="B4145" s="60" t="s">
        <v>1154</v>
      </c>
    </row>
    <row r="4146" ht="12.75" customHeight="1">
      <c r="A4146" s="59" t="s">
        <v>234</v>
      </c>
      <c r="B4146" s="60" t="s">
        <v>1155</v>
      </c>
    </row>
    <row r="4147" ht="12.75" customHeight="1">
      <c r="A4147" s="59" t="s">
        <v>234</v>
      </c>
      <c r="B4147" s="60" t="s">
        <v>1156</v>
      </c>
    </row>
    <row r="4148" ht="12.75" customHeight="1">
      <c r="A4148" s="59" t="s">
        <v>234</v>
      </c>
      <c r="B4148" s="60" t="s">
        <v>1157</v>
      </c>
    </row>
    <row r="4149" ht="12.75" customHeight="1">
      <c r="A4149" s="59" t="s">
        <v>234</v>
      </c>
      <c r="B4149" s="60" t="s">
        <v>1158</v>
      </c>
    </row>
    <row r="4150" ht="12.75" customHeight="1">
      <c r="A4150" s="59" t="s">
        <v>234</v>
      </c>
      <c r="B4150" s="60" t="s">
        <v>1159</v>
      </c>
    </row>
    <row r="4151" ht="12.75" customHeight="1">
      <c r="A4151" s="59" t="s">
        <v>234</v>
      </c>
      <c r="B4151" s="60" t="s">
        <v>1347</v>
      </c>
    </row>
    <row r="4152" ht="12.75" customHeight="1">
      <c r="A4152" s="59" t="s">
        <v>234</v>
      </c>
      <c r="B4152" s="60" t="s">
        <v>1160</v>
      </c>
    </row>
    <row r="4153" ht="12.75" customHeight="1">
      <c r="A4153" s="59" t="s">
        <v>234</v>
      </c>
      <c r="B4153" s="60" t="s">
        <v>1161</v>
      </c>
    </row>
    <row r="4154" ht="12.75" customHeight="1">
      <c r="A4154" s="59" t="s">
        <v>234</v>
      </c>
      <c r="B4154" s="60" t="s">
        <v>1162</v>
      </c>
    </row>
    <row r="4155" ht="12.75" customHeight="1">
      <c r="A4155" s="59" t="s">
        <v>234</v>
      </c>
      <c r="B4155" s="60" t="s">
        <v>1163</v>
      </c>
    </row>
    <row r="4156" ht="12.75" customHeight="1">
      <c r="A4156" s="59" t="s">
        <v>234</v>
      </c>
      <c r="B4156" s="60" t="s">
        <v>1164</v>
      </c>
    </row>
    <row r="4157" ht="12.75" customHeight="1">
      <c r="A4157" s="59" t="s">
        <v>234</v>
      </c>
      <c r="B4157" s="60" t="s">
        <v>1165</v>
      </c>
    </row>
    <row r="4158" ht="12.75" customHeight="1">
      <c r="A4158" s="59" t="s">
        <v>234</v>
      </c>
      <c r="B4158" s="60" t="s">
        <v>1166</v>
      </c>
    </row>
    <row r="4159" ht="12.75" customHeight="1">
      <c r="A4159" s="59" t="s">
        <v>234</v>
      </c>
      <c r="B4159" s="60" t="s">
        <v>1167</v>
      </c>
    </row>
    <row r="4160" ht="12.75" customHeight="1">
      <c r="A4160" s="59" t="s">
        <v>234</v>
      </c>
      <c r="B4160" s="60" t="s">
        <v>1168</v>
      </c>
    </row>
    <row r="4161" ht="12.75" customHeight="1">
      <c r="A4161" s="59" t="s">
        <v>234</v>
      </c>
      <c r="B4161" s="60" t="s">
        <v>1169</v>
      </c>
    </row>
    <row r="4162" ht="12.75" customHeight="1">
      <c r="A4162" s="59" t="s">
        <v>234</v>
      </c>
      <c r="B4162" s="60" t="s">
        <v>1170</v>
      </c>
    </row>
    <row r="4163" ht="12.75" customHeight="1">
      <c r="A4163" s="59" t="s">
        <v>234</v>
      </c>
      <c r="B4163" s="60" t="s">
        <v>1348</v>
      </c>
    </row>
    <row r="4164" ht="12.75" customHeight="1">
      <c r="A4164" s="59" t="s">
        <v>234</v>
      </c>
      <c r="B4164" s="60" t="s">
        <v>1171</v>
      </c>
    </row>
    <row r="4165" ht="12.75" customHeight="1">
      <c r="A4165" s="59" t="s">
        <v>234</v>
      </c>
      <c r="B4165" s="60" t="s">
        <v>1349</v>
      </c>
    </row>
    <row r="4166" ht="12.75" customHeight="1">
      <c r="A4166" s="59" t="s">
        <v>234</v>
      </c>
      <c r="B4166" s="60" t="s">
        <v>1172</v>
      </c>
    </row>
    <row r="4167" ht="12.75" customHeight="1">
      <c r="A4167" s="59" t="s">
        <v>234</v>
      </c>
      <c r="B4167" s="60" t="s">
        <v>1350</v>
      </c>
    </row>
    <row r="4168" ht="12.75" customHeight="1">
      <c r="A4168" s="59" t="s">
        <v>234</v>
      </c>
      <c r="B4168" s="60" t="s">
        <v>1173</v>
      </c>
    </row>
    <row r="4169" ht="12.75" customHeight="1">
      <c r="A4169" s="59" t="s">
        <v>234</v>
      </c>
      <c r="B4169" s="60" t="s">
        <v>1351</v>
      </c>
    </row>
    <row r="4170" ht="12.75" customHeight="1">
      <c r="A4170" s="59" t="s">
        <v>234</v>
      </c>
      <c r="B4170" s="60" t="s">
        <v>1174</v>
      </c>
    </row>
    <row r="4171" ht="12.75" customHeight="1">
      <c r="A4171" s="59" t="s">
        <v>234</v>
      </c>
      <c r="B4171" s="60" t="s">
        <v>1352</v>
      </c>
    </row>
    <row r="4172" ht="12.75" customHeight="1">
      <c r="A4172" s="59" t="s">
        <v>234</v>
      </c>
      <c r="B4172" s="60" t="s">
        <v>1175</v>
      </c>
    </row>
    <row r="4173" ht="12.75" customHeight="1">
      <c r="A4173" s="59" t="s">
        <v>234</v>
      </c>
      <c r="B4173" s="60" t="s">
        <v>1353</v>
      </c>
    </row>
    <row r="4174" ht="12.75" customHeight="1">
      <c r="A4174" s="59" t="s">
        <v>234</v>
      </c>
      <c r="B4174" s="60" t="s">
        <v>1176</v>
      </c>
    </row>
    <row r="4175" ht="12.75" customHeight="1">
      <c r="A4175" s="59" t="s">
        <v>234</v>
      </c>
      <c r="B4175" s="60" t="s">
        <v>1177</v>
      </c>
    </row>
    <row r="4176" ht="12.75" customHeight="1">
      <c r="A4176" s="59" t="s">
        <v>234</v>
      </c>
      <c r="B4176" s="60" t="s">
        <v>1178</v>
      </c>
    </row>
    <row r="4177" ht="12.75" customHeight="1">
      <c r="A4177" s="59" t="s">
        <v>234</v>
      </c>
      <c r="B4177" s="60" t="s">
        <v>1179</v>
      </c>
    </row>
    <row r="4178" ht="12.75" customHeight="1">
      <c r="A4178" s="59" t="s">
        <v>234</v>
      </c>
      <c r="B4178" s="60" t="s">
        <v>1180</v>
      </c>
    </row>
    <row r="4179" ht="12.75" customHeight="1">
      <c r="A4179" s="59" t="s">
        <v>234</v>
      </c>
      <c r="B4179" s="60" t="s">
        <v>1181</v>
      </c>
    </row>
    <row r="4180" ht="12.75" customHeight="1">
      <c r="A4180" s="59" t="s">
        <v>234</v>
      </c>
      <c r="B4180" s="60" t="s">
        <v>1182</v>
      </c>
    </row>
    <row r="4181" ht="12.75" customHeight="1">
      <c r="A4181" s="59" t="s">
        <v>234</v>
      </c>
      <c r="B4181" s="60" t="s">
        <v>1183</v>
      </c>
    </row>
    <row r="4182" ht="12.75" customHeight="1">
      <c r="A4182" s="59" t="s">
        <v>234</v>
      </c>
      <c r="B4182" s="60" t="s">
        <v>1184</v>
      </c>
    </row>
    <row r="4183" ht="12.75" customHeight="1">
      <c r="A4183" s="59" t="s">
        <v>234</v>
      </c>
      <c r="B4183" s="60" t="s">
        <v>1185</v>
      </c>
    </row>
    <row r="4184" ht="12.75" customHeight="1">
      <c r="A4184" s="59" t="s">
        <v>234</v>
      </c>
      <c r="B4184" s="60" t="s">
        <v>1186</v>
      </c>
    </row>
    <row r="4185" ht="12.75" customHeight="1">
      <c r="A4185" s="59" t="s">
        <v>234</v>
      </c>
      <c r="B4185" s="60" t="s">
        <v>1187</v>
      </c>
    </row>
    <row r="4186" ht="12.75" customHeight="1">
      <c r="A4186" s="59" t="s">
        <v>234</v>
      </c>
      <c r="B4186" s="60" t="s">
        <v>1188</v>
      </c>
    </row>
    <row r="4187" ht="12.75" customHeight="1">
      <c r="A4187" s="59" t="s">
        <v>234</v>
      </c>
      <c r="B4187" s="60" t="s">
        <v>1189</v>
      </c>
    </row>
    <row r="4188" ht="12.75" customHeight="1">
      <c r="A4188" s="59" t="s">
        <v>234</v>
      </c>
      <c r="B4188" s="60" t="s">
        <v>1190</v>
      </c>
    </row>
    <row r="4189" ht="12.75" customHeight="1">
      <c r="A4189" s="59" t="s">
        <v>234</v>
      </c>
      <c r="B4189" s="60" t="s">
        <v>1191</v>
      </c>
    </row>
    <row r="4190" ht="12.75" customHeight="1">
      <c r="A4190" s="59" t="s">
        <v>234</v>
      </c>
      <c r="B4190" s="60" t="s">
        <v>1192</v>
      </c>
    </row>
    <row r="4191" ht="12.75" customHeight="1">
      <c r="A4191" s="59" t="s">
        <v>242</v>
      </c>
      <c r="B4191" s="60" t="s">
        <v>745</v>
      </c>
    </row>
    <row r="4192" ht="12.75" customHeight="1">
      <c r="A4192" s="59" t="s">
        <v>242</v>
      </c>
      <c r="B4192" s="60" t="s">
        <v>803</v>
      </c>
    </row>
    <row r="4193" ht="12.75" customHeight="1">
      <c r="A4193" s="59" t="s">
        <v>242</v>
      </c>
      <c r="B4193" s="60" t="s">
        <v>804</v>
      </c>
    </row>
    <row r="4194" ht="12.75" customHeight="1">
      <c r="A4194" s="59" t="s">
        <v>242</v>
      </c>
      <c r="B4194" s="60" t="s">
        <v>76</v>
      </c>
    </row>
    <row r="4195" ht="12.75" customHeight="1">
      <c r="A4195" s="59" t="s">
        <v>242</v>
      </c>
      <c r="B4195" s="60" t="s">
        <v>80</v>
      </c>
    </row>
    <row r="4196" ht="12.75" customHeight="1">
      <c r="A4196" s="59" t="s">
        <v>242</v>
      </c>
      <c r="B4196" s="60" t="s">
        <v>83</v>
      </c>
    </row>
    <row r="4197" ht="12.75" customHeight="1">
      <c r="A4197" s="59" t="s">
        <v>242</v>
      </c>
      <c r="B4197" s="60" t="s">
        <v>85</v>
      </c>
    </row>
    <row r="4198" ht="12.75" customHeight="1">
      <c r="A4198" s="59" t="s">
        <v>242</v>
      </c>
      <c r="B4198" s="60" t="s">
        <v>1356</v>
      </c>
    </row>
    <row r="4199" ht="12.75" customHeight="1">
      <c r="A4199" s="59" t="s">
        <v>242</v>
      </c>
      <c r="B4199" s="60" t="s">
        <v>1357</v>
      </c>
    </row>
    <row r="4200" ht="12.75" customHeight="1">
      <c r="A4200" s="59" t="s">
        <v>242</v>
      </c>
      <c r="B4200" s="60" t="s">
        <v>1358</v>
      </c>
    </row>
    <row r="4201" ht="12.75" customHeight="1">
      <c r="A4201" s="59" t="s">
        <v>242</v>
      </c>
      <c r="B4201" s="60" t="s">
        <v>1359</v>
      </c>
    </row>
    <row r="4202" ht="12.75" customHeight="1">
      <c r="A4202" s="59" t="s">
        <v>242</v>
      </c>
      <c r="B4202" s="60" t="s">
        <v>1360</v>
      </c>
    </row>
    <row r="4203" ht="12.75" customHeight="1">
      <c r="A4203" s="59" t="s">
        <v>242</v>
      </c>
      <c r="B4203" s="60" t="s">
        <v>1361</v>
      </c>
    </row>
    <row r="4204" ht="12.75" customHeight="1">
      <c r="A4204" s="59" t="s">
        <v>242</v>
      </c>
      <c r="B4204" s="60" t="s">
        <v>1362</v>
      </c>
    </row>
    <row r="4205" ht="12.75" customHeight="1">
      <c r="A4205" s="59" t="s">
        <v>242</v>
      </c>
      <c r="B4205" s="60" t="s">
        <v>1363</v>
      </c>
    </row>
    <row r="4206" ht="12.75" customHeight="1">
      <c r="A4206" s="59" t="s">
        <v>242</v>
      </c>
      <c r="B4206" s="60" t="s">
        <v>1364</v>
      </c>
    </row>
    <row r="4207" ht="12.75" customHeight="1">
      <c r="A4207" s="59" t="s">
        <v>242</v>
      </c>
      <c r="B4207" s="60" t="s">
        <v>1365</v>
      </c>
    </row>
    <row r="4208" ht="12.75" customHeight="1">
      <c r="A4208" s="59" t="s">
        <v>242</v>
      </c>
      <c r="B4208" s="60" t="s">
        <v>1366</v>
      </c>
    </row>
    <row r="4209" ht="12.75" customHeight="1">
      <c r="A4209" s="59" t="s">
        <v>242</v>
      </c>
      <c r="B4209" s="60" t="s">
        <v>1367</v>
      </c>
    </row>
    <row r="4210" ht="12.75" customHeight="1">
      <c r="A4210" s="59" t="s">
        <v>242</v>
      </c>
      <c r="B4210" s="60" t="s">
        <v>1368</v>
      </c>
    </row>
    <row r="4211" ht="12.75" customHeight="1">
      <c r="A4211" s="59" t="s">
        <v>242</v>
      </c>
      <c r="B4211" s="60" t="s">
        <v>1369</v>
      </c>
    </row>
    <row r="4212" ht="12.75" customHeight="1">
      <c r="A4212" s="59" t="s">
        <v>242</v>
      </c>
      <c r="B4212" s="60" t="s">
        <v>1370</v>
      </c>
    </row>
    <row r="4213" ht="12.75" customHeight="1">
      <c r="A4213" s="59" t="s">
        <v>242</v>
      </c>
      <c r="B4213" s="60" t="s">
        <v>1371</v>
      </c>
    </row>
    <row r="4214" ht="12.75" customHeight="1">
      <c r="A4214" s="59" t="s">
        <v>242</v>
      </c>
      <c r="B4214" s="60" t="s">
        <v>1372</v>
      </c>
    </row>
    <row r="4215" ht="12.75" customHeight="1">
      <c r="A4215" s="59" t="s">
        <v>242</v>
      </c>
      <c r="B4215" s="60" t="s">
        <v>1373</v>
      </c>
    </row>
    <row r="4216" ht="12.75" customHeight="1">
      <c r="A4216" s="59" t="s">
        <v>242</v>
      </c>
      <c r="B4216" s="60" t="s">
        <v>1374</v>
      </c>
    </row>
    <row r="4217" ht="12.75" customHeight="1">
      <c r="A4217" s="59" t="s">
        <v>242</v>
      </c>
      <c r="B4217" s="60" t="s">
        <v>1375</v>
      </c>
    </row>
    <row r="4218" ht="12.75" customHeight="1">
      <c r="A4218" s="59" t="s">
        <v>242</v>
      </c>
      <c r="B4218" s="60" t="s">
        <v>1376</v>
      </c>
    </row>
    <row r="4219" ht="12.75" customHeight="1">
      <c r="A4219" s="59" t="s">
        <v>242</v>
      </c>
      <c r="B4219" s="60" t="s">
        <v>1377</v>
      </c>
    </row>
    <row r="4220" ht="12.75" customHeight="1">
      <c r="A4220" s="59" t="s">
        <v>242</v>
      </c>
      <c r="B4220" s="60" t="s">
        <v>1378</v>
      </c>
    </row>
    <row r="4221" ht="12.75" customHeight="1">
      <c r="A4221" s="59" t="s">
        <v>242</v>
      </c>
      <c r="B4221" s="60" t="s">
        <v>1379</v>
      </c>
    </row>
    <row r="4222" ht="12.75" customHeight="1">
      <c r="A4222" s="59" t="s">
        <v>242</v>
      </c>
      <c r="B4222" s="60" t="s">
        <v>1380</v>
      </c>
    </row>
    <row r="4223" ht="12.75" customHeight="1">
      <c r="A4223" s="59" t="s">
        <v>242</v>
      </c>
      <c r="B4223" s="60" t="s">
        <v>1381</v>
      </c>
    </row>
    <row r="4224" ht="12.75" customHeight="1">
      <c r="A4224" s="59" t="s">
        <v>242</v>
      </c>
      <c r="B4224" s="60" t="s">
        <v>1382</v>
      </c>
    </row>
    <row r="4225" ht="12.75" customHeight="1">
      <c r="A4225" s="59" t="s">
        <v>242</v>
      </c>
      <c r="B4225" s="60" t="s">
        <v>1383</v>
      </c>
    </row>
    <row r="4226" ht="12.75" customHeight="1">
      <c r="A4226" s="59" t="s">
        <v>242</v>
      </c>
      <c r="B4226" s="60" t="s">
        <v>1384</v>
      </c>
    </row>
    <row r="4227" ht="12.75" customHeight="1">
      <c r="A4227" s="59" t="s">
        <v>242</v>
      </c>
      <c r="B4227" s="60" t="s">
        <v>746</v>
      </c>
    </row>
    <row r="4228" ht="12.75" customHeight="1">
      <c r="A4228" s="59" t="s">
        <v>242</v>
      </c>
      <c r="B4228" s="60" t="s">
        <v>1385</v>
      </c>
    </row>
    <row r="4229" ht="12.75" customHeight="1">
      <c r="A4229" s="59" t="s">
        <v>242</v>
      </c>
      <c r="B4229" s="60" t="s">
        <v>1386</v>
      </c>
    </row>
    <row r="4230" ht="12.75" customHeight="1">
      <c r="A4230" s="59" t="s">
        <v>242</v>
      </c>
      <c r="B4230" s="60" t="s">
        <v>1387</v>
      </c>
    </row>
    <row r="4231" ht="12.75" customHeight="1">
      <c r="A4231" s="59" t="s">
        <v>242</v>
      </c>
      <c r="B4231" s="60" t="s">
        <v>1388</v>
      </c>
    </row>
    <row r="4232" ht="12.75" customHeight="1">
      <c r="A4232" s="59" t="s">
        <v>242</v>
      </c>
      <c r="B4232" s="60" t="s">
        <v>1389</v>
      </c>
    </row>
    <row r="4233" ht="12.75" customHeight="1">
      <c r="A4233" s="59" t="s">
        <v>242</v>
      </c>
      <c r="B4233" s="60" t="s">
        <v>1390</v>
      </c>
    </row>
    <row r="4234" ht="12.75" customHeight="1">
      <c r="A4234" s="59" t="s">
        <v>242</v>
      </c>
      <c r="B4234" s="60" t="s">
        <v>1391</v>
      </c>
    </row>
    <row r="4235" ht="12.75" customHeight="1">
      <c r="A4235" s="59" t="s">
        <v>242</v>
      </c>
      <c r="B4235" s="60" t="s">
        <v>1392</v>
      </c>
    </row>
    <row r="4236" ht="12.75" customHeight="1">
      <c r="A4236" s="59" t="s">
        <v>242</v>
      </c>
      <c r="B4236" s="60" t="s">
        <v>1393</v>
      </c>
    </row>
    <row r="4237" ht="12.75" customHeight="1">
      <c r="A4237" s="59" t="s">
        <v>242</v>
      </c>
      <c r="B4237" s="60" t="s">
        <v>1394</v>
      </c>
    </row>
    <row r="4238" ht="12.75" customHeight="1">
      <c r="A4238" s="59" t="s">
        <v>242</v>
      </c>
      <c r="B4238" s="60" t="s">
        <v>1395</v>
      </c>
    </row>
    <row r="4239" ht="12.75" customHeight="1">
      <c r="A4239" s="59" t="s">
        <v>242</v>
      </c>
      <c r="B4239" s="60" t="s">
        <v>1396</v>
      </c>
    </row>
    <row r="4240" ht="12.75" customHeight="1">
      <c r="A4240" s="59" t="s">
        <v>242</v>
      </c>
      <c r="B4240" s="60" t="s">
        <v>1397</v>
      </c>
    </row>
    <row r="4241" ht="12.75" customHeight="1">
      <c r="A4241" s="59" t="s">
        <v>242</v>
      </c>
      <c r="B4241" s="60" t="s">
        <v>1398</v>
      </c>
    </row>
    <row r="4242" ht="12.75" customHeight="1">
      <c r="A4242" s="59" t="s">
        <v>242</v>
      </c>
      <c r="B4242" s="60" t="s">
        <v>1399</v>
      </c>
    </row>
    <row r="4243" ht="12.75" customHeight="1">
      <c r="A4243" s="59" t="s">
        <v>242</v>
      </c>
      <c r="B4243" s="60" t="s">
        <v>1400</v>
      </c>
    </row>
    <row r="4244" ht="12.75" customHeight="1">
      <c r="A4244" s="59" t="s">
        <v>242</v>
      </c>
      <c r="B4244" s="60" t="s">
        <v>1401</v>
      </c>
    </row>
    <row r="4245" ht="12.75" customHeight="1">
      <c r="A4245" s="59" t="s">
        <v>242</v>
      </c>
      <c r="B4245" s="60" t="s">
        <v>1402</v>
      </c>
    </row>
    <row r="4246" ht="12.75" customHeight="1">
      <c r="A4246" s="59" t="s">
        <v>242</v>
      </c>
      <c r="B4246" s="60" t="s">
        <v>1403</v>
      </c>
    </row>
    <row r="4247" ht="12.75" customHeight="1">
      <c r="A4247" s="59" t="s">
        <v>242</v>
      </c>
      <c r="B4247" s="60" t="s">
        <v>1404</v>
      </c>
    </row>
    <row r="4248" ht="12.75" customHeight="1">
      <c r="A4248" s="59" t="s">
        <v>242</v>
      </c>
      <c r="B4248" s="60" t="s">
        <v>1405</v>
      </c>
    </row>
    <row r="4249" ht="12.75" customHeight="1">
      <c r="A4249" s="59" t="s">
        <v>242</v>
      </c>
      <c r="B4249" s="60" t="s">
        <v>1406</v>
      </c>
    </row>
    <row r="4250" ht="12.75" customHeight="1">
      <c r="A4250" s="59" t="s">
        <v>242</v>
      </c>
      <c r="B4250" s="60" t="s">
        <v>1407</v>
      </c>
    </row>
    <row r="4251" ht="12.75" customHeight="1">
      <c r="A4251" s="59" t="s">
        <v>242</v>
      </c>
      <c r="B4251" s="60" t="s">
        <v>1408</v>
      </c>
    </row>
    <row r="4252" ht="12.75" customHeight="1">
      <c r="A4252" s="59" t="s">
        <v>242</v>
      </c>
      <c r="B4252" s="60" t="s">
        <v>1409</v>
      </c>
    </row>
    <row r="4253" ht="12.75" customHeight="1">
      <c r="A4253" s="59" t="s">
        <v>242</v>
      </c>
      <c r="B4253" s="60" t="s">
        <v>1410</v>
      </c>
    </row>
    <row r="4254" ht="12.75" customHeight="1">
      <c r="A4254" s="59" t="s">
        <v>242</v>
      </c>
      <c r="B4254" s="60" t="s">
        <v>1411</v>
      </c>
    </row>
    <row r="4255" ht="12.75" customHeight="1">
      <c r="A4255" s="59" t="s">
        <v>242</v>
      </c>
      <c r="B4255" s="60" t="s">
        <v>1412</v>
      </c>
    </row>
    <row r="4256" ht="12.75" customHeight="1">
      <c r="A4256" s="59" t="s">
        <v>242</v>
      </c>
      <c r="B4256" s="60" t="s">
        <v>1413</v>
      </c>
    </row>
    <row r="4257" ht="12.75" customHeight="1">
      <c r="A4257" s="59" t="s">
        <v>242</v>
      </c>
      <c r="B4257" s="60" t="s">
        <v>809</v>
      </c>
    </row>
    <row r="4258" ht="12.75" customHeight="1">
      <c r="A4258" s="59" t="s">
        <v>242</v>
      </c>
      <c r="B4258" s="60" t="s">
        <v>810</v>
      </c>
    </row>
    <row r="4259" ht="12.75" customHeight="1">
      <c r="A4259" s="59" t="s">
        <v>242</v>
      </c>
      <c r="B4259" s="60" t="s">
        <v>811</v>
      </c>
    </row>
    <row r="4260" ht="12.75" customHeight="1">
      <c r="A4260" s="59" t="s">
        <v>242</v>
      </c>
      <c r="B4260" s="60" t="s">
        <v>812</v>
      </c>
    </row>
    <row r="4261" ht="12.75" customHeight="1">
      <c r="A4261" s="59" t="s">
        <v>242</v>
      </c>
      <c r="B4261" s="60" t="s">
        <v>813</v>
      </c>
    </row>
    <row r="4262" ht="12.75" customHeight="1">
      <c r="A4262" s="59" t="s">
        <v>242</v>
      </c>
      <c r="B4262" s="60" t="s">
        <v>814</v>
      </c>
    </row>
    <row r="4263" ht="12.75" customHeight="1">
      <c r="A4263" s="59" t="s">
        <v>242</v>
      </c>
      <c r="B4263" s="60" t="s">
        <v>747</v>
      </c>
    </row>
    <row r="4264" ht="12.75" customHeight="1">
      <c r="A4264" s="59" t="s">
        <v>242</v>
      </c>
      <c r="B4264" s="60" t="s">
        <v>1414</v>
      </c>
    </row>
    <row r="4265" ht="12.75" customHeight="1">
      <c r="A4265" s="59" t="s">
        <v>242</v>
      </c>
      <c r="B4265" s="60" t="s">
        <v>1415</v>
      </c>
    </row>
    <row r="4266" ht="12.75" customHeight="1">
      <c r="A4266" s="59" t="s">
        <v>242</v>
      </c>
      <c r="B4266" s="60" t="s">
        <v>1416</v>
      </c>
    </row>
    <row r="4267" ht="12.75" customHeight="1">
      <c r="A4267" s="59" t="s">
        <v>242</v>
      </c>
      <c r="B4267" s="60" t="s">
        <v>1417</v>
      </c>
    </row>
    <row r="4268" ht="12.75" customHeight="1">
      <c r="A4268" s="59" t="s">
        <v>242</v>
      </c>
      <c r="B4268" s="60" t="s">
        <v>1418</v>
      </c>
    </row>
    <row r="4269" ht="12.75" customHeight="1">
      <c r="A4269" s="59" t="s">
        <v>242</v>
      </c>
      <c r="B4269" s="60" t="s">
        <v>1419</v>
      </c>
    </row>
    <row r="4270" ht="12.75" customHeight="1">
      <c r="A4270" s="59" t="s">
        <v>242</v>
      </c>
      <c r="B4270" s="60" t="s">
        <v>1420</v>
      </c>
    </row>
    <row r="4271" ht="12.75" customHeight="1">
      <c r="A4271" s="59" t="s">
        <v>242</v>
      </c>
      <c r="B4271" s="60" t="s">
        <v>1421</v>
      </c>
    </row>
    <row r="4272" ht="12.75" customHeight="1">
      <c r="A4272" s="59" t="s">
        <v>242</v>
      </c>
      <c r="B4272" s="60" t="s">
        <v>1422</v>
      </c>
    </row>
    <row r="4273" ht="12.75" customHeight="1">
      <c r="A4273" s="59" t="s">
        <v>242</v>
      </c>
      <c r="B4273" s="60" t="s">
        <v>1423</v>
      </c>
    </row>
    <row r="4274" ht="12.75" customHeight="1">
      <c r="A4274" s="59" t="s">
        <v>242</v>
      </c>
      <c r="B4274" s="60" t="s">
        <v>1424</v>
      </c>
    </row>
    <row r="4275" ht="12.75" customHeight="1">
      <c r="A4275" s="59" t="s">
        <v>242</v>
      </c>
      <c r="B4275" s="60" t="s">
        <v>1425</v>
      </c>
    </row>
    <row r="4276" ht="12.75" customHeight="1">
      <c r="A4276" s="59" t="s">
        <v>242</v>
      </c>
      <c r="B4276" s="60" t="s">
        <v>1426</v>
      </c>
    </row>
    <row r="4277" ht="12.75" customHeight="1">
      <c r="A4277" s="59" t="s">
        <v>242</v>
      </c>
      <c r="B4277" s="60" t="s">
        <v>1427</v>
      </c>
    </row>
    <row r="4278" ht="12.75" customHeight="1">
      <c r="A4278" s="59" t="s">
        <v>242</v>
      </c>
      <c r="B4278" s="60" t="s">
        <v>1428</v>
      </c>
    </row>
    <row r="4279" ht="12.75" customHeight="1">
      <c r="A4279" s="59" t="s">
        <v>242</v>
      </c>
      <c r="B4279" s="60" t="s">
        <v>1429</v>
      </c>
    </row>
    <row r="4280" ht="12.75" customHeight="1">
      <c r="A4280" s="59" t="s">
        <v>242</v>
      </c>
      <c r="B4280" s="60" t="s">
        <v>1430</v>
      </c>
    </row>
    <row r="4281" ht="12.75" customHeight="1">
      <c r="A4281" s="59" t="s">
        <v>242</v>
      </c>
      <c r="B4281" s="60" t="s">
        <v>1431</v>
      </c>
    </row>
    <row r="4282" ht="12.75" customHeight="1">
      <c r="A4282" s="59" t="s">
        <v>242</v>
      </c>
      <c r="B4282" s="60" t="s">
        <v>1432</v>
      </c>
    </row>
    <row r="4283" ht="12.75" customHeight="1">
      <c r="A4283" s="59" t="s">
        <v>242</v>
      </c>
      <c r="B4283" s="60" t="s">
        <v>1433</v>
      </c>
    </row>
    <row r="4284" ht="12.75" customHeight="1">
      <c r="A4284" s="59" t="s">
        <v>242</v>
      </c>
      <c r="B4284" s="60" t="s">
        <v>1434</v>
      </c>
    </row>
    <row r="4285" ht="12.75" customHeight="1">
      <c r="A4285" s="59" t="s">
        <v>242</v>
      </c>
      <c r="B4285" s="60" t="s">
        <v>1435</v>
      </c>
    </row>
    <row r="4286" ht="12.75" customHeight="1">
      <c r="A4286" s="59" t="s">
        <v>242</v>
      </c>
      <c r="B4286" s="60" t="s">
        <v>1436</v>
      </c>
    </row>
    <row r="4287" ht="12.75" customHeight="1">
      <c r="A4287" s="59" t="s">
        <v>242</v>
      </c>
      <c r="B4287" s="60" t="s">
        <v>1437</v>
      </c>
    </row>
    <row r="4288" ht="12.75" customHeight="1">
      <c r="A4288" s="59" t="s">
        <v>242</v>
      </c>
      <c r="B4288" s="60" t="s">
        <v>1438</v>
      </c>
    </row>
    <row r="4289" ht="12.75" customHeight="1">
      <c r="A4289" s="59" t="s">
        <v>242</v>
      </c>
      <c r="B4289" s="60" t="s">
        <v>1439</v>
      </c>
    </row>
    <row r="4290" ht="12.75" customHeight="1">
      <c r="A4290" s="59" t="s">
        <v>242</v>
      </c>
      <c r="B4290" s="60" t="s">
        <v>1440</v>
      </c>
    </row>
    <row r="4291" ht="12.75" customHeight="1">
      <c r="A4291" s="59" t="s">
        <v>242</v>
      </c>
      <c r="B4291" s="60" t="s">
        <v>1441</v>
      </c>
    </row>
    <row r="4292" ht="12.75" customHeight="1">
      <c r="A4292" s="59" t="s">
        <v>242</v>
      </c>
      <c r="B4292" s="60" t="s">
        <v>1442</v>
      </c>
    </row>
    <row r="4293" ht="12.75" customHeight="1">
      <c r="A4293" s="59" t="s">
        <v>242</v>
      </c>
      <c r="B4293" s="60" t="s">
        <v>819</v>
      </c>
    </row>
    <row r="4294" ht="12.75" customHeight="1">
      <c r="A4294" s="59" t="s">
        <v>242</v>
      </c>
      <c r="B4294" s="60" t="s">
        <v>820</v>
      </c>
    </row>
    <row r="4295" ht="12.75" customHeight="1">
      <c r="A4295" s="59" t="s">
        <v>242</v>
      </c>
      <c r="B4295" s="60" t="s">
        <v>821</v>
      </c>
    </row>
    <row r="4296" ht="12.75" customHeight="1">
      <c r="A4296" s="59" t="s">
        <v>242</v>
      </c>
      <c r="B4296" s="60" t="s">
        <v>822</v>
      </c>
    </row>
    <row r="4297" ht="12.75" customHeight="1">
      <c r="A4297" s="59" t="s">
        <v>242</v>
      </c>
      <c r="B4297" s="60" t="s">
        <v>823</v>
      </c>
    </row>
    <row r="4298" ht="12.75" customHeight="1">
      <c r="A4298" s="59" t="s">
        <v>242</v>
      </c>
      <c r="B4298" s="60" t="s">
        <v>824</v>
      </c>
    </row>
    <row r="4299" ht="12.75" customHeight="1">
      <c r="A4299" s="59" t="s">
        <v>242</v>
      </c>
      <c r="B4299" s="60" t="s">
        <v>748</v>
      </c>
    </row>
    <row r="4300" ht="12.75" customHeight="1">
      <c r="A4300" s="59" t="s">
        <v>242</v>
      </c>
      <c r="B4300" s="60" t="s">
        <v>829</v>
      </c>
    </row>
    <row r="4301" ht="12.75" customHeight="1">
      <c r="A4301" s="59" t="s">
        <v>242</v>
      </c>
      <c r="B4301" s="60" t="s">
        <v>830</v>
      </c>
    </row>
    <row r="4302" ht="12.75" customHeight="1">
      <c r="A4302" s="59" t="s">
        <v>242</v>
      </c>
      <c r="B4302" s="60" t="s">
        <v>831</v>
      </c>
    </row>
    <row r="4303" ht="12.75" customHeight="1">
      <c r="A4303" s="59" t="s">
        <v>242</v>
      </c>
      <c r="B4303" s="60" t="s">
        <v>832</v>
      </c>
    </row>
    <row r="4304" ht="12.75" customHeight="1">
      <c r="A4304" s="59" t="s">
        <v>242</v>
      </c>
      <c r="B4304" s="60" t="s">
        <v>833</v>
      </c>
    </row>
    <row r="4305" ht="12.75" customHeight="1">
      <c r="A4305" s="59" t="s">
        <v>242</v>
      </c>
      <c r="B4305" s="60" t="s">
        <v>834</v>
      </c>
    </row>
    <row r="4306" ht="12.75" customHeight="1">
      <c r="A4306" s="59" t="s">
        <v>242</v>
      </c>
      <c r="B4306" s="60" t="s">
        <v>1443</v>
      </c>
    </row>
    <row r="4307" ht="12.75" customHeight="1">
      <c r="A4307" s="59" t="s">
        <v>242</v>
      </c>
      <c r="B4307" s="60" t="s">
        <v>1444</v>
      </c>
    </row>
    <row r="4308" ht="12.75" customHeight="1">
      <c r="A4308" s="59" t="s">
        <v>242</v>
      </c>
      <c r="B4308" s="60" t="s">
        <v>1445</v>
      </c>
    </row>
    <row r="4309" ht="12.75" customHeight="1">
      <c r="A4309" s="59" t="s">
        <v>242</v>
      </c>
      <c r="B4309" s="60" t="s">
        <v>1446</v>
      </c>
    </row>
    <row r="4310" ht="12.75" customHeight="1">
      <c r="A4310" s="59" t="s">
        <v>242</v>
      </c>
      <c r="B4310" s="60" t="s">
        <v>1447</v>
      </c>
    </row>
    <row r="4311" ht="12.75" customHeight="1">
      <c r="A4311" s="59" t="s">
        <v>242</v>
      </c>
      <c r="B4311" s="60" t="s">
        <v>1448</v>
      </c>
    </row>
    <row r="4312" ht="12.75" customHeight="1">
      <c r="A4312" s="59" t="s">
        <v>242</v>
      </c>
      <c r="B4312" s="60" t="s">
        <v>1449</v>
      </c>
    </row>
    <row r="4313" ht="12.75" customHeight="1">
      <c r="A4313" s="59" t="s">
        <v>242</v>
      </c>
      <c r="B4313" s="60" t="s">
        <v>1450</v>
      </c>
    </row>
    <row r="4314" ht="12.75" customHeight="1">
      <c r="A4314" s="59" t="s">
        <v>242</v>
      </c>
      <c r="B4314" s="60" t="s">
        <v>1451</v>
      </c>
    </row>
    <row r="4315" ht="12.75" customHeight="1">
      <c r="A4315" s="59" t="s">
        <v>242</v>
      </c>
      <c r="B4315" s="60" t="s">
        <v>1452</v>
      </c>
    </row>
    <row r="4316" ht="12.75" customHeight="1">
      <c r="A4316" s="59" t="s">
        <v>242</v>
      </c>
      <c r="B4316" s="60" t="s">
        <v>1453</v>
      </c>
    </row>
    <row r="4317" ht="12.75" customHeight="1">
      <c r="A4317" s="59" t="s">
        <v>242</v>
      </c>
      <c r="B4317" s="60" t="s">
        <v>1454</v>
      </c>
    </row>
    <row r="4318" ht="12.75" customHeight="1">
      <c r="A4318" s="59" t="s">
        <v>242</v>
      </c>
      <c r="B4318" s="60" t="s">
        <v>1455</v>
      </c>
    </row>
    <row r="4319" ht="12.75" customHeight="1">
      <c r="A4319" s="59" t="s">
        <v>242</v>
      </c>
      <c r="B4319" s="60" t="s">
        <v>1456</v>
      </c>
    </row>
    <row r="4320" ht="12.75" customHeight="1">
      <c r="A4320" s="59" t="s">
        <v>242</v>
      </c>
      <c r="B4320" s="60" t="s">
        <v>1457</v>
      </c>
    </row>
    <row r="4321" ht="12.75" customHeight="1">
      <c r="A4321" s="59" t="s">
        <v>242</v>
      </c>
      <c r="B4321" s="60" t="s">
        <v>1458</v>
      </c>
    </row>
    <row r="4322" ht="12.75" customHeight="1">
      <c r="A4322" s="59" t="s">
        <v>242</v>
      </c>
      <c r="B4322" s="60" t="s">
        <v>1459</v>
      </c>
    </row>
    <row r="4323" ht="12.75" customHeight="1">
      <c r="A4323" s="59" t="s">
        <v>242</v>
      </c>
      <c r="B4323" s="60" t="s">
        <v>1460</v>
      </c>
    </row>
    <row r="4324" ht="12.75" customHeight="1">
      <c r="A4324" s="59" t="s">
        <v>242</v>
      </c>
      <c r="B4324" s="60" t="s">
        <v>1461</v>
      </c>
    </row>
    <row r="4325" ht="12.75" customHeight="1">
      <c r="A4325" s="59" t="s">
        <v>242</v>
      </c>
      <c r="B4325" s="60" t="s">
        <v>1462</v>
      </c>
    </row>
    <row r="4326" ht="12.75" customHeight="1">
      <c r="A4326" s="59" t="s">
        <v>242</v>
      </c>
      <c r="B4326" s="60" t="s">
        <v>1463</v>
      </c>
    </row>
    <row r="4327" ht="12.75" customHeight="1">
      <c r="A4327" s="59" t="s">
        <v>242</v>
      </c>
      <c r="B4327" s="60" t="s">
        <v>1464</v>
      </c>
    </row>
    <row r="4328" ht="12.75" customHeight="1">
      <c r="A4328" s="59" t="s">
        <v>242</v>
      </c>
      <c r="B4328" s="60" t="s">
        <v>1465</v>
      </c>
    </row>
    <row r="4329" ht="12.75" customHeight="1">
      <c r="A4329" s="59" t="s">
        <v>242</v>
      </c>
      <c r="B4329" s="60" t="s">
        <v>1466</v>
      </c>
    </row>
    <row r="4330" ht="12.75" customHeight="1">
      <c r="A4330" s="59" t="s">
        <v>242</v>
      </c>
      <c r="B4330" s="60" t="s">
        <v>1467</v>
      </c>
    </row>
    <row r="4331" ht="12.75" customHeight="1">
      <c r="A4331" s="59" t="s">
        <v>242</v>
      </c>
      <c r="B4331" s="60" t="s">
        <v>1468</v>
      </c>
    </row>
    <row r="4332" ht="12.75" customHeight="1">
      <c r="A4332" s="59" t="s">
        <v>242</v>
      </c>
      <c r="B4332" s="60" t="s">
        <v>1469</v>
      </c>
    </row>
    <row r="4333" ht="12.75" customHeight="1">
      <c r="A4333" s="59" t="s">
        <v>242</v>
      </c>
      <c r="B4333" s="60" t="s">
        <v>1470</v>
      </c>
    </row>
    <row r="4334" ht="12.75" customHeight="1">
      <c r="A4334" s="59" t="s">
        <v>242</v>
      </c>
      <c r="B4334" s="60" t="s">
        <v>1471</v>
      </c>
    </row>
    <row r="4335" ht="12.75" customHeight="1">
      <c r="A4335" s="59" t="s">
        <v>242</v>
      </c>
      <c r="B4335" s="60" t="s">
        <v>845</v>
      </c>
    </row>
    <row r="4336" ht="12.75" customHeight="1">
      <c r="A4336" s="59" t="s">
        <v>242</v>
      </c>
      <c r="B4336" s="60" t="s">
        <v>846</v>
      </c>
    </row>
    <row r="4337" ht="12.75" customHeight="1">
      <c r="A4337" s="59" t="s">
        <v>242</v>
      </c>
      <c r="B4337" s="60" t="s">
        <v>847</v>
      </c>
    </row>
    <row r="4338" ht="12.75" customHeight="1">
      <c r="A4338" s="59" t="s">
        <v>242</v>
      </c>
      <c r="B4338" s="60" t="s">
        <v>848</v>
      </c>
    </row>
    <row r="4339" ht="12.75" customHeight="1">
      <c r="A4339" s="59" t="s">
        <v>242</v>
      </c>
      <c r="B4339" s="60" t="s">
        <v>849</v>
      </c>
    </row>
    <row r="4340" ht="12.75" customHeight="1">
      <c r="A4340" s="59" t="s">
        <v>242</v>
      </c>
      <c r="B4340" s="60" t="s">
        <v>850</v>
      </c>
    </row>
    <row r="4341" ht="12.75" customHeight="1">
      <c r="A4341" s="59" t="s">
        <v>242</v>
      </c>
      <c r="B4341" s="60" t="s">
        <v>851</v>
      </c>
    </row>
    <row r="4342" ht="12.75" customHeight="1">
      <c r="A4342" s="59" t="s">
        <v>242</v>
      </c>
      <c r="B4342" s="60" t="s">
        <v>852</v>
      </c>
    </row>
    <row r="4343" ht="12.75" customHeight="1">
      <c r="A4343" s="59" t="s">
        <v>242</v>
      </c>
      <c r="B4343" s="60" t="s">
        <v>1472</v>
      </c>
    </row>
    <row r="4344" ht="12.75" customHeight="1">
      <c r="A4344" s="59" t="s">
        <v>242</v>
      </c>
      <c r="B4344" s="60" t="s">
        <v>1473</v>
      </c>
    </row>
    <row r="4345" ht="12.75" customHeight="1">
      <c r="A4345" s="59" t="s">
        <v>242</v>
      </c>
      <c r="B4345" s="60" t="s">
        <v>1474</v>
      </c>
    </row>
    <row r="4346" ht="12.75" customHeight="1">
      <c r="A4346" s="59" t="s">
        <v>242</v>
      </c>
      <c r="B4346" s="60" t="s">
        <v>1475</v>
      </c>
    </row>
    <row r="4347" ht="12.75" customHeight="1">
      <c r="A4347" s="59" t="s">
        <v>242</v>
      </c>
      <c r="B4347" s="60" t="s">
        <v>1476</v>
      </c>
    </row>
    <row r="4348" ht="12.75" customHeight="1">
      <c r="A4348" s="59" t="s">
        <v>242</v>
      </c>
      <c r="B4348" s="60" t="s">
        <v>1477</v>
      </c>
    </row>
    <row r="4349" ht="12.75" customHeight="1">
      <c r="A4349" s="59" t="s">
        <v>242</v>
      </c>
      <c r="B4349" s="60" t="s">
        <v>1478</v>
      </c>
    </row>
    <row r="4350" ht="12.75" customHeight="1">
      <c r="A4350" s="59" t="s">
        <v>242</v>
      </c>
      <c r="B4350" s="60" t="s">
        <v>1479</v>
      </c>
    </row>
    <row r="4351" ht="12.75" customHeight="1">
      <c r="A4351" s="59" t="s">
        <v>242</v>
      </c>
      <c r="B4351" s="60" t="s">
        <v>1480</v>
      </c>
    </row>
    <row r="4352" ht="12.75" customHeight="1">
      <c r="A4352" s="59" t="s">
        <v>242</v>
      </c>
      <c r="B4352" s="60" t="s">
        <v>1481</v>
      </c>
    </row>
    <row r="4353" ht="12.75" customHeight="1">
      <c r="A4353" s="59" t="s">
        <v>242</v>
      </c>
      <c r="B4353" s="60" t="s">
        <v>1482</v>
      </c>
    </row>
    <row r="4354" ht="12.75" customHeight="1">
      <c r="A4354" s="59" t="s">
        <v>242</v>
      </c>
      <c r="B4354" s="60" t="s">
        <v>1483</v>
      </c>
    </row>
    <row r="4355" ht="12.75" customHeight="1">
      <c r="A4355" s="59" t="s">
        <v>242</v>
      </c>
      <c r="B4355" s="60" t="s">
        <v>1484</v>
      </c>
    </row>
    <row r="4356" ht="12.75" customHeight="1">
      <c r="A4356" s="59" t="s">
        <v>242</v>
      </c>
      <c r="B4356" s="60" t="s">
        <v>1485</v>
      </c>
    </row>
    <row r="4357" ht="12.75" customHeight="1">
      <c r="A4357" s="59" t="s">
        <v>242</v>
      </c>
      <c r="B4357" s="60" t="s">
        <v>1486</v>
      </c>
    </row>
    <row r="4358" ht="12.75" customHeight="1">
      <c r="A4358" s="59" t="s">
        <v>242</v>
      </c>
      <c r="B4358" s="60" t="s">
        <v>1487</v>
      </c>
    </row>
    <row r="4359" ht="12.75" customHeight="1">
      <c r="A4359" s="59" t="s">
        <v>242</v>
      </c>
      <c r="B4359" s="60" t="s">
        <v>1488</v>
      </c>
    </row>
    <row r="4360" ht="12.75" customHeight="1">
      <c r="A4360" s="59" t="s">
        <v>242</v>
      </c>
      <c r="B4360" s="60" t="s">
        <v>1489</v>
      </c>
    </row>
    <row r="4361" ht="12.75" customHeight="1">
      <c r="A4361" s="59" t="s">
        <v>242</v>
      </c>
      <c r="B4361" s="60" t="s">
        <v>1490</v>
      </c>
    </row>
    <row r="4362" ht="12.75" customHeight="1">
      <c r="A4362" s="59" t="s">
        <v>242</v>
      </c>
      <c r="B4362" s="60" t="s">
        <v>1491</v>
      </c>
    </row>
    <row r="4363" ht="12.75" customHeight="1">
      <c r="A4363" s="59" t="s">
        <v>242</v>
      </c>
      <c r="B4363" s="60" t="s">
        <v>1492</v>
      </c>
    </row>
    <row r="4364" ht="12.75" customHeight="1">
      <c r="A4364" s="59" t="s">
        <v>242</v>
      </c>
      <c r="B4364" s="60" t="s">
        <v>1493</v>
      </c>
    </row>
    <row r="4365" ht="12.75" customHeight="1">
      <c r="A4365" s="59" t="s">
        <v>242</v>
      </c>
      <c r="B4365" s="60" t="s">
        <v>1494</v>
      </c>
    </row>
    <row r="4366" ht="12.75" customHeight="1">
      <c r="A4366" s="59" t="s">
        <v>242</v>
      </c>
      <c r="B4366" s="60" t="s">
        <v>1495</v>
      </c>
    </row>
    <row r="4367" ht="12.75" customHeight="1">
      <c r="A4367" s="59" t="s">
        <v>242</v>
      </c>
      <c r="B4367" s="60" t="s">
        <v>1496</v>
      </c>
    </row>
    <row r="4368" ht="12.75" customHeight="1">
      <c r="A4368" s="59" t="s">
        <v>242</v>
      </c>
      <c r="B4368" s="60" t="s">
        <v>1497</v>
      </c>
    </row>
    <row r="4369" ht="12.75" customHeight="1">
      <c r="A4369" s="59" t="s">
        <v>242</v>
      </c>
      <c r="B4369" s="60" t="s">
        <v>1498</v>
      </c>
    </row>
    <row r="4370" ht="12.75" customHeight="1">
      <c r="A4370" s="59" t="s">
        <v>242</v>
      </c>
      <c r="B4370" s="60" t="s">
        <v>1499</v>
      </c>
    </row>
    <row r="4371" ht="12.75" customHeight="1">
      <c r="A4371" s="59" t="s">
        <v>242</v>
      </c>
      <c r="B4371" s="60" t="s">
        <v>1500</v>
      </c>
    </row>
    <row r="4372" ht="12.75" customHeight="1">
      <c r="A4372" s="59" t="s">
        <v>242</v>
      </c>
      <c r="B4372" s="60" t="s">
        <v>1501</v>
      </c>
    </row>
    <row r="4373" ht="12.75" customHeight="1">
      <c r="A4373" s="59" t="s">
        <v>242</v>
      </c>
      <c r="B4373" s="60" t="s">
        <v>1502</v>
      </c>
    </row>
    <row r="4374" ht="12.75" customHeight="1">
      <c r="A4374" s="59" t="s">
        <v>242</v>
      </c>
      <c r="B4374" s="60" t="s">
        <v>1503</v>
      </c>
    </row>
    <row r="4375" ht="12.75" customHeight="1">
      <c r="A4375" s="59" t="s">
        <v>242</v>
      </c>
      <c r="B4375" s="60" t="s">
        <v>1504</v>
      </c>
    </row>
    <row r="4376" ht="12.75" customHeight="1">
      <c r="A4376" s="59" t="s">
        <v>242</v>
      </c>
      <c r="B4376" s="60" t="s">
        <v>1505</v>
      </c>
    </row>
    <row r="4377" ht="12.75" customHeight="1">
      <c r="A4377" s="59" t="s">
        <v>242</v>
      </c>
      <c r="B4377" s="60" t="s">
        <v>1506</v>
      </c>
    </row>
    <row r="4378" ht="12.75" customHeight="1">
      <c r="A4378" s="59" t="s">
        <v>242</v>
      </c>
      <c r="B4378" s="60" t="s">
        <v>1507</v>
      </c>
    </row>
    <row r="4379" ht="12.75" customHeight="1">
      <c r="A4379" s="59" t="s">
        <v>242</v>
      </c>
      <c r="B4379" s="60" t="s">
        <v>1508</v>
      </c>
    </row>
    <row r="4380" ht="12.75" customHeight="1">
      <c r="A4380" s="59" t="s">
        <v>242</v>
      </c>
      <c r="B4380" s="60" t="s">
        <v>1509</v>
      </c>
    </row>
    <row r="4381" ht="12.75" customHeight="1">
      <c r="A4381" s="59" t="s">
        <v>242</v>
      </c>
      <c r="B4381" s="60" t="s">
        <v>1510</v>
      </c>
    </row>
    <row r="4382" ht="12.75" customHeight="1">
      <c r="A4382" s="59" t="s">
        <v>242</v>
      </c>
      <c r="B4382" s="60" t="s">
        <v>1511</v>
      </c>
    </row>
    <row r="4383" ht="12.75" customHeight="1">
      <c r="A4383" s="59" t="s">
        <v>242</v>
      </c>
      <c r="B4383" s="60" t="s">
        <v>1512</v>
      </c>
    </row>
    <row r="4384" ht="12.75" customHeight="1">
      <c r="A4384" s="59" t="s">
        <v>242</v>
      </c>
      <c r="B4384" s="60" t="s">
        <v>1513</v>
      </c>
    </row>
    <row r="4385" ht="12.75" customHeight="1">
      <c r="A4385" s="59" t="s">
        <v>242</v>
      </c>
      <c r="B4385" s="60" t="s">
        <v>1514</v>
      </c>
    </row>
    <row r="4386" ht="12.75" customHeight="1">
      <c r="A4386" s="59" t="s">
        <v>242</v>
      </c>
      <c r="B4386" s="60" t="s">
        <v>1515</v>
      </c>
    </row>
    <row r="4387" ht="12.75" customHeight="1">
      <c r="A4387" s="59" t="s">
        <v>242</v>
      </c>
      <c r="B4387" s="60" t="s">
        <v>1516</v>
      </c>
    </row>
    <row r="4388" ht="12.75" customHeight="1">
      <c r="A4388" s="59" t="s">
        <v>242</v>
      </c>
      <c r="B4388" s="60" t="s">
        <v>1517</v>
      </c>
    </row>
    <row r="4389" ht="12.75" customHeight="1">
      <c r="A4389" s="59" t="s">
        <v>242</v>
      </c>
      <c r="B4389" s="60" t="s">
        <v>1518</v>
      </c>
    </row>
    <row r="4390" ht="12.75" customHeight="1">
      <c r="A4390" s="59" t="s">
        <v>242</v>
      </c>
      <c r="B4390" s="60" t="s">
        <v>1519</v>
      </c>
    </row>
    <row r="4391" ht="12.75" customHeight="1">
      <c r="A4391" s="59" t="s">
        <v>242</v>
      </c>
      <c r="B4391" s="60" t="s">
        <v>1520</v>
      </c>
    </row>
    <row r="4392" ht="12.75" customHeight="1">
      <c r="A4392" s="59" t="s">
        <v>242</v>
      </c>
      <c r="B4392" s="60" t="s">
        <v>1521</v>
      </c>
    </row>
    <row r="4393" ht="12.75" customHeight="1">
      <c r="A4393" s="59" t="s">
        <v>242</v>
      </c>
      <c r="B4393" s="60" t="s">
        <v>1522</v>
      </c>
    </row>
    <row r="4394" ht="12.75" customHeight="1">
      <c r="A4394" s="59" t="s">
        <v>242</v>
      </c>
      <c r="B4394" s="60" t="s">
        <v>1523</v>
      </c>
    </row>
    <row r="4395" ht="12.75" customHeight="1">
      <c r="A4395" s="59" t="s">
        <v>242</v>
      </c>
      <c r="B4395" s="60" t="s">
        <v>1524</v>
      </c>
    </row>
    <row r="4396" ht="12.75" customHeight="1">
      <c r="A4396" s="59" t="s">
        <v>242</v>
      </c>
      <c r="B4396" s="60" t="s">
        <v>1525</v>
      </c>
    </row>
    <row r="4397" ht="12.75" customHeight="1">
      <c r="A4397" s="59" t="s">
        <v>242</v>
      </c>
      <c r="B4397" s="60" t="s">
        <v>1526</v>
      </c>
    </row>
    <row r="4398" ht="12.75" customHeight="1">
      <c r="A4398" s="59" t="s">
        <v>242</v>
      </c>
      <c r="B4398" s="60" t="s">
        <v>1527</v>
      </c>
    </row>
    <row r="4399" ht="12.75" customHeight="1">
      <c r="A4399" s="59" t="s">
        <v>242</v>
      </c>
      <c r="B4399" s="60" t="s">
        <v>1528</v>
      </c>
    </row>
    <row r="4400" ht="12.75" customHeight="1">
      <c r="A4400" s="59" t="s">
        <v>242</v>
      </c>
      <c r="B4400" s="60" t="s">
        <v>1529</v>
      </c>
    </row>
    <row r="4401" ht="12.75" customHeight="1">
      <c r="A4401" s="59" t="s">
        <v>242</v>
      </c>
      <c r="B4401" s="60" t="s">
        <v>1530</v>
      </c>
    </row>
    <row r="4402" ht="12.75" customHeight="1">
      <c r="A4402" s="59" t="s">
        <v>242</v>
      </c>
      <c r="B4402" s="60" t="s">
        <v>1531</v>
      </c>
    </row>
    <row r="4403" ht="12.75" customHeight="1">
      <c r="A4403" s="59" t="s">
        <v>242</v>
      </c>
      <c r="B4403" s="60" t="s">
        <v>1532</v>
      </c>
    </row>
    <row r="4404" ht="12.75" customHeight="1">
      <c r="A4404" s="59" t="s">
        <v>242</v>
      </c>
      <c r="B4404" s="60" t="s">
        <v>1533</v>
      </c>
    </row>
    <row r="4405" ht="12.75" customHeight="1">
      <c r="A4405" s="59" t="s">
        <v>242</v>
      </c>
      <c r="B4405" s="60" t="s">
        <v>1534</v>
      </c>
    </row>
    <row r="4406" ht="12.75" customHeight="1">
      <c r="A4406" s="59" t="s">
        <v>242</v>
      </c>
      <c r="B4406" s="60" t="s">
        <v>1535</v>
      </c>
    </row>
    <row r="4407" ht="12.75" customHeight="1">
      <c r="A4407" s="59" t="s">
        <v>242</v>
      </c>
      <c r="B4407" s="60" t="s">
        <v>1536</v>
      </c>
    </row>
    <row r="4408" ht="12.75" customHeight="1">
      <c r="A4408" s="59" t="s">
        <v>242</v>
      </c>
      <c r="B4408" s="60" t="s">
        <v>1537</v>
      </c>
    </row>
    <row r="4409" ht="12.75" customHeight="1">
      <c r="A4409" s="59" t="s">
        <v>242</v>
      </c>
      <c r="B4409" s="60" t="s">
        <v>1538</v>
      </c>
    </row>
    <row r="4410" ht="12.75" customHeight="1">
      <c r="A4410" s="59" t="s">
        <v>242</v>
      </c>
      <c r="B4410" s="60" t="s">
        <v>1539</v>
      </c>
    </row>
    <row r="4411" ht="12.75" customHeight="1">
      <c r="A4411" s="59" t="s">
        <v>242</v>
      </c>
      <c r="B4411" s="60" t="s">
        <v>1540</v>
      </c>
    </row>
    <row r="4412" ht="12.75" customHeight="1">
      <c r="A4412" s="59" t="s">
        <v>242</v>
      </c>
      <c r="B4412" s="60" t="s">
        <v>1541</v>
      </c>
    </row>
    <row r="4413" ht="12.75" customHeight="1">
      <c r="A4413" s="59" t="s">
        <v>242</v>
      </c>
      <c r="B4413" s="60" t="s">
        <v>1542</v>
      </c>
    </row>
    <row r="4414" ht="12.75" customHeight="1">
      <c r="A4414" s="59" t="s">
        <v>242</v>
      </c>
      <c r="B4414" s="60" t="s">
        <v>1543</v>
      </c>
    </row>
    <row r="4415" ht="12.75" customHeight="1">
      <c r="A4415" s="59" t="s">
        <v>242</v>
      </c>
      <c r="B4415" s="60" t="s">
        <v>1544</v>
      </c>
    </row>
    <row r="4416" ht="12.75" customHeight="1">
      <c r="A4416" s="59" t="s">
        <v>242</v>
      </c>
      <c r="B4416" s="60" t="s">
        <v>1545</v>
      </c>
    </row>
    <row r="4417" ht="12.75" customHeight="1">
      <c r="A4417" s="59" t="s">
        <v>242</v>
      </c>
      <c r="B4417" s="60" t="s">
        <v>1546</v>
      </c>
    </row>
    <row r="4418" ht="12.75" customHeight="1">
      <c r="A4418" s="59" t="s">
        <v>242</v>
      </c>
      <c r="B4418" s="60" t="s">
        <v>1547</v>
      </c>
    </row>
    <row r="4419" ht="12.75" customHeight="1">
      <c r="A4419" s="59" t="s">
        <v>242</v>
      </c>
      <c r="B4419" s="60" t="s">
        <v>1548</v>
      </c>
    </row>
    <row r="4420" ht="12.75" customHeight="1">
      <c r="A4420" s="59" t="s">
        <v>242</v>
      </c>
      <c r="B4420" s="60" t="s">
        <v>1549</v>
      </c>
    </row>
    <row r="4421" ht="12.75" customHeight="1">
      <c r="A4421" s="59" t="s">
        <v>242</v>
      </c>
      <c r="B4421" s="60" t="s">
        <v>1550</v>
      </c>
    </row>
    <row r="4422" ht="12.75" customHeight="1">
      <c r="A4422" s="59" t="s">
        <v>242</v>
      </c>
      <c r="B4422" s="60" t="s">
        <v>1551</v>
      </c>
    </row>
    <row r="4423" ht="12.75" customHeight="1">
      <c r="A4423" s="59" t="s">
        <v>242</v>
      </c>
      <c r="B4423" s="60" t="s">
        <v>1552</v>
      </c>
    </row>
    <row r="4424" ht="12.75" customHeight="1">
      <c r="A4424" s="59" t="s">
        <v>242</v>
      </c>
      <c r="B4424" s="60" t="s">
        <v>1553</v>
      </c>
    </row>
    <row r="4425" ht="12.75" customHeight="1">
      <c r="A4425" s="59" t="s">
        <v>242</v>
      </c>
      <c r="B4425" s="60" t="s">
        <v>1554</v>
      </c>
    </row>
    <row r="4426" ht="12.75" customHeight="1">
      <c r="A4426" s="59" t="s">
        <v>242</v>
      </c>
      <c r="B4426" s="60" t="s">
        <v>1555</v>
      </c>
    </row>
    <row r="4427" ht="12.75" customHeight="1">
      <c r="A4427" s="59" t="s">
        <v>242</v>
      </c>
      <c r="B4427" s="60" t="s">
        <v>1556</v>
      </c>
    </row>
    <row r="4428" ht="12.75" customHeight="1">
      <c r="A4428" s="59" t="s">
        <v>242</v>
      </c>
      <c r="B4428" s="60" t="s">
        <v>1557</v>
      </c>
    </row>
    <row r="4429" ht="12.75" customHeight="1">
      <c r="A4429" s="59" t="s">
        <v>242</v>
      </c>
      <c r="B4429" s="60" t="s">
        <v>1558</v>
      </c>
    </row>
    <row r="4430" ht="12.75" customHeight="1">
      <c r="A4430" s="59" t="s">
        <v>242</v>
      </c>
      <c r="B4430" s="60" t="s">
        <v>1559</v>
      </c>
    </row>
    <row r="4431" ht="12.75" customHeight="1">
      <c r="A4431" s="59" t="s">
        <v>242</v>
      </c>
      <c r="B4431" s="60" t="s">
        <v>1560</v>
      </c>
    </row>
    <row r="4432" ht="12.75" customHeight="1">
      <c r="A4432" s="59" t="s">
        <v>242</v>
      </c>
      <c r="B4432" s="60" t="s">
        <v>1561</v>
      </c>
    </row>
    <row r="4433" ht="12.75" customHeight="1">
      <c r="A4433" s="59" t="s">
        <v>242</v>
      </c>
      <c r="B4433" s="60" t="s">
        <v>862</v>
      </c>
    </row>
    <row r="4434" ht="12.75" customHeight="1">
      <c r="A4434" s="59" t="s">
        <v>242</v>
      </c>
      <c r="B4434" s="60" t="s">
        <v>863</v>
      </c>
    </row>
    <row r="4435" ht="12.75" customHeight="1">
      <c r="A4435" s="59" t="s">
        <v>242</v>
      </c>
      <c r="B4435" s="60" t="s">
        <v>864</v>
      </c>
    </row>
    <row r="4436" ht="12.75" customHeight="1">
      <c r="A4436" s="59" t="s">
        <v>242</v>
      </c>
      <c r="B4436" s="60" t="s">
        <v>865</v>
      </c>
    </row>
    <row r="4437" ht="12.75" customHeight="1">
      <c r="A4437" s="59" t="s">
        <v>242</v>
      </c>
      <c r="B4437" s="60" t="s">
        <v>866</v>
      </c>
    </row>
    <row r="4438" ht="12.75" customHeight="1">
      <c r="A4438" s="59" t="s">
        <v>242</v>
      </c>
      <c r="B4438" s="60" t="s">
        <v>867</v>
      </c>
    </row>
    <row r="4439" ht="12.75" customHeight="1">
      <c r="A4439" s="59" t="s">
        <v>242</v>
      </c>
      <c r="B4439" s="60" t="s">
        <v>868</v>
      </c>
    </row>
    <row r="4440" ht="12.75" customHeight="1">
      <c r="A4440" s="59" t="s">
        <v>242</v>
      </c>
      <c r="B4440" s="60" t="s">
        <v>869</v>
      </c>
    </row>
    <row r="4441" ht="12.75" customHeight="1">
      <c r="A4441" s="59" t="s">
        <v>242</v>
      </c>
      <c r="B4441" s="60" t="s">
        <v>1562</v>
      </c>
    </row>
    <row r="4442" ht="12.75" customHeight="1">
      <c r="A4442" s="59" t="s">
        <v>242</v>
      </c>
      <c r="B4442" s="60" t="s">
        <v>1563</v>
      </c>
    </row>
    <row r="4443" ht="12.75" customHeight="1">
      <c r="A4443" s="59" t="s">
        <v>242</v>
      </c>
      <c r="B4443" s="60" t="s">
        <v>1564</v>
      </c>
    </row>
    <row r="4444" ht="12.75" customHeight="1">
      <c r="A4444" s="59" t="s">
        <v>242</v>
      </c>
      <c r="B4444" s="60" t="s">
        <v>1565</v>
      </c>
    </row>
    <row r="4445" ht="12.75" customHeight="1">
      <c r="A4445" s="59" t="s">
        <v>242</v>
      </c>
      <c r="B4445" s="60" t="s">
        <v>1566</v>
      </c>
    </row>
    <row r="4446" ht="12.75" customHeight="1">
      <c r="A4446" s="59" t="s">
        <v>242</v>
      </c>
      <c r="B4446" s="60" t="s">
        <v>1567</v>
      </c>
    </row>
    <row r="4447" ht="12.75" customHeight="1">
      <c r="A4447" s="59" t="s">
        <v>242</v>
      </c>
      <c r="B4447" s="60" t="s">
        <v>1568</v>
      </c>
    </row>
    <row r="4448" ht="12.75" customHeight="1">
      <c r="A4448" s="59" t="s">
        <v>242</v>
      </c>
      <c r="B4448" s="60" t="s">
        <v>1569</v>
      </c>
    </row>
    <row r="4449" ht="12.75" customHeight="1">
      <c r="A4449" s="59" t="s">
        <v>242</v>
      </c>
      <c r="B4449" s="60" t="s">
        <v>1570</v>
      </c>
    </row>
    <row r="4450" ht="12.75" customHeight="1">
      <c r="A4450" s="59" t="s">
        <v>242</v>
      </c>
      <c r="B4450" s="60" t="s">
        <v>1571</v>
      </c>
    </row>
    <row r="4451" ht="12.75" customHeight="1">
      <c r="A4451" s="59" t="s">
        <v>242</v>
      </c>
      <c r="B4451" s="60" t="s">
        <v>1572</v>
      </c>
    </row>
    <row r="4452" ht="12.75" customHeight="1">
      <c r="A4452" s="59" t="s">
        <v>242</v>
      </c>
      <c r="B4452" s="60" t="s">
        <v>1573</v>
      </c>
    </row>
    <row r="4453" ht="12.75" customHeight="1">
      <c r="A4453" s="59" t="s">
        <v>242</v>
      </c>
      <c r="B4453" s="60" t="s">
        <v>1574</v>
      </c>
    </row>
    <row r="4454" ht="12.75" customHeight="1">
      <c r="A4454" s="59" t="s">
        <v>242</v>
      </c>
      <c r="B4454" s="60" t="s">
        <v>1575</v>
      </c>
    </row>
    <row r="4455" ht="12.75" customHeight="1">
      <c r="A4455" s="59" t="s">
        <v>242</v>
      </c>
      <c r="B4455" s="60" t="s">
        <v>1576</v>
      </c>
    </row>
    <row r="4456" ht="12.75" customHeight="1">
      <c r="A4456" s="59" t="s">
        <v>242</v>
      </c>
      <c r="B4456" s="60" t="s">
        <v>1577</v>
      </c>
    </row>
    <row r="4457" ht="12.75" customHeight="1">
      <c r="A4457" s="59" t="s">
        <v>242</v>
      </c>
      <c r="B4457" s="60" t="s">
        <v>1578</v>
      </c>
    </row>
    <row r="4458" ht="12.75" customHeight="1">
      <c r="A4458" s="59" t="s">
        <v>242</v>
      </c>
      <c r="B4458" s="60" t="s">
        <v>1579</v>
      </c>
    </row>
    <row r="4459" ht="12.75" customHeight="1">
      <c r="A4459" s="59" t="s">
        <v>242</v>
      </c>
      <c r="B4459" s="60" t="s">
        <v>1580</v>
      </c>
    </row>
    <row r="4460" ht="12.75" customHeight="1">
      <c r="A4460" s="59" t="s">
        <v>242</v>
      </c>
      <c r="B4460" s="60" t="s">
        <v>1581</v>
      </c>
    </row>
    <row r="4461" ht="12.75" customHeight="1">
      <c r="A4461" s="59" t="s">
        <v>242</v>
      </c>
      <c r="B4461" s="60" t="s">
        <v>1582</v>
      </c>
    </row>
    <row r="4462" ht="12.75" customHeight="1">
      <c r="A4462" s="59" t="s">
        <v>242</v>
      </c>
      <c r="B4462" s="60" t="s">
        <v>1583</v>
      </c>
    </row>
    <row r="4463" ht="12.75" customHeight="1">
      <c r="A4463" s="59" t="s">
        <v>242</v>
      </c>
      <c r="B4463" s="60" t="s">
        <v>1584</v>
      </c>
    </row>
    <row r="4464" ht="12.75" customHeight="1">
      <c r="A4464" s="59" t="s">
        <v>242</v>
      </c>
      <c r="B4464" s="60" t="s">
        <v>1585</v>
      </c>
    </row>
    <row r="4465" ht="12.75" customHeight="1">
      <c r="A4465" s="59" t="s">
        <v>242</v>
      </c>
      <c r="B4465" s="60" t="s">
        <v>1586</v>
      </c>
    </row>
    <row r="4466" ht="12.75" customHeight="1">
      <c r="A4466" s="59" t="s">
        <v>242</v>
      </c>
      <c r="B4466" s="60" t="s">
        <v>1587</v>
      </c>
    </row>
    <row r="4467" ht="12.75" customHeight="1">
      <c r="A4467" s="59" t="s">
        <v>242</v>
      </c>
      <c r="B4467" s="60" t="s">
        <v>1588</v>
      </c>
    </row>
    <row r="4468" ht="12.75" customHeight="1">
      <c r="A4468" s="59" t="s">
        <v>242</v>
      </c>
      <c r="B4468" s="60" t="s">
        <v>1589</v>
      </c>
    </row>
    <row r="4469" ht="12.75" customHeight="1">
      <c r="A4469" s="59" t="s">
        <v>242</v>
      </c>
      <c r="B4469" s="60" t="s">
        <v>1590</v>
      </c>
    </row>
    <row r="4470" ht="12.75" customHeight="1">
      <c r="A4470" s="59" t="s">
        <v>242</v>
      </c>
      <c r="B4470" s="60" t="s">
        <v>1591</v>
      </c>
    </row>
    <row r="4471" ht="12.75" customHeight="1">
      <c r="A4471" s="59" t="s">
        <v>242</v>
      </c>
      <c r="B4471" s="60" t="s">
        <v>1592</v>
      </c>
    </row>
    <row r="4472" ht="12.75" customHeight="1">
      <c r="A4472" s="59" t="s">
        <v>242</v>
      </c>
      <c r="B4472" s="60" t="s">
        <v>1593</v>
      </c>
    </row>
    <row r="4473" ht="12.75" customHeight="1">
      <c r="A4473" s="59" t="s">
        <v>242</v>
      </c>
      <c r="B4473" s="60" t="s">
        <v>1594</v>
      </c>
    </row>
    <row r="4474" ht="12.75" customHeight="1">
      <c r="A4474" s="59" t="s">
        <v>242</v>
      </c>
      <c r="B4474" s="60" t="s">
        <v>1595</v>
      </c>
    </row>
    <row r="4475" ht="12.75" customHeight="1">
      <c r="A4475" s="59" t="s">
        <v>242</v>
      </c>
      <c r="B4475" s="60" t="s">
        <v>1596</v>
      </c>
    </row>
    <row r="4476" ht="12.75" customHeight="1">
      <c r="A4476" s="59" t="s">
        <v>242</v>
      </c>
      <c r="B4476" s="60" t="s">
        <v>1597</v>
      </c>
    </row>
    <row r="4477" ht="12.75" customHeight="1">
      <c r="A4477" s="59" t="s">
        <v>242</v>
      </c>
      <c r="B4477" s="60" t="s">
        <v>1598</v>
      </c>
    </row>
    <row r="4478" ht="12.75" customHeight="1">
      <c r="A4478" s="59" t="s">
        <v>242</v>
      </c>
      <c r="B4478" s="60" t="s">
        <v>1599</v>
      </c>
    </row>
    <row r="4479" ht="12.75" customHeight="1">
      <c r="A4479" s="59" t="s">
        <v>242</v>
      </c>
      <c r="B4479" s="60" t="s">
        <v>1600</v>
      </c>
    </row>
    <row r="4480" ht="12.75" customHeight="1">
      <c r="A4480" s="59" t="s">
        <v>242</v>
      </c>
      <c r="B4480" s="60" t="s">
        <v>1601</v>
      </c>
    </row>
    <row r="4481" ht="12.75" customHeight="1">
      <c r="A4481" s="59" t="s">
        <v>242</v>
      </c>
      <c r="B4481" s="60" t="s">
        <v>1602</v>
      </c>
    </row>
    <row r="4482" ht="12.75" customHeight="1">
      <c r="A4482" s="59" t="s">
        <v>242</v>
      </c>
      <c r="B4482" s="60" t="s">
        <v>1603</v>
      </c>
    </row>
    <row r="4483" ht="12.75" customHeight="1">
      <c r="A4483" s="59" t="s">
        <v>242</v>
      </c>
      <c r="B4483" s="60" t="s">
        <v>881</v>
      </c>
    </row>
    <row r="4484" ht="12.75" customHeight="1">
      <c r="A4484" s="59" t="s">
        <v>242</v>
      </c>
      <c r="B4484" s="60" t="s">
        <v>882</v>
      </c>
    </row>
    <row r="4485" ht="12.75" customHeight="1">
      <c r="A4485" s="59" t="s">
        <v>242</v>
      </c>
      <c r="B4485" s="60" t="s">
        <v>883</v>
      </c>
    </row>
    <row r="4486" ht="12.75" customHeight="1">
      <c r="A4486" s="59" t="s">
        <v>242</v>
      </c>
      <c r="B4486" s="60" t="s">
        <v>884</v>
      </c>
    </row>
    <row r="4487" ht="12.75" customHeight="1">
      <c r="A4487" s="59" t="s">
        <v>242</v>
      </c>
      <c r="B4487" s="60" t="s">
        <v>885</v>
      </c>
    </row>
    <row r="4488" ht="12.75" customHeight="1">
      <c r="A4488" s="59" t="s">
        <v>242</v>
      </c>
      <c r="B4488" s="60" t="s">
        <v>886</v>
      </c>
    </row>
    <row r="4489" ht="12.75" customHeight="1">
      <c r="A4489" s="59" t="s">
        <v>242</v>
      </c>
      <c r="B4489" s="60" t="s">
        <v>887</v>
      </c>
    </row>
    <row r="4490" ht="12.75" customHeight="1">
      <c r="A4490" s="59" t="s">
        <v>242</v>
      </c>
      <c r="B4490" s="60" t="s">
        <v>888</v>
      </c>
    </row>
    <row r="4491" ht="12.75" customHeight="1">
      <c r="A4491" s="59" t="s">
        <v>242</v>
      </c>
      <c r="B4491" s="60" t="s">
        <v>900</v>
      </c>
    </row>
    <row r="4492" ht="12.75" customHeight="1">
      <c r="A4492" s="59" t="s">
        <v>242</v>
      </c>
      <c r="B4492" s="60" t="s">
        <v>901</v>
      </c>
    </row>
    <row r="4493" ht="12.75" customHeight="1">
      <c r="A4493" s="59" t="s">
        <v>242</v>
      </c>
      <c r="B4493" s="60" t="s">
        <v>902</v>
      </c>
    </row>
    <row r="4494" ht="12.75" customHeight="1">
      <c r="A4494" s="59" t="s">
        <v>242</v>
      </c>
      <c r="B4494" s="60" t="s">
        <v>903</v>
      </c>
    </row>
    <row r="4495" ht="12.75" customHeight="1">
      <c r="A4495" s="59" t="s">
        <v>242</v>
      </c>
      <c r="B4495" s="60" t="s">
        <v>904</v>
      </c>
    </row>
    <row r="4496" ht="12.75" customHeight="1">
      <c r="A4496" s="59" t="s">
        <v>242</v>
      </c>
      <c r="B4496" s="60" t="s">
        <v>905</v>
      </c>
    </row>
    <row r="4497" ht="12.75" customHeight="1">
      <c r="A4497" s="59" t="s">
        <v>242</v>
      </c>
      <c r="B4497" s="60" t="s">
        <v>906</v>
      </c>
    </row>
    <row r="4498" ht="12.75" customHeight="1">
      <c r="A4498" s="59" t="s">
        <v>242</v>
      </c>
      <c r="B4498" s="60" t="s">
        <v>907</v>
      </c>
    </row>
    <row r="4499" ht="12.75" customHeight="1">
      <c r="A4499" s="59" t="s">
        <v>242</v>
      </c>
      <c r="B4499" s="60" t="s">
        <v>1604</v>
      </c>
    </row>
    <row r="4500" ht="12.75" customHeight="1">
      <c r="A4500" s="59" t="s">
        <v>242</v>
      </c>
      <c r="B4500" s="60" t="s">
        <v>1605</v>
      </c>
    </row>
    <row r="4501" ht="12.75" customHeight="1">
      <c r="A4501" s="59" t="s">
        <v>242</v>
      </c>
      <c r="B4501" s="60" t="s">
        <v>1606</v>
      </c>
    </row>
    <row r="4502" ht="12.75" customHeight="1">
      <c r="A4502" s="59" t="s">
        <v>242</v>
      </c>
      <c r="B4502" s="60" t="s">
        <v>1607</v>
      </c>
    </row>
    <row r="4503" ht="12.75" customHeight="1">
      <c r="A4503" s="59" t="s">
        <v>242</v>
      </c>
      <c r="B4503" s="60" t="s">
        <v>1608</v>
      </c>
    </row>
    <row r="4504" ht="12.75" customHeight="1">
      <c r="A4504" s="59" t="s">
        <v>242</v>
      </c>
      <c r="B4504" s="60" t="s">
        <v>1609</v>
      </c>
    </row>
    <row r="4505" ht="12.75" customHeight="1">
      <c r="A4505" s="59" t="s">
        <v>242</v>
      </c>
      <c r="B4505" s="60" t="s">
        <v>1610</v>
      </c>
    </row>
    <row r="4506" ht="12.75" customHeight="1">
      <c r="A4506" s="59" t="s">
        <v>242</v>
      </c>
      <c r="B4506" s="60" t="s">
        <v>1611</v>
      </c>
    </row>
    <row r="4507" ht="12.75" customHeight="1">
      <c r="A4507" s="59" t="s">
        <v>242</v>
      </c>
      <c r="B4507" s="60" t="s">
        <v>1612</v>
      </c>
    </row>
    <row r="4508" ht="12.75" customHeight="1">
      <c r="A4508" s="59" t="s">
        <v>242</v>
      </c>
      <c r="B4508" s="60" t="s">
        <v>1613</v>
      </c>
    </row>
    <row r="4509" ht="12.75" customHeight="1">
      <c r="A4509" s="59" t="s">
        <v>242</v>
      </c>
      <c r="B4509" s="60" t="s">
        <v>1614</v>
      </c>
    </row>
    <row r="4510" ht="12.75" customHeight="1">
      <c r="A4510" s="59" t="s">
        <v>242</v>
      </c>
      <c r="B4510" s="60" t="s">
        <v>1615</v>
      </c>
    </row>
    <row r="4511" ht="12.75" customHeight="1">
      <c r="A4511" s="59" t="s">
        <v>242</v>
      </c>
      <c r="B4511" s="60" t="s">
        <v>1616</v>
      </c>
    </row>
    <row r="4512" ht="12.75" customHeight="1">
      <c r="A4512" s="59" t="s">
        <v>242</v>
      </c>
      <c r="B4512" s="60" t="s">
        <v>1617</v>
      </c>
    </row>
    <row r="4513" ht="12.75" customHeight="1">
      <c r="A4513" s="59" t="s">
        <v>242</v>
      </c>
      <c r="B4513" s="60" t="s">
        <v>1618</v>
      </c>
    </row>
    <row r="4514" ht="12.75" customHeight="1">
      <c r="A4514" s="59" t="s">
        <v>242</v>
      </c>
      <c r="B4514" s="60" t="s">
        <v>1619</v>
      </c>
    </row>
    <row r="4515" ht="12.75" customHeight="1">
      <c r="A4515" s="59" t="s">
        <v>242</v>
      </c>
      <c r="B4515" s="60" t="s">
        <v>1620</v>
      </c>
    </row>
    <row r="4516" ht="12.75" customHeight="1">
      <c r="A4516" s="59" t="s">
        <v>242</v>
      </c>
      <c r="B4516" s="60" t="s">
        <v>1621</v>
      </c>
    </row>
    <row r="4517" ht="12.75" customHeight="1">
      <c r="A4517" s="59" t="s">
        <v>242</v>
      </c>
      <c r="B4517" s="60" t="s">
        <v>1622</v>
      </c>
    </row>
    <row r="4518" ht="12.75" customHeight="1">
      <c r="A4518" s="59" t="s">
        <v>242</v>
      </c>
      <c r="B4518" s="60" t="s">
        <v>1623</v>
      </c>
    </row>
    <row r="4519" ht="12.75" customHeight="1">
      <c r="A4519" s="59" t="s">
        <v>242</v>
      </c>
      <c r="B4519" s="60" t="s">
        <v>1624</v>
      </c>
    </row>
    <row r="4520" ht="12.75" customHeight="1">
      <c r="A4520" s="59" t="s">
        <v>242</v>
      </c>
      <c r="B4520" s="60" t="s">
        <v>1625</v>
      </c>
    </row>
    <row r="4521" ht="12.75" customHeight="1">
      <c r="A4521" s="59" t="s">
        <v>242</v>
      </c>
      <c r="B4521" s="60" t="s">
        <v>1626</v>
      </c>
    </row>
    <row r="4522" ht="12.75" customHeight="1">
      <c r="A4522" s="59" t="s">
        <v>242</v>
      </c>
      <c r="B4522" s="60" t="s">
        <v>1627</v>
      </c>
    </row>
    <row r="4523" ht="12.75" customHeight="1">
      <c r="A4523" s="59" t="s">
        <v>242</v>
      </c>
      <c r="B4523" s="60" t="s">
        <v>1628</v>
      </c>
    </row>
    <row r="4524" ht="12.75" customHeight="1">
      <c r="A4524" s="59" t="s">
        <v>242</v>
      </c>
      <c r="B4524" s="60" t="s">
        <v>1629</v>
      </c>
    </row>
    <row r="4525" ht="12.75" customHeight="1">
      <c r="A4525" s="59" t="s">
        <v>242</v>
      </c>
      <c r="B4525" s="60" t="s">
        <v>1630</v>
      </c>
    </row>
    <row r="4526" ht="12.75" customHeight="1">
      <c r="A4526" s="59" t="s">
        <v>242</v>
      </c>
      <c r="B4526" s="60" t="s">
        <v>1631</v>
      </c>
    </row>
    <row r="4527" ht="12.75" customHeight="1">
      <c r="A4527" s="59" t="s">
        <v>242</v>
      </c>
      <c r="B4527" s="60" t="s">
        <v>1632</v>
      </c>
    </row>
    <row r="4528" ht="12.75" customHeight="1">
      <c r="A4528" s="59" t="s">
        <v>242</v>
      </c>
      <c r="B4528" s="60" t="s">
        <v>1633</v>
      </c>
    </row>
    <row r="4529" ht="12.75" customHeight="1">
      <c r="A4529" s="59" t="s">
        <v>242</v>
      </c>
      <c r="B4529" s="60" t="s">
        <v>1634</v>
      </c>
    </row>
    <row r="4530" ht="12.75" customHeight="1">
      <c r="A4530" s="59" t="s">
        <v>242</v>
      </c>
      <c r="B4530" s="60" t="s">
        <v>1635</v>
      </c>
    </row>
    <row r="4531" ht="12.75" customHeight="1">
      <c r="A4531" s="59" t="s">
        <v>242</v>
      </c>
      <c r="B4531" s="60" t="s">
        <v>1636</v>
      </c>
    </row>
    <row r="4532" ht="12.75" customHeight="1">
      <c r="A4532" s="59" t="s">
        <v>242</v>
      </c>
      <c r="B4532" s="60" t="s">
        <v>1637</v>
      </c>
    </row>
    <row r="4533" ht="12.75" customHeight="1">
      <c r="A4533" s="59" t="s">
        <v>242</v>
      </c>
      <c r="B4533" s="60" t="s">
        <v>1638</v>
      </c>
    </row>
    <row r="4534" ht="12.75" customHeight="1">
      <c r="A4534" s="59" t="s">
        <v>242</v>
      </c>
      <c r="B4534" s="60" t="s">
        <v>1639</v>
      </c>
    </row>
    <row r="4535" ht="12.75" customHeight="1">
      <c r="A4535" s="59" t="s">
        <v>242</v>
      </c>
      <c r="B4535" s="60" t="s">
        <v>1640</v>
      </c>
    </row>
    <row r="4536" ht="12.75" customHeight="1">
      <c r="A4536" s="59" t="s">
        <v>242</v>
      </c>
      <c r="B4536" s="60" t="s">
        <v>1641</v>
      </c>
    </row>
    <row r="4537" ht="12.75" customHeight="1">
      <c r="A4537" s="59" t="s">
        <v>242</v>
      </c>
      <c r="B4537" s="60" t="s">
        <v>1642</v>
      </c>
    </row>
    <row r="4538" ht="12.75" customHeight="1">
      <c r="A4538" s="59" t="s">
        <v>242</v>
      </c>
      <c r="B4538" s="60" t="s">
        <v>1643</v>
      </c>
    </row>
    <row r="4539" ht="12.75" customHeight="1">
      <c r="A4539" s="59" t="s">
        <v>242</v>
      </c>
      <c r="B4539" s="60" t="s">
        <v>1644</v>
      </c>
    </row>
    <row r="4540" ht="12.75" customHeight="1">
      <c r="A4540" s="59" t="s">
        <v>242</v>
      </c>
      <c r="B4540" s="60" t="s">
        <v>1645</v>
      </c>
    </row>
    <row r="4541" ht="12.75" customHeight="1">
      <c r="A4541" s="59" t="s">
        <v>242</v>
      </c>
      <c r="B4541" s="60" t="s">
        <v>1646</v>
      </c>
    </row>
    <row r="4542" ht="12.75" customHeight="1">
      <c r="A4542" s="59" t="s">
        <v>242</v>
      </c>
      <c r="B4542" s="60" t="s">
        <v>1647</v>
      </c>
    </row>
    <row r="4543" ht="12.75" customHeight="1">
      <c r="A4543" s="59" t="s">
        <v>242</v>
      </c>
      <c r="B4543" s="60" t="s">
        <v>1648</v>
      </c>
    </row>
    <row r="4544" ht="12.75" customHeight="1">
      <c r="A4544" s="59" t="s">
        <v>242</v>
      </c>
      <c r="B4544" s="60" t="s">
        <v>1649</v>
      </c>
    </row>
    <row r="4545" ht="12.75" customHeight="1">
      <c r="A4545" s="59" t="s">
        <v>242</v>
      </c>
      <c r="B4545" s="60" t="s">
        <v>1650</v>
      </c>
    </row>
    <row r="4546" ht="12.75" customHeight="1">
      <c r="A4546" s="59" t="s">
        <v>242</v>
      </c>
      <c r="B4546" s="60" t="s">
        <v>1651</v>
      </c>
    </row>
    <row r="4547" ht="12.75" customHeight="1">
      <c r="A4547" s="59" t="s">
        <v>330</v>
      </c>
      <c r="B4547" s="60" t="s">
        <v>745</v>
      </c>
    </row>
    <row r="4548" ht="12.75" customHeight="1">
      <c r="A4548" s="59" t="s">
        <v>330</v>
      </c>
      <c r="B4548" s="60" t="s">
        <v>746</v>
      </c>
    </row>
    <row r="4549" ht="12.75" customHeight="1">
      <c r="A4549" s="59" t="s">
        <v>330</v>
      </c>
      <c r="B4549" s="60" t="s">
        <v>747</v>
      </c>
    </row>
    <row r="4550" ht="12.75" customHeight="1">
      <c r="A4550" s="59" t="s">
        <v>330</v>
      </c>
      <c r="B4550" s="60" t="s">
        <v>748</v>
      </c>
    </row>
    <row r="4551" ht="12.75" customHeight="1">
      <c r="A4551" s="59" t="s">
        <v>342</v>
      </c>
      <c r="B4551" s="60" t="s">
        <v>745</v>
      </c>
    </row>
    <row r="4552" ht="12.75" customHeight="1">
      <c r="A4552" s="59" t="s">
        <v>342</v>
      </c>
      <c r="B4552" s="60" t="s">
        <v>746</v>
      </c>
    </row>
    <row r="4553" ht="12.75" customHeight="1">
      <c r="A4553" s="59" t="s">
        <v>342</v>
      </c>
      <c r="B4553" s="60" t="s">
        <v>747</v>
      </c>
    </row>
    <row r="4554" ht="12.75" customHeight="1">
      <c r="A4554" s="59" t="s">
        <v>342</v>
      </c>
      <c r="B4554" s="60" t="s">
        <v>748</v>
      </c>
    </row>
    <row r="4555" ht="12.75" customHeight="1">
      <c r="A4555" s="59" t="s">
        <v>351</v>
      </c>
      <c r="B4555" s="60" t="s">
        <v>745</v>
      </c>
    </row>
    <row r="4556" ht="12.75" customHeight="1">
      <c r="A4556" s="59" t="s">
        <v>351</v>
      </c>
      <c r="B4556" s="60" t="s">
        <v>746</v>
      </c>
    </row>
    <row r="4557" ht="12.75" customHeight="1">
      <c r="A4557" s="59" t="s">
        <v>351</v>
      </c>
      <c r="B4557" s="60" t="s">
        <v>747</v>
      </c>
    </row>
    <row r="4558" ht="12.75" customHeight="1">
      <c r="A4558" s="59" t="s">
        <v>351</v>
      </c>
      <c r="B4558" s="60" t="s">
        <v>748</v>
      </c>
    </row>
    <row r="4559" ht="12.75" customHeight="1">
      <c r="A4559" s="59" t="s">
        <v>242</v>
      </c>
      <c r="B4559" s="60" t="s">
        <v>1652</v>
      </c>
    </row>
    <row r="4560" ht="12.75" customHeight="1">
      <c r="A4560" s="59" t="s">
        <v>242</v>
      </c>
      <c r="B4560" s="60" t="s">
        <v>1062</v>
      </c>
    </row>
    <row r="4561" ht="12.75" customHeight="1">
      <c r="A4561" s="59" t="s">
        <v>242</v>
      </c>
      <c r="B4561" s="60" t="s">
        <v>1063</v>
      </c>
    </row>
    <row r="4562" ht="12.75" customHeight="1">
      <c r="A4562" s="59" t="s">
        <v>242</v>
      </c>
      <c r="B4562" s="60" t="s">
        <v>1064</v>
      </c>
    </row>
    <row r="4563" ht="12.75" customHeight="1">
      <c r="A4563" s="59" t="s">
        <v>242</v>
      </c>
      <c r="B4563" s="60" t="s">
        <v>1065</v>
      </c>
    </row>
    <row r="4564" ht="12.75" customHeight="1">
      <c r="A4564" s="59" t="s">
        <v>242</v>
      </c>
      <c r="B4564" s="60" t="s">
        <v>1066</v>
      </c>
    </row>
    <row r="4565" ht="12.75" customHeight="1">
      <c r="A4565" s="59" t="s">
        <v>242</v>
      </c>
      <c r="B4565" s="60" t="s">
        <v>1067</v>
      </c>
    </row>
    <row r="4566" ht="12.75" customHeight="1">
      <c r="A4566" s="59" t="s">
        <v>242</v>
      </c>
      <c r="B4566" s="60" t="s">
        <v>1653</v>
      </c>
    </row>
    <row r="4567" ht="12.75" customHeight="1">
      <c r="A4567" s="59" t="s">
        <v>242</v>
      </c>
      <c r="B4567" s="60" t="s">
        <v>1654</v>
      </c>
    </row>
    <row r="4568" ht="12.75" customHeight="1">
      <c r="A4568" s="59" t="s">
        <v>242</v>
      </c>
      <c r="B4568" s="60" t="s">
        <v>1655</v>
      </c>
    </row>
    <row r="4569" ht="12.75" customHeight="1">
      <c r="A4569" s="59" t="s">
        <v>242</v>
      </c>
      <c r="B4569" s="60" t="s">
        <v>1656</v>
      </c>
    </row>
    <row r="4570" ht="12.75" customHeight="1">
      <c r="A4570" s="59" t="s">
        <v>242</v>
      </c>
      <c r="B4570" s="60" t="s">
        <v>1657</v>
      </c>
    </row>
    <row r="4571" ht="12.75" customHeight="1">
      <c r="A4571" s="59" t="s">
        <v>242</v>
      </c>
      <c r="B4571" s="60" t="s">
        <v>1658</v>
      </c>
    </row>
    <row r="4572" ht="12.75" customHeight="1">
      <c r="A4572" s="59" t="s">
        <v>242</v>
      </c>
      <c r="B4572" s="60" t="s">
        <v>1659</v>
      </c>
    </row>
    <row r="4573" ht="12.75" customHeight="1">
      <c r="A4573" s="59" t="s">
        <v>242</v>
      </c>
      <c r="B4573" s="60" t="s">
        <v>1660</v>
      </c>
    </row>
    <row r="4574" ht="12.75" customHeight="1">
      <c r="A4574" s="59" t="s">
        <v>242</v>
      </c>
      <c r="B4574" s="60" t="s">
        <v>1661</v>
      </c>
    </row>
    <row r="4575" ht="12.75" customHeight="1">
      <c r="A4575" s="59" t="s">
        <v>242</v>
      </c>
      <c r="B4575" s="60" t="s">
        <v>1662</v>
      </c>
    </row>
    <row r="4576" ht="12.75" customHeight="1">
      <c r="A4576" s="59" t="s">
        <v>242</v>
      </c>
      <c r="B4576" s="60" t="s">
        <v>1663</v>
      </c>
    </row>
    <row r="4577" ht="12.75" customHeight="1">
      <c r="A4577" s="59" t="s">
        <v>242</v>
      </c>
      <c r="B4577" s="60" t="s">
        <v>1664</v>
      </c>
    </row>
    <row r="4578" ht="12.75" customHeight="1">
      <c r="A4578" s="59" t="s">
        <v>242</v>
      </c>
      <c r="B4578" s="60" t="s">
        <v>1665</v>
      </c>
    </row>
    <row r="4579" ht="12.75" customHeight="1">
      <c r="A4579" s="59" t="s">
        <v>242</v>
      </c>
      <c r="B4579" s="60" t="s">
        <v>1666</v>
      </c>
    </row>
    <row r="4580" ht="12.75" customHeight="1">
      <c r="A4580" s="59" t="s">
        <v>242</v>
      </c>
      <c r="B4580" s="60" t="s">
        <v>1667</v>
      </c>
    </row>
    <row r="4581" ht="12.75" customHeight="1">
      <c r="A4581" s="59" t="s">
        <v>242</v>
      </c>
      <c r="B4581" s="60" t="s">
        <v>1668</v>
      </c>
    </row>
    <row r="4582" ht="12.75" customHeight="1">
      <c r="A4582" s="59" t="s">
        <v>242</v>
      </c>
      <c r="B4582" s="60" t="s">
        <v>1669</v>
      </c>
    </row>
    <row r="4583" ht="12.75" customHeight="1">
      <c r="A4583" s="59" t="s">
        <v>242</v>
      </c>
      <c r="B4583" s="60" t="s">
        <v>1670</v>
      </c>
    </row>
    <row r="4584" ht="12.75" customHeight="1">
      <c r="A4584" s="59" t="s">
        <v>242</v>
      </c>
      <c r="B4584" s="60" t="s">
        <v>1671</v>
      </c>
    </row>
    <row r="4585" ht="12.75" customHeight="1">
      <c r="A4585" s="59" t="s">
        <v>242</v>
      </c>
      <c r="B4585" s="60" t="s">
        <v>1672</v>
      </c>
    </row>
    <row r="4586" ht="12.75" customHeight="1">
      <c r="A4586" s="59" t="s">
        <v>242</v>
      </c>
      <c r="B4586" s="60" t="s">
        <v>1673</v>
      </c>
    </row>
    <row r="4587" ht="12.75" customHeight="1">
      <c r="A4587" s="59" t="s">
        <v>242</v>
      </c>
      <c r="B4587" s="60" t="s">
        <v>1674</v>
      </c>
    </row>
    <row r="4588" ht="12.75" customHeight="1">
      <c r="A4588" s="59" t="s">
        <v>242</v>
      </c>
      <c r="B4588" s="60" t="s">
        <v>1675</v>
      </c>
    </row>
    <row r="4589" ht="12.75" customHeight="1">
      <c r="A4589" s="59" t="s">
        <v>242</v>
      </c>
      <c r="B4589" s="60" t="s">
        <v>1676</v>
      </c>
    </row>
    <row r="4590" ht="12.75" customHeight="1">
      <c r="A4590" s="59" t="s">
        <v>242</v>
      </c>
      <c r="B4590" s="60" t="s">
        <v>1677</v>
      </c>
    </row>
    <row r="4591" ht="12.75" customHeight="1">
      <c r="A4591" s="59" t="s">
        <v>242</v>
      </c>
      <c r="B4591" s="60" t="s">
        <v>1678</v>
      </c>
    </row>
    <row r="4592" ht="12.75" customHeight="1">
      <c r="A4592" s="59" t="s">
        <v>242</v>
      </c>
      <c r="B4592" s="60" t="s">
        <v>1679</v>
      </c>
    </row>
    <row r="4593" ht="12.75" customHeight="1">
      <c r="A4593" s="59" t="s">
        <v>242</v>
      </c>
      <c r="B4593" s="60" t="s">
        <v>1680</v>
      </c>
    </row>
    <row r="4594" ht="12.75" customHeight="1">
      <c r="A4594" s="59" t="s">
        <v>242</v>
      </c>
      <c r="B4594" s="60" t="s">
        <v>1681</v>
      </c>
    </row>
    <row r="4595" ht="12.75" customHeight="1">
      <c r="A4595" s="59" t="s">
        <v>242</v>
      </c>
      <c r="B4595" s="60" t="s">
        <v>1088</v>
      </c>
    </row>
    <row r="4596" ht="12.75" customHeight="1">
      <c r="A4596" s="59" t="s">
        <v>242</v>
      </c>
      <c r="B4596" s="60" t="s">
        <v>1089</v>
      </c>
    </row>
    <row r="4597" ht="12.75" customHeight="1">
      <c r="A4597" s="59" t="s">
        <v>242</v>
      </c>
      <c r="B4597" s="60" t="s">
        <v>1090</v>
      </c>
    </row>
    <row r="4598" ht="12.75" customHeight="1">
      <c r="A4598" s="59" t="s">
        <v>242</v>
      </c>
      <c r="B4598" s="60" t="s">
        <v>1091</v>
      </c>
    </row>
    <row r="4599" ht="12.75" customHeight="1">
      <c r="A4599" s="59" t="s">
        <v>242</v>
      </c>
      <c r="B4599" s="60" t="s">
        <v>1092</v>
      </c>
    </row>
    <row r="4600" ht="12.75" customHeight="1">
      <c r="A4600" s="59" t="s">
        <v>242</v>
      </c>
      <c r="B4600" s="60" t="s">
        <v>1093</v>
      </c>
    </row>
    <row r="4601" ht="12.75" customHeight="1">
      <c r="A4601" s="59" t="s">
        <v>242</v>
      </c>
      <c r="B4601" s="60" t="s">
        <v>1094</v>
      </c>
    </row>
    <row r="4602" ht="12.75" customHeight="1">
      <c r="A4602" s="59" t="s">
        <v>242</v>
      </c>
      <c r="B4602" s="60" t="s">
        <v>1095</v>
      </c>
    </row>
    <row r="4603" ht="12.75" customHeight="1">
      <c r="A4603" s="59" t="s">
        <v>242</v>
      </c>
      <c r="B4603" s="60" t="s">
        <v>1682</v>
      </c>
    </row>
    <row r="4604" ht="12.75" customHeight="1">
      <c r="A4604" s="59" t="s">
        <v>242</v>
      </c>
      <c r="B4604" s="60" t="s">
        <v>1683</v>
      </c>
    </row>
    <row r="4605" ht="12.75" customHeight="1">
      <c r="A4605" s="59" t="s">
        <v>242</v>
      </c>
      <c r="B4605" s="60" t="s">
        <v>1684</v>
      </c>
    </row>
    <row r="4606" ht="12.75" customHeight="1">
      <c r="A4606" s="59" t="s">
        <v>242</v>
      </c>
      <c r="B4606" s="60" t="s">
        <v>1685</v>
      </c>
    </row>
    <row r="4607" ht="12.75" customHeight="1">
      <c r="A4607" s="59" t="s">
        <v>242</v>
      </c>
      <c r="B4607" s="60" t="s">
        <v>1686</v>
      </c>
    </row>
    <row r="4608" ht="12.75" customHeight="1">
      <c r="A4608" s="59" t="s">
        <v>242</v>
      </c>
      <c r="B4608" s="60" t="s">
        <v>1687</v>
      </c>
    </row>
    <row r="4609" ht="12.75" customHeight="1">
      <c r="A4609" s="59" t="s">
        <v>242</v>
      </c>
      <c r="B4609" s="60" t="s">
        <v>1688</v>
      </c>
    </row>
    <row r="4610" ht="12.75" customHeight="1">
      <c r="A4610" s="59" t="s">
        <v>242</v>
      </c>
      <c r="B4610" s="60" t="s">
        <v>1689</v>
      </c>
    </row>
    <row r="4611" ht="12.75" customHeight="1">
      <c r="A4611" s="59" t="s">
        <v>242</v>
      </c>
      <c r="B4611" s="60" t="s">
        <v>1690</v>
      </c>
    </row>
    <row r="4612" ht="12.75" customHeight="1">
      <c r="A4612" s="59" t="s">
        <v>242</v>
      </c>
      <c r="B4612" s="60" t="s">
        <v>1691</v>
      </c>
    </row>
    <row r="4613" ht="12.75" customHeight="1">
      <c r="A4613" s="59" t="s">
        <v>242</v>
      </c>
      <c r="B4613" s="60" t="s">
        <v>1692</v>
      </c>
    </row>
    <row r="4614" ht="12.75" customHeight="1">
      <c r="A4614" s="59" t="s">
        <v>242</v>
      </c>
      <c r="B4614" s="60" t="s">
        <v>1693</v>
      </c>
    </row>
    <row r="4615" ht="12.75" customHeight="1">
      <c r="A4615" s="59" t="s">
        <v>242</v>
      </c>
      <c r="B4615" s="60" t="s">
        <v>1694</v>
      </c>
    </row>
    <row r="4616" ht="12.75" customHeight="1">
      <c r="A4616" s="59" t="s">
        <v>242</v>
      </c>
      <c r="B4616" s="60" t="s">
        <v>1695</v>
      </c>
    </row>
    <row r="4617" ht="12.75" customHeight="1">
      <c r="A4617" s="59" t="s">
        <v>242</v>
      </c>
      <c r="B4617" s="60" t="s">
        <v>1696</v>
      </c>
    </row>
    <row r="4618" ht="12.75" customHeight="1">
      <c r="A4618" s="59" t="s">
        <v>242</v>
      </c>
      <c r="B4618" s="60" t="s">
        <v>1697</v>
      </c>
    </row>
    <row r="4619" ht="12.75" customHeight="1">
      <c r="A4619" s="59" t="s">
        <v>242</v>
      </c>
      <c r="B4619" s="60" t="s">
        <v>1698</v>
      </c>
    </row>
    <row r="4620" ht="12.75" customHeight="1">
      <c r="A4620" s="59" t="s">
        <v>242</v>
      </c>
      <c r="B4620" s="60" t="s">
        <v>1699</v>
      </c>
    </row>
    <row r="4621" ht="12.75" customHeight="1">
      <c r="A4621" s="59" t="s">
        <v>242</v>
      </c>
      <c r="B4621" s="60" t="s">
        <v>1700</v>
      </c>
    </row>
    <row r="4622" ht="12.75" customHeight="1">
      <c r="A4622" s="59" t="s">
        <v>242</v>
      </c>
      <c r="B4622" s="60" t="s">
        <v>1701</v>
      </c>
    </row>
    <row r="4623" ht="12.75" customHeight="1">
      <c r="A4623" s="59" t="s">
        <v>242</v>
      </c>
      <c r="B4623" s="60" t="s">
        <v>1702</v>
      </c>
    </row>
    <row r="4624" ht="12.75" customHeight="1">
      <c r="A4624" s="59" t="s">
        <v>242</v>
      </c>
      <c r="B4624" s="60" t="s">
        <v>1703</v>
      </c>
    </row>
    <row r="4625" ht="12.75" customHeight="1">
      <c r="A4625" s="59" t="s">
        <v>242</v>
      </c>
      <c r="B4625" s="60" t="s">
        <v>1704</v>
      </c>
    </row>
    <row r="4626" ht="12.75" customHeight="1">
      <c r="A4626" s="59" t="s">
        <v>242</v>
      </c>
      <c r="B4626" s="60" t="s">
        <v>1705</v>
      </c>
    </row>
    <row r="4627" ht="12.75" customHeight="1">
      <c r="A4627" s="59" t="s">
        <v>242</v>
      </c>
      <c r="B4627" s="60" t="s">
        <v>1706</v>
      </c>
    </row>
    <row r="4628" ht="12.75" customHeight="1">
      <c r="A4628" s="59" t="s">
        <v>242</v>
      </c>
      <c r="B4628" s="60" t="s">
        <v>1707</v>
      </c>
    </row>
    <row r="4629" ht="12.75" customHeight="1">
      <c r="A4629" s="59" t="s">
        <v>242</v>
      </c>
      <c r="B4629" s="60" t="s">
        <v>1708</v>
      </c>
    </row>
    <row r="4630" ht="12.75" customHeight="1">
      <c r="A4630" s="59" t="s">
        <v>242</v>
      </c>
      <c r="B4630" s="60" t="s">
        <v>1709</v>
      </c>
    </row>
    <row r="4631" ht="12.75" customHeight="1">
      <c r="A4631" s="59" t="s">
        <v>242</v>
      </c>
      <c r="B4631" s="60" t="s">
        <v>1710</v>
      </c>
    </row>
    <row r="4632" ht="12.75" customHeight="1">
      <c r="A4632" s="59" t="s">
        <v>242</v>
      </c>
      <c r="B4632" s="60" t="s">
        <v>1711</v>
      </c>
    </row>
    <row r="4633" ht="12.75" customHeight="1">
      <c r="A4633" s="59" t="s">
        <v>242</v>
      </c>
      <c r="B4633" s="60" t="s">
        <v>1712</v>
      </c>
    </row>
    <row r="4634" ht="12.75" customHeight="1">
      <c r="A4634" s="59" t="s">
        <v>242</v>
      </c>
      <c r="B4634" s="60" t="s">
        <v>1713</v>
      </c>
    </row>
    <row r="4635" ht="12.75" customHeight="1">
      <c r="A4635" s="59" t="s">
        <v>242</v>
      </c>
      <c r="B4635" s="60" t="s">
        <v>1714</v>
      </c>
    </row>
    <row r="4636" ht="12.75" customHeight="1">
      <c r="A4636" s="59" t="s">
        <v>242</v>
      </c>
      <c r="B4636" s="60" t="s">
        <v>1715</v>
      </c>
    </row>
    <row r="4637" ht="12.75" customHeight="1">
      <c r="A4637" s="59" t="s">
        <v>242</v>
      </c>
      <c r="B4637" s="60" t="s">
        <v>1716</v>
      </c>
    </row>
    <row r="4638" ht="12.75" customHeight="1">
      <c r="A4638" s="59" t="s">
        <v>242</v>
      </c>
      <c r="B4638" s="60" t="s">
        <v>1717</v>
      </c>
    </row>
    <row r="4639" ht="12.75" customHeight="1">
      <c r="A4639" s="59" t="s">
        <v>242</v>
      </c>
      <c r="B4639" s="60" t="s">
        <v>1718</v>
      </c>
    </row>
    <row r="4640" ht="12.75" customHeight="1">
      <c r="A4640" s="59" t="s">
        <v>242</v>
      </c>
      <c r="B4640" s="60" t="s">
        <v>1719</v>
      </c>
    </row>
    <row r="4641" ht="12.75" customHeight="1">
      <c r="A4641" s="59" t="s">
        <v>242</v>
      </c>
      <c r="B4641" s="60" t="s">
        <v>1720</v>
      </c>
    </row>
    <row r="4642" ht="12.75" customHeight="1">
      <c r="A4642" s="59" t="s">
        <v>242</v>
      </c>
      <c r="B4642" s="60" t="s">
        <v>1721</v>
      </c>
    </row>
    <row r="4643" ht="12.75" customHeight="1">
      <c r="A4643" s="59" t="s">
        <v>242</v>
      </c>
      <c r="B4643" s="60" t="s">
        <v>1722</v>
      </c>
    </row>
    <row r="4644" ht="12.75" customHeight="1">
      <c r="A4644" s="59" t="s">
        <v>242</v>
      </c>
      <c r="B4644" s="60" t="s">
        <v>1723</v>
      </c>
    </row>
    <row r="4645" ht="12.75" customHeight="1">
      <c r="A4645" s="59" t="s">
        <v>242</v>
      </c>
      <c r="B4645" s="60" t="s">
        <v>1724</v>
      </c>
    </row>
    <row r="4646" ht="12.75" customHeight="1">
      <c r="A4646" s="59" t="s">
        <v>242</v>
      </c>
      <c r="B4646" s="60" t="s">
        <v>1725</v>
      </c>
    </row>
    <row r="4647" ht="12.75" customHeight="1">
      <c r="A4647" s="59" t="s">
        <v>242</v>
      </c>
      <c r="B4647" s="60" t="s">
        <v>1726</v>
      </c>
    </row>
    <row r="4648" ht="12.75" customHeight="1">
      <c r="A4648" s="59" t="s">
        <v>242</v>
      </c>
      <c r="B4648" s="60" t="s">
        <v>1727</v>
      </c>
    </row>
    <row r="4649" ht="12.75" customHeight="1">
      <c r="A4649" s="59" t="s">
        <v>242</v>
      </c>
      <c r="B4649" s="60" t="s">
        <v>1728</v>
      </c>
    </row>
    <row r="4650" ht="12.75" customHeight="1">
      <c r="A4650" s="59" t="s">
        <v>242</v>
      </c>
      <c r="B4650" s="60" t="s">
        <v>1729</v>
      </c>
    </row>
    <row r="4651" ht="12.75" customHeight="1">
      <c r="A4651" s="59" t="s">
        <v>242</v>
      </c>
      <c r="B4651" s="60" t="s">
        <v>1730</v>
      </c>
    </row>
    <row r="4652" ht="12.75" customHeight="1">
      <c r="A4652" s="59" t="s">
        <v>242</v>
      </c>
      <c r="B4652" s="60" t="s">
        <v>1731</v>
      </c>
    </row>
    <row r="4653" ht="12.75" customHeight="1">
      <c r="A4653" s="59" t="s">
        <v>242</v>
      </c>
      <c r="B4653" s="60" t="s">
        <v>1732</v>
      </c>
    </row>
    <row r="4654" ht="12.75" customHeight="1">
      <c r="A4654" s="59" t="s">
        <v>242</v>
      </c>
      <c r="B4654" s="60" t="s">
        <v>1733</v>
      </c>
    </row>
    <row r="4655" ht="12.75" customHeight="1">
      <c r="A4655" s="59" t="s">
        <v>242</v>
      </c>
      <c r="B4655" s="60" t="s">
        <v>1734</v>
      </c>
    </row>
    <row r="4656" ht="12.75" customHeight="1">
      <c r="A4656" s="59" t="s">
        <v>242</v>
      </c>
      <c r="B4656" s="60" t="s">
        <v>1735</v>
      </c>
    </row>
    <row r="4657" ht="12.75" customHeight="1">
      <c r="A4657" s="59" t="s">
        <v>242</v>
      </c>
      <c r="B4657" s="60" t="s">
        <v>1736</v>
      </c>
    </row>
    <row r="4658" ht="12.75" customHeight="1">
      <c r="A4658" s="59" t="s">
        <v>242</v>
      </c>
      <c r="B4658" s="60" t="s">
        <v>1737</v>
      </c>
    </row>
    <row r="4659" ht="12.75" customHeight="1">
      <c r="A4659" s="59" t="s">
        <v>242</v>
      </c>
      <c r="B4659" s="60" t="s">
        <v>1738</v>
      </c>
    </row>
    <row r="4660" ht="12.75" customHeight="1">
      <c r="A4660" s="59" t="s">
        <v>242</v>
      </c>
      <c r="B4660" s="60" t="s">
        <v>1739</v>
      </c>
    </row>
    <row r="4661" ht="12.75" customHeight="1">
      <c r="A4661" s="59" t="s">
        <v>242</v>
      </c>
      <c r="B4661" s="60" t="s">
        <v>1740</v>
      </c>
    </row>
    <row r="4662" ht="12.75" customHeight="1">
      <c r="A4662" s="59" t="s">
        <v>242</v>
      </c>
      <c r="B4662" s="60" t="s">
        <v>1741</v>
      </c>
    </row>
    <row r="4663" ht="12.75" customHeight="1">
      <c r="A4663" s="59" t="s">
        <v>242</v>
      </c>
      <c r="B4663" s="60" t="s">
        <v>1742</v>
      </c>
    </row>
    <row r="4664" ht="12.75" customHeight="1">
      <c r="A4664" s="59" t="s">
        <v>242</v>
      </c>
      <c r="B4664" s="60" t="s">
        <v>1743</v>
      </c>
    </row>
    <row r="4665" ht="12.75" customHeight="1">
      <c r="A4665" s="59" t="s">
        <v>242</v>
      </c>
      <c r="B4665" s="60" t="s">
        <v>1744</v>
      </c>
    </row>
    <row r="4666" ht="12.75" customHeight="1">
      <c r="A4666" s="59" t="s">
        <v>242</v>
      </c>
      <c r="B4666" s="60" t="s">
        <v>1745</v>
      </c>
    </row>
    <row r="4667" ht="12.75" customHeight="1">
      <c r="A4667" s="59" t="s">
        <v>242</v>
      </c>
      <c r="B4667" s="60" t="s">
        <v>1746</v>
      </c>
    </row>
    <row r="4668" ht="12.75" customHeight="1">
      <c r="A4668" s="59" t="s">
        <v>242</v>
      </c>
      <c r="B4668" s="60" t="s">
        <v>1747</v>
      </c>
    </row>
    <row r="4669" ht="12.75" customHeight="1">
      <c r="A4669" s="59" t="s">
        <v>242</v>
      </c>
      <c r="B4669" s="60" t="s">
        <v>1748</v>
      </c>
    </row>
    <row r="4670" ht="12.75" customHeight="1">
      <c r="A4670" s="59" t="s">
        <v>242</v>
      </c>
      <c r="B4670" s="60" t="s">
        <v>1749</v>
      </c>
    </row>
    <row r="4671" ht="12.75" customHeight="1">
      <c r="A4671" s="59" t="s">
        <v>242</v>
      </c>
      <c r="B4671" s="60" t="s">
        <v>1750</v>
      </c>
    </row>
    <row r="4672" ht="12.75" customHeight="1">
      <c r="A4672" s="59" t="s">
        <v>242</v>
      </c>
      <c r="B4672" s="60" t="s">
        <v>1751</v>
      </c>
    </row>
    <row r="4673" ht="12.75" customHeight="1">
      <c r="A4673" s="59" t="s">
        <v>242</v>
      </c>
      <c r="B4673" s="60" t="s">
        <v>1752</v>
      </c>
    </row>
    <row r="4674" ht="12.75" customHeight="1">
      <c r="A4674" s="59" t="s">
        <v>242</v>
      </c>
      <c r="B4674" s="60" t="s">
        <v>1753</v>
      </c>
    </row>
    <row r="4675" ht="12.75" customHeight="1">
      <c r="A4675" s="59" t="s">
        <v>242</v>
      </c>
      <c r="B4675" s="60" t="s">
        <v>1754</v>
      </c>
    </row>
    <row r="4676" ht="12.75" customHeight="1">
      <c r="A4676" s="59" t="s">
        <v>242</v>
      </c>
      <c r="B4676" s="60" t="s">
        <v>1755</v>
      </c>
    </row>
    <row r="4677" ht="12.75" customHeight="1">
      <c r="A4677" s="59" t="s">
        <v>242</v>
      </c>
      <c r="B4677" s="60" t="s">
        <v>1756</v>
      </c>
    </row>
    <row r="4678" ht="12.75" customHeight="1">
      <c r="A4678" s="59" t="s">
        <v>242</v>
      </c>
      <c r="B4678" s="60" t="s">
        <v>1757</v>
      </c>
    </row>
    <row r="4679" ht="12.75" customHeight="1">
      <c r="A4679" s="59" t="s">
        <v>242</v>
      </c>
      <c r="B4679" s="60" t="s">
        <v>1758</v>
      </c>
    </row>
    <row r="4680" ht="12.75" customHeight="1">
      <c r="A4680" s="59" t="s">
        <v>242</v>
      </c>
      <c r="B4680" s="60" t="s">
        <v>1759</v>
      </c>
    </row>
    <row r="4681" ht="12.75" customHeight="1">
      <c r="A4681" s="59" t="s">
        <v>242</v>
      </c>
      <c r="B4681" s="60" t="s">
        <v>1760</v>
      </c>
    </row>
    <row r="4682" ht="12.75" customHeight="1">
      <c r="A4682" s="59" t="s">
        <v>242</v>
      </c>
      <c r="B4682" s="60" t="s">
        <v>1761</v>
      </c>
    </row>
    <row r="4683" ht="12.75" customHeight="1">
      <c r="A4683" s="59" t="s">
        <v>242</v>
      </c>
      <c r="B4683" s="60" t="s">
        <v>1762</v>
      </c>
    </row>
    <row r="4684" ht="12.75" customHeight="1">
      <c r="A4684" s="59" t="s">
        <v>242</v>
      </c>
      <c r="B4684" s="60" t="s">
        <v>1763</v>
      </c>
    </row>
    <row r="4685" ht="12.75" customHeight="1">
      <c r="A4685" s="59" t="s">
        <v>242</v>
      </c>
      <c r="B4685" s="60" t="s">
        <v>1764</v>
      </c>
    </row>
    <row r="4686" ht="12.75" customHeight="1">
      <c r="A4686" s="59" t="s">
        <v>242</v>
      </c>
      <c r="B4686" s="60" t="s">
        <v>1765</v>
      </c>
    </row>
    <row r="4687" ht="12.75" customHeight="1">
      <c r="A4687" s="59" t="s">
        <v>242</v>
      </c>
      <c r="B4687" s="60" t="s">
        <v>1766</v>
      </c>
    </row>
    <row r="4688" ht="12.75" customHeight="1">
      <c r="A4688" s="59" t="s">
        <v>242</v>
      </c>
      <c r="B4688" s="60" t="s">
        <v>1767</v>
      </c>
    </row>
    <row r="4689" ht="12.75" customHeight="1">
      <c r="A4689" s="59" t="s">
        <v>242</v>
      </c>
      <c r="B4689" s="60" t="s">
        <v>1768</v>
      </c>
    </row>
    <row r="4690" ht="12.75" customHeight="1">
      <c r="A4690" s="59" t="s">
        <v>242</v>
      </c>
      <c r="B4690" s="60" t="s">
        <v>1769</v>
      </c>
    </row>
    <row r="4691" ht="12.75" customHeight="1">
      <c r="A4691" s="59" t="s">
        <v>242</v>
      </c>
      <c r="B4691" s="60" t="s">
        <v>1770</v>
      </c>
    </row>
    <row r="4692" ht="12.75" customHeight="1">
      <c r="A4692" s="59" t="s">
        <v>242</v>
      </c>
      <c r="B4692" s="60" t="s">
        <v>1771</v>
      </c>
    </row>
    <row r="4693" ht="12.75" customHeight="1">
      <c r="A4693" s="59" t="s">
        <v>242</v>
      </c>
      <c r="B4693" s="60" t="s">
        <v>1772</v>
      </c>
    </row>
    <row r="4694" ht="12.75" customHeight="1">
      <c r="A4694" s="59" t="s">
        <v>242</v>
      </c>
      <c r="B4694" s="60" t="s">
        <v>1773</v>
      </c>
    </row>
    <row r="4695" ht="12.75" customHeight="1">
      <c r="A4695" s="59" t="s">
        <v>242</v>
      </c>
      <c r="B4695" s="60" t="s">
        <v>1774</v>
      </c>
    </row>
    <row r="4696" ht="12.75" customHeight="1">
      <c r="A4696" s="59" t="s">
        <v>242</v>
      </c>
      <c r="B4696" s="60" t="s">
        <v>1775</v>
      </c>
    </row>
    <row r="4697" ht="12.75" customHeight="1">
      <c r="A4697" s="59" t="s">
        <v>242</v>
      </c>
      <c r="B4697" s="60" t="s">
        <v>1776</v>
      </c>
    </row>
    <row r="4698" ht="12.75" customHeight="1">
      <c r="A4698" s="59" t="s">
        <v>242</v>
      </c>
      <c r="B4698" s="60" t="s">
        <v>1777</v>
      </c>
    </row>
    <row r="4699" ht="12.75" customHeight="1">
      <c r="A4699" s="59" t="s">
        <v>242</v>
      </c>
      <c r="B4699" s="60" t="s">
        <v>1778</v>
      </c>
    </row>
    <row r="4700" ht="12.75" customHeight="1">
      <c r="A4700" s="59" t="s">
        <v>242</v>
      </c>
      <c r="B4700" s="60" t="s">
        <v>1779</v>
      </c>
    </row>
    <row r="4701" ht="12.75" customHeight="1">
      <c r="A4701" s="59" t="s">
        <v>242</v>
      </c>
      <c r="B4701" s="60" t="s">
        <v>1780</v>
      </c>
    </row>
    <row r="4702" ht="12.75" customHeight="1">
      <c r="A4702" s="59" t="s">
        <v>242</v>
      </c>
      <c r="B4702" s="60" t="s">
        <v>1781</v>
      </c>
    </row>
    <row r="4703" ht="12.75" customHeight="1">
      <c r="A4703" s="59" t="s">
        <v>242</v>
      </c>
      <c r="B4703" s="60" t="s">
        <v>1782</v>
      </c>
    </row>
    <row r="4704" ht="12.75" customHeight="1">
      <c r="A4704" s="59" t="s">
        <v>242</v>
      </c>
      <c r="B4704" s="60" t="s">
        <v>1783</v>
      </c>
    </row>
    <row r="4705" ht="12.75" customHeight="1">
      <c r="A4705" s="59" t="s">
        <v>242</v>
      </c>
      <c r="B4705" s="60" t="s">
        <v>1784</v>
      </c>
    </row>
    <row r="4706" ht="12.75" customHeight="1">
      <c r="A4706" s="59" t="s">
        <v>242</v>
      </c>
      <c r="B4706" s="60" t="s">
        <v>1785</v>
      </c>
    </row>
    <row r="4707" ht="12.75" customHeight="1">
      <c r="A4707" s="59" t="s">
        <v>242</v>
      </c>
      <c r="B4707" s="60" t="s">
        <v>1786</v>
      </c>
    </row>
    <row r="4708" ht="12.75" customHeight="1">
      <c r="A4708" s="59" t="s">
        <v>242</v>
      </c>
      <c r="B4708" s="60" t="s">
        <v>1787</v>
      </c>
    </row>
    <row r="4709" ht="12.75" customHeight="1">
      <c r="A4709" s="59" t="s">
        <v>242</v>
      </c>
      <c r="B4709" s="60" t="s">
        <v>1788</v>
      </c>
    </row>
    <row r="4710" ht="12.75" customHeight="1">
      <c r="A4710" s="59" t="s">
        <v>242</v>
      </c>
      <c r="B4710" s="60" t="s">
        <v>1789</v>
      </c>
    </row>
    <row r="4711" ht="12.75" customHeight="1">
      <c r="A4711" s="59" t="s">
        <v>242</v>
      </c>
      <c r="B4711" s="60" t="s">
        <v>1790</v>
      </c>
    </row>
    <row r="4712" ht="12.75" customHeight="1">
      <c r="A4712" s="59" t="s">
        <v>242</v>
      </c>
      <c r="B4712" s="60" t="s">
        <v>1791</v>
      </c>
    </row>
    <row r="4713" ht="12.75" customHeight="1">
      <c r="A4713" s="59" t="s">
        <v>242</v>
      </c>
      <c r="B4713" s="60" t="s">
        <v>1792</v>
      </c>
    </row>
    <row r="4714" ht="12.75" customHeight="1">
      <c r="A4714" s="59" t="s">
        <v>242</v>
      </c>
      <c r="B4714" s="60" t="s">
        <v>1793</v>
      </c>
    </row>
    <row r="4715" ht="12.75" customHeight="1">
      <c r="A4715" s="59" t="s">
        <v>242</v>
      </c>
      <c r="B4715" s="60" t="s">
        <v>1794</v>
      </c>
    </row>
    <row r="4716" ht="12.75" customHeight="1">
      <c r="A4716" s="59" t="s">
        <v>242</v>
      </c>
      <c r="B4716" s="60" t="s">
        <v>1795</v>
      </c>
    </row>
    <row r="4717" ht="12.75" customHeight="1">
      <c r="A4717" s="59" t="s">
        <v>242</v>
      </c>
      <c r="B4717" s="60" t="s">
        <v>1796</v>
      </c>
    </row>
    <row r="4718" ht="12.75" customHeight="1">
      <c r="A4718" s="59" t="s">
        <v>242</v>
      </c>
      <c r="B4718" s="60" t="s">
        <v>1797</v>
      </c>
    </row>
    <row r="4719" ht="12.75" customHeight="1">
      <c r="A4719" s="59" t="s">
        <v>242</v>
      </c>
      <c r="B4719" s="60" t="s">
        <v>1798</v>
      </c>
    </row>
    <row r="4720" ht="12.75" customHeight="1">
      <c r="A4720" s="59" t="s">
        <v>242</v>
      </c>
      <c r="B4720" s="60" t="s">
        <v>1799</v>
      </c>
    </row>
    <row r="4721" ht="12.75" customHeight="1">
      <c r="A4721" s="59" t="s">
        <v>242</v>
      </c>
      <c r="B4721" s="60" t="s">
        <v>1800</v>
      </c>
    </row>
    <row r="4722" ht="12.75" customHeight="1">
      <c r="A4722" s="59" t="s">
        <v>242</v>
      </c>
      <c r="B4722" s="60" t="s">
        <v>1801</v>
      </c>
    </row>
    <row r="4723" ht="12.75" customHeight="1">
      <c r="A4723" s="59" t="s">
        <v>242</v>
      </c>
      <c r="B4723" s="60" t="s">
        <v>1113</v>
      </c>
    </row>
    <row r="4724" ht="12.75" customHeight="1">
      <c r="A4724" s="59" t="s">
        <v>242</v>
      </c>
      <c r="B4724" s="60" t="s">
        <v>1114</v>
      </c>
    </row>
    <row r="4725" ht="12.75" customHeight="1">
      <c r="A4725" s="59" t="s">
        <v>242</v>
      </c>
      <c r="B4725" s="60" t="s">
        <v>1115</v>
      </c>
    </row>
    <row r="4726" ht="12.75" customHeight="1">
      <c r="A4726" s="59" t="s">
        <v>242</v>
      </c>
      <c r="B4726" s="60" t="s">
        <v>1116</v>
      </c>
    </row>
    <row r="4727" ht="12.75" customHeight="1">
      <c r="A4727" s="59" t="s">
        <v>242</v>
      </c>
      <c r="B4727" s="60" t="s">
        <v>1117</v>
      </c>
    </row>
    <row r="4728" ht="12.75" customHeight="1">
      <c r="A4728" s="59" t="s">
        <v>242</v>
      </c>
      <c r="B4728" s="60" t="s">
        <v>1118</v>
      </c>
    </row>
    <row r="4729" ht="12.75" customHeight="1">
      <c r="A4729" s="59" t="s">
        <v>242</v>
      </c>
      <c r="B4729" s="60" t="s">
        <v>1119</v>
      </c>
    </row>
    <row r="4730" ht="12.75" customHeight="1">
      <c r="A4730" s="59" t="s">
        <v>242</v>
      </c>
      <c r="B4730" s="60" t="s">
        <v>1120</v>
      </c>
    </row>
    <row r="4731" ht="12.75" customHeight="1">
      <c r="A4731" s="59" t="s">
        <v>242</v>
      </c>
      <c r="B4731" s="60" t="s">
        <v>1121</v>
      </c>
    </row>
    <row r="4732" ht="12.75" customHeight="1">
      <c r="A4732" s="59" t="s">
        <v>242</v>
      </c>
      <c r="B4732" s="60" t="s">
        <v>1122</v>
      </c>
    </row>
    <row r="4733" ht="12.75" customHeight="1">
      <c r="A4733" s="59" t="s">
        <v>242</v>
      </c>
      <c r="B4733" s="60" t="s">
        <v>1123</v>
      </c>
    </row>
    <row r="4734" ht="12.75" customHeight="1">
      <c r="A4734" s="59" t="s">
        <v>242</v>
      </c>
      <c r="B4734" s="60" t="s">
        <v>1124</v>
      </c>
    </row>
    <row r="4735" ht="12.75" customHeight="1">
      <c r="A4735" s="59" t="s">
        <v>242</v>
      </c>
      <c r="B4735" s="60" t="s">
        <v>1125</v>
      </c>
    </row>
    <row r="4736" ht="12.75" customHeight="1">
      <c r="A4736" s="59" t="s">
        <v>242</v>
      </c>
      <c r="B4736" s="60" t="s">
        <v>1126</v>
      </c>
    </row>
    <row r="4737" ht="12.75" customHeight="1">
      <c r="A4737" s="59" t="s">
        <v>242</v>
      </c>
      <c r="B4737" s="60" t="s">
        <v>1802</v>
      </c>
    </row>
    <row r="4738" ht="12.75" customHeight="1">
      <c r="A4738" s="59" t="s">
        <v>242</v>
      </c>
      <c r="B4738" s="60" t="s">
        <v>1803</v>
      </c>
    </row>
    <row r="4739" ht="12.75" customHeight="1">
      <c r="A4739" s="59" t="s">
        <v>242</v>
      </c>
      <c r="B4739" s="60" t="s">
        <v>1804</v>
      </c>
    </row>
    <row r="4740" ht="12.75" customHeight="1">
      <c r="A4740" s="59" t="s">
        <v>242</v>
      </c>
      <c r="B4740" s="60" t="s">
        <v>1805</v>
      </c>
    </row>
    <row r="4741" ht="12.75" customHeight="1">
      <c r="A4741" s="59" t="s">
        <v>242</v>
      </c>
      <c r="B4741" s="60" t="s">
        <v>1806</v>
      </c>
    </row>
    <row r="4742" ht="12.75" customHeight="1">
      <c r="A4742" s="59" t="s">
        <v>242</v>
      </c>
      <c r="B4742" s="60" t="s">
        <v>1807</v>
      </c>
    </row>
    <row r="4743" ht="12.75" customHeight="1">
      <c r="A4743" s="59" t="s">
        <v>242</v>
      </c>
      <c r="B4743" s="60" t="s">
        <v>1808</v>
      </c>
    </row>
    <row r="4744" ht="12.75" customHeight="1">
      <c r="A4744" s="59" t="s">
        <v>242</v>
      </c>
      <c r="B4744" s="60" t="s">
        <v>1809</v>
      </c>
    </row>
    <row r="4745" ht="12.75" customHeight="1">
      <c r="A4745" s="59" t="s">
        <v>242</v>
      </c>
      <c r="B4745" s="60" t="s">
        <v>1810</v>
      </c>
    </row>
    <row r="4746" ht="12.75" customHeight="1">
      <c r="A4746" s="59" t="s">
        <v>242</v>
      </c>
      <c r="B4746" s="60" t="s">
        <v>1811</v>
      </c>
    </row>
    <row r="4747" ht="12.75" customHeight="1">
      <c r="A4747" s="59" t="s">
        <v>242</v>
      </c>
      <c r="B4747" s="60" t="s">
        <v>1812</v>
      </c>
    </row>
    <row r="4748" ht="12.75" customHeight="1">
      <c r="A4748" s="59" t="s">
        <v>242</v>
      </c>
      <c r="B4748" s="60" t="s">
        <v>1813</v>
      </c>
    </row>
    <row r="4749" ht="12.75" customHeight="1">
      <c r="A4749" s="59" t="s">
        <v>242</v>
      </c>
      <c r="B4749" s="60" t="s">
        <v>1814</v>
      </c>
    </row>
    <row r="4750" ht="12.75" customHeight="1">
      <c r="A4750" s="59" t="s">
        <v>242</v>
      </c>
      <c r="B4750" s="60" t="s">
        <v>1815</v>
      </c>
    </row>
    <row r="4751" ht="12.75" customHeight="1">
      <c r="A4751" s="59" t="s">
        <v>242</v>
      </c>
      <c r="B4751" s="60" t="s">
        <v>1816</v>
      </c>
    </row>
    <row r="4752" ht="12.75" customHeight="1">
      <c r="A4752" s="59" t="s">
        <v>242</v>
      </c>
      <c r="B4752" s="60" t="s">
        <v>1817</v>
      </c>
    </row>
    <row r="4753" ht="12.75" customHeight="1">
      <c r="A4753" s="59" t="s">
        <v>242</v>
      </c>
      <c r="B4753" s="60" t="s">
        <v>1818</v>
      </c>
    </row>
    <row r="4754" ht="12.75" customHeight="1">
      <c r="A4754" s="59" t="s">
        <v>242</v>
      </c>
      <c r="B4754" s="60" t="s">
        <v>1819</v>
      </c>
    </row>
    <row r="4755" ht="12.75" customHeight="1">
      <c r="A4755" s="59" t="s">
        <v>242</v>
      </c>
      <c r="B4755" s="60" t="s">
        <v>1820</v>
      </c>
    </row>
    <row r="4756" ht="12.75" customHeight="1">
      <c r="A4756" s="59" t="s">
        <v>242</v>
      </c>
      <c r="B4756" s="60" t="s">
        <v>1821</v>
      </c>
    </row>
    <row r="4757" ht="12.75" customHeight="1">
      <c r="A4757" s="59" t="s">
        <v>242</v>
      </c>
      <c r="B4757" s="60" t="s">
        <v>1822</v>
      </c>
    </row>
    <row r="4758" ht="12.75" customHeight="1">
      <c r="A4758" s="59" t="s">
        <v>242</v>
      </c>
      <c r="B4758" s="60" t="s">
        <v>1823</v>
      </c>
    </row>
    <row r="4759" ht="12.75" customHeight="1">
      <c r="A4759" s="59" t="s">
        <v>242</v>
      </c>
      <c r="B4759" s="60" t="s">
        <v>1824</v>
      </c>
    </row>
    <row r="4760" ht="12.75" customHeight="1">
      <c r="A4760" s="59" t="s">
        <v>242</v>
      </c>
      <c r="B4760" s="60" t="s">
        <v>1825</v>
      </c>
    </row>
    <row r="4761" ht="12.75" customHeight="1">
      <c r="A4761" s="59" t="s">
        <v>242</v>
      </c>
      <c r="B4761" s="60" t="s">
        <v>1826</v>
      </c>
    </row>
    <row r="4762" ht="12.75" customHeight="1">
      <c r="A4762" s="59" t="s">
        <v>242</v>
      </c>
      <c r="B4762" s="60" t="s">
        <v>1827</v>
      </c>
    </row>
    <row r="4763" ht="12.75" customHeight="1">
      <c r="A4763" s="59" t="s">
        <v>242</v>
      </c>
      <c r="B4763" s="60" t="s">
        <v>1828</v>
      </c>
    </row>
    <row r="4764" ht="12.75" customHeight="1">
      <c r="A4764" s="59" t="s">
        <v>242</v>
      </c>
      <c r="B4764" s="60" t="s">
        <v>1829</v>
      </c>
    </row>
    <row r="4765" ht="12.75" customHeight="1">
      <c r="A4765" s="59" t="s">
        <v>242</v>
      </c>
      <c r="B4765" s="60" t="s">
        <v>1830</v>
      </c>
    </row>
    <row r="4766" ht="12.75" customHeight="1">
      <c r="A4766" s="59" t="s">
        <v>242</v>
      </c>
      <c r="B4766" s="60" t="s">
        <v>1831</v>
      </c>
    </row>
    <row r="4767" ht="12.75" customHeight="1">
      <c r="A4767" s="59" t="s">
        <v>242</v>
      </c>
      <c r="B4767" s="60" t="s">
        <v>1832</v>
      </c>
    </row>
    <row r="4768" ht="12.75" customHeight="1">
      <c r="A4768" s="59" t="s">
        <v>242</v>
      </c>
      <c r="B4768" s="60" t="s">
        <v>1833</v>
      </c>
    </row>
    <row r="4769" ht="12.75" customHeight="1">
      <c r="A4769" s="59" t="s">
        <v>242</v>
      </c>
      <c r="B4769" s="60" t="s">
        <v>1834</v>
      </c>
    </row>
    <row r="4770" ht="12.75" customHeight="1">
      <c r="A4770" s="59" t="s">
        <v>242</v>
      </c>
      <c r="B4770" s="60" t="s">
        <v>1835</v>
      </c>
    </row>
    <row r="4771" ht="12.75" customHeight="1">
      <c r="A4771" s="59" t="s">
        <v>242</v>
      </c>
      <c r="B4771" s="60" t="s">
        <v>1836</v>
      </c>
    </row>
    <row r="4772" ht="12.75" customHeight="1">
      <c r="A4772" s="59" t="s">
        <v>242</v>
      </c>
      <c r="B4772" s="60" t="s">
        <v>1837</v>
      </c>
    </row>
    <row r="4773" ht="12.75" customHeight="1">
      <c r="A4773" s="59" t="s">
        <v>242</v>
      </c>
      <c r="B4773" s="60" t="s">
        <v>1838</v>
      </c>
    </row>
    <row r="4774" ht="12.75" customHeight="1">
      <c r="A4774" s="59" t="s">
        <v>242</v>
      </c>
      <c r="B4774" s="60" t="s">
        <v>1839</v>
      </c>
    </row>
    <row r="4775" ht="12.75" customHeight="1">
      <c r="A4775" s="59" t="s">
        <v>242</v>
      </c>
      <c r="B4775" s="60" t="s">
        <v>1840</v>
      </c>
    </row>
    <row r="4776" ht="12.75" customHeight="1">
      <c r="A4776" s="59" t="s">
        <v>242</v>
      </c>
      <c r="B4776" s="60" t="s">
        <v>1841</v>
      </c>
    </row>
    <row r="4777" ht="12.75" customHeight="1">
      <c r="A4777" s="59" t="s">
        <v>242</v>
      </c>
      <c r="B4777" s="60" t="s">
        <v>1842</v>
      </c>
    </row>
    <row r="4778" ht="12.75" customHeight="1">
      <c r="A4778" s="59" t="s">
        <v>242</v>
      </c>
      <c r="B4778" s="60" t="s">
        <v>1843</v>
      </c>
    </row>
    <row r="4779" ht="12.75" customHeight="1">
      <c r="A4779" s="59" t="s">
        <v>242</v>
      </c>
      <c r="B4779" s="60" t="s">
        <v>1844</v>
      </c>
    </row>
    <row r="4780" ht="12.75" customHeight="1">
      <c r="A4780" s="59" t="s">
        <v>242</v>
      </c>
      <c r="B4780" s="60" t="s">
        <v>1845</v>
      </c>
    </row>
    <row r="4781" ht="12.75" customHeight="1">
      <c r="A4781" s="59" t="s">
        <v>242</v>
      </c>
      <c r="B4781" s="60" t="s">
        <v>1846</v>
      </c>
    </row>
    <row r="4782" ht="12.75" customHeight="1">
      <c r="A4782" s="59" t="s">
        <v>242</v>
      </c>
      <c r="B4782" s="60" t="s">
        <v>1847</v>
      </c>
    </row>
    <row r="4783" ht="12.75" customHeight="1">
      <c r="A4783" s="59" t="s">
        <v>242</v>
      </c>
      <c r="B4783" s="60" t="s">
        <v>1848</v>
      </c>
    </row>
    <row r="4784" ht="12.75" customHeight="1">
      <c r="A4784" s="59" t="s">
        <v>242</v>
      </c>
      <c r="B4784" s="60" t="s">
        <v>1849</v>
      </c>
    </row>
    <row r="4785" ht="12.75" customHeight="1">
      <c r="A4785" s="59" t="s">
        <v>242</v>
      </c>
      <c r="B4785" s="60" t="s">
        <v>1850</v>
      </c>
    </row>
    <row r="4786" ht="12.75" customHeight="1">
      <c r="A4786" s="59" t="s">
        <v>242</v>
      </c>
      <c r="B4786" s="60" t="s">
        <v>1851</v>
      </c>
    </row>
    <row r="4787" ht="12.75" customHeight="1">
      <c r="A4787" s="59" t="s">
        <v>242</v>
      </c>
      <c r="B4787" s="60" t="s">
        <v>1852</v>
      </c>
    </row>
    <row r="4788" ht="12.75" customHeight="1">
      <c r="A4788" s="59" t="s">
        <v>242</v>
      </c>
      <c r="B4788" s="60" t="s">
        <v>1853</v>
      </c>
    </row>
    <row r="4789" ht="12.75" customHeight="1">
      <c r="A4789" s="59" t="s">
        <v>242</v>
      </c>
      <c r="B4789" s="60" t="s">
        <v>1854</v>
      </c>
    </row>
    <row r="4790" ht="12.75" customHeight="1">
      <c r="A4790" s="59" t="s">
        <v>242</v>
      </c>
      <c r="B4790" s="60" t="s">
        <v>1855</v>
      </c>
    </row>
    <row r="4791" ht="12.75" customHeight="1">
      <c r="A4791" s="59" t="s">
        <v>242</v>
      </c>
      <c r="B4791" s="60" t="s">
        <v>1856</v>
      </c>
    </row>
    <row r="4792" ht="12.75" customHeight="1">
      <c r="A4792" s="59" t="s">
        <v>242</v>
      </c>
      <c r="B4792" s="60" t="s">
        <v>1857</v>
      </c>
    </row>
    <row r="4793" ht="12.75" customHeight="1">
      <c r="A4793" s="59" t="s">
        <v>242</v>
      </c>
      <c r="B4793" s="60" t="s">
        <v>1858</v>
      </c>
    </row>
    <row r="4794" ht="12.75" customHeight="1">
      <c r="A4794" s="59" t="s">
        <v>242</v>
      </c>
      <c r="B4794" s="60" t="s">
        <v>1859</v>
      </c>
    </row>
    <row r="4795" ht="12.75" customHeight="1">
      <c r="A4795" s="59" t="s">
        <v>242</v>
      </c>
      <c r="B4795" s="60" t="s">
        <v>1860</v>
      </c>
    </row>
    <row r="4796" ht="12.75" customHeight="1">
      <c r="A4796" s="59" t="s">
        <v>242</v>
      </c>
      <c r="B4796" s="60" t="s">
        <v>1861</v>
      </c>
    </row>
    <row r="4797" ht="12.75" customHeight="1">
      <c r="A4797" s="59" t="s">
        <v>242</v>
      </c>
      <c r="B4797" s="60" t="s">
        <v>1862</v>
      </c>
    </row>
    <row r="4798" ht="12.75" customHeight="1">
      <c r="A4798" s="59" t="s">
        <v>242</v>
      </c>
      <c r="B4798" s="60" t="s">
        <v>1863</v>
      </c>
    </row>
    <row r="4799" ht="12.75" customHeight="1">
      <c r="A4799" s="59" t="s">
        <v>242</v>
      </c>
      <c r="B4799" s="60" t="s">
        <v>1864</v>
      </c>
    </row>
    <row r="4800" ht="12.75" customHeight="1">
      <c r="A4800" s="59" t="s">
        <v>242</v>
      </c>
      <c r="B4800" s="60" t="s">
        <v>1865</v>
      </c>
    </row>
    <row r="4801" ht="12.75" customHeight="1">
      <c r="A4801" s="59" t="s">
        <v>242</v>
      </c>
      <c r="B4801" s="60" t="s">
        <v>1866</v>
      </c>
    </row>
    <row r="4802" ht="12.75" customHeight="1">
      <c r="A4802" s="59" t="s">
        <v>242</v>
      </c>
      <c r="B4802" s="60" t="s">
        <v>1867</v>
      </c>
    </row>
    <row r="4803" ht="12.75" customHeight="1">
      <c r="A4803" s="59" t="s">
        <v>242</v>
      </c>
      <c r="B4803" s="60" t="s">
        <v>1868</v>
      </c>
    </row>
    <row r="4804" ht="12.75" customHeight="1">
      <c r="A4804" s="59" t="s">
        <v>242</v>
      </c>
      <c r="B4804" s="60" t="s">
        <v>1869</v>
      </c>
    </row>
    <row r="4805" ht="12.75" customHeight="1">
      <c r="A4805" s="59" t="s">
        <v>242</v>
      </c>
      <c r="B4805" s="60" t="s">
        <v>1870</v>
      </c>
    </row>
    <row r="4806" ht="12.75" customHeight="1">
      <c r="A4806" s="59" t="s">
        <v>242</v>
      </c>
      <c r="B4806" s="60" t="s">
        <v>1871</v>
      </c>
    </row>
    <row r="4807" ht="12.75" customHeight="1">
      <c r="A4807" s="59" t="s">
        <v>242</v>
      </c>
      <c r="B4807" s="60" t="s">
        <v>1872</v>
      </c>
    </row>
    <row r="4808" ht="12.75" customHeight="1">
      <c r="A4808" s="59" t="s">
        <v>242</v>
      </c>
      <c r="B4808" s="60" t="s">
        <v>1873</v>
      </c>
    </row>
    <row r="4809" ht="12.75" customHeight="1">
      <c r="A4809" s="59" t="s">
        <v>242</v>
      </c>
      <c r="B4809" s="60" t="s">
        <v>1146</v>
      </c>
    </row>
    <row r="4810" ht="12.75" customHeight="1">
      <c r="A4810" s="59" t="s">
        <v>242</v>
      </c>
      <c r="B4810" s="60" t="s">
        <v>1147</v>
      </c>
    </row>
    <row r="4811" ht="12.75" customHeight="1">
      <c r="A4811" s="59" t="s">
        <v>242</v>
      </c>
      <c r="B4811" s="60" t="s">
        <v>1148</v>
      </c>
    </row>
    <row r="4812" ht="12.75" customHeight="1">
      <c r="A4812" s="59" t="s">
        <v>242</v>
      </c>
      <c r="B4812" s="60" t="s">
        <v>1149</v>
      </c>
    </row>
    <row r="4813" ht="12.75" customHeight="1">
      <c r="A4813" s="59" t="s">
        <v>242</v>
      </c>
      <c r="B4813" s="60" t="s">
        <v>1150</v>
      </c>
    </row>
    <row r="4814" ht="12.75" customHeight="1">
      <c r="A4814" s="59" t="s">
        <v>242</v>
      </c>
      <c r="B4814" s="60" t="s">
        <v>1151</v>
      </c>
    </row>
    <row r="4815" ht="12.75" customHeight="1">
      <c r="A4815" s="59" t="s">
        <v>242</v>
      </c>
      <c r="B4815" s="60" t="s">
        <v>1152</v>
      </c>
    </row>
    <row r="4816" ht="12.75" customHeight="1">
      <c r="A4816" s="59" t="s">
        <v>242</v>
      </c>
      <c r="B4816" s="60" t="s">
        <v>1153</v>
      </c>
    </row>
    <row r="4817" ht="12.75" customHeight="1">
      <c r="A4817" s="59" t="s">
        <v>242</v>
      </c>
      <c r="B4817" s="60" t="s">
        <v>1154</v>
      </c>
    </row>
    <row r="4818" ht="12.75" customHeight="1">
      <c r="A4818" s="59" t="s">
        <v>242</v>
      </c>
      <c r="B4818" s="60" t="s">
        <v>1155</v>
      </c>
    </row>
    <row r="4819" ht="12.75" customHeight="1">
      <c r="A4819" s="59" t="s">
        <v>242</v>
      </c>
      <c r="B4819" s="60" t="s">
        <v>1156</v>
      </c>
    </row>
    <row r="4820" ht="12.75" customHeight="1">
      <c r="A4820" s="59" t="s">
        <v>242</v>
      </c>
      <c r="B4820" s="60" t="s">
        <v>1157</v>
      </c>
    </row>
    <row r="4821" ht="12.75" customHeight="1">
      <c r="A4821" s="59" t="s">
        <v>242</v>
      </c>
      <c r="B4821" s="60" t="s">
        <v>1158</v>
      </c>
    </row>
    <row r="4822" ht="12.75" customHeight="1">
      <c r="A4822" s="59" t="s">
        <v>242</v>
      </c>
      <c r="B4822" s="60" t="s">
        <v>1159</v>
      </c>
    </row>
    <row r="4823" ht="12.75" customHeight="1">
      <c r="A4823" s="59" t="s">
        <v>242</v>
      </c>
      <c r="B4823" s="60" t="s">
        <v>1874</v>
      </c>
    </row>
    <row r="4824" ht="12.75" customHeight="1">
      <c r="A4824" s="59" t="s">
        <v>242</v>
      </c>
      <c r="B4824" s="60" t="s">
        <v>1179</v>
      </c>
    </row>
    <row r="4825" ht="12.75" customHeight="1">
      <c r="A4825" s="59" t="s">
        <v>242</v>
      </c>
      <c r="B4825" s="60" t="s">
        <v>1180</v>
      </c>
    </row>
    <row r="4826" ht="12.75" customHeight="1">
      <c r="A4826" s="59" t="s">
        <v>242</v>
      </c>
      <c r="B4826" s="60" t="s">
        <v>1181</v>
      </c>
    </row>
    <row r="4827" ht="12.75" customHeight="1">
      <c r="A4827" s="59" t="s">
        <v>242</v>
      </c>
      <c r="B4827" s="60" t="s">
        <v>1182</v>
      </c>
    </row>
    <row r="4828" ht="12.75" customHeight="1">
      <c r="A4828" s="59" t="s">
        <v>242</v>
      </c>
      <c r="B4828" s="60" t="s">
        <v>1183</v>
      </c>
    </row>
    <row r="4829" ht="12.75" customHeight="1">
      <c r="A4829" s="59" t="s">
        <v>242</v>
      </c>
      <c r="B4829" s="60" t="s">
        <v>1184</v>
      </c>
    </row>
    <row r="4830" ht="12.75" customHeight="1">
      <c r="A4830" s="59" t="s">
        <v>242</v>
      </c>
      <c r="B4830" s="60" t="s">
        <v>1875</v>
      </c>
    </row>
    <row r="4831" ht="12.75" customHeight="1">
      <c r="A4831" s="59" t="s">
        <v>242</v>
      </c>
      <c r="B4831" s="60" t="s">
        <v>1876</v>
      </c>
    </row>
    <row r="4832" ht="12.75" customHeight="1">
      <c r="A4832" s="59" t="s">
        <v>242</v>
      </c>
      <c r="B4832" s="60" t="s">
        <v>1877</v>
      </c>
    </row>
    <row r="4833" ht="12.75" customHeight="1">
      <c r="A4833" s="59" t="s">
        <v>242</v>
      </c>
      <c r="B4833" s="60" t="s">
        <v>1878</v>
      </c>
    </row>
    <row r="4834" ht="12.75" customHeight="1">
      <c r="A4834" s="59" t="s">
        <v>242</v>
      </c>
      <c r="B4834" s="60" t="s">
        <v>1879</v>
      </c>
    </row>
    <row r="4835" ht="12.75" customHeight="1">
      <c r="A4835" s="59" t="s">
        <v>242</v>
      </c>
      <c r="B4835" s="60" t="s">
        <v>1880</v>
      </c>
    </row>
    <row r="4836" ht="12.75" customHeight="1">
      <c r="A4836" s="59" t="s">
        <v>242</v>
      </c>
      <c r="B4836" s="60" t="s">
        <v>1881</v>
      </c>
    </row>
    <row r="4837" ht="12.75" customHeight="1">
      <c r="A4837" s="59" t="s">
        <v>242</v>
      </c>
      <c r="B4837" s="60" t="s">
        <v>1882</v>
      </c>
    </row>
    <row r="4838" ht="12.75" customHeight="1">
      <c r="A4838" s="59" t="s">
        <v>242</v>
      </c>
      <c r="B4838" s="60" t="s">
        <v>1883</v>
      </c>
    </row>
    <row r="4839" ht="12.75" customHeight="1">
      <c r="A4839" s="59" t="s">
        <v>242</v>
      </c>
      <c r="B4839" s="60" t="s">
        <v>1884</v>
      </c>
    </row>
    <row r="4840" ht="12.75" customHeight="1">
      <c r="A4840" s="59" t="s">
        <v>242</v>
      </c>
      <c r="B4840" s="60" t="s">
        <v>1885</v>
      </c>
    </row>
    <row r="4841" ht="12.75" customHeight="1">
      <c r="A4841" s="59" t="s">
        <v>242</v>
      </c>
      <c r="B4841" s="60" t="s">
        <v>1886</v>
      </c>
    </row>
    <row r="4842" ht="12.75" customHeight="1">
      <c r="A4842" s="59" t="s">
        <v>242</v>
      </c>
      <c r="B4842" s="60" t="s">
        <v>1887</v>
      </c>
    </row>
    <row r="4843" ht="12.75" customHeight="1">
      <c r="A4843" s="59" t="s">
        <v>242</v>
      </c>
      <c r="B4843" s="60" t="s">
        <v>1888</v>
      </c>
    </row>
    <row r="4844" ht="12.75" customHeight="1">
      <c r="A4844" s="59" t="s">
        <v>242</v>
      </c>
      <c r="B4844" s="60" t="s">
        <v>1889</v>
      </c>
    </row>
    <row r="4845" ht="12.75" customHeight="1">
      <c r="A4845" s="59" t="s">
        <v>242</v>
      </c>
      <c r="B4845" s="60" t="s">
        <v>1890</v>
      </c>
    </row>
    <row r="4846" ht="12.75" customHeight="1">
      <c r="A4846" s="59" t="s">
        <v>242</v>
      </c>
      <c r="B4846" s="60" t="s">
        <v>1891</v>
      </c>
    </row>
    <row r="4847" ht="12.75" customHeight="1">
      <c r="A4847" s="59" t="s">
        <v>242</v>
      </c>
      <c r="B4847" s="60" t="s">
        <v>1892</v>
      </c>
    </row>
    <row r="4848" ht="12.75" customHeight="1">
      <c r="A4848" s="59" t="s">
        <v>242</v>
      </c>
      <c r="B4848" s="60" t="s">
        <v>1893</v>
      </c>
    </row>
    <row r="4849" ht="12.75" customHeight="1">
      <c r="A4849" s="59" t="s">
        <v>242</v>
      </c>
      <c r="B4849" s="60" t="s">
        <v>1894</v>
      </c>
    </row>
    <row r="4850" ht="12.75" customHeight="1">
      <c r="A4850" s="59" t="s">
        <v>242</v>
      </c>
      <c r="B4850" s="60" t="s">
        <v>1895</v>
      </c>
    </row>
    <row r="4851" ht="12.75" customHeight="1">
      <c r="A4851" s="59" t="s">
        <v>242</v>
      </c>
      <c r="B4851" s="60" t="s">
        <v>1896</v>
      </c>
    </row>
    <row r="4852" ht="12.75" customHeight="1">
      <c r="A4852" s="59" t="s">
        <v>242</v>
      </c>
      <c r="B4852" s="60" t="s">
        <v>1897</v>
      </c>
    </row>
    <row r="4853" ht="12.75" customHeight="1">
      <c r="A4853" s="59" t="s">
        <v>242</v>
      </c>
      <c r="B4853" s="60" t="s">
        <v>1898</v>
      </c>
    </row>
    <row r="4854" ht="12.75" customHeight="1">
      <c r="A4854" s="59" t="s">
        <v>242</v>
      </c>
      <c r="B4854" s="60" t="s">
        <v>1899</v>
      </c>
    </row>
    <row r="4855" ht="12.75" customHeight="1">
      <c r="A4855" s="59" t="s">
        <v>242</v>
      </c>
      <c r="B4855" s="60" t="s">
        <v>1900</v>
      </c>
    </row>
    <row r="4856" ht="12.75" customHeight="1">
      <c r="A4856" s="59" t="s">
        <v>242</v>
      </c>
      <c r="B4856" s="60" t="s">
        <v>1901</v>
      </c>
    </row>
    <row r="4857" ht="12.75" customHeight="1">
      <c r="A4857" s="59" t="s">
        <v>242</v>
      </c>
      <c r="B4857" s="60" t="s">
        <v>1902</v>
      </c>
    </row>
    <row r="4858" ht="12.75" customHeight="1">
      <c r="A4858" s="59" t="s">
        <v>242</v>
      </c>
      <c r="B4858" s="60" t="s">
        <v>1903</v>
      </c>
    </row>
    <row r="4859" ht="12.75" customHeight="1">
      <c r="A4859" s="59" t="s">
        <v>242</v>
      </c>
      <c r="B4859" s="60" t="s">
        <v>1185</v>
      </c>
    </row>
    <row r="4860" ht="12.75" customHeight="1">
      <c r="A4860" s="59" t="s">
        <v>242</v>
      </c>
      <c r="B4860" s="60" t="s">
        <v>1186</v>
      </c>
    </row>
    <row r="4861" ht="12.75" customHeight="1">
      <c r="A4861" s="59" t="s">
        <v>242</v>
      </c>
      <c r="B4861" s="60" t="s">
        <v>1187</v>
      </c>
    </row>
    <row r="4862" ht="12.75" customHeight="1">
      <c r="A4862" s="59" t="s">
        <v>242</v>
      </c>
      <c r="B4862" s="60" t="s">
        <v>1188</v>
      </c>
    </row>
    <row r="4863" ht="12.75" customHeight="1">
      <c r="A4863" s="59" t="s">
        <v>242</v>
      </c>
      <c r="B4863" s="60" t="s">
        <v>1189</v>
      </c>
    </row>
    <row r="4864" ht="12.75" customHeight="1">
      <c r="A4864" s="59" t="s">
        <v>242</v>
      </c>
      <c r="B4864" s="60" t="s">
        <v>1190</v>
      </c>
    </row>
    <row r="4865" ht="12.75" customHeight="1">
      <c r="A4865" s="59" t="s">
        <v>242</v>
      </c>
      <c r="B4865" s="60" t="s">
        <v>1191</v>
      </c>
    </row>
    <row r="4866" ht="12.75" customHeight="1">
      <c r="A4866" s="59" t="s">
        <v>242</v>
      </c>
      <c r="B4866" s="60" t="s">
        <v>1192</v>
      </c>
    </row>
    <row r="4867" ht="12.75" customHeight="1">
      <c r="A4867" s="59" t="s">
        <v>242</v>
      </c>
      <c r="B4867" s="60" t="s">
        <v>1904</v>
      </c>
    </row>
    <row r="4868" ht="12.75" customHeight="1">
      <c r="A4868" s="59" t="s">
        <v>242</v>
      </c>
      <c r="B4868" s="60" t="s">
        <v>1905</v>
      </c>
    </row>
    <row r="4869" ht="12.75" customHeight="1">
      <c r="A4869" s="59" t="s">
        <v>242</v>
      </c>
      <c r="B4869" s="60" t="s">
        <v>1906</v>
      </c>
    </row>
    <row r="4870" ht="12.75" customHeight="1">
      <c r="A4870" s="59" t="s">
        <v>242</v>
      </c>
      <c r="B4870" s="60" t="s">
        <v>1907</v>
      </c>
    </row>
    <row r="4871" ht="12.75" customHeight="1">
      <c r="A4871" s="59" t="s">
        <v>242</v>
      </c>
      <c r="B4871" s="60" t="s">
        <v>1908</v>
      </c>
    </row>
    <row r="4872" ht="12.75" customHeight="1">
      <c r="A4872" s="59" t="s">
        <v>242</v>
      </c>
      <c r="B4872" s="60" t="s">
        <v>1909</v>
      </c>
    </row>
    <row r="4873" ht="12.75" customHeight="1">
      <c r="A4873" s="59" t="s">
        <v>242</v>
      </c>
      <c r="B4873" s="60" t="s">
        <v>1910</v>
      </c>
    </row>
    <row r="4874" ht="12.75" customHeight="1">
      <c r="A4874" s="59" t="s">
        <v>242</v>
      </c>
      <c r="B4874" s="60" t="s">
        <v>1911</v>
      </c>
    </row>
    <row r="4875" ht="12.75" customHeight="1">
      <c r="A4875" s="59" t="s">
        <v>242</v>
      </c>
      <c r="B4875" s="60" t="s">
        <v>1912</v>
      </c>
    </row>
    <row r="4876" ht="12.75" customHeight="1">
      <c r="A4876" s="59" t="s">
        <v>242</v>
      </c>
      <c r="B4876" s="60" t="s">
        <v>1913</v>
      </c>
    </row>
    <row r="4877" ht="12.75" customHeight="1">
      <c r="A4877" s="59" t="s">
        <v>242</v>
      </c>
      <c r="B4877" s="60" t="s">
        <v>1914</v>
      </c>
    </row>
    <row r="4878" ht="12.75" customHeight="1">
      <c r="A4878" s="59" t="s">
        <v>242</v>
      </c>
      <c r="B4878" s="60" t="s">
        <v>1915</v>
      </c>
    </row>
    <row r="4879" ht="12.75" customHeight="1">
      <c r="A4879" s="59" t="s">
        <v>242</v>
      </c>
      <c r="B4879" s="60" t="s">
        <v>1916</v>
      </c>
    </row>
    <row r="4880" ht="12.75" customHeight="1">
      <c r="A4880" s="59" t="s">
        <v>242</v>
      </c>
      <c r="B4880" s="60" t="s">
        <v>1917</v>
      </c>
    </row>
    <row r="4881" ht="12.75" customHeight="1">
      <c r="A4881" s="59" t="s">
        <v>242</v>
      </c>
      <c r="B4881" s="60" t="s">
        <v>1918</v>
      </c>
    </row>
    <row r="4882" ht="12.75" customHeight="1">
      <c r="A4882" s="59" t="s">
        <v>242</v>
      </c>
      <c r="B4882" s="60" t="s">
        <v>1919</v>
      </c>
    </row>
    <row r="4883" ht="12.75" customHeight="1">
      <c r="A4883" s="59" t="s">
        <v>242</v>
      </c>
      <c r="B4883" s="60" t="s">
        <v>1920</v>
      </c>
    </row>
    <row r="4884" ht="12.75" customHeight="1">
      <c r="A4884" s="59" t="s">
        <v>242</v>
      </c>
      <c r="B4884" s="60" t="s">
        <v>1921</v>
      </c>
    </row>
    <row r="4885" ht="12.75" customHeight="1">
      <c r="A4885" s="59" t="s">
        <v>242</v>
      </c>
      <c r="B4885" s="60" t="s">
        <v>1922</v>
      </c>
    </row>
    <row r="4886" ht="12.75" customHeight="1">
      <c r="A4886" s="59" t="s">
        <v>242</v>
      </c>
      <c r="B4886" s="60" t="s">
        <v>1923</v>
      </c>
    </row>
    <row r="4887" ht="12.75" customHeight="1">
      <c r="A4887" s="59" t="s">
        <v>242</v>
      </c>
      <c r="B4887" s="60" t="s">
        <v>1924</v>
      </c>
    </row>
    <row r="4888" ht="12.75" customHeight="1">
      <c r="A4888" s="59" t="s">
        <v>242</v>
      </c>
      <c r="B4888" s="60" t="s">
        <v>1925</v>
      </c>
    </row>
    <row r="4889" ht="12.75" customHeight="1">
      <c r="A4889" s="59" t="s">
        <v>242</v>
      </c>
      <c r="B4889" s="60" t="s">
        <v>1926</v>
      </c>
    </row>
    <row r="4890" ht="12.75" customHeight="1">
      <c r="A4890" s="59" t="s">
        <v>242</v>
      </c>
      <c r="B4890" s="60" t="s">
        <v>1927</v>
      </c>
    </row>
    <row r="4891" ht="12.75" customHeight="1">
      <c r="A4891" s="59" t="s">
        <v>242</v>
      </c>
      <c r="B4891" s="60" t="s">
        <v>1928</v>
      </c>
    </row>
    <row r="4892" ht="12.75" customHeight="1">
      <c r="A4892" s="59" t="s">
        <v>242</v>
      </c>
      <c r="B4892" s="60" t="s">
        <v>1929</v>
      </c>
    </row>
    <row r="4893" ht="12.75" customHeight="1">
      <c r="A4893" s="59" t="s">
        <v>242</v>
      </c>
      <c r="B4893" s="60" t="s">
        <v>1930</v>
      </c>
    </row>
    <row r="4894" ht="12.75" customHeight="1">
      <c r="A4894" s="59" t="s">
        <v>242</v>
      </c>
      <c r="B4894" s="60" t="s">
        <v>1931</v>
      </c>
    </row>
    <row r="4895" ht="12.75" customHeight="1">
      <c r="A4895" s="59" t="s">
        <v>242</v>
      </c>
      <c r="B4895" s="60" t="s">
        <v>1932</v>
      </c>
    </row>
    <row r="4896" ht="12.75" customHeight="1">
      <c r="A4896" s="59" t="s">
        <v>242</v>
      </c>
      <c r="B4896" s="60" t="s">
        <v>1933</v>
      </c>
    </row>
    <row r="4897" ht="12.75" customHeight="1">
      <c r="A4897" s="59" t="s">
        <v>242</v>
      </c>
      <c r="B4897" s="60" t="s">
        <v>1934</v>
      </c>
    </row>
    <row r="4898" ht="12.75" customHeight="1">
      <c r="A4898" s="59" t="s">
        <v>242</v>
      </c>
      <c r="B4898" s="60" t="s">
        <v>1935</v>
      </c>
    </row>
    <row r="4899" ht="12.75" customHeight="1">
      <c r="A4899" s="59" t="s">
        <v>242</v>
      </c>
      <c r="B4899" s="60" t="s">
        <v>1936</v>
      </c>
    </row>
    <row r="4900" ht="12.75" customHeight="1">
      <c r="A4900" s="59" t="s">
        <v>242</v>
      </c>
      <c r="B4900" s="60" t="s">
        <v>1937</v>
      </c>
    </row>
    <row r="4901" ht="12.75" customHeight="1">
      <c r="A4901" s="59" t="s">
        <v>242</v>
      </c>
      <c r="B4901" s="60" t="s">
        <v>1938</v>
      </c>
    </row>
    <row r="4902" ht="12.75" customHeight="1">
      <c r="A4902" s="59" t="s">
        <v>242</v>
      </c>
      <c r="B4902" s="60" t="s">
        <v>1939</v>
      </c>
    </row>
    <row r="4903" ht="12.75" customHeight="1">
      <c r="A4903" s="59" t="s">
        <v>242</v>
      </c>
      <c r="B4903" s="60" t="s">
        <v>1940</v>
      </c>
    </row>
    <row r="4904" ht="12.75" customHeight="1">
      <c r="A4904" s="59" t="s">
        <v>242</v>
      </c>
      <c r="B4904" s="60" t="s">
        <v>1941</v>
      </c>
    </row>
    <row r="4905" ht="12.75" customHeight="1">
      <c r="A4905" s="59" t="s">
        <v>242</v>
      </c>
      <c r="B4905" s="60" t="s">
        <v>1942</v>
      </c>
    </row>
    <row r="4906" ht="12.75" customHeight="1">
      <c r="A4906" s="59" t="s">
        <v>242</v>
      </c>
      <c r="B4906" s="60" t="s">
        <v>1943</v>
      </c>
    </row>
    <row r="4907" ht="12.75" customHeight="1">
      <c r="A4907" s="59" t="s">
        <v>242</v>
      </c>
      <c r="B4907" s="60" t="s">
        <v>1944</v>
      </c>
    </row>
    <row r="4908" ht="12.75" customHeight="1">
      <c r="A4908" s="59" t="s">
        <v>242</v>
      </c>
      <c r="B4908" s="60" t="s">
        <v>1945</v>
      </c>
    </row>
    <row r="4909" ht="12.75" customHeight="1">
      <c r="A4909" s="59" t="s">
        <v>242</v>
      </c>
      <c r="B4909" s="60" t="s">
        <v>1946</v>
      </c>
    </row>
    <row r="4910" ht="12.75" customHeight="1">
      <c r="A4910" s="59" t="s">
        <v>242</v>
      </c>
      <c r="B4910" s="60" t="s">
        <v>1947</v>
      </c>
    </row>
    <row r="4911" ht="12.75" customHeight="1">
      <c r="A4911" s="59" t="s">
        <v>242</v>
      </c>
      <c r="B4911" s="60" t="s">
        <v>1948</v>
      </c>
    </row>
    <row r="4912" ht="12.75" customHeight="1">
      <c r="A4912" s="59" t="s">
        <v>242</v>
      </c>
      <c r="B4912" s="60" t="s">
        <v>1949</v>
      </c>
    </row>
    <row r="4913" ht="12.75" customHeight="1">
      <c r="A4913" s="59" t="s">
        <v>242</v>
      </c>
      <c r="B4913" s="60" t="s">
        <v>1950</v>
      </c>
    </row>
    <row r="4914" ht="12.75" customHeight="1">
      <c r="A4914" s="59" t="s">
        <v>242</v>
      </c>
      <c r="B4914" s="60" t="s">
        <v>1951</v>
      </c>
    </row>
    <row r="4915" ht="12.75" customHeight="1">
      <c r="A4915" s="59" t="s">
        <v>294</v>
      </c>
      <c r="B4915" s="60" t="s">
        <v>745</v>
      </c>
    </row>
    <row r="4916" ht="12.75" customHeight="1">
      <c r="A4916" s="59" t="s">
        <v>294</v>
      </c>
      <c r="B4916" s="60" t="s">
        <v>746</v>
      </c>
    </row>
    <row r="4917" ht="12.75" customHeight="1">
      <c r="A4917" s="59" t="s">
        <v>294</v>
      </c>
      <c r="B4917" s="60" t="s">
        <v>747</v>
      </c>
    </row>
    <row r="4918" ht="12.75" customHeight="1">
      <c r="A4918" s="59" t="s">
        <v>294</v>
      </c>
      <c r="B4918" s="60" t="s">
        <v>748</v>
      </c>
    </row>
    <row r="4919" ht="12.75" customHeight="1">
      <c r="A4919" s="59" t="s">
        <v>256</v>
      </c>
      <c r="B4919" s="60" t="s">
        <v>745</v>
      </c>
    </row>
    <row r="4920" ht="12.75" customHeight="1">
      <c r="A4920" s="59" t="s">
        <v>256</v>
      </c>
      <c r="B4920" s="60" t="s">
        <v>746</v>
      </c>
    </row>
    <row r="4921" ht="12.75" customHeight="1">
      <c r="A4921" s="59" t="s">
        <v>256</v>
      </c>
      <c r="B4921" s="60" t="s">
        <v>747</v>
      </c>
    </row>
    <row r="4922" ht="12.75" customHeight="1">
      <c r="A4922" s="59" t="s">
        <v>256</v>
      </c>
      <c r="B4922" s="60" t="s">
        <v>748</v>
      </c>
    </row>
    <row r="4923" ht="12.75" customHeight="1">
      <c r="A4923" s="59" t="s">
        <v>181</v>
      </c>
      <c r="B4923" s="60" t="s">
        <v>804</v>
      </c>
    </row>
    <row r="4924" ht="12.75" customHeight="1">
      <c r="A4924" s="59" t="s">
        <v>181</v>
      </c>
      <c r="B4924" s="60" t="s">
        <v>76</v>
      </c>
    </row>
    <row r="4925" ht="12.75" customHeight="1">
      <c r="A4925" s="59" t="s">
        <v>181</v>
      </c>
      <c r="B4925" s="60" t="s">
        <v>80</v>
      </c>
    </row>
    <row r="4926" ht="12.75" customHeight="1">
      <c r="A4926" s="59" t="s">
        <v>181</v>
      </c>
      <c r="B4926" s="60" t="s">
        <v>83</v>
      </c>
    </row>
    <row r="4927" ht="12.75" customHeight="1">
      <c r="A4927" s="59" t="s">
        <v>181</v>
      </c>
      <c r="B4927" s="60" t="s">
        <v>85</v>
      </c>
    </row>
    <row r="4928" ht="12.75" customHeight="1">
      <c r="A4928" s="59" t="s">
        <v>181</v>
      </c>
      <c r="B4928" s="60" t="s">
        <v>810</v>
      </c>
    </row>
    <row r="4929" ht="12.75" customHeight="1">
      <c r="A4929" s="59" t="s">
        <v>181</v>
      </c>
      <c r="B4929" s="60" t="s">
        <v>811</v>
      </c>
    </row>
    <row r="4930" ht="12.75" customHeight="1">
      <c r="A4930" s="59" t="s">
        <v>181</v>
      </c>
      <c r="B4930" s="60" t="s">
        <v>812</v>
      </c>
    </row>
    <row r="4931" ht="12.75" customHeight="1">
      <c r="A4931" s="59" t="s">
        <v>181</v>
      </c>
      <c r="B4931" s="60" t="s">
        <v>813</v>
      </c>
    </row>
    <row r="4932" ht="12.75" customHeight="1">
      <c r="A4932" s="59" t="s">
        <v>181</v>
      </c>
      <c r="B4932" s="60" t="s">
        <v>814</v>
      </c>
    </row>
    <row r="4933" ht="12.75" customHeight="1">
      <c r="A4933" s="59" t="s">
        <v>181</v>
      </c>
      <c r="B4933" s="60" t="s">
        <v>820</v>
      </c>
    </row>
    <row r="4934" ht="12.75" customHeight="1">
      <c r="A4934" s="59" t="s">
        <v>181</v>
      </c>
      <c r="B4934" s="60" t="s">
        <v>821</v>
      </c>
    </row>
    <row r="4935" ht="12.75" customHeight="1">
      <c r="A4935" s="59" t="s">
        <v>181</v>
      </c>
      <c r="B4935" s="60" t="s">
        <v>822</v>
      </c>
    </row>
    <row r="4936" ht="12.75" customHeight="1">
      <c r="A4936" s="59" t="s">
        <v>181</v>
      </c>
      <c r="B4936" s="60" t="s">
        <v>823</v>
      </c>
    </row>
    <row r="4937" ht="12.75" customHeight="1">
      <c r="A4937" s="59" t="s">
        <v>181</v>
      </c>
      <c r="B4937" s="60" t="s">
        <v>824</v>
      </c>
    </row>
    <row r="4938" ht="12.75" customHeight="1">
      <c r="A4938" s="59" t="s">
        <v>181</v>
      </c>
      <c r="B4938" s="60" t="s">
        <v>830</v>
      </c>
    </row>
    <row r="4939" ht="12.75" customHeight="1">
      <c r="A4939" s="59" t="s">
        <v>181</v>
      </c>
      <c r="B4939" s="60" t="s">
        <v>831</v>
      </c>
    </row>
    <row r="4940" ht="12.75" customHeight="1">
      <c r="A4940" s="59" t="s">
        <v>181</v>
      </c>
      <c r="B4940" s="60" t="s">
        <v>832</v>
      </c>
    </row>
    <row r="4941" ht="12.75" customHeight="1">
      <c r="A4941" s="59" t="s">
        <v>181</v>
      </c>
      <c r="B4941" s="60" t="s">
        <v>833</v>
      </c>
    </row>
    <row r="4942" ht="12.75" customHeight="1">
      <c r="A4942" s="59" t="s">
        <v>181</v>
      </c>
      <c r="B4942" s="60" t="s">
        <v>834</v>
      </c>
    </row>
    <row r="4943" ht="12.75" customHeight="1">
      <c r="A4943" s="59" t="s">
        <v>215</v>
      </c>
      <c r="B4943" s="60">
        <v>28.0</v>
      </c>
    </row>
    <row r="4944" ht="12.75" customHeight="1">
      <c r="A4944" s="59" t="s">
        <v>215</v>
      </c>
      <c r="B4944" s="60">
        <v>29.0</v>
      </c>
    </row>
    <row r="4945" ht="12.75" customHeight="1">
      <c r="A4945" s="59" t="s">
        <v>215</v>
      </c>
      <c r="B4945" s="60">
        <v>30.0</v>
      </c>
    </row>
    <row r="4946" ht="12.75" customHeight="1">
      <c r="A4946" s="59" t="s">
        <v>215</v>
      </c>
      <c r="B4946" s="60">
        <v>31.0</v>
      </c>
    </row>
    <row r="4947" ht="12.75" customHeight="1">
      <c r="A4947" s="59" t="s">
        <v>215</v>
      </c>
      <c r="B4947" s="60">
        <v>32.0</v>
      </c>
    </row>
    <row r="4948" ht="12.75" customHeight="1">
      <c r="A4948" s="59" t="s">
        <v>215</v>
      </c>
      <c r="B4948" s="60">
        <v>33.0</v>
      </c>
    </row>
    <row r="4949" ht="12.75" customHeight="1">
      <c r="A4949" s="59" t="s">
        <v>215</v>
      </c>
      <c r="B4949" s="60">
        <v>34.0</v>
      </c>
    </row>
    <row r="4950" ht="12.75" customHeight="1">
      <c r="A4950" s="59" t="s">
        <v>215</v>
      </c>
      <c r="B4950" s="60">
        <v>35.0</v>
      </c>
    </row>
    <row r="4951" ht="12.75" customHeight="1">
      <c r="A4951" s="59" t="s">
        <v>215</v>
      </c>
      <c r="B4951" s="60">
        <v>36.0</v>
      </c>
    </row>
    <row r="4952" ht="12.75" customHeight="1">
      <c r="A4952" s="59" t="s">
        <v>215</v>
      </c>
      <c r="B4952" s="60">
        <v>37.0</v>
      </c>
    </row>
    <row r="4953" ht="12.75" customHeight="1">
      <c r="A4953" s="59" t="s">
        <v>215</v>
      </c>
      <c r="B4953" s="60">
        <v>38.0</v>
      </c>
    </row>
    <row r="4954" ht="12.75" customHeight="1">
      <c r="A4954" s="59" t="s">
        <v>215</v>
      </c>
      <c r="B4954" s="60">
        <v>39.0</v>
      </c>
    </row>
    <row r="4955" ht="12.75" customHeight="1">
      <c r="A4955" s="59" t="s">
        <v>215</v>
      </c>
      <c r="B4955" s="60">
        <v>40.0</v>
      </c>
    </row>
    <row r="4956" ht="12.75" customHeight="1">
      <c r="A4956" s="59" t="s">
        <v>215</v>
      </c>
      <c r="B4956" s="60">
        <v>41.0</v>
      </c>
    </row>
    <row r="4957" ht="12.75" customHeight="1">
      <c r="A4957" s="59" t="s">
        <v>215</v>
      </c>
      <c r="B4957" s="60" t="s">
        <v>1952</v>
      </c>
    </row>
    <row r="4958" ht="12.75" customHeight="1">
      <c r="A4958" s="59" t="s">
        <v>215</v>
      </c>
      <c r="B4958" s="60" t="s">
        <v>1953</v>
      </c>
    </row>
    <row r="4959" ht="12.75" customHeight="1">
      <c r="A4959" s="59" t="s">
        <v>215</v>
      </c>
      <c r="B4959" s="60" t="s">
        <v>1954</v>
      </c>
    </row>
    <row r="4960" ht="12.75" customHeight="1">
      <c r="A4960" s="59" t="s">
        <v>215</v>
      </c>
      <c r="B4960" s="60" t="s">
        <v>1955</v>
      </c>
    </row>
    <row r="4961" ht="12.75" customHeight="1">
      <c r="A4961" s="59" t="s">
        <v>215</v>
      </c>
      <c r="B4961" s="60" t="s">
        <v>1956</v>
      </c>
    </row>
    <row r="4962" ht="12.75" customHeight="1">
      <c r="A4962" s="59" t="s">
        <v>215</v>
      </c>
      <c r="B4962" s="60" t="s">
        <v>1957</v>
      </c>
    </row>
    <row r="4963" ht="12.75" customHeight="1">
      <c r="A4963" s="59" t="s">
        <v>215</v>
      </c>
      <c r="B4963" s="60" t="s">
        <v>1958</v>
      </c>
    </row>
    <row r="4964" ht="12.75" customHeight="1">
      <c r="A4964" s="59" t="s">
        <v>215</v>
      </c>
      <c r="B4964" s="60" t="s">
        <v>1959</v>
      </c>
    </row>
    <row r="4965" ht="12.75" customHeight="1">
      <c r="A4965" s="59" t="s">
        <v>215</v>
      </c>
      <c r="B4965" s="60" t="s">
        <v>1960</v>
      </c>
    </row>
    <row r="4966" ht="12.75" customHeight="1">
      <c r="A4966" s="59" t="s">
        <v>215</v>
      </c>
      <c r="B4966" s="60" t="s">
        <v>1961</v>
      </c>
    </row>
    <row r="4967" ht="12.75" customHeight="1">
      <c r="A4967" s="59" t="s">
        <v>215</v>
      </c>
      <c r="B4967" s="60" t="s">
        <v>1962</v>
      </c>
    </row>
    <row r="4968" ht="12.75" customHeight="1">
      <c r="A4968" s="59" t="s">
        <v>215</v>
      </c>
      <c r="B4968" s="60" t="s">
        <v>1963</v>
      </c>
    </row>
    <row r="4969" ht="12.75" customHeight="1">
      <c r="A4969" s="59" t="s">
        <v>215</v>
      </c>
      <c r="B4969" s="60" t="s">
        <v>1964</v>
      </c>
    </row>
    <row r="4970" ht="12.75" customHeight="1">
      <c r="A4970" s="59" t="s">
        <v>215</v>
      </c>
      <c r="B4970" s="60" t="s">
        <v>1965</v>
      </c>
    </row>
    <row r="4971" ht="12.75" customHeight="1">
      <c r="A4971" s="59" t="s">
        <v>215</v>
      </c>
      <c r="B4971" s="60" t="s">
        <v>875</v>
      </c>
    </row>
    <row r="4972" ht="12.75" customHeight="1">
      <c r="A4972" s="59" t="s">
        <v>215</v>
      </c>
      <c r="B4972" s="60" t="s">
        <v>1205</v>
      </c>
    </row>
    <row r="4973" ht="12.75" customHeight="1">
      <c r="A4973" s="59" t="s">
        <v>215</v>
      </c>
      <c r="B4973" s="60" t="s">
        <v>876</v>
      </c>
    </row>
    <row r="4974" ht="12.75" customHeight="1">
      <c r="A4974" s="59" t="s">
        <v>215</v>
      </c>
      <c r="B4974" s="60" t="s">
        <v>1206</v>
      </c>
    </row>
    <row r="4975" ht="12.75" customHeight="1">
      <c r="A4975" s="59" t="s">
        <v>215</v>
      </c>
      <c r="B4975" s="60" t="s">
        <v>877</v>
      </c>
    </row>
    <row r="4976" ht="12.75" customHeight="1">
      <c r="A4976" s="59" t="s">
        <v>215</v>
      </c>
      <c r="B4976" s="60" t="s">
        <v>1230</v>
      </c>
    </row>
    <row r="4977" ht="12.75" customHeight="1">
      <c r="A4977" s="59" t="s">
        <v>215</v>
      </c>
      <c r="B4977" s="60" t="s">
        <v>878</v>
      </c>
    </row>
    <row r="4978" ht="12.75" customHeight="1">
      <c r="A4978" s="59" t="s">
        <v>215</v>
      </c>
      <c r="B4978" s="60" t="s">
        <v>1966</v>
      </c>
    </row>
    <row r="4979" ht="12.75" customHeight="1">
      <c r="A4979" s="59" t="s">
        <v>215</v>
      </c>
      <c r="B4979" s="60" t="s">
        <v>879</v>
      </c>
    </row>
    <row r="4980" ht="12.75" customHeight="1">
      <c r="A4980" s="59" t="s">
        <v>215</v>
      </c>
      <c r="B4980" s="60" t="s">
        <v>1967</v>
      </c>
    </row>
    <row r="4981" ht="12.75" customHeight="1">
      <c r="A4981" s="59" t="s">
        <v>215</v>
      </c>
      <c r="B4981" s="60" t="s">
        <v>880</v>
      </c>
    </row>
    <row r="4982" ht="12.75" customHeight="1">
      <c r="A4982" s="59" t="s">
        <v>215</v>
      </c>
      <c r="B4982" s="60" t="s">
        <v>1968</v>
      </c>
    </row>
    <row r="4983" ht="12.75" customHeight="1">
      <c r="A4983" s="59" t="s">
        <v>215</v>
      </c>
      <c r="B4983" s="60" t="s">
        <v>1969</v>
      </c>
    </row>
    <row r="4984" ht="12.75" customHeight="1">
      <c r="A4984" s="59" t="s">
        <v>215</v>
      </c>
      <c r="B4984" s="60" t="s">
        <v>1970</v>
      </c>
    </row>
    <row r="4985" ht="12.75" customHeight="1">
      <c r="A4985" s="59" t="s">
        <v>215</v>
      </c>
      <c r="B4985" s="60" t="s">
        <v>894</v>
      </c>
    </row>
    <row r="4986" ht="12.75" customHeight="1">
      <c r="A4986" s="59" t="s">
        <v>215</v>
      </c>
      <c r="B4986" s="60" t="s">
        <v>1211</v>
      </c>
    </row>
    <row r="4987" ht="12.75" customHeight="1">
      <c r="A4987" s="59" t="s">
        <v>215</v>
      </c>
      <c r="B4987" s="60" t="s">
        <v>895</v>
      </c>
    </row>
    <row r="4988" ht="12.75" customHeight="1">
      <c r="A4988" s="59" t="s">
        <v>215</v>
      </c>
      <c r="B4988" s="60" t="s">
        <v>1212</v>
      </c>
    </row>
    <row r="4989" ht="12.75" customHeight="1">
      <c r="A4989" s="59" t="s">
        <v>215</v>
      </c>
      <c r="B4989" s="60" t="s">
        <v>896</v>
      </c>
    </row>
    <row r="4990" ht="12.75" customHeight="1">
      <c r="A4990" s="59" t="s">
        <v>215</v>
      </c>
      <c r="B4990" s="60" t="s">
        <v>1239</v>
      </c>
    </row>
    <row r="4991" ht="12.75" customHeight="1">
      <c r="A4991" s="59" t="s">
        <v>215</v>
      </c>
      <c r="B4991" s="60" t="s">
        <v>897</v>
      </c>
    </row>
    <row r="4992" ht="12.75" customHeight="1">
      <c r="A4992" s="59" t="s">
        <v>215</v>
      </c>
      <c r="B4992" s="60" t="s">
        <v>1971</v>
      </c>
    </row>
    <row r="4993" ht="12.75" customHeight="1">
      <c r="A4993" s="59" t="s">
        <v>215</v>
      </c>
      <c r="B4993" s="60" t="s">
        <v>898</v>
      </c>
    </row>
    <row r="4994" ht="12.75" customHeight="1">
      <c r="A4994" s="59" t="s">
        <v>215</v>
      </c>
      <c r="B4994" s="60" t="s">
        <v>1972</v>
      </c>
    </row>
    <row r="4995" ht="12.75" customHeight="1">
      <c r="A4995" s="59" t="s">
        <v>215</v>
      </c>
      <c r="B4995" s="60" t="s">
        <v>899</v>
      </c>
    </row>
    <row r="4996" ht="12.75" customHeight="1">
      <c r="A4996" s="59" t="s">
        <v>215</v>
      </c>
      <c r="B4996" s="60" t="s">
        <v>1973</v>
      </c>
    </row>
    <row r="4997" ht="12.75" customHeight="1">
      <c r="A4997" s="59" t="s">
        <v>215</v>
      </c>
      <c r="B4997" s="60" t="s">
        <v>1974</v>
      </c>
    </row>
    <row r="4998" ht="12.75" customHeight="1">
      <c r="A4998" s="59" t="s">
        <v>215</v>
      </c>
      <c r="B4998" s="60" t="s">
        <v>1975</v>
      </c>
    </row>
    <row r="4999" ht="12.75" customHeight="1">
      <c r="A4999" s="59" t="s">
        <v>386</v>
      </c>
      <c r="B4999" s="60" t="s">
        <v>804</v>
      </c>
    </row>
    <row r="5000" ht="12.75" customHeight="1">
      <c r="A5000" s="59" t="s">
        <v>386</v>
      </c>
      <c r="B5000" s="60" t="s">
        <v>76</v>
      </c>
    </row>
    <row r="5001" ht="12.75" customHeight="1">
      <c r="A5001" s="59" t="s">
        <v>386</v>
      </c>
      <c r="B5001" s="60" t="s">
        <v>80</v>
      </c>
    </row>
    <row r="5002" ht="12.75" customHeight="1">
      <c r="A5002" s="59" t="s">
        <v>386</v>
      </c>
      <c r="B5002" s="60" t="s">
        <v>83</v>
      </c>
    </row>
    <row r="5003" ht="12.75" customHeight="1">
      <c r="A5003" s="59" t="s">
        <v>386</v>
      </c>
      <c r="B5003" s="60" t="s">
        <v>85</v>
      </c>
    </row>
    <row r="5004" ht="12.75" customHeight="1">
      <c r="A5004" s="59" t="s">
        <v>386</v>
      </c>
      <c r="B5004" s="60">
        <v>28.0</v>
      </c>
    </row>
    <row r="5005" ht="12.75" customHeight="1">
      <c r="A5005" s="59" t="s">
        <v>386</v>
      </c>
      <c r="B5005" s="60">
        <v>29.0</v>
      </c>
    </row>
    <row r="5006" ht="12.75" customHeight="1">
      <c r="A5006" s="59" t="s">
        <v>386</v>
      </c>
      <c r="B5006" s="60">
        <v>30.0</v>
      </c>
    </row>
    <row r="5007" ht="12.75" customHeight="1">
      <c r="A5007" s="59" t="s">
        <v>386</v>
      </c>
      <c r="B5007" s="60">
        <v>31.0</v>
      </c>
    </row>
    <row r="5008" ht="12.75" customHeight="1">
      <c r="A5008" s="59" t="s">
        <v>386</v>
      </c>
      <c r="B5008" s="60">
        <v>32.0</v>
      </c>
    </row>
    <row r="5009" ht="12.75" customHeight="1">
      <c r="A5009" s="59" t="s">
        <v>386</v>
      </c>
      <c r="B5009" s="60">
        <v>33.0</v>
      </c>
    </row>
    <row r="5010" ht="12.75" customHeight="1">
      <c r="A5010" s="59" t="s">
        <v>386</v>
      </c>
      <c r="B5010" s="60">
        <v>34.0</v>
      </c>
    </row>
    <row r="5011" ht="12.75" customHeight="1">
      <c r="A5011" s="59" t="s">
        <v>386</v>
      </c>
      <c r="B5011" s="60">
        <v>35.0</v>
      </c>
    </row>
    <row r="5012" ht="12.75" customHeight="1">
      <c r="A5012" s="59" t="s">
        <v>386</v>
      </c>
      <c r="B5012" s="60">
        <v>36.0</v>
      </c>
    </row>
    <row r="5013" ht="12.75" customHeight="1">
      <c r="A5013" s="59" t="s">
        <v>386</v>
      </c>
      <c r="B5013" s="60">
        <v>37.0</v>
      </c>
    </row>
    <row r="5014" ht="12.75" customHeight="1">
      <c r="A5014" s="59" t="s">
        <v>386</v>
      </c>
      <c r="B5014" s="60">
        <v>38.0</v>
      </c>
    </row>
    <row r="5015" ht="12.75" customHeight="1">
      <c r="A5015" s="59" t="s">
        <v>386</v>
      </c>
      <c r="B5015" s="60">
        <v>39.0</v>
      </c>
    </row>
    <row r="5016" ht="12.75" customHeight="1">
      <c r="A5016" s="59" t="s">
        <v>386</v>
      </c>
      <c r="B5016" s="60">
        <v>40.0</v>
      </c>
    </row>
    <row r="5017" ht="12.75" customHeight="1">
      <c r="A5017" s="59" t="s">
        <v>386</v>
      </c>
      <c r="B5017" s="60">
        <v>41.0</v>
      </c>
    </row>
    <row r="5018" ht="12.75" customHeight="1">
      <c r="A5018" s="59" t="s">
        <v>386</v>
      </c>
      <c r="B5018" s="60" t="s">
        <v>810</v>
      </c>
    </row>
    <row r="5019" ht="12.75" customHeight="1">
      <c r="A5019" s="59" t="s">
        <v>386</v>
      </c>
      <c r="B5019" s="60" t="s">
        <v>811</v>
      </c>
    </row>
    <row r="5020" ht="12.75" customHeight="1">
      <c r="A5020" s="59" t="s">
        <v>386</v>
      </c>
      <c r="B5020" s="60" t="s">
        <v>812</v>
      </c>
    </row>
    <row r="5021" ht="12.75" customHeight="1">
      <c r="A5021" s="59" t="s">
        <v>386</v>
      </c>
      <c r="B5021" s="60" t="s">
        <v>813</v>
      </c>
    </row>
    <row r="5022" ht="12.75" customHeight="1">
      <c r="A5022" s="59" t="s">
        <v>386</v>
      </c>
      <c r="B5022" s="60" t="s">
        <v>814</v>
      </c>
    </row>
    <row r="5023" ht="12.75" customHeight="1">
      <c r="A5023" s="59" t="s">
        <v>386</v>
      </c>
      <c r="B5023" s="60" t="s">
        <v>1952</v>
      </c>
    </row>
    <row r="5024" ht="12.75" customHeight="1">
      <c r="A5024" s="59" t="s">
        <v>386</v>
      </c>
      <c r="B5024" s="60" t="s">
        <v>1953</v>
      </c>
    </row>
    <row r="5025" ht="12.75" customHeight="1">
      <c r="A5025" s="59" t="s">
        <v>386</v>
      </c>
      <c r="B5025" s="60" t="s">
        <v>1954</v>
      </c>
    </row>
    <row r="5026" ht="12.75" customHeight="1">
      <c r="A5026" s="59" t="s">
        <v>386</v>
      </c>
      <c r="B5026" s="60" t="s">
        <v>1955</v>
      </c>
    </row>
    <row r="5027" ht="12.75" customHeight="1">
      <c r="A5027" s="59" t="s">
        <v>386</v>
      </c>
      <c r="B5027" s="60" t="s">
        <v>1956</v>
      </c>
    </row>
    <row r="5028" ht="12.75" customHeight="1">
      <c r="A5028" s="59" t="s">
        <v>386</v>
      </c>
      <c r="B5028" s="60" t="s">
        <v>1957</v>
      </c>
    </row>
    <row r="5029" ht="12.75" customHeight="1">
      <c r="A5029" s="59" t="s">
        <v>386</v>
      </c>
      <c r="B5029" s="60" t="s">
        <v>1958</v>
      </c>
    </row>
    <row r="5030" ht="12.75" customHeight="1">
      <c r="A5030" s="59" t="s">
        <v>386</v>
      </c>
      <c r="B5030" s="60" t="s">
        <v>1959</v>
      </c>
    </row>
    <row r="5031" ht="12.75" customHeight="1">
      <c r="A5031" s="59" t="s">
        <v>386</v>
      </c>
      <c r="B5031" s="60" t="s">
        <v>1960</v>
      </c>
    </row>
    <row r="5032" ht="12.75" customHeight="1">
      <c r="A5032" s="59" t="s">
        <v>386</v>
      </c>
      <c r="B5032" s="60" t="s">
        <v>1961</v>
      </c>
    </row>
    <row r="5033" ht="12.75" customHeight="1">
      <c r="A5033" s="59" t="s">
        <v>386</v>
      </c>
      <c r="B5033" s="60" t="s">
        <v>1962</v>
      </c>
    </row>
    <row r="5034" ht="12.75" customHeight="1">
      <c r="A5034" s="59" t="s">
        <v>386</v>
      </c>
      <c r="B5034" s="60" t="s">
        <v>1963</v>
      </c>
    </row>
    <row r="5035" ht="12.75" customHeight="1">
      <c r="A5035" s="59" t="s">
        <v>386</v>
      </c>
      <c r="B5035" s="60" t="s">
        <v>1964</v>
      </c>
    </row>
    <row r="5036" ht="12.75" customHeight="1">
      <c r="A5036" s="59" t="s">
        <v>386</v>
      </c>
      <c r="B5036" s="60" t="s">
        <v>1965</v>
      </c>
    </row>
    <row r="5037" ht="12.75" customHeight="1">
      <c r="A5037" s="59" t="s">
        <v>386</v>
      </c>
      <c r="B5037" s="60" t="s">
        <v>820</v>
      </c>
    </row>
    <row r="5038" ht="12.75" customHeight="1">
      <c r="A5038" s="59" t="s">
        <v>386</v>
      </c>
      <c r="B5038" s="60" t="s">
        <v>821</v>
      </c>
    </row>
    <row r="5039" ht="12.75" customHeight="1">
      <c r="A5039" s="59" t="s">
        <v>386</v>
      </c>
      <c r="B5039" s="60" t="s">
        <v>822</v>
      </c>
    </row>
    <row r="5040" ht="12.75" customHeight="1">
      <c r="A5040" s="59" t="s">
        <v>386</v>
      </c>
      <c r="B5040" s="60" t="s">
        <v>823</v>
      </c>
    </row>
    <row r="5041" ht="12.75" customHeight="1">
      <c r="A5041" s="59" t="s">
        <v>386</v>
      </c>
      <c r="B5041" s="60" t="s">
        <v>824</v>
      </c>
    </row>
    <row r="5042" ht="12.75" customHeight="1">
      <c r="A5042" s="59" t="s">
        <v>386</v>
      </c>
      <c r="B5042" s="60" t="s">
        <v>875</v>
      </c>
    </row>
    <row r="5043" ht="12.75" customHeight="1">
      <c r="A5043" s="59" t="s">
        <v>386</v>
      </c>
      <c r="B5043" s="60" t="s">
        <v>1205</v>
      </c>
    </row>
    <row r="5044" ht="12.75" customHeight="1">
      <c r="A5044" s="59" t="s">
        <v>386</v>
      </c>
      <c r="B5044" s="60" t="s">
        <v>876</v>
      </c>
    </row>
    <row r="5045" ht="12.75" customHeight="1">
      <c r="A5045" s="59" t="s">
        <v>386</v>
      </c>
      <c r="B5045" s="60" t="s">
        <v>1206</v>
      </c>
    </row>
    <row r="5046" ht="12.75" customHeight="1">
      <c r="A5046" s="59" t="s">
        <v>386</v>
      </c>
      <c r="B5046" s="60" t="s">
        <v>877</v>
      </c>
    </row>
    <row r="5047" ht="12.75" customHeight="1">
      <c r="A5047" s="59" t="s">
        <v>386</v>
      </c>
      <c r="B5047" s="60" t="s">
        <v>1230</v>
      </c>
    </row>
    <row r="5048" ht="12.75" customHeight="1">
      <c r="A5048" s="59" t="s">
        <v>386</v>
      </c>
      <c r="B5048" s="60" t="s">
        <v>878</v>
      </c>
    </row>
    <row r="5049" ht="12.75" customHeight="1">
      <c r="A5049" s="59" t="s">
        <v>386</v>
      </c>
      <c r="B5049" s="60" t="s">
        <v>1966</v>
      </c>
    </row>
    <row r="5050" ht="12.75" customHeight="1">
      <c r="A5050" s="59" t="s">
        <v>386</v>
      </c>
      <c r="B5050" s="60" t="s">
        <v>879</v>
      </c>
    </row>
    <row r="5051" ht="12.75" customHeight="1">
      <c r="A5051" s="59" t="s">
        <v>386</v>
      </c>
      <c r="B5051" s="60" t="s">
        <v>1967</v>
      </c>
    </row>
    <row r="5052" ht="12.75" customHeight="1">
      <c r="A5052" s="59" t="s">
        <v>386</v>
      </c>
      <c r="B5052" s="60" t="s">
        <v>880</v>
      </c>
    </row>
    <row r="5053" ht="12.75" customHeight="1">
      <c r="A5053" s="59" t="s">
        <v>386</v>
      </c>
      <c r="B5053" s="60" t="s">
        <v>1968</v>
      </c>
    </row>
    <row r="5054" ht="12.75" customHeight="1">
      <c r="A5054" s="59" t="s">
        <v>386</v>
      </c>
      <c r="B5054" s="60" t="s">
        <v>1969</v>
      </c>
    </row>
    <row r="5055" ht="12.75" customHeight="1">
      <c r="A5055" s="59" t="s">
        <v>386</v>
      </c>
      <c r="B5055" s="60" t="s">
        <v>1970</v>
      </c>
    </row>
    <row r="5056" ht="12.75" customHeight="1">
      <c r="A5056" s="59" t="s">
        <v>386</v>
      </c>
      <c r="B5056" s="60" t="s">
        <v>830</v>
      </c>
    </row>
    <row r="5057" ht="12.75" customHeight="1">
      <c r="A5057" s="59" t="s">
        <v>386</v>
      </c>
      <c r="B5057" s="60" t="s">
        <v>831</v>
      </c>
    </row>
    <row r="5058" ht="12.75" customHeight="1">
      <c r="A5058" s="59" t="s">
        <v>386</v>
      </c>
      <c r="B5058" s="60" t="s">
        <v>832</v>
      </c>
    </row>
    <row r="5059" ht="12.75" customHeight="1">
      <c r="A5059" s="59" t="s">
        <v>386</v>
      </c>
      <c r="B5059" s="60" t="s">
        <v>833</v>
      </c>
    </row>
    <row r="5060" ht="12.75" customHeight="1">
      <c r="A5060" s="59" t="s">
        <v>386</v>
      </c>
      <c r="B5060" s="60" t="s">
        <v>834</v>
      </c>
    </row>
    <row r="5061" ht="12.75" customHeight="1">
      <c r="A5061" s="59" t="s">
        <v>386</v>
      </c>
      <c r="B5061" s="60" t="s">
        <v>894</v>
      </c>
    </row>
    <row r="5062" ht="12.75" customHeight="1">
      <c r="A5062" s="59" t="s">
        <v>386</v>
      </c>
      <c r="B5062" s="60" t="s">
        <v>1211</v>
      </c>
    </row>
    <row r="5063" ht="12.75" customHeight="1">
      <c r="A5063" s="59" t="s">
        <v>386</v>
      </c>
      <c r="B5063" s="60" t="s">
        <v>895</v>
      </c>
    </row>
    <row r="5064" ht="12.75" customHeight="1">
      <c r="A5064" s="59" t="s">
        <v>386</v>
      </c>
      <c r="B5064" s="60" t="s">
        <v>1212</v>
      </c>
    </row>
    <row r="5065" ht="12.75" customHeight="1">
      <c r="A5065" s="59" t="s">
        <v>386</v>
      </c>
      <c r="B5065" s="60" t="s">
        <v>896</v>
      </c>
    </row>
    <row r="5066" ht="12.75" customHeight="1">
      <c r="A5066" s="59" t="s">
        <v>386</v>
      </c>
      <c r="B5066" s="60" t="s">
        <v>1239</v>
      </c>
    </row>
    <row r="5067" ht="12.75" customHeight="1">
      <c r="A5067" s="59" t="s">
        <v>386</v>
      </c>
      <c r="B5067" s="60" t="s">
        <v>897</v>
      </c>
    </row>
    <row r="5068" ht="12.75" customHeight="1">
      <c r="A5068" s="59" t="s">
        <v>386</v>
      </c>
      <c r="B5068" s="60" t="s">
        <v>1971</v>
      </c>
    </row>
    <row r="5069" ht="12.75" customHeight="1">
      <c r="A5069" s="59" t="s">
        <v>386</v>
      </c>
      <c r="B5069" s="60" t="s">
        <v>898</v>
      </c>
    </row>
    <row r="5070" ht="12.75" customHeight="1">
      <c r="A5070" s="59" t="s">
        <v>386</v>
      </c>
      <c r="B5070" s="60" t="s">
        <v>1972</v>
      </c>
    </row>
    <row r="5071" ht="12.75" customHeight="1">
      <c r="A5071" s="59" t="s">
        <v>386</v>
      </c>
      <c r="B5071" s="60" t="s">
        <v>899</v>
      </c>
    </row>
    <row r="5072" ht="12.75" customHeight="1">
      <c r="A5072" s="59" t="s">
        <v>386</v>
      </c>
      <c r="B5072" s="60" t="s">
        <v>1973</v>
      </c>
    </row>
    <row r="5073" ht="12.75" customHeight="1">
      <c r="A5073" s="59" t="s">
        <v>386</v>
      </c>
      <c r="B5073" s="60" t="s">
        <v>1974</v>
      </c>
    </row>
    <row r="5074" ht="12.75" customHeight="1">
      <c r="A5074" s="59" t="s">
        <v>386</v>
      </c>
      <c r="B5074" s="60" t="s">
        <v>1975</v>
      </c>
    </row>
    <row r="5075" ht="12.75" customHeight="1">
      <c r="A5075" s="59" t="s">
        <v>392</v>
      </c>
      <c r="B5075" s="60" t="s">
        <v>804</v>
      </c>
    </row>
    <row r="5076" ht="12.75" customHeight="1">
      <c r="A5076" s="59" t="s">
        <v>392</v>
      </c>
      <c r="B5076" s="60" t="s">
        <v>76</v>
      </c>
    </row>
    <row r="5077" ht="12.75" customHeight="1">
      <c r="A5077" s="59" t="s">
        <v>392</v>
      </c>
      <c r="B5077" s="60" t="s">
        <v>80</v>
      </c>
    </row>
    <row r="5078" ht="12.75" customHeight="1">
      <c r="A5078" s="59" t="s">
        <v>392</v>
      </c>
      <c r="B5078" s="60" t="s">
        <v>83</v>
      </c>
    </row>
    <row r="5079" ht="12.75" customHeight="1">
      <c r="A5079" s="59" t="s">
        <v>392</v>
      </c>
      <c r="B5079" s="60" t="s">
        <v>85</v>
      </c>
    </row>
    <row r="5080" ht="12.75" customHeight="1">
      <c r="A5080" s="59" t="s">
        <v>392</v>
      </c>
      <c r="B5080" s="60">
        <v>14.5</v>
      </c>
    </row>
    <row r="5081" ht="12.75" customHeight="1">
      <c r="A5081" s="59" t="s">
        <v>392</v>
      </c>
      <c r="B5081" s="60">
        <v>15.0</v>
      </c>
    </row>
    <row r="5082" ht="12.75" customHeight="1">
      <c r="A5082" s="59" t="s">
        <v>392</v>
      </c>
      <c r="B5082" s="60">
        <v>15.5</v>
      </c>
    </row>
    <row r="5083" ht="12.75" customHeight="1">
      <c r="A5083" s="59" t="s">
        <v>392</v>
      </c>
      <c r="B5083" s="60">
        <v>16.0</v>
      </c>
    </row>
    <row r="5084" ht="12.75" customHeight="1">
      <c r="A5084" s="59" t="s">
        <v>392</v>
      </c>
      <c r="B5084" s="60">
        <v>16.5</v>
      </c>
    </row>
    <row r="5085" ht="12.75" customHeight="1">
      <c r="A5085" s="59" t="s">
        <v>392</v>
      </c>
      <c r="B5085" s="60">
        <v>17.0</v>
      </c>
    </row>
    <row r="5086" ht="12.75" customHeight="1">
      <c r="A5086" s="59" t="s">
        <v>392</v>
      </c>
      <c r="B5086" s="60">
        <v>17.5</v>
      </c>
    </row>
    <row r="5087" ht="12.75" customHeight="1">
      <c r="A5087" s="59" t="s">
        <v>392</v>
      </c>
      <c r="B5087" s="60">
        <v>18.0</v>
      </c>
    </row>
    <row r="5088" ht="12.75" customHeight="1">
      <c r="A5088" s="59" t="s">
        <v>392</v>
      </c>
      <c r="B5088" s="60" t="s">
        <v>810</v>
      </c>
    </row>
    <row r="5089" ht="12.75" customHeight="1">
      <c r="A5089" s="59" t="s">
        <v>392</v>
      </c>
      <c r="B5089" s="60" t="s">
        <v>811</v>
      </c>
    </row>
    <row r="5090" ht="12.75" customHeight="1">
      <c r="A5090" s="59" t="s">
        <v>392</v>
      </c>
      <c r="B5090" s="60" t="s">
        <v>812</v>
      </c>
    </row>
    <row r="5091" ht="12.75" customHeight="1">
      <c r="A5091" s="59" t="s">
        <v>392</v>
      </c>
      <c r="B5091" s="60" t="s">
        <v>813</v>
      </c>
    </row>
    <row r="5092" ht="12.75" customHeight="1">
      <c r="A5092" s="59" t="s">
        <v>392</v>
      </c>
      <c r="B5092" s="60" t="s">
        <v>814</v>
      </c>
    </row>
    <row r="5093" ht="12.75" customHeight="1">
      <c r="A5093" s="59" t="s">
        <v>392</v>
      </c>
      <c r="B5093" s="60" t="s">
        <v>1976</v>
      </c>
    </row>
    <row r="5094" ht="12.75" customHeight="1">
      <c r="A5094" s="59" t="s">
        <v>392</v>
      </c>
      <c r="B5094" s="60" t="s">
        <v>1977</v>
      </c>
    </row>
    <row r="5095" ht="12.75" customHeight="1">
      <c r="A5095" s="59" t="s">
        <v>392</v>
      </c>
      <c r="B5095" s="60" t="s">
        <v>1978</v>
      </c>
    </row>
    <row r="5096" ht="12.75" customHeight="1">
      <c r="A5096" s="59" t="s">
        <v>392</v>
      </c>
      <c r="B5096" s="60" t="s">
        <v>1979</v>
      </c>
    </row>
    <row r="5097" ht="12.75" customHeight="1">
      <c r="A5097" s="59" t="s">
        <v>392</v>
      </c>
      <c r="B5097" s="60" t="s">
        <v>1980</v>
      </c>
    </row>
    <row r="5098" ht="12.75" customHeight="1">
      <c r="A5098" s="59" t="s">
        <v>392</v>
      </c>
      <c r="B5098" s="60" t="s">
        <v>1981</v>
      </c>
    </row>
    <row r="5099" ht="12.75" customHeight="1">
      <c r="A5099" s="59" t="s">
        <v>392</v>
      </c>
      <c r="B5099" s="60" t="s">
        <v>1982</v>
      </c>
    </row>
    <row r="5100" ht="12.75" customHeight="1">
      <c r="A5100" s="59" t="s">
        <v>392</v>
      </c>
      <c r="B5100" s="60" t="s">
        <v>1983</v>
      </c>
    </row>
    <row r="5101" ht="12.75" customHeight="1">
      <c r="A5101" s="59" t="s">
        <v>392</v>
      </c>
      <c r="B5101" s="60" t="s">
        <v>820</v>
      </c>
    </row>
    <row r="5102" ht="12.75" customHeight="1">
      <c r="A5102" s="59" t="s">
        <v>392</v>
      </c>
      <c r="B5102" s="60" t="s">
        <v>821</v>
      </c>
    </row>
    <row r="5103" ht="12.75" customHeight="1">
      <c r="A5103" s="59" t="s">
        <v>392</v>
      </c>
      <c r="B5103" s="60" t="s">
        <v>822</v>
      </c>
    </row>
    <row r="5104" ht="12.75" customHeight="1">
      <c r="A5104" s="59" t="s">
        <v>392</v>
      </c>
      <c r="B5104" s="60" t="s">
        <v>823</v>
      </c>
    </row>
    <row r="5105" ht="12.75" customHeight="1">
      <c r="A5105" s="59" t="s">
        <v>392</v>
      </c>
      <c r="B5105" s="60" t="s">
        <v>824</v>
      </c>
    </row>
    <row r="5106" ht="12.75" customHeight="1">
      <c r="A5106" s="59" t="s">
        <v>392</v>
      </c>
      <c r="B5106" s="60" t="s">
        <v>1984</v>
      </c>
    </row>
    <row r="5107" ht="12.75" customHeight="1">
      <c r="A5107" s="59" t="s">
        <v>392</v>
      </c>
      <c r="B5107" s="60" t="s">
        <v>1985</v>
      </c>
    </row>
    <row r="5108" ht="12.75" customHeight="1">
      <c r="A5108" s="59" t="s">
        <v>392</v>
      </c>
      <c r="B5108" s="60" t="s">
        <v>1986</v>
      </c>
    </row>
    <row r="5109" ht="12.75" customHeight="1">
      <c r="A5109" s="59" t="s">
        <v>392</v>
      </c>
      <c r="B5109" s="60" t="s">
        <v>1987</v>
      </c>
    </row>
    <row r="5110" ht="12.75" customHeight="1">
      <c r="A5110" s="59" t="s">
        <v>392</v>
      </c>
      <c r="B5110" s="60" t="s">
        <v>1988</v>
      </c>
    </row>
    <row r="5111" ht="12.75" customHeight="1">
      <c r="A5111" s="59" t="s">
        <v>392</v>
      </c>
      <c r="B5111" s="60" t="s">
        <v>1989</v>
      </c>
    </row>
    <row r="5112" ht="12.75" customHeight="1">
      <c r="A5112" s="59" t="s">
        <v>392</v>
      </c>
      <c r="B5112" s="60" t="s">
        <v>1990</v>
      </c>
    </row>
    <row r="5113" ht="12.75" customHeight="1">
      <c r="A5113" s="59" t="s">
        <v>392</v>
      </c>
      <c r="B5113" s="60" t="s">
        <v>1991</v>
      </c>
    </row>
    <row r="5114" ht="12.75" customHeight="1">
      <c r="A5114" s="59" t="s">
        <v>392</v>
      </c>
      <c r="B5114" s="60" t="s">
        <v>830</v>
      </c>
    </row>
    <row r="5115" ht="12.75" customHeight="1">
      <c r="A5115" s="59" t="s">
        <v>392</v>
      </c>
      <c r="B5115" s="60" t="s">
        <v>831</v>
      </c>
    </row>
    <row r="5116" ht="12.75" customHeight="1">
      <c r="A5116" s="59" t="s">
        <v>392</v>
      </c>
      <c r="B5116" s="60" t="s">
        <v>832</v>
      </c>
    </row>
    <row r="5117" ht="12.75" customHeight="1">
      <c r="A5117" s="59" t="s">
        <v>392</v>
      </c>
      <c r="B5117" s="60" t="s">
        <v>833</v>
      </c>
    </row>
    <row r="5118" ht="12.75" customHeight="1">
      <c r="A5118" s="59" t="s">
        <v>392</v>
      </c>
      <c r="B5118" s="60" t="s">
        <v>834</v>
      </c>
    </row>
    <row r="5119" ht="12.75" customHeight="1">
      <c r="A5119" s="59" t="s">
        <v>392</v>
      </c>
      <c r="B5119" s="60" t="s">
        <v>1992</v>
      </c>
    </row>
    <row r="5120" ht="12.75" customHeight="1">
      <c r="A5120" s="59" t="s">
        <v>392</v>
      </c>
      <c r="B5120" s="60" t="s">
        <v>1993</v>
      </c>
    </row>
    <row r="5121" ht="12.75" customHeight="1">
      <c r="A5121" s="59" t="s">
        <v>392</v>
      </c>
      <c r="B5121" s="60" t="s">
        <v>1994</v>
      </c>
    </row>
    <row r="5122" ht="12.75" customHeight="1">
      <c r="A5122" s="59" t="s">
        <v>392</v>
      </c>
      <c r="B5122" s="60" t="s">
        <v>828</v>
      </c>
    </row>
    <row r="5123" ht="12.75" customHeight="1">
      <c r="A5123" s="59" t="s">
        <v>392</v>
      </c>
      <c r="B5123" s="60" t="s">
        <v>1995</v>
      </c>
    </row>
    <row r="5124" ht="12.75" customHeight="1">
      <c r="A5124" s="59" t="s">
        <v>392</v>
      </c>
      <c r="B5124" s="60" t="s">
        <v>1996</v>
      </c>
    </row>
    <row r="5125" ht="12.75" customHeight="1">
      <c r="A5125" s="59" t="s">
        <v>392</v>
      </c>
      <c r="B5125" s="60" t="s">
        <v>1997</v>
      </c>
    </row>
    <row r="5126" ht="12.75" customHeight="1">
      <c r="A5126" s="59" t="s">
        <v>392</v>
      </c>
      <c r="B5126" s="60" t="s">
        <v>889</v>
      </c>
    </row>
    <row r="5127" ht="12.75" customHeight="1">
      <c r="A5127" s="59" t="s">
        <v>234</v>
      </c>
      <c r="B5127" s="60" t="s">
        <v>804</v>
      </c>
    </row>
    <row r="5128" ht="12.75" customHeight="1">
      <c r="A5128" s="59" t="s">
        <v>234</v>
      </c>
      <c r="B5128" s="60" t="s">
        <v>76</v>
      </c>
    </row>
    <row r="5129" ht="12.75" customHeight="1">
      <c r="A5129" s="59" t="s">
        <v>234</v>
      </c>
      <c r="B5129" s="60" t="s">
        <v>80</v>
      </c>
    </row>
    <row r="5130" ht="12.75" customHeight="1">
      <c r="A5130" s="59" t="s">
        <v>234</v>
      </c>
      <c r="B5130" s="60" t="s">
        <v>83</v>
      </c>
    </row>
    <row r="5131" ht="12.75" customHeight="1">
      <c r="A5131" s="59" t="s">
        <v>234</v>
      </c>
      <c r="B5131" s="60" t="s">
        <v>85</v>
      </c>
    </row>
    <row r="5132" ht="12.75" customHeight="1">
      <c r="A5132" s="59" t="s">
        <v>234</v>
      </c>
      <c r="B5132" s="60">
        <v>28.0</v>
      </c>
    </row>
    <row r="5133" ht="12.75" customHeight="1">
      <c r="A5133" s="59" t="s">
        <v>234</v>
      </c>
      <c r="B5133" s="60">
        <v>29.0</v>
      </c>
    </row>
    <row r="5134" ht="12.75" customHeight="1">
      <c r="A5134" s="59" t="s">
        <v>234</v>
      </c>
      <c r="B5134" s="60">
        <v>30.0</v>
      </c>
    </row>
    <row r="5135" ht="12.75" customHeight="1">
      <c r="A5135" s="59" t="s">
        <v>234</v>
      </c>
      <c r="B5135" s="60">
        <v>31.0</v>
      </c>
    </row>
    <row r="5136" ht="12.75" customHeight="1">
      <c r="A5136" s="59" t="s">
        <v>234</v>
      </c>
      <c r="B5136" s="60">
        <v>32.0</v>
      </c>
    </row>
    <row r="5137" ht="12.75" customHeight="1">
      <c r="A5137" s="59" t="s">
        <v>234</v>
      </c>
      <c r="B5137" s="60">
        <v>33.0</v>
      </c>
    </row>
    <row r="5138" ht="12.75" customHeight="1">
      <c r="A5138" s="59" t="s">
        <v>234</v>
      </c>
      <c r="B5138" s="60">
        <v>34.0</v>
      </c>
    </row>
    <row r="5139" ht="12.75" customHeight="1">
      <c r="A5139" s="59" t="s">
        <v>234</v>
      </c>
      <c r="B5139" s="60">
        <v>35.0</v>
      </c>
    </row>
    <row r="5140" ht="12.75" customHeight="1">
      <c r="A5140" s="59" t="s">
        <v>234</v>
      </c>
      <c r="B5140" s="60">
        <v>36.0</v>
      </c>
    </row>
    <row r="5141" ht="12.75" customHeight="1">
      <c r="A5141" s="59" t="s">
        <v>234</v>
      </c>
      <c r="B5141" s="60">
        <v>37.0</v>
      </c>
    </row>
    <row r="5142" ht="12.75" customHeight="1">
      <c r="A5142" s="59" t="s">
        <v>234</v>
      </c>
      <c r="B5142" s="60">
        <v>38.0</v>
      </c>
    </row>
    <row r="5143" ht="12.75" customHeight="1">
      <c r="A5143" s="59" t="s">
        <v>234</v>
      </c>
      <c r="B5143" s="60">
        <v>39.0</v>
      </c>
    </row>
    <row r="5144" ht="12.75" customHeight="1">
      <c r="A5144" s="59" t="s">
        <v>234</v>
      </c>
      <c r="B5144" s="60">
        <v>40.0</v>
      </c>
    </row>
    <row r="5145" ht="12.75" customHeight="1">
      <c r="A5145" s="59" t="s">
        <v>234</v>
      </c>
      <c r="B5145" s="60">
        <v>41.0</v>
      </c>
    </row>
    <row r="5146" ht="12.75" customHeight="1">
      <c r="A5146" s="59" t="s">
        <v>234</v>
      </c>
      <c r="B5146" s="60" t="s">
        <v>810</v>
      </c>
    </row>
    <row r="5147" ht="12.75" customHeight="1">
      <c r="A5147" s="59" t="s">
        <v>234</v>
      </c>
      <c r="B5147" s="60" t="s">
        <v>811</v>
      </c>
    </row>
    <row r="5148" ht="12.75" customHeight="1">
      <c r="A5148" s="59" t="s">
        <v>234</v>
      </c>
      <c r="B5148" s="60" t="s">
        <v>812</v>
      </c>
    </row>
    <row r="5149" ht="12.75" customHeight="1">
      <c r="A5149" s="59" t="s">
        <v>234</v>
      </c>
      <c r="B5149" s="60" t="s">
        <v>813</v>
      </c>
    </row>
    <row r="5150" ht="12.75" customHeight="1">
      <c r="A5150" s="59" t="s">
        <v>234</v>
      </c>
      <c r="B5150" s="60" t="s">
        <v>814</v>
      </c>
    </row>
    <row r="5151" ht="12.75" customHeight="1">
      <c r="A5151" s="59" t="s">
        <v>234</v>
      </c>
      <c r="B5151" s="60" t="s">
        <v>1952</v>
      </c>
    </row>
    <row r="5152" ht="12.75" customHeight="1">
      <c r="A5152" s="59" t="s">
        <v>234</v>
      </c>
      <c r="B5152" s="60" t="s">
        <v>1953</v>
      </c>
    </row>
    <row r="5153" ht="12.75" customHeight="1">
      <c r="A5153" s="59" t="s">
        <v>234</v>
      </c>
      <c r="B5153" s="60" t="s">
        <v>1954</v>
      </c>
    </row>
    <row r="5154" ht="12.75" customHeight="1">
      <c r="A5154" s="59" t="s">
        <v>234</v>
      </c>
      <c r="B5154" s="60" t="s">
        <v>1955</v>
      </c>
    </row>
    <row r="5155" ht="12.75" customHeight="1">
      <c r="A5155" s="59" t="s">
        <v>234</v>
      </c>
      <c r="B5155" s="60" t="s">
        <v>1956</v>
      </c>
    </row>
    <row r="5156" ht="12.75" customHeight="1">
      <c r="A5156" s="59" t="s">
        <v>234</v>
      </c>
      <c r="B5156" s="60" t="s">
        <v>1957</v>
      </c>
    </row>
    <row r="5157" ht="12.75" customHeight="1">
      <c r="A5157" s="59" t="s">
        <v>234</v>
      </c>
      <c r="B5157" s="60" t="s">
        <v>1958</v>
      </c>
    </row>
    <row r="5158" ht="12.75" customHeight="1">
      <c r="A5158" s="59" t="s">
        <v>234</v>
      </c>
      <c r="B5158" s="60" t="s">
        <v>1959</v>
      </c>
    </row>
    <row r="5159" ht="12.75" customHeight="1">
      <c r="A5159" s="59" t="s">
        <v>234</v>
      </c>
      <c r="B5159" s="60" t="s">
        <v>1960</v>
      </c>
    </row>
    <row r="5160" ht="12.75" customHeight="1">
      <c r="A5160" s="59" t="s">
        <v>234</v>
      </c>
      <c r="B5160" s="60" t="s">
        <v>1961</v>
      </c>
    </row>
    <row r="5161" ht="12.75" customHeight="1">
      <c r="A5161" s="59" t="s">
        <v>234</v>
      </c>
      <c r="B5161" s="60" t="s">
        <v>1962</v>
      </c>
    </row>
    <row r="5162" ht="12.75" customHeight="1">
      <c r="A5162" s="59" t="s">
        <v>234</v>
      </c>
      <c r="B5162" s="60" t="s">
        <v>1963</v>
      </c>
    </row>
    <row r="5163" ht="12.75" customHeight="1">
      <c r="A5163" s="59" t="s">
        <v>234</v>
      </c>
      <c r="B5163" s="60" t="s">
        <v>1964</v>
      </c>
    </row>
    <row r="5164" ht="12.75" customHeight="1">
      <c r="A5164" s="59" t="s">
        <v>234</v>
      </c>
      <c r="B5164" s="60" t="s">
        <v>1965</v>
      </c>
    </row>
    <row r="5165" ht="12.75" customHeight="1">
      <c r="A5165" s="59" t="s">
        <v>234</v>
      </c>
      <c r="B5165" s="60" t="s">
        <v>820</v>
      </c>
    </row>
    <row r="5166" ht="12.75" customHeight="1">
      <c r="A5166" s="59" t="s">
        <v>234</v>
      </c>
      <c r="B5166" s="60" t="s">
        <v>821</v>
      </c>
    </row>
    <row r="5167" ht="12.75" customHeight="1">
      <c r="A5167" s="59" t="s">
        <v>234</v>
      </c>
      <c r="B5167" s="60" t="s">
        <v>822</v>
      </c>
    </row>
    <row r="5168" ht="12.75" customHeight="1">
      <c r="A5168" s="59" t="s">
        <v>234</v>
      </c>
      <c r="B5168" s="60" t="s">
        <v>823</v>
      </c>
    </row>
    <row r="5169" ht="12.75" customHeight="1">
      <c r="A5169" s="59" t="s">
        <v>234</v>
      </c>
      <c r="B5169" s="60" t="s">
        <v>824</v>
      </c>
    </row>
    <row r="5170" ht="12.75" customHeight="1">
      <c r="A5170" s="59" t="s">
        <v>234</v>
      </c>
      <c r="B5170" s="60" t="s">
        <v>875</v>
      </c>
    </row>
    <row r="5171" ht="12.75" customHeight="1">
      <c r="A5171" s="59" t="s">
        <v>234</v>
      </c>
      <c r="B5171" s="60" t="s">
        <v>1205</v>
      </c>
    </row>
    <row r="5172" ht="12.75" customHeight="1">
      <c r="A5172" s="59" t="s">
        <v>234</v>
      </c>
      <c r="B5172" s="60" t="s">
        <v>876</v>
      </c>
    </row>
    <row r="5173" ht="12.75" customHeight="1">
      <c r="A5173" s="59" t="s">
        <v>234</v>
      </c>
      <c r="B5173" s="60" t="s">
        <v>1206</v>
      </c>
    </row>
    <row r="5174" ht="12.75" customHeight="1">
      <c r="A5174" s="59" t="s">
        <v>234</v>
      </c>
      <c r="B5174" s="60" t="s">
        <v>877</v>
      </c>
    </row>
    <row r="5175" ht="12.75" customHeight="1">
      <c r="A5175" s="59" t="s">
        <v>234</v>
      </c>
      <c r="B5175" s="60" t="s">
        <v>1230</v>
      </c>
    </row>
    <row r="5176" ht="12.75" customHeight="1">
      <c r="A5176" s="59" t="s">
        <v>234</v>
      </c>
      <c r="B5176" s="60" t="s">
        <v>878</v>
      </c>
    </row>
    <row r="5177" ht="12.75" customHeight="1">
      <c r="A5177" s="59" t="s">
        <v>234</v>
      </c>
      <c r="B5177" s="60" t="s">
        <v>1966</v>
      </c>
    </row>
    <row r="5178" ht="12.75" customHeight="1">
      <c r="A5178" s="59" t="s">
        <v>234</v>
      </c>
      <c r="B5178" s="60" t="s">
        <v>879</v>
      </c>
    </row>
    <row r="5179" ht="12.75" customHeight="1">
      <c r="A5179" s="59" t="s">
        <v>234</v>
      </c>
      <c r="B5179" s="60" t="s">
        <v>1967</v>
      </c>
    </row>
    <row r="5180" ht="12.75" customHeight="1">
      <c r="A5180" s="59" t="s">
        <v>234</v>
      </c>
      <c r="B5180" s="60" t="s">
        <v>880</v>
      </c>
    </row>
    <row r="5181" ht="12.75" customHeight="1">
      <c r="A5181" s="59" t="s">
        <v>234</v>
      </c>
      <c r="B5181" s="60" t="s">
        <v>1968</v>
      </c>
    </row>
    <row r="5182" ht="12.75" customHeight="1">
      <c r="A5182" s="59" t="s">
        <v>234</v>
      </c>
      <c r="B5182" s="60" t="s">
        <v>1969</v>
      </c>
    </row>
    <row r="5183" ht="12.75" customHeight="1">
      <c r="A5183" s="59" t="s">
        <v>234</v>
      </c>
      <c r="B5183" s="60" t="s">
        <v>1970</v>
      </c>
    </row>
    <row r="5184" ht="12.75" customHeight="1">
      <c r="A5184" s="59" t="s">
        <v>234</v>
      </c>
      <c r="B5184" s="60" t="s">
        <v>830</v>
      </c>
    </row>
    <row r="5185" ht="12.75" customHeight="1">
      <c r="A5185" s="59" t="s">
        <v>234</v>
      </c>
      <c r="B5185" s="60" t="s">
        <v>831</v>
      </c>
    </row>
    <row r="5186" ht="12.75" customHeight="1">
      <c r="A5186" s="59" t="s">
        <v>234</v>
      </c>
      <c r="B5186" s="60" t="s">
        <v>832</v>
      </c>
    </row>
    <row r="5187" ht="12.75" customHeight="1">
      <c r="A5187" s="59" t="s">
        <v>234</v>
      </c>
      <c r="B5187" s="60" t="s">
        <v>833</v>
      </c>
    </row>
    <row r="5188" ht="12.75" customHeight="1">
      <c r="A5188" s="59" t="s">
        <v>234</v>
      </c>
      <c r="B5188" s="60" t="s">
        <v>834</v>
      </c>
    </row>
    <row r="5189" ht="12.75" customHeight="1">
      <c r="A5189" s="59" t="s">
        <v>234</v>
      </c>
      <c r="B5189" s="60" t="s">
        <v>894</v>
      </c>
    </row>
    <row r="5190" ht="12.75" customHeight="1">
      <c r="A5190" s="59" t="s">
        <v>234</v>
      </c>
      <c r="B5190" s="60" t="s">
        <v>1211</v>
      </c>
    </row>
    <row r="5191" ht="12.75" customHeight="1">
      <c r="A5191" s="59" t="s">
        <v>234</v>
      </c>
      <c r="B5191" s="60" t="s">
        <v>895</v>
      </c>
    </row>
    <row r="5192" ht="12.75" customHeight="1">
      <c r="A5192" s="59" t="s">
        <v>234</v>
      </c>
      <c r="B5192" s="60" t="s">
        <v>1212</v>
      </c>
    </row>
    <row r="5193" ht="12.75" customHeight="1">
      <c r="A5193" s="59" t="s">
        <v>234</v>
      </c>
      <c r="B5193" s="60" t="s">
        <v>896</v>
      </c>
    </row>
    <row r="5194" ht="12.75" customHeight="1">
      <c r="A5194" s="59" t="s">
        <v>234</v>
      </c>
      <c r="B5194" s="60" t="s">
        <v>1239</v>
      </c>
    </row>
    <row r="5195" ht="12.75" customHeight="1">
      <c r="A5195" s="59" t="s">
        <v>234</v>
      </c>
      <c r="B5195" s="60" t="s">
        <v>897</v>
      </c>
    </row>
    <row r="5196" ht="12.75" customHeight="1">
      <c r="A5196" s="59" t="s">
        <v>234</v>
      </c>
      <c r="B5196" s="60" t="s">
        <v>1971</v>
      </c>
    </row>
    <row r="5197" ht="12.75" customHeight="1">
      <c r="A5197" s="59" t="s">
        <v>234</v>
      </c>
      <c r="B5197" s="60" t="s">
        <v>898</v>
      </c>
    </row>
    <row r="5198" ht="12.75" customHeight="1">
      <c r="A5198" s="59" t="s">
        <v>234</v>
      </c>
      <c r="B5198" s="60" t="s">
        <v>1972</v>
      </c>
    </row>
    <row r="5199" ht="12.75" customHeight="1">
      <c r="A5199" s="59" t="s">
        <v>234</v>
      </c>
      <c r="B5199" s="60" t="s">
        <v>899</v>
      </c>
    </row>
    <row r="5200" ht="12.75" customHeight="1">
      <c r="A5200" s="59" t="s">
        <v>234</v>
      </c>
      <c r="B5200" s="60" t="s">
        <v>1973</v>
      </c>
    </row>
    <row r="5201" ht="12.75" customHeight="1">
      <c r="A5201" s="59" t="s">
        <v>234</v>
      </c>
      <c r="B5201" s="60" t="s">
        <v>1974</v>
      </c>
    </row>
    <row r="5202" ht="12.75" customHeight="1">
      <c r="A5202" s="59" t="s">
        <v>234</v>
      </c>
      <c r="B5202" s="60" t="s">
        <v>1975</v>
      </c>
    </row>
    <row r="5203" ht="12.75" customHeight="1">
      <c r="A5203" s="59" t="s">
        <v>407</v>
      </c>
      <c r="B5203" s="60" t="s">
        <v>1998</v>
      </c>
    </row>
    <row r="5204" ht="12.75" customHeight="1">
      <c r="A5204" s="59" t="s">
        <v>407</v>
      </c>
      <c r="B5204" s="60" t="s">
        <v>1999</v>
      </c>
    </row>
    <row r="5205" ht="12.75" customHeight="1">
      <c r="A5205" s="59" t="s">
        <v>407</v>
      </c>
      <c r="B5205" s="60" t="s">
        <v>2000</v>
      </c>
    </row>
    <row r="5206" ht="12.75" customHeight="1">
      <c r="A5206" s="59" t="s">
        <v>407</v>
      </c>
      <c r="B5206" s="60" t="s">
        <v>2001</v>
      </c>
    </row>
    <row r="5207" ht="12.75" customHeight="1">
      <c r="A5207" s="59" t="s">
        <v>407</v>
      </c>
      <c r="B5207" s="60" t="s">
        <v>2002</v>
      </c>
    </row>
    <row r="5208" ht="12.75" customHeight="1">
      <c r="A5208" s="59" t="s">
        <v>407</v>
      </c>
      <c r="B5208" s="60" t="s">
        <v>2003</v>
      </c>
    </row>
    <row r="5209" ht="12.75" customHeight="1">
      <c r="A5209" s="59" t="s">
        <v>407</v>
      </c>
      <c r="B5209" s="60" t="s">
        <v>2004</v>
      </c>
    </row>
    <row r="5210" ht="12.75" customHeight="1">
      <c r="A5210" s="59" t="s">
        <v>407</v>
      </c>
      <c r="B5210" s="60" t="s">
        <v>2005</v>
      </c>
    </row>
    <row r="5211" ht="12.75" customHeight="1">
      <c r="A5211" s="59" t="s">
        <v>407</v>
      </c>
      <c r="B5211" s="60" t="s">
        <v>2006</v>
      </c>
    </row>
    <row r="5212" ht="12.75" customHeight="1">
      <c r="A5212" s="59" t="s">
        <v>407</v>
      </c>
      <c r="B5212" s="60" t="s">
        <v>2007</v>
      </c>
    </row>
    <row r="5213" ht="12.75" customHeight="1">
      <c r="A5213" s="59" t="s">
        <v>407</v>
      </c>
      <c r="B5213" s="60" t="s">
        <v>2008</v>
      </c>
    </row>
    <row r="5214" ht="12.75" customHeight="1">
      <c r="A5214" s="59" t="s">
        <v>407</v>
      </c>
      <c r="B5214" s="60" t="s">
        <v>2009</v>
      </c>
    </row>
    <row r="5215" ht="12.75" customHeight="1">
      <c r="A5215" s="59" t="s">
        <v>407</v>
      </c>
      <c r="B5215" s="60" t="s">
        <v>2010</v>
      </c>
    </row>
    <row r="5216" ht="12.75" customHeight="1">
      <c r="A5216" s="59" t="s">
        <v>407</v>
      </c>
      <c r="B5216" s="60" t="s">
        <v>2011</v>
      </c>
    </row>
    <row r="5217" ht="12.75" customHeight="1">
      <c r="A5217" s="59" t="s">
        <v>407</v>
      </c>
      <c r="B5217" s="60" t="s">
        <v>2012</v>
      </c>
    </row>
    <row r="5218" ht="12.75" customHeight="1">
      <c r="A5218" s="59" t="s">
        <v>407</v>
      </c>
      <c r="B5218" s="60" t="s">
        <v>2013</v>
      </c>
    </row>
    <row r="5219" ht="12.75" customHeight="1">
      <c r="A5219" s="59" t="s">
        <v>407</v>
      </c>
      <c r="B5219" s="60" t="s">
        <v>2014</v>
      </c>
    </row>
    <row r="5220" ht="12.75" customHeight="1">
      <c r="A5220" s="59" t="s">
        <v>407</v>
      </c>
      <c r="B5220" s="60" t="s">
        <v>2015</v>
      </c>
    </row>
    <row r="5221" ht="12.75" customHeight="1">
      <c r="A5221" s="59" t="s">
        <v>407</v>
      </c>
      <c r="B5221" s="60" t="s">
        <v>2016</v>
      </c>
    </row>
    <row r="5222" ht="12.75" customHeight="1">
      <c r="A5222" s="59" t="s">
        <v>407</v>
      </c>
      <c r="B5222" s="60" t="s">
        <v>2017</v>
      </c>
    </row>
    <row r="5223" ht="12.75" customHeight="1">
      <c r="A5223" s="59" t="s">
        <v>407</v>
      </c>
      <c r="B5223" s="60" t="s">
        <v>2018</v>
      </c>
    </row>
    <row r="5224" ht="12.75" customHeight="1">
      <c r="A5224" s="59" t="s">
        <v>407</v>
      </c>
      <c r="B5224" s="60" t="s">
        <v>2019</v>
      </c>
    </row>
    <row r="5225" ht="12.75" customHeight="1">
      <c r="A5225" s="59" t="s">
        <v>407</v>
      </c>
      <c r="B5225" s="60" t="s">
        <v>2020</v>
      </c>
    </row>
    <row r="5226" ht="12.75" customHeight="1">
      <c r="A5226" s="59" t="s">
        <v>407</v>
      </c>
      <c r="B5226" s="60" t="s">
        <v>2021</v>
      </c>
    </row>
    <row r="5227" ht="12.75" customHeight="1">
      <c r="A5227" s="59" t="s">
        <v>407</v>
      </c>
      <c r="B5227" s="60" t="s">
        <v>2022</v>
      </c>
    </row>
    <row r="5228" ht="12.75" customHeight="1">
      <c r="A5228" s="59" t="s">
        <v>407</v>
      </c>
      <c r="B5228" s="60" t="s">
        <v>2023</v>
      </c>
    </row>
    <row r="5229" ht="12.75" customHeight="1">
      <c r="A5229" s="59" t="s">
        <v>407</v>
      </c>
      <c r="B5229" s="60" t="s">
        <v>2024</v>
      </c>
    </row>
    <row r="5230" ht="12.75" customHeight="1">
      <c r="A5230" s="59" t="s">
        <v>407</v>
      </c>
      <c r="B5230" s="60" t="s">
        <v>2025</v>
      </c>
    </row>
    <row r="5231" ht="12.75" customHeight="1">
      <c r="A5231" s="59" t="s">
        <v>407</v>
      </c>
      <c r="B5231" s="60" t="s">
        <v>2026</v>
      </c>
    </row>
    <row r="5232" ht="12.75" customHeight="1">
      <c r="A5232" s="59" t="s">
        <v>407</v>
      </c>
      <c r="B5232" s="60" t="s">
        <v>2027</v>
      </c>
    </row>
    <row r="5233" ht="12.75" customHeight="1">
      <c r="A5233" s="59" t="s">
        <v>407</v>
      </c>
      <c r="B5233" s="60" t="s">
        <v>2028</v>
      </c>
    </row>
    <row r="5234" ht="12.75" customHeight="1">
      <c r="A5234" s="59" t="s">
        <v>407</v>
      </c>
      <c r="B5234" s="60" t="s">
        <v>2029</v>
      </c>
    </row>
    <row r="5235" ht="12.75" customHeight="1">
      <c r="A5235" s="59" t="s">
        <v>407</v>
      </c>
      <c r="B5235" s="60" t="s">
        <v>2030</v>
      </c>
    </row>
    <row r="5236" ht="12.75" customHeight="1">
      <c r="A5236" s="59" t="s">
        <v>407</v>
      </c>
      <c r="B5236" s="60" t="s">
        <v>2031</v>
      </c>
    </row>
    <row r="5237" ht="12.75" customHeight="1">
      <c r="A5237" s="59" t="s">
        <v>407</v>
      </c>
      <c r="B5237" s="60" t="s">
        <v>2032</v>
      </c>
    </row>
    <row r="5238" ht="12.75" customHeight="1">
      <c r="A5238" s="59" t="s">
        <v>407</v>
      </c>
      <c r="B5238" s="60" t="s">
        <v>2033</v>
      </c>
    </row>
    <row r="5239" ht="12.75" customHeight="1">
      <c r="A5239" s="59" t="s">
        <v>407</v>
      </c>
      <c r="B5239" s="60" t="s">
        <v>2034</v>
      </c>
    </row>
    <row r="5240" ht="12.75" customHeight="1">
      <c r="A5240" s="59" t="s">
        <v>407</v>
      </c>
      <c r="B5240" s="60" t="s">
        <v>2035</v>
      </c>
    </row>
    <row r="5241" ht="12.75" customHeight="1">
      <c r="A5241" s="59" t="s">
        <v>407</v>
      </c>
      <c r="B5241" s="60" t="s">
        <v>2036</v>
      </c>
    </row>
    <row r="5242" ht="12.75" customHeight="1">
      <c r="A5242" s="59" t="s">
        <v>407</v>
      </c>
      <c r="B5242" s="60" t="s">
        <v>2037</v>
      </c>
    </row>
    <row r="5243" ht="12.75" customHeight="1">
      <c r="A5243" s="59" t="s">
        <v>407</v>
      </c>
      <c r="B5243" s="60" t="s">
        <v>2038</v>
      </c>
    </row>
    <row r="5244" ht="12.75" customHeight="1">
      <c r="A5244" s="59" t="s">
        <v>407</v>
      </c>
      <c r="B5244" s="60" t="s">
        <v>2039</v>
      </c>
    </row>
    <row r="5245" ht="12.75" customHeight="1">
      <c r="A5245" s="59" t="s">
        <v>407</v>
      </c>
      <c r="B5245" s="60" t="s">
        <v>2040</v>
      </c>
    </row>
    <row r="5246" ht="12.75" customHeight="1">
      <c r="A5246" s="59" t="s">
        <v>407</v>
      </c>
      <c r="B5246" s="60" t="s">
        <v>2041</v>
      </c>
    </row>
    <row r="5247" ht="12.75" customHeight="1">
      <c r="A5247" s="59" t="s">
        <v>407</v>
      </c>
      <c r="B5247" s="60" t="s">
        <v>2042</v>
      </c>
    </row>
    <row r="5248" ht="12.75" customHeight="1">
      <c r="A5248" s="59" t="s">
        <v>407</v>
      </c>
      <c r="B5248" s="60" t="s">
        <v>2043</v>
      </c>
    </row>
    <row r="5249" ht="12.75" customHeight="1">
      <c r="A5249" s="59" t="s">
        <v>407</v>
      </c>
      <c r="B5249" s="60" t="s">
        <v>2044</v>
      </c>
    </row>
    <row r="5250" ht="12.75" customHeight="1">
      <c r="A5250" s="59" t="s">
        <v>407</v>
      </c>
      <c r="B5250" s="60" t="s">
        <v>2045</v>
      </c>
    </row>
    <row r="5251" ht="12.75" customHeight="1">
      <c r="A5251" s="59" t="s">
        <v>407</v>
      </c>
      <c r="B5251" s="60" t="s">
        <v>2046</v>
      </c>
    </row>
    <row r="5252" ht="12.75" customHeight="1">
      <c r="A5252" s="59" t="s">
        <v>407</v>
      </c>
      <c r="B5252" s="60" t="s">
        <v>2047</v>
      </c>
    </row>
    <row r="5253" ht="12.75" customHeight="1">
      <c r="A5253" s="59" t="s">
        <v>407</v>
      </c>
      <c r="B5253" s="60" t="s">
        <v>2048</v>
      </c>
    </row>
    <row r="5254" ht="12.75" customHeight="1">
      <c r="A5254" s="59" t="s">
        <v>407</v>
      </c>
      <c r="B5254" s="60" t="s">
        <v>2049</v>
      </c>
    </row>
    <row r="5255" ht="12.75" customHeight="1">
      <c r="A5255" s="59" t="s">
        <v>407</v>
      </c>
      <c r="B5255" s="60" t="s">
        <v>2050</v>
      </c>
    </row>
    <row r="5256" ht="12.75" customHeight="1">
      <c r="A5256" s="59" t="s">
        <v>407</v>
      </c>
      <c r="B5256" s="60" t="s">
        <v>2051</v>
      </c>
    </row>
    <row r="5257" ht="12.75" customHeight="1">
      <c r="A5257" s="59" t="s">
        <v>407</v>
      </c>
      <c r="B5257" s="60" t="s">
        <v>2052</v>
      </c>
    </row>
    <row r="5258" ht="12.75" customHeight="1">
      <c r="A5258" s="59" t="s">
        <v>407</v>
      </c>
      <c r="B5258" s="60" t="s">
        <v>2053</v>
      </c>
    </row>
    <row r="5259" ht="12.75" customHeight="1">
      <c r="A5259" s="59" t="s">
        <v>407</v>
      </c>
      <c r="B5259" s="60" t="s">
        <v>2054</v>
      </c>
    </row>
    <row r="5260" ht="12.75" customHeight="1">
      <c r="A5260" s="59" t="s">
        <v>407</v>
      </c>
      <c r="B5260" s="60" t="s">
        <v>2055</v>
      </c>
    </row>
    <row r="5261" ht="12.75" customHeight="1">
      <c r="A5261" s="59" t="s">
        <v>407</v>
      </c>
      <c r="B5261" s="60" t="s">
        <v>2056</v>
      </c>
    </row>
    <row r="5262" ht="12.75" customHeight="1">
      <c r="A5262" s="59" t="s">
        <v>407</v>
      </c>
      <c r="B5262" s="60" t="s">
        <v>2057</v>
      </c>
    </row>
    <row r="5263" ht="12.75" customHeight="1">
      <c r="A5263" s="59" t="s">
        <v>407</v>
      </c>
      <c r="B5263" s="60" t="s">
        <v>2058</v>
      </c>
    </row>
    <row r="5264" ht="12.75" customHeight="1">
      <c r="A5264" s="59" t="s">
        <v>407</v>
      </c>
      <c r="B5264" s="60" t="s">
        <v>2059</v>
      </c>
    </row>
    <row r="5265" ht="12.75" customHeight="1">
      <c r="A5265" s="59" t="s">
        <v>407</v>
      </c>
      <c r="B5265" s="60" t="s">
        <v>2060</v>
      </c>
    </row>
    <row r="5266" ht="12.75" customHeight="1">
      <c r="A5266" s="59" t="s">
        <v>407</v>
      </c>
      <c r="B5266" s="60" t="s">
        <v>2061</v>
      </c>
    </row>
    <row r="5267" ht="12.75" customHeight="1">
      <c r="A5267" s="59" t="s">
        <v>407</v>
      </c>
      <c r="B5267" s="60" t="s">
        <v>2062</v>
      </c>
    </row>
    <row r="5268" ht="12.75" customHeight="1">
      <c r="A5268" s="59" t="s">
        <v>407</v>
      </c>
      <c r="B5268" s="60" t="s">
        <v>2063</v>
      </c>
    </row>
    <row r="5269" ht="12.75" customHeight="1">
      <c r="A5269" s="59" t="s">
        <v>407</v>
      </c>
      <c r="B5269" s="60" t="s">
        <v>2064</v>
      </c>
    </row>
    <row r="5270" ht="12.75" customHeight="1">
      <c r="A5270" s="59" t="s">
        <v>407</v>
      </c>
      <c r="B5270" s="60" t="s">
        <v>2065</v>
      </c>
    </row>
    <row r="5271" ht="12.75" customHeight="1">
      <c r="A5271" s="59" t="s">
        <v>407</v>
      </c>
      <c r="B5271" s="60" t="s">
        <v>2066</v>
      </c>
    </row>
    <row r="5272" ht="12.75" customHeight="1">
      <c r="A5272" s="59" t="s">
        <v>407</v>
      </c>
      <c r="B5272" s="60" t="s">
        <v>2067</v>
      </c>
    </row>
    <row r="5273" ht="12.75" customHeight="1">
      <c r="A5273" s="59" t="s">
        <v>407</v>
      </c>
      <c r="B5273" s="60" t="s">
        <v>2068</v>
      </c>
    </row>
    <row r="5274" ht="12.75" customHeight="1">
      <c r="A5274" s="59" t="s">
        <v>407</v>
      </c>
      <c r="B5274" s="60" t="s">
        <v>2069</v>
      </c>
    </row>
    <row r="5275" ht="12.75" customHeight="1">
      <c r="A5275" s="59" t="s">
        <v>407</v>
      </c>
      <c r="B5275" s="60" t="s">
        <v>2070</v>
      </c>
    </row>
    <row r="5276" ht="12.75" customHeight="1">
      <c r="A5276" s="59" t="s">
        <v>407</v>
      </c>
      <c r="B5276" s="60" t="s">
        <v>2071</v>
      </c>
    </row>
    <row r="5277" ht="12.75" customHeight="1">
      <c r="A5277" s="59" t="s">
        <v>407</v>
      </c>
      <c r="B5277" s="60" t="s">
        <v>2072</v>
      </c>
    </row>
    <row r="5278" ht="12.75" customHeight="1">
      <c r="A5278" s="59" t="s">
        <v>407</v>
      </c>
      <c r="B5278" s="60" t="s">
        <v>2073</v>
      </c>
    </row>
    <row r="5279" ht="12.75" customHeight="1">
      <c r="A5279" s="59" t="s">
        <v>407</v>
      </c>
      <c r="B5279" s="60" t="s">
        <v>2074</v>
      </c>
    </row>
    <row r="5280" ht="12.75" customHeight="1">
      <c r="A5280" s="59" t="s">
        <v>407</v>
      </c>
      <c r="B5280" s="60" t="s">
        <v>2075</v>
      </c>
    </row>
    <row r="5281" ht="12.75" customHeight="1">
      <c r="A5281" s="59" t="s">
        <v>407</v>
      </c>
      <c r="B5281" s="60" t="s">
        <v>2076</v>
      </c>
    </row>
    <row r="5282" ht="12.75" customHeight="1">
      <c r="A5282" s="59" t="s">
        <v>407</v>
      </c>
      <c r="B5282" s="60" t="s">
        <v>2077</v>
      </c>
    </row>
    <row r="5283" ht="12.75" customHeight="1">
      <c r="A5283" s="59" t="s">
        <v>407</v>
      </c>
      <c r="B5283" s="60" t="s">
        <v>2078</v>
      </c>
    </row>
    <row r="5284" ht="12.75" customHeight="1">
      <c r="A5284" s="59" t="s">
        <v>407</v>
      </c>
      <c r="B5284" s="60" t="s">
        <v>2079</v>
      </c>
    </row>
    <row r="5285" ht="12.75" customHeight="1">
      <c r="A5285" s="59" t="s">
        <v>407</v>
      </c>
      <c r="B5285" s="60" t="s">
        <v>2080</v>
      </c>
    </row>
    <row r="5286" ht="12.75" customHeight="1">
      <c r="A5286" s="59" t="s">
        <v>407</v>
      </c>
      <c r="B5286" s="60" t="s">
        <v>2081</v>
      </c>
    </row>
    <row r="5287" ht="12.75" customHeight="1">
      <c r="A5287" s="59" t="s">
        <v>407</v>
      </c>
      <c r="B5287" s="60" t="s">
        <v>2082</v>
      </c>
    </row>
    <row r="5288" ht="12.75" customHeight="1">
      <c r="A5288" s="59" t="s">
        <v>407</v>
      </c>
      <c r="B5288" s="60" t="s">
        <v>2083</v>
      </c>
    </row>
    <row r="5289" ht="12.75" customHeight="1">
      <c r="A5289" s="59" t="s">
        <v>407</v>
      </c>
      <c r="B5289" s="60" t="s">
        <v>2084</v>
      </c>
    </row>
    <row r="5290" ht="12.75" customHeight="1">
      <c r="A5290" s="59" t="s">
        <v>407</v>
      </c>
      <c r="B5290" s="60" t="s">
        <v>2085</v>
      </c>
    </row>
    <row r="5291" ht="12.75" customHeight="1">
      <c r="A5291" s="59" t="s">
        <v>407</v>
      </c>
      <c r="B5291" s="60" t="s">
        <v>2086</v>
      </c>
    </row>
    <row r="5292" ht="12.75" customHeight="1">
      <c r="A5292" s="59" t="s">
        <v>407</v>
      </c>
      <c r="B5292" s="60" t="s">
        <v>2087</v>
      </c>
    </row>
    <row r="5293" ht="12.75" customHeight="1">
      <c r="A5293" s="59" t="s">
        <v>407</v>
      </c>
      <c r="B5293" s="60" t="s">
        <v>2088</v>
      </c>
    </row>
    <row r="5294" ht="12.75" customHeight="1">
      <c r="A5294" s="59" t="s">
        <v>407</v>
      </c>
      <c r="B5294" s="60" t="s">
        <v>2089</v>
      </c>
    </row>
    <row r="5295" ht="12.75" customHeight="1">
      <c r="A5295" s="59" t="s">
        <v>407</v>
      </c>
      <c r="B5295" s="60" t="s">
        <v>2090</v>
      </c>
    </row>
    <row r="5296" ht="12.75" customHeight="1">
      <c r="A5296" s="59" t="s">
        <v>407</v>
      </c>
      <c r="B5296" s="60" t="s">
        <v>2091</v>
      </c>
    </row>
    <row r="5297" ht="12.75" customHeight="1">
      <c r="A5297" s="59" t="s">
        <v>407</v>
      </c>
      <c r="B5297" s="60" t="s">
        <v>2092</v>
      </c>
    </row>
    <row r="5298" ht="12.75" customHeight="1">
      <c r="A5298" s="59" t="s">
        <v>407</v>
      </c>
      <c r="B5298" s="60" t="s">
        <v>2093</v>
      </c>
    </row>
    <row r="5299" ht="12.75" customHeight="1">
      <c r="A5299" s="59" t="s">
        <v>407</v>
      </c>
      <c r="B5299" s="60" t="s">
        <v>2094</v>
      </c>
    </row>
    <row r="5300" ht="12.75" customHeight="1">
      <c r="A5300" s="59" t="s">
        <v>407</v>
      </c>
      <c r="B5300" s="60" t="s">
        <v>2095</v>
      </c>
    </row>
    <row r="5301" ht="12.75" customHeight="1">
      <c r="A5301" s="59" t="s">
        <v>407</v>
      </c>
      <c r="B5301" s="60" t="s">
        <v>2096</v>
      </c>
    </row>
    <row r="5302" ht="12.75" customHeight="1">
      <c r="A5302" s="59" t="s">
        <v>407</v>
      </c>
      <c r="B5302" s="60" t="s">
        <v>2097</v>
      </c>
    </row>
    <row r="5303" ht="12.75" customHeight="1">
      <c r="A5303" s="59" t="s">
        <v>407</v>
      </c>
      <c r="B5303" s="60" t="s">
        <v>2098</v>
      </c>
    </row>
    <row r="5304" ht="12.75" customHeight="1">
      <c r="A5304" s="59" t="s">
        <v>407</v>
      </c>
      <c r="B5304" s="60" t="s">
        <v>2099</v>
      </c>
    </row>
    <row r="5305" ht="12.75" customHeight="1">
      <c r="A5305" s="59" t="s">
        <v>407</v>
      </c>
      <c r="B5305" s="60" t="s">
        <v>2100</v>
      </c>
    </row>
    <row r="5306" ht="12.75" customHeight="1">
      <c r="A5306" s="59" t="s">
        <v>407</v>
      </c>
      <c r="B5306" s="60" t="s">
        <v>2101</v>
      </c>
    </row>
    <row r="5307" ht="12.75" customHeight="1">
      <c r="A5307" s="59" t="s">
        <v>407</v>
      </c>
      <c r="B5307" s="60" t="s">
        <v>2102</v>
      </c>
    </row>
    <row r="5308" ht="12.75" customHeight="1">
      <c r="A5308" s="59" t="s">
        <v>407</v>
      </c>
      <c r="B5308" s="60" t="s">
        <v>2103</v>
      </c>
    </row>
    <row r="5309" ht="12.75" customHeight="1">
      <c r="A5309" s="59" t="s">
        <v>407</v>
      </c>
      <c r="B5309" s="60" t="s">
        <v>2104</v>
      </c>
    </row>
    <row r="5310" ht="12.75" customHeight="1">
      <c r="A5310" s="59" t="s">
        <v>407</v>
      </c>
      <c r="B5310" s="60" t="s">
        <v>2105</v>
      </c>
    </row>
    <row r="5311" ht="12.75" customHeight="1">
      <c r="A5311" s="59" t="s">
        <v>407</v>
      </c>
      <c r="B5311" s="60" t="s">
        <v>2106</v>
      </c>
    </row>
    <row r="5312" ht="12.75" customHeight="1">
      <c r="A5312" s="59" t="s">
        <v>407</v>
      </c>
      <c r="B5312" s="60" t="s">
        <v>2107</v>
      </c>
    </row>
    <row r="5313" ht="12.75" customHeight="1">
      <c r="A5313" s="59" t="s">
        <v>407</v>
      </c>
      <c r="B5313" s="60" t="s">
        <v>2108</v>
      </c>
    </row>
    <row r="5314" ht="12.75" customHeight="1">
      <c r="A5314" s="59" t="s">
        <v>407</v>
      </c>
      <c r="B5314" s="60" t="s">
        <v>2109</v>
      </c>
    </row>
    <row r="5315" ht="12.75" customHeight="1">
      <c r="A5315" s="59" t="s">
        <v>407</v>
      </c>
      <c r="B5315" s="60" t="s">
        <v>2110</v>
      </c>
    </row>
    <row r="5316" ht="12.75" customHeight="1">
      <c r="A5316" s="59" t="s">
        <v>407</v>
      </c>
      <c r="B5316" s="60" t="s">
        <v>2111</v>
      </c>
    </row>
    <row r="5317" ht="12.75" customHeight="1">
      <c r="A5317" s="59" t="s">
        <v>407</v>
      </c>
      <c r="B5317" s="60" t="s">
        <v>2112</v>
      </c>
    </row>
    <row r="5318" ht="12.75" customHeight="1">
      <c r="A5318" s="59" t="s">
        <v>407</v>
      </c>
      <c r="B5318" s="60" t="s">
        <v>2113</v>
      </c>
    </row>
    <row r="5319" ht="12.75" customHeight="1">
      <c r="A5319" s="59" t="s">
        <v>407</v>
      </c>
      <c r="B5319" s="60" t="s">
        <v>2114</v>
      </c>
    </row>
    <row r="5320" ht="12.75" customHeight="1">
      <c r="A5320" s="59" t="s">
        <v>407</v>
      </c>
      <c r="B5320" s="60" t="s">
        <v>2115</v>
      </c>
    </row>
    <row r="5321" ht="12.75" customHeight="1">
      <c r="A5321" s="59" t="s">
        <v>407</v>
      </c>
      <c r="B5321" s="60" t="s">
        <v>2116</v>
      </c>
    </row>
    <row r="5322" ht="12.75" customHeight="1">
      <c r="A5322" s="59" t="s">
        <v>407</v>
      </c>
      <c r="B5322" s="60" t="s">
        <v>2117</v>
      </c>
    </row>
    <row r="5323" ht="12.75" customHeight="1">
      <c r="A5323" s="59" t="s">
        <v>407</v>
      </c>
      <c r="B5323" s="60" t="s">
        <v>2118</v>
      </c>
    </row>
    <row r="5324" ht="12.75" customHeight="1">
      <c r="A5324" s="59" t="s">
        <v>407</v>
      </c>
      <c r="B5324" s="60" t="s">
        <v>2119</v>
      </c>
    </row>
    <row r="5325" ht="12.75" customHeight="1">
      <c r="A5325" s="59" t="s">
        <v>407</v>
      </c>
      <c r="B5325" s="60" t="s">
        <v>2120</v>
      </c>
    </row>
    <row r="5326" ht="12.75" customHeight="1">
      <c r="A5326" s="59" t="s">
        <v>407</v>
      </c>
      <c r="B5326" s="60" t="s">
        <v>2121</v>
      </c>
    </row>
    <row r="5327" ht="12.75" customHeight="1">
      <c r="A5327" s="59" t="s">
        <v>407</v>
      </c>
      <c r="B5327" s="60" t="s">
        <v>2122</v>
      </c>
    </row>
    <row r="5328" ht="12.75" customHeight="1">
      <c r="A5328" s="59" t="s">
        <v>407</v>
      </c>
      <c r="B5328" s="60" t="s">
        <v>2123</v>
      </c>
    </row>
    <row r="5329" ht="12.75" customHeight="1">
      <c r="A5329" s="59" t="s">
        <v>407</v>
      </c>
      <c r="B5329" s="60" t="s">
        <v>2124</v>
      </c>
    </row>
    <row r="5330" ht="12.75" customHeight="1">
      <c r="A5330" s="59" t="s">
        <v>407</v>
      </c>
      <c r="B5330" s="60" t="s">
        <v>2125</v>
      </c>
    </row>
    <row r="5331" ht="12.75" customHeight="1">
      <c r="A5331" s="59" t="s">
        <v>407</v>
      </c>
      <c r="B5331" s="60" t="s">
        <v>2126</v>
      </c>
    </row>
    <row r="5332" ht="12.75" customHeight="1">
      <c r="A5332" s="59" t="s">
        <v>407</v>
      </c>
      <c r="B5332" s="60" t="s">
        <v>2127</v>
      </c>
    </row>
    <row r="5333" ht="12.75" customHeight="1">
      <c r="A5333" s="59" t="s">
        <v>407</v>
      </c>
      <c r="B5333" s="60" t="s">
        <v>2128</v>
      </c>
    </row>
    <row r="5334" ht="12.75" customHeight="1">
      <c r="A5334" s="59" t="s">
        <v>407</v>
      </c>
      <c r="B5334" s="60" t="s">
        <v>2129</v>
      </c>
    </row>
    <row r="5335" ht="12.75" customHeight="1">
      <c r="A5335" s="59" t="s">
        <v>407</v>
      </c>
      <c r="B5335" s="60" t="s">
        <v>2130</v>
      </c>
    </row>
    <row r="5336" ht="12.75" customHeight="1">
      <c r="A5336" s="59" t="s">
        <v>407</v>
      </c>
      <c r="B5336" s="60" t="s">
        <v>2131</v>
      </c>
    </row>
    <row r="5337" ht="12.75" customHeight="1">
      <c r="A5337" s="59" t="s">
        <v>407</v>
      </c>
      <c r="B5337" s="60" t="s">
        <v>2132</v>
      </c>
    </row>
    <row r="5338" ht="12.75" customHeight="1">
      <c r="A5338" s="59" t="s">
        <v>407</v>
      </c>
      <c r="B5338" s="60" t="s">
        <v>2133</v>
      </c>
    </row>
    <row r="5339" ht="12.75" customHeight="1">
      <c r="A5339" s="59" t="s">
        <v>407</v>
      </c>
      <c r="B5339" s="60" t="s">
        <v>2134</v>
      </c>
    </row>
    <row r="5340" ht="12.75" customHeight="1">
      <c r="A5340" s="59" t="s">
        <v>407</v>
      </c>
      <c r="B5340" s="60" t="s">
        <v>2135</v>
      </c>
    </row>
    <row r="5341" ht="12.75" customHeight="1">
      <c r="A5341" s="59" t="s">
        <v>407</v>
      </c>
      <c r="B5341" s="60" t="s">
        <v>2136</v>
      </c>
    </row>
    <row r="5342" ht="12.75" customHeight="1">
      <c r="A5342" s="59" t="s">
        <v>407</v>
      </c>
      <c r="B5342" s="60" t="s">
        <v>2137</v>
      </c>
    </row>
    <row r="5343" ht="12.75" customHeight="1">
      <c r="A5343" s="59" t="s">
        <v>407</v>
      </c>
      <c r="B5343" s="60" t="s">
        <v>2138</v>
      </c>
    </row>
    <row r="5344" ht="12.75" customHeight="1">
      <c r="A5344" s="59" t="s">
        <v>407</v>
      </c>
      <c r="B5344" s="60" t="s">
        <v>2139</v>
      </c>
    </row>
    <row r="5345" ht="12.75" customHeight="1">
      <c r="A5345" s="59" t="s">
        <v>407</v>
      </c>
      <c r="B5345" s="60" t="s">
        <v>2140</v>
      </c>
    </row>
    <row r="5346" ht="12.75" customHeight="1">
      <c r="A5346" s="59" t="s">
        <v>407</v>
      </c>
      <c r="B5346" s="60" t="s">
        <v>2141</v>
      </c>
    </row>
    <row r="5347" ht="12.75" customHeight="1">
      <c r="A5347" s="59" t="s">
        <v>407</v>
      </c>
      <c r="B5347" s="60" t="s">
        <v>2142</v>
      </c>
    </row>
    <row r="5348" ht="12.75" customHeight="1">
      <c r="A5348" s="59" t="s">
        <v>407</v>
      </c>
      <c r="B5348" s="60" t="s">
        <v>2143</v>
      </c>
    </row>
    <row r="5349" ht="12.75" customHeight="1">
      <c r="A5349" s="59" t="s">
        <v>407</v>
      </c>
      <c r="B5349" s="60" t="s">
        <v>2144</v>
      </c>
    </row>
    <row r="5350" ht="12.75" customHeight="1">
      <c r="A5350" s="59" t="s">
        <v>407</v>
      </c>
      <c r="B5350" s="60" t="s">
        <v>2145</v>
      </c>
    </row>
    <row r="5351" ht="12.75" customHeight="1">
      <c r="A5351" s="59" t="s">
        <v>407</v>
      </c>
      <c r="B5351" s="60" t="s">
        <v>2146</v>
      </c>
    </row>
    <row r="5352" ht="12.75" customHeight="1">
      <c r="A5352" s="59" t="s">
        <v>407</v>
      </c>
      <c r="B5352" s="60" t="s">
        <v>2147</v>
      </c>
    </row>
    <row r="5353" ht="12.75" customHeight="1">
      <c r="A5353" s="59" t="s">
        <v>407</v>
      </c>
      <c r="B5353" s="60" t="s">
        <v>2148</v>
      </c>
    </row>
    <row r="5354" ht="12.75" customHeight="1">
      <c r="A5354" s="59" t="s">
        <v>407</v>
      </c>
      <c r="B5354" s="60" t="s">
        <v>2149</v>
      </c>
    </row>
    <row r="5355" ht="12.75" customHeight="1">
      <c r="A5355" s="59" t="s">
        <v>407</v>
      </c>
      <c r="B5355" s="60" t="s">
        <v>2150</v>
      </c>
    </row>
    <row r="5356" ht="12.75" customHeight="1">
      <c r="A5356" s="59" t="s">
        <v>407</v>
      </c>
      <c r="B5356" s="60" t="s">
        <v>2151</v>
      </c>
    </row>
    <row r="5357" ht="12.75" customHeight="1">
      <c r="A5357" s="59" t="s">
        <v>407</v>
      </c>
      <c r="B5357" s="60" t="s">
        <v>2152</v>
      </c>
    </row>
    <row r="5358" ht="12.75" customHeight="1">
      <c r="A5358" s="59" t="s">
        <v>407</v>
      </c>
      <c r="B5358" s="60" t="s">
        <v>2153</v>
      </c>
    </row>
    <row r="5359" ht="12.75" customHeight="1">
      <c r="A5359" s="59" t="s">
        <v>407</v>
      </c>
      <c r="B5359" s="60" t="s">
        <v>2154</v>
      </c>
    </row>
    <row r="5360" ht="12.75" customHeight="1">
      <c r="A5360" s="59" t="s">
        <v>407</v>
      </c>
      <c r="B5360" s="60" t="s">
        <v>2155</v>
      </c>
    </row>
    <row r="5361" ht="12.75" customHeight="1">
      <c r="A5361" s="59" t="s">
        <v>407</v>
      </c>
      <c r="B5361" s="60" t="s">
        <v>2156</v>
      </c>
    </row>
    <row r="5362" ht="12.75" customHeight="1">
      <c r="A5362" s="59" t="s">
        <v>407</v>
      </c>
      <c r="B5362" s="60" t="s">
        <v>2157</v>
      </c>
    </row>
    <row r="5363" ht="12.75" customHeight="1">
      <c r="A5363" s="59" t="s">
        <v>407</v>
      </c>
      <c r="B5363" s="60" t="s">
        <v>2158</v>
      </c>
    </row>
    <row r="5364" ht="12.75" customHeight="1">
      <c r="A5364" s="59" t="s">
        <v>407</v>
      </c>
      <c r="B5364" s="60" t="s">
        <v>2159</v>
      </c>
    </row>
    <row r="5365" ht="12.75" customHeight="1">
      <c r="A5365" s="59" t="s">
        <v>407</v>
      </c>
      <c r="B5365" s="60" t="s">
        <v>2160</v>
      </c>
    </row>
    <row r="5366" ht="12.75" customHeight="1">
      <c r="A5366" s="59" t="s">
        <v>407</v>
      </c>
      <c r="B5366" s="60" t="s">
        <v>2161</v>
      </c>
    </row>
    <row r="5367" ht="12.75" customHeight="1">
      <c r="A5367" s="59" t="s">
        <v>407</v>
      </c>
      <c r="B5367" s="60" t="s">
        <v>2162</v>
      </c>
    </row>
    <row r="5368" ht="12.75" customHeight="1">
      <c r="A5368" s="59" t="s">
        <v>407</v>
      </c>
      <c r="B5368" s="60" t="s">
        <v>2163</v>
      </c>
    </row>
    <row r="5369" ht="12.75" customHeight="1">
      <c r="A5369" s="59" t="s">
        <v>407</v>
      </c>
      <c r="B5369" s="60" t="s">
        <v>2164</v>
      </c>
    </row>
    <row r="5370" ht="12.75" customHeight="1">
      <c r="A5370" s="59" t="s">
        <v>407</v>
      </c>
      <c r="B5370" s="60" t="s">
        <v>2165</v>
      </c>
    </row>
    <row r="5371" ht="12.75" customHeight="1">
      <c r="A5371" s="59" t="s">
        <v>407</v>
      </c>
      <c r="B5371" s="60" t="s">
        <v>2166</v>
      </c>
    </row>
    <row r="5372" ht="12.75" customHeight="1">
      <c r="A5372" s="59" t="s">
        <v>407</v>
      </c>
      <c r="B5372" s="60" t="s">
        <v>2167</v>
      </c>
    </row>
    <row r="5373" ht="12.75" customHeight="1">
      <c r="A5373" s="59" t="s">
        <v>407</v>
      </c>
      <c r="B5373" s="60" t="s">
        <v>2168</v>
      </c>
    </row>
    <row r="5374" ht="12.75" customHeight="1">
      <c r="A5374" s="59" t="s">
        <v>407</v>
      </c>
      <c r="B5374" s="60" t="s">
        <v>2169</v>
      </c>
    </row>
    <row r="5375" ht="12.75" customHeight="1">
      <c r="A5375" s="59" t="s">
        <v>407</v>
      </c>
      <c r="B5375" s="60" t="s">
        <v>2170</v>
      </c>
    </row>
    <row r="5376" ht="12.75" customHeight="1">
      <c r="A5376" s="59" t="s">
        <v>407</v>
      </c>
      <c r="B5376" s="60" t="s">
        <v>2171</v>
      </c>
    </row>
    <row r="5377" ht="12.75" customHeight="1">
      <c r="A5377" s="59" t="s">
        <v>407</v>
      </c>
      <c r="B5377" s="60" t="s">
        <v>2172</v>
      </c>
    </row>
    <row r="5378" ht="12.75" customHeight="1">
      <c r="A5378" s="59" t="s">
        <v>407</v>
      </c>
      <c r="B5378" s="60" t="s">
        <v>2173</v>
      </c>
    </row>
    <row r="5379" ht="12.75" customHeight="1">
      <c r="A5379" s="59" t="s">
        <v>407</v>
      </c>
      <c r="B5379" s="60" t="s">
        <v>2174</v>
      </c>
    </row>
    <row r="5380" ht="12.75" customHeight="1">
      <c r="A5380" s="59" t="s">
        <v>407</v>
      </c>
      <c r="B5380" s="60" t="s">
        <v>2175</v>
      </c>
    </row>
    <row r="5381" ht="12.75" customHeight="1">
      <c r="A5381" s="59" t="s">
        <v>407</v>
      </c>
      <c r="B5381" s="60" t="s">
        <v>2176</v>
      </c>
    </row>
    <row r="5382" ht="12.75" customHeight="1">
      <c r="A5382" s="59" t="s">
        <v>407</v>
      </c>
      <c r="B5382" s="60" t="s">
        <v>2177</v>
      </c>
    </row>
    <row r="5383" ht="12.75" customHeight="1">
      <c r="A5383" s="59" t="s">
        <v>407</v>
      </c>
      <c r="B5383" s="60" t="s">
        <v>2178</v>
      </c>
    </row>
    <row r="5384" ht="12.75" customHeight="1">
      <c r="A5384" s="59" t="s">
        <v>407</v>
      </c>
      <c r="B5384" s="60" t="s">
        <v>2179</v>
      </c>
    </row>
    <row r="5385" ht="12.75" customHeight="1">
      <c r="A5385" s="59" t="s">
        <v>407</v>
      </c>
      <c r="B5385" s="60" t="s">
        <v>2180</v>
      </c>
    </row>
    <row r="5386" ht="12.75" customHeight="1">
      <c r="A5386" s="59" t="s">
        <v>407</v>
      </c>
      <c r="B5386" s="60" t="s">
        <v>2181</v>
      </c>
    </row>
    <row r="5387" ht="12.75" customHeight="1">
      <c r="A5387" s="59" t="s">
        <v>407</v>
      </c>
      <c r="B5387" s="60" t="s">
        <v>2182</v>
      </c>
    </row>
    <row r="5388" ht="12.75" customHeight="1">
      <c r="A5388" s="59" t="s">
        <v>407</v>
      </c>
      <c r="B5388" s="60" t="s">
        <v>2183</v>
      </c>
    </row>
    <row r="5389" ht="12.75" customHeight="1">
      <c r="A5389" s="59" t="s">
        <v>407</v>
      </c>
      <c r="B5389" s="60" t="s">
        <v>2184</v>
      </c>
    </row>
    <row r="5390" ht="12.75" customHeight="1">
      <c r="A5390" s="59" t="s">
        <v>407</v>
      </c>
      <c r="B5390" s="60" t="s">
        <v>2185</v>
      </c>
    </row>
    <row r="5391" ht="12.75" customHeight="1">
      <c r="A5391" s="59" t="s">
        <v>407</v>
      </c>
      <c r="B5391" s="60" t="s">
        <v>2186</v>
      </c>
    </row>
    <row r="5392" ht="12.75" customHeight="1">
      <c r="A5392" s="59" t="s">
        <v>407</v>
      </c>
      <c r="B5392" s="60" t="s">
        <v>2187</v>
      </c>
    </row>
    <row r="5393" ht="12.75" customHeight="1">
      <c r="A5393" s="59" t="s">
        <v>407</v>
      </c>
      <c r="B5393" s="60" t="s">
        <v>2188</v>
      </c>
    </row>
    <row r="5394" ht="12.75" customHeight="1">
      <c r="A5394" s="59" t="s">
        <v>407</v>
      </c>
      <c r="B5394" s="60" t="s">
        <v>2189</v>
      </c>
    </row>
    <row r="5395" ht="12.75" customHeight="1">
      <c r="A5395" s="59" t="s">
        <v>407</v>
      </c>
      <c r="B5395" s="60" t="s">
        <v>2190</v>
      </c>
    </row>
    <row r="5396" ht="12.75" customHeight="1">
      <c r="A5396" s="59" t="s">
        <v>407</v>
      </c>
      <c r="B5396" s="60" t="s">
        <v>2191</v>
      </c>
    </row>
    <row r="5397" ht="12.75" customHeight="1">
      <c r="A5397" s="59" t="s">
        <v>407</v>
      </c>
      <c r="B5397" s="60" t="s">
        <v>2192</v>
      </c>
    </row>
    <row r="5398" ht="12.75" customHeight="1">
      <c r="A5398" s="59" t="s">
        <v>407</v>
      </c>
      <c r="B5398" s="60" t="s">
        <v>2193</v>
      </c>
    </row>
    <row r="5399" ht="12.75" customHeight="1">
      <c r="A5399" s="59" t="s">
        <v>407</v>
      </c>
      <c r="B5399" s="60" t="s">
        <v>2194</v>
      </c>
    </row>
    <row r="5400" ht="12.75" customHeight="1">
      <c r="A5400" s="59" t="s">
        <v>407</v>
      </c>
      <c r="B5400" s="60" t="s">
        <v>2195</v>
      </c>
    </row>
    <row r="5401" ht="12.75" customHeight="1">
      <c r="A5401" s="59" t="s">
        <v>407</v>
      </c>
      <c r="B5401" s="60" t="s">
        <v>2196</v>
      </c>
    </row>
    <row r="5402" ht="12.75" customHeight="1">
      <c r="A5402" s="59" t="s">
        <v>407</v>
      </c>
      <c r="B5402" s="60" t="s">
        <v>2197</v>
      </c>
    </row>
    <row r="5403" ht="12.75" customHeight="1">
      <c r="A5403" s="59" t="s">
        <v>407</v>
      </c>
      <c r="B5403" s="60" t="s">
        <v>2198</v>
      </c>
    </row>
    <row r="5404" ht="12.75" customHeight="1">
      <c r="A5404" s="59" t="s">
        <v>407</v>
      </c>
      <c r="B5404" s="60" t="s">
        <v>2199</v>
      </c>
    </row>
    <row r="5405" ht="12.75" customHeight="1">
      <c r="A5405" s="59" t="s">
        <v>407</v>
      </c>
      <c r="B5405" s="60" t="s">
        <v>2200</v>
      </c>
    </row>
    <row r="5406" ht="12.75" customHeight="1">
      <c r="A5406" s="59" t="s">
        <v>407</v>
      </c>
      <c r="B5406" s="60" t="s">
        <v>2201</v>
      </c>
    </row>
    <row r="5407" ht="12.75" customHeight="1">
      <c r="A5407" s="59" t="s">
        <v>407</v>
      </c>
      <c r="B5407" s="60" t="s">
        <v>2202</v>
      </c>
    </row>
    <row r="5408" ht="12.75" customHeight="1">
      <c r="A5408" s="59" t="s">
        <v>407</v>
      </c>
      <c r="B5408" s="60" t="s">
        <v>2203</v>
      </c>
    </row>
    <row r="5409" ht="12.75" customHeight="1">
      <c r="A5409" s="59" t="s">
        <v>407</v>
      </c>
      <c r="B5409" s="60" t="s">
        <v>2204</v>
      </c>
    </row>
    <row r="5410" ht="12.75" customHeight="1">
      <c r="A5410" s="59" t="s">
        <v>407</v>
      </c>
      <c r="B5410" s="60" t="s">
        <v>2205</v>
      </c>
    </row>
    <row r="5411" ht="12.75" customHeight="1">
      <c r="A5411" s="59" t="s">
        <v>407</v>
      </c>
      <c r="B5411" s="60" t="s">
        <v>2206</v>
      </c>
    </row>
    <row r="5412" ht="12.75" customHeight="1">
      <c r="A5412" s="59" t="s">
        <v>407</v>
      </c>
      <c r="B5412" s="60" t="s">
        <v>2207</v>
      </c>
    </row>
    <row r="5413" ht="12.75" customHeight="1">
      <c r="A5413" s="59" t="s">
        <v>407</v>
      </c>
      <c r="B5413" s="60" t="s">
        <v>2208</v>
      </c>
    </row>
    <row r="5414" ht="12.75" customHeight="1">
      <c r="A5414" s="59" t="s">
        <v>407</v>
      </c>
      <c r="B5414" s="60" t="s">
        <v>2209</v>
      </c>
    </row>
    <row r="5415" ht="12.75" customHeight="1">
      <c r="A5415" s="59" t="s">
        <v>407</v>
      </c>
      <c r="B5415" s="60" t="s">
        <v>2210</v>
      </c>
    </row>
    <row r="5416" ht="12.75" customHeight="1">
      <c r="A5416" s="59" t="s">
        <v>407</v>
      </c>
      <c r="B5416" s="60" t="s">
        <v>2211</v>
      </c>
    </row>
    <row r="5417" ht="12.75" customHeight="1">
      <c r="A5417" s="59" t="s">
        <v>407</v>
      </c>
      <c r="B5417" s="60" t="s">
        <v>2212</v>
      </c>
    </row>
    <row r="5418" ht="12.75" customHeight="1">
      <c r="A5418" s="59" t="s">
        <v>407</v>
      </c>
      <c r="B5418" s="60" t="s">
        <v>2213</v>
      </c>
    </row>
    <row r="5419" ht="12.75" customHeight="1">
      <c r="A5419" s="59" t="s">
        <v>407</v>
      </c>
      <c r="B5419" s="60" t="s">
        <v>2214</v>
      </c>
    </row>
    <row r="5420" ht="12.75" customHeight="1">
      <c r="A5420" s="59" t="s">
        <v>407</v>
      </c>
      <c r="B5420" s="60" t="s">
        <v>2215</v>
      </c>
    </row>
    <row r="5421" ht="12.75" customHeight="1">
      <c r="A5421" s="59" t="s">
        <v>407</v>
      </c>
      <c r="B5421" s="60" t="s">
        <v>2216</v>
      </c>
    </row>
    <row r="5422" ht="12.75" customHeight="1">
      <c r="A5422" s="59" t="s">
        <v>407</v>
      </c>
      <c r="B5422" s="60" t="s">
        <v>2217</v>
      </c>
    </row>
    <row r="5423" ht="12.75" customHeight="1">
      <c r="A5423" s="59" t="s">
        <v>407</v>
      </c>
      <c r="B5423" s="60" t="s">
        <v>2218</v>
      </c>
    </row>
    <row r="5424" ht="12.75" customHeight="1">
      <c r="A5424" s="59" t="s">
        <v>407</v>
      </c>
      <c r="B5424" s="60" t="s">
        <v>2219</v>
      </c>
    </row>
    <row r="5425" ht="12.75" customHeight="1">
      <c r="A5425" s="59" t="s">
        <v>407</v>
      </c>
      <c r="B5425" s="60" t="s">
        <v>2220</v>
      </c>
    </row>
    <row r="5426" ht="12.75" customHeight="1">
      <c r="A5426" s="59" t="s">
        <v>407</v>
      </c>
      <c r="B5426" s="60" t="s">
        <v>2221</v>
      </c>
    </row>
    <row r="5427" ht="12.75" customHeight="1">
      <c r="A5427" s="59" t="s">
        <v>407</v>
      </c>
      <c r="B5427" s="60" t="s">
        <v>2222</v>
      </c>
    </row>
    <row r="5428" ht="12.75" customHeight="1">
      <c r="A5428" s="59" t="s">
        <v>407</v>
      </c>
      <c r="B5428" s="60" t="s">
        <v>2223</v>
      </c>
    </row>
    <row r="5429" ht="12.75" customHeight="1">
      <c r="A5429" s="59" t="s">
        <v>407</v>
      </c>
      <c r="B5429" s="60" t="s">
        <v>2224</v>
      </c>
    </row>
    <row r="5430" ht="12.75" customHeight="1">
      <c r="A5430" s="59" t="s">
        <v>407</v>
      </c>
      <c r="B5430" s="60" t="s">
        <v>2225</v>
      </c>
    </row>
    <row r="5431" ht="12.75" customHeight="1">
      <c r="A5431" s="59" t="s">
        <v>407</v>
      </c>
      <c r="B5431" s="60" t="s">
        <v>2226</v>
      </c>
    </row>
    <row r="5432" ht="12.75" customHeight="1">
      <c r="A5432" s="59" t="s">
        <v>407</v>
      </c>
      <c r="B5432" s="60" t="s">
        <v>2227</v>
      </c>
    </row>
    <row r="5433" ht="12.75" customHeight="1">
      <c r="A5433" s="59" t="s">
        <v>407</v>
      </c>
      <c r="B5433" s="60" t="s">
        <v>2228</v>
      </c>
    </row>
    <row r="5434" ht="12.75" customHeight="1">
      <c r="A5434" s="59" t="s">
        <v>407</v>
      </c>
      <c r="B5434" s="60" t="s">
        <v>2229</v>
      </c>
    </row>
    <row r="5435" ht="12.75" customHeight="1">
      <c r="A5435" s="59" t="s">
        <v>407</v>
      </c>
      <c r="B5435" s="60" t="s">
        <v>2230</v>
      </c>
    </row>
    <row r="5436" ht="12.75" customHeight="1">
      <c r="A5436" s="59" t="s">
        <v>407</v>
      </c>
      <c r="B5436" s="60" t="s">
        <v>2231</v>
      </c>
    </row>
    <row r="5437" ht="12.75" customHeight="1">
      <c r="A5437" s="59" t="s">
        <v>407</v>
      </c>
      <c r="B5437" s="60" t="s">
        <v>2232</v>
      </c>
    </row>
    <row r="5438" ht="12.75" customHeight="1">
      <c r="A5438" s="59" t="s">
        <v>407</v>
      </c>
      <c r="B5438" s="60" t="s">
        <v>2233</v>
      </c>
    </row>
    <row r="5439" ht="12.75" customHeight="1">
      <c r="A5439" s="59" t="s">
        <v>407</v>
      </c>
      <c r="B5439" s="60" t="s">
        <v>2234</v>
      </c>
    </row>
    <row r="5440" ht="12.75" customHeight="1">
      <c r="A5440" s="59" t="s">
        <v>407</v>
      </c>
      <c r="B5440" s="60" t="s">
        <v>2235</v>
      </c>
    </row>
    <row r="5441" ht="12.75" customHeight="1">
      <c r="A5441" s="59" t="s">
        <v>407</v>
      </c>
      <c r="B5441" s="60" t="s">
        <v>2236</v>
      </c>
    </row>
    <row r="5442" ht="12.75" customHeight="1">
      <c r="A5442" s="59" t="s">
        <v>407</v>
      </c>
      <c r="B5442" s="60" t="s">
        <v>2237</v>
      </c>
    </row>
    <row r="5443" ht="12.75" customHeight="1">
      <c r="A5443" s="59" t="s">
        <v>407</v>
      </c>
      <c r="B5443" s="60" t="s">
        <v>2238</v>
      </c>
    </row>
    <row r="5444" ht="12.75" customHeight="1">
      <c r="A5444" s="59" t="s">
        <v>407</v>
      </c>
      <c r="B5444" s="60" t="s">
        <v>2239</v>
      </c>
    </row>
    <row r="5445" ht="12.75" customHeight="1">
      <c r="A5445" s="59" t="s">
        <v>407</v>
      </c>
      <c r="B5445" s="60" t="s">
        <v>2240</v>
      </c>
    </row>
    <row r="5446" ht="12.75" customHeight="1">
      <c r="A5446" s="59" t="s">
        <v>407</v>
      </c>
      <c r="B5446" s="60" t="s">
        <v>2241</v>
      </c>
    </row>
    <row r="5447" ht="12.75" customHeight="1">
      <c r="A5447" s="59" t="s">
        <v>407</v>
      </c>
      <c r="B5447" s="60" t="s">
        <v>2242</v>
      </c>
    </row>
    <row r="5448" ht="12.75" customHeight="1">
      <c r="A5448" s="59" t="s">
        <v>407</v>
      </c>
      <c r="B5448" s="60" t="s">
        <v>2243</v>
      </c>
    </row>
    <row r="5449" ht="12.75" customHeight="1">
      <c r="A5449" s="59" t="s">
        <v>407</v>
      </c>
      <c r="B5449" s="60" t="s">
        <v>2244</v>
      </c>
    </row>
    <row r="5450" ht="12.75" customHeight="1">
      <c r="A5450" s="59" t="s">
        <v>407</v>
      </c>
      <c r="B5450" s="60" t="s">
        <v>2245</v>
      </c>
    </row>
    <row r="5451" ht="12.75" customHeight="1">
      <c r="A5451" s="59" t="s">
        <v>407</v>
      </c>
      <c r="B5451" s="60" t="s">
        <v>2246</v>
      </c>
    </row>
    <row r="5452" ht="12.75" customHeight="1">
      <c r="A5452" s="59" t="s">
        <v>407</v>
      </c>
      <c r="B5452" s="60" t="s">
        <v>2247</v>
      </c>
    </row>
    <row r="5453" ht="12.75" customHeight="1">
      <c r="A5453" s="59" t="s">
        <v>407</v>
      </c>
      <c r="B5453" s="60" t="s">
        <v>2248</v>
      </c>
    </row>
    <row r="5454" ht="12.75" customHeight="1">
      <c r="A5454" s="59" t="s">
        <v>407</v>
      </c>
      <c r="B5454" s="60" t="s">
        <v>2249</v>
      </c>
    </row>
    <row r="5455" ht="12.75" customHeight="1">
      <c r="A5455" s="59" t="s">
        <v>407</v>
      </c>
      <c r="B5455" s="60" t="s">
        <v>2250</v>
      </c>
    </row>
    <row r="5456" ht="12.75" customHeight="1">
      <c r="A5456" s="59" t="s">
        <v>407</v>
      </c>
      <c r="B5456" s="60" t="s">
        <v>2251</v>
      </c>
    </row>
    <row r="5457" ht="12.75" customHeight="1">
      <c r="A5457" s="59" t="s">
        <v>407</v>
      </c>
      <c r="B5457" s="60" t="s">
        <v>2252</v>
      </c>
    </row>
    <row r="5458" ht="12.75" customHeight="1">
      <c r="A5458" s="59" t="s">
        <v>407</v>
      </c>
      <c r="B5458" s="60" t="s">
        <v>2253</v>
      </c>
    </row>
    <row r="5459" ht="12.75" customHeight="1">
      <c r="A5459" s="59" t="s">
        <v>407</v>
      </c>
      <c r="B5459" s="60" t="s">
        <v>2254</v>
      </c>
    </row>
    <row r="5460" ht="12.75" customHeight="1">
      <c r="A5460" s="59" t="s">
        <v>407</v>
      </c>
      <c r="B5460" s="60" t="s">
        <v>2255</v>
      </c>
    </row>
    <row r="5461" ht="12.75" customHeight="1">
      <c r="A5461" s="59" t="s">
        <v>407</v>
      </c>
      <c r="B5461" s="60" t="s">
        <v>2256</v>
      </c>
    </row>
    <row r="5462" ht="12.75" customHeight="1">
      <c r="A5462" s="59" t="s">
        <v>407</v>
      </c>
      <c r="B5462" s="60" t="s">
        <v>2257</v>
      </c>
    </row>
    <row r="5463" ht="12.75" customHeight="1">
      <c r="A5463" s="59" t="s">
        <v>407</v>
      </c>
      <c r="B5463" s="60" t="s">
        <v>2258</v>
      </c>
    </row>
    <row r="5464" ht="12.75" customHeight="1">
      <c r="A5464" s="59" t="s">
        <v>407</v>
      </c>
      <c r="B5464" s="60" t="s">
        <v>2259</v>
      </c>
    </row>
    <row r="5465" ht="12.75" customHeight="1">
      <c r="A5465" s="59" t="s">
        <v>407</v>
      </c>
      <c r="B5465" s="60" t="s">
        <v>2260</v>
      </c>
    </row>
    <row r="5466" ht="12.75" customHeight="1">
      <c r="A5466" s="59" t="s">
        <v>407</v>
      </c>
      <c r="B5466" s="60" t="s">
        <v>2261</v>
      </c>
    </row>
    <row r="5467" ht="12.75" customHeight="1">
      <c r="A5467" s="59" t="s">
        <v>407</v>
      </c>
      <c r="B5467" s="60" t="s">
        <v>2262</v>
      </c>
    </row>
    <row r="5468" ht="12.75" customHeight="1">
      <c r="A5468" s="59" t="s">
        <v>407</v>
      </c>
      <c r="B5468" s="60" t="s">
        <v>2263</v>
      </c>
    </row>
    <row r="5469" ht="12.75" customHeight="1">
      <c r="A5469" s="59" t="s">
        <v>407</v>
      </c>
      <c r="B5469" s="60" t="s">
        <v>2264</v>
      </c>
    </row>
    <row r="5470" ht="12.75" customHeight="1">
      <c r="A5470" s="59" t="s">
        <v>407</v>
      </c>
      <c r="B5470" s="60" t="s">
        <v>2265</v>
      </c>
    </row>
    <row r="5471" ht="12.75" customHeight="1">
      <c r="A5471" s="59" t="s">
        <v>407</v>
      </c>
      <c r="B5471" s="60" t="s">
        <v>2266</v>
      </c>
    </row>
    <row r="5472" ht="12.75" customHeight="1">
      <c r="A5472" s="59" t="s">
        <v>407</v>
      </c>
      <c r="B5472" s="60" t="s">
        <v>2267</v>
      </c>
    </row>
    <row r="5473" ht="12.75" customHeight="1">
      <c r="A5473" s="59" t="s">
        <v>407</v>
      </c>
      <c r="B5473" s="60" t="s">
        <v>2268</v>
      </c>
    </row>
    <row r="5474" ht="12.75" customHeight="1">
      <c r="A5474" s="59" t="s">
        <v>407</v>
      </c>
      <c r="B5474" s="60" t="s">
        <v>2269</v>
      </c>
    </row>
    <row r="5475" ht="12.75" customHeight="1">
      <c r="A5475" s="59" t="s">
        <v>407</v>
      </c>
      <c r="B5475" s="60" t="s">
        <v>2270</v>
      </c>
    </row>
    <row r="5476" ht="12.75" customHeight="1">
      <c r="A5476" s="59" t="s">
        <v>407</v>
      </c>
      <c r="B5476" s="60" t="s">
        <v>2271</v>
      </c>
    </row>
    <row r="5477" ht="12.75" customHeight="1">
      <c r="A5477" s="59" t="s">
        <v>407</v>
      </c>
      <c r="B5477" s="60" t="s">
        <v>2272</v>
      </c>
    </row>
    <row r="5478" ht="12.75" customHeight="1">
      <c r="A5478" s="59" t="s">
        <v>407</v>
      </c>
      <c r="B5478" s="60" t="s">
        <v>2273</v>
      </c>
    </row>
    <row r="5479" ht="12.75" customHeight="1">
      <c r="A5479" s="59" t="s">
        <v>270</v>
      </c>
      <c r="B5479" s="60">
        <v>4.0</v>
      </c>
    </row>
    <row r="5480" ht="12.75" customHeight="1">
      <c r="A5480" s="59" t="s">
        <v>270</v>
      </c>
      <c r="B5480" s="60">
        <v>4.5</v>
      </c>
    </row>
    <row r="5481" ht="12.75" customHeight="1">
      <c r="A5481" s="59" t="s">
        <v>270</v>
      </c>
      <c r="B5481" s="60">
        <v>5.0</v>
      </c>
    </row>
    <row r="5482" ht="12.75" customHeight="1">
      <c r="A5482" s="59" t="s">
        <v>270</v>
      </c>
      <c r="B5482" s="60">
        <v>5.5</v>
      </c>
    </row>
    <row r="5483" ht="12.75" customHeight="1">
      <c r="A5483" s="59" t="s">
        <v>270</v>
      </c>
      <c r="B5483" s="60">
        <v>6.0</v>
      </c>
    </row>
    <row r="5484" ht="12.75" customHeight="1">
      <c r="A5484" s="59" t="s">
        <v>270</v>
      </c>
      <c r="B5484" s="60">
        <v>6.5</v>
      </c>
    </row>
    <row r="5485" ht="12.75" customHeight="1">
      <c r="A5485" s="59" t="s">
        <v>270</v>
      </c>
      <c r="B5485" s="60">
        <v>7.0</v>
      </c>
    </row>
    <row r="5486" ht="12.75" customHeight="1">
      <c r="A5486" s="59" t="s">
        <v>270</v>
      </c>
      <c r="B5486" s="60">
        <v>7.5</v>
      </c>
    </row>
    <row r="5487" ht="12.75" customHeight="1">
      <c r="A5487" s="59" t="s">
        <v>270</v>
      </c>
      <c r="B5487" s="60">
        <v>8.0</v>
      </c>
    </row>
    <row r="5488" ht="12.75" customHeight="1">
      <c r="A5488" s="59" t="s">
        <v>270</v>
      </c>
      <c r="B5488" s="60">
        <v>8.5</v>
      </c>
    </row>
    <row r="5489" ht="12.75" customHeight="1">
      <c r="A5489" s="59" t="s">
        <v>270</v>
      </c>
      <c r="B5489" s="60">
        <v>9.0</v>
      </c>
    </row>
    <row r="5490" ht="12.75" customHeight="1">
      <c r="A5490" s="59" t="s">
        <v>270</v>
      </c>
      <c r="B5490" s="60">
        <v>9.5</v>
      </c>
    </row>
    <row r="5491" ht="12.75" customHeight="1">
      <c r="A5491" s="59" t="s">
        <v>270</v>
      </c>
      <c r="B5491" s="60">
        <v>10.0</v>
      </c>
    </row>
    <row r="5492" ht="12.75" customHeight="1">
      <c r="A5492" s="59" t="s">
        <v>270</v>
      </c>
      <c r="B5492" s="60">
        <v>10.5</v>
      </c>
    </row>
    <row r="5493" ht="12.75" customHeight="1">
      <c r="A5493" s="59" t="s">
        <v>270</v>
      </c>
      <c r="B5493" s="60">
        <v>11.0</v>
      </c>
    </row>
    <row r="5494" ht="12.75" customHeight="1">
      <c r="A5494" s="59" t="s">
        <v>270</v>
      </c>
      <c r="B5494" s="60">
        <v>11.5</v>
      </c>
    </row>
    <row r="5495" ht="12.75" customHeight="1">
      <c r="A5495" s="59" t="s">
        <v>270</v>
      </c>
      <c r="B5495" s="60">
        <v>12.0</v>
      </c>
    </row>
    <row r="5496" ht="12.75" customHeight="1">
      <c r="A5496" s="59" t="s">
        <v>270</v>
      </c>
      <c r="B5496" s="60">
        <v>12.5</v>
      </c>
    </row>
    <row r="5497" ht="12.75" customHeight="1">
      <c r="A5497" s="59" t="s">
        <v>270</v>
      </c>
      <c r="B5497" s="60">
        <v>13.0</v>
      </c>
    </row>
    <row r="5498" ht="12.75" customHeight="1">
      <c r="A5498" s="59" t="s">
        <v>270</v>
      </c>
      <c r="B5498" s="60">
        <v>13.5</v>
      </c>
    </row>
    <row r="5499" ht="12.75" customHeight="1">
      <c r="A5499" s="59" t="s">
        <v>270</v>
      </c>
      <c r="B5499" s="60">
        <v>14.0</v>
      </c>
    </row>
    <row r="5500" ht="12.75" customHeight="1">
      <c r="A5500" s="59" t="s">
        <v>270</v>
      </c>
      <c r="B5500" s="60">
        <v>14.5</v>
      </c>
    </row>
    <row r="5501" ht="12.75" customHeight="1">
      <c r="A5501" s="59" t="s">
        <v>270</v>
      </c>
      <c r="B5501" s="60">
        <v>15.0</v>
      </c>
    </row>
    <row r="5502" ht="12.75" customHeight="1">
      <c r="A5502" s="59" t="s">
        <v>270</v>
      </c>
      <c r="B5502" s="60">
        <v>15.5</v>
      </c>
    </row>
    <row r="5503" ht="12.75" customHeight="1">
      <c r="A5503" s="59" t="s">
        <v>270</v>
      </c>
      <c r="B5503" s="60">
        <v>16.0</v>
      </c>
    </row>
    <row r="5504" ht="12.75" customHeight="1">
      <c r="A5504" s="59" t="s">
        <v>270</v>
      </c>
      <c r="B5504" s="60" t="s">
        <v>755</v>
      </c>
    </row>
    <row r="5505" ht="12.75" customHeight="1">
      <c r="A5505" s="59" t="s">
        <v>270</v>
      </c>
      <c r="B5505" s="60" t="s">
        <v>756</v>
      </c>
    </row>
    <row r="5506" ht="12.75" customHeight="1">
      <c r="A5506" s="59" t="s">
        <v>270</v>
      </c>
      <c r="B5506" s="60" t="s">
        <v>757</v>
      </c>
    </row>
    <row r="5507" ht="12.75" customHeight="1">
      <c r="A5507" s="59" t="s">
        <v>270</v>
      </c>
      <c r="B5507" s="60" t="s">
        <v>758</v>
      </c>
    </row>
    <row r="5508" ht="12.75" customHeight="1">
      <c r="A5508" s="59" t="s">
        <v>270</v>
      </c>
      <c r="B5508" s="60" t="s">
        <v>759</v>
      </c>
    </row>
    <row r="5509" ht="12.75" customHeight="1">
      <c r="A5509" s="59" t="s">
        <v>270</v>
      </c>
      <c r="B5509" s="60" t="s">
        <v>760</v>
      </c>
    </row>
    <row r="5510" ht="12.75" customHeight="1">
      <c r="A5510" s="59" t="s">
        <v>270</v>
      </c>
      <c r="B5510" s="60" t="s">
        <v>761</v>
      </c>
    </row>
    <row r="5511" ht="12.75" customHeight="1">
      <c r="A5511" s="59" t="s">
        <v>270</v>
      </c>
      <c r="B5511" s="60" t="s">
        <v>762</v>
      </c>
    </row>
    <row r="5512" ht="12.75" customHeight="1">
      <c r="A5512" s="59" t="s">
        <v>270</v>
      </c>
      <c r="B5512" s="60" t="s">
        <v>763</v>
      </c>
    </row>
    <row r="5513" ht="12.75" customHeight="1">
      <c r="A5513" s="59" t="s">
        <v>270</v>
      </c>
      <c r="B5513" s="60" t="s">
        <v>764</v>
      </c>
    </row>
    <row r="5514" ht="12.75" customHeight="1">
      <c r="A5514" s="59" t="s">
        <v>270</v>
      </c>
      <c r="B5514" s="60" t="s">
        <v>765</v>
      </c>
    </row>
    <row r="5515" ht="12.75" customHeight="1">
      <c r="A5515" s="59" t="s">
        <v>270</v>
      </c>
      <c r="B5515" s="60" t="s">
        <v>766</v>
      </c>
    </row>
    <row r="5516" ht="12.75" customHeight="1">
      <c r="A5516" s="59" t="s">
        <v>270</v>
      </c>
      <c r="B5516" s="60" t="s">
        <v>767</v>
      </c>
    </row>
    <row r="5517" ht="12.75" customHeight="1">
      <c r="A5517" s="59" t="s">
        <v>270</v>
      </c>
      <c r="B5517" s="60" t="s">
        <v>2274</v>
      </c>
    </row>
    <row r="5518" ht="12.75" customHeight="1">
      <c r="A5518" s="59" t="s">
        <v>270</v>
      </c>
      <c r="B5518" s="60" t="s">
        <v>808</v>
      </c>
    </row>
    <row r="5519" ht="12.75" customHeight="1">
      <c r="A5519" s="59" t="s">
        <v>270</v>
      </c>
      <c r="B5519" s="60" t="s">
        <v>1982</v>
      </c>
    </row>
    <row r="5520" ht="12.75" customHeight="1">
      <c r="A5520" s="59" t="s">
        <v>270</v>
      </c>
      <c r="B5520" s="60" t="s">
        <v>2275</v>
      </c>
    </row>
    <row r="5521" ht="12.75" customHeight="1">
      <c r="A5521" s="59" t="s">
        <v>270</v>
      </c>
      <c r="B5521" s="60" t="s">
        <v>2276</v>
      </c>
    </row>
    <row r="5522" ht="12.75" customHeight="1">
      <c r="A5522" s="59" t="s">
        <v>270</v>
      </c>
      <c r="B5522" s="60" t="s">
        <v>853</v>
      </c>
    </row>
    <row r="5523" ht="12.75" customHeight="1">
      <c r="A5523" s="59" t="s">
        <v>270</v>
      </c>
      <c r="B5523" s="60" t="s">
        <v>2277</v>
      </c>
    </row>
    <row r="5524" ht="12.75" customHeight="1">
      <c r="A5524" s="59" t="s">
        <v>270</v>
      </c>
      <c r="B5524" s="60" t="s">
        <v>2278</v>
      </c>
    </row>
    <row r="5525" ht="12.75" customHeight="1">
      <c r="A5525" s="59" t="s">
        <v>270</v>
      </c>
      <c r="B5525" s="60" t="s">
        <v>2279</v>
      </c>
    </row>
    <row r="5526" ht="12.75" customHeight="1">
      <c r="A5526" s="59" t="s">
        <v>270</v>
      </c>
      <c r="B5526" s="60" t="s">
        <v>854</v>
      </c>
    </row>
    <row r="5527" ht="12.75" customHeight="1">
      <c r="A5527" s="59" t="s">
        <v>270</v>
      </c>
      <c r="B5527" s="60" t="s">
        <v>2280</v>
      </c>
    </row>
    <row r="5528" ht="12.75" customHeight="1">
      <c r="A5528" s="59" t="s">
        <v>270</v>
      </c>
      <c r="B5528" s="60" t="s">
        <v>2281</v>
      </c>
    </row>
    <row r="5529" ht="12.75" customHeight="1">
      <c r="A5529" s="59" t="s">
        <v>270</v>
      </c>
      <c r="B5529" s="60" t="s">
        <v>2282</v>
      </c>
    </row>
    <row r="5530" ht="12.75" customHeight="1">
      <c r="A5530" s="59" t="s">
        <v>270</v>
      </c>
      <c r="B5530" s="60" t="s">
        <v>2283</v>
      </c>
    </row>
    <row r="5531" ht="12.75" customHeight="1">
      <c r="A5531" s="59" t="s">
        <v>270</v>
      </c>
      <c r="B5531" s="60" t="s">
        <v>816</v>
      </c>
    </row>
    <row r="5532" ht="12.75" customHeight="1">
      <c r="A5532" s="59" t="s">
        <v>270</v>
      </c>
      <c r="B5532" s="60" t="s">
        <v>768</v>
      </c>
    </row>
    <row r="5533" ht="12.75" customHeight="1">
      <c r="A5533" s="59" t="s">
        <v>270</v>
      </c>
      <c r="B5533" s="60" t="s">
        <v>769</v>
      </c>
    </row>
    <row r="5534" ht="12.75" customHeight="1">
      <c r="A5534" s="59" t="s">
        <v>270</v>
      </c>
      <c r="B5534" s="60" t="s">
        <v>770</v>
      </c>
    </row>
    <row r="5535" ht="12.75" customHeight="1">
      <c r="A5535" s="59" t="s">
        <v>270</v>
      </c>
      <c r="B5535" s="60" t="s">
        <v>771</v>
      </c>
    </row>
    <row r="5536" ht="12.75" customHeight="1">
      <c r="A5536" s="59" t="s">
        <v>270</v>
      </c>
      <c r="B5536" s="60" t="s">
        <v>772</v>
      </c>
    </row>
    <row r="5537" ht="12.75" customHeight="1">
      <c r="A5537" s="59" t="s">
        <v>270</v>
      </c>
      <c r="B5537" s="60" t="s">
        <v>773</v>
      </c>
    </row>
    <row r="5538" ht="12.75" customHeight="1">
      <c r="A5538" s="59" t="s">
        <v>270</v>
      </c>
      <c r="B5538" s="60" t="s">
        <v>774</v>
      </c>
    </row>
    <row r="5539" ht="12.75" customHeight="1">
      <c r="A5539" s="59" t="s">
        <v>270</v>
      </c>
      <c r="B5539" s="60" t="s">
        <v>775</v>
      </c>
    </row>
    <row r="5540" ht="12.75" customHeight="1">
      <c r="A5540" s="59" t="s">
        <v>270</v>
      </c>
      <c r="B5540" s="60" t="s">
        <v>776</v>
      </c>
    </row>
    <row r="5541" ht="12.75" customHeight="1">
      <c r="A5541" s="59" t="s">
        <v>270</v>
      </c>
      <c r="B5541" s="60" t="s">
        <v>777</v>
      </c>
    </row>
    <row r="5542" ht="12.75" customHeight="1">
      <c r="A5542" s="59" t="s">
        <v>270</v>
      </c>
      <c r="B5542" s="60" t="s">
        <v>778</v>
      </c>
    </row>
    <row r="5543" ht="12.75" customHeight="1">
      <c r="A5543" s="59" t="s">
        <v>270</v>
      </c>
      <c r="B5543" s="60" t="s">
        <v>779</v>
      </c>
    </row>
    <row r="5544" ht="12.75" customHeight="1">
      <c r="A5544" s="59" t="s">
        <v>270</v>
      </c>
      <c r="B5544" s="60" t="s">
        <v>780</v>
      </c>
    </row>
    <row r="5545" ht="12.75" customHeight="1">
      <c r="A5545" s="59" t="s">
        <v>270</v>
      </c>
      <c r="B5545" s="60" t="s">
        <v>781</v>
      </c>
    </row>
    <row r="5546" ht="12.75" customHeight="1">
      <c r="A5546" s="59" t="s">
        <v>270</v>
      </c>
      <c r="B5546" s="60" t="s">
        <v>782</v>
      </c>
    </row>
    <row r="5547" ht="12.75" customHeight="1">
      <c r="A5547" s="59" t="s">
        <v>270</v>
      </c>
      <c r="B5547" s="60" t="s">
        <v>783</v>
      </c>
    </row>
    <row r="5548" ht="12.75" customHeight="1">
      <c r="A5548" s="59" t="s">
        <v>270</v>
      </c>
      <c r="B5548" s="60" t="s">
        <v>784</v>
      </c>
    </row>
    <row r="5549" ht="12.75" customHeight="1">
      <c r="A5549" s="59" t="s">
        <v>270</v>
      </c>
      <c r="B5549" s="60" t="s">
        <v>785</v>
      </c>
    </row>
    <row r="5550" ht="12.75" customHeight="1">
      <c r="A5550" s="59" t="s">
        <v>270</v>
      </c>
      <c r="B5550" s="60" t="s">
        <v>2284</v>
      </c>
    </row>
    <row r="5551" ht="12.75" customHeight="1">
      <c r="A5551" s="59" t="s">
        <v>270</v>
      </c>
      <c r="B5551" s="60" t="s">
        <v>817</v>
      </c>
    </row>
    <row r="5552" ht="12.75" customHeight="1">
      <c r="A5552" s="59" t="s">
        <v>270</v>
      </c>
      <c r="B5552" s="60" t="s">
        <v>2285</v>
      </c>
    </row>
    <row r="5553" ht="12.75" customHeight="1">
      <c r="A5553" s="59" t="s">
        <v>270</v>
      </c>
      <c r="B5553" s="60" t="s">
        <v>2286</v>
      </c>
    </row>
    <row r="5554" ht="12.75" customHeight="1">
      <c r="A5554" s="59" t="s">
        <v>270</v>
      </c>
      <c r="B5554" s="60" t="s">
        <v>788</v>
      </c>
    </row>
    <row r="5555" ht="12.75" customHeight="1">
      <c r="A5555" s="59" t="s">
        <v>270</v>
      </c>
      <c r="B5555" s="60" t="s">
        <v>789</v>
      </c>
    </row>
    <row r="5556" ht="12.75" customHeight="1">
      <c r="A5556" s="59" t="s">
        <v>270</v>
      </c>
      <c r="B5556" s="60" t="s">
        <v>790</v>
      </c>
    </row>
    <row r="5557" ht="12.75" customHeight="1">
      <c r="A5557" s="59" t="s">
        <v>270</v>
      </c>
      <c r="B5557" s="60" t="s">
        <v>791</v>
      </c>
    </row>
    <row r="5558" ht="12.75" customHeight="1">
      <c r="A5558" s="59" t="s">
        <v>270</v>
      </c>
      <c r="B5558" s="60" t="s">
        <v>792</v>
      </c>
    </row>
    <row r="5559" ht="12.75" customHeight="1">
      <c r="A5559" s="59" t="s">
        <v>270</v>
      </c>
      <c r="B5559" s="60" t="s">
        <v>793</v>
      </c>
    </row>
    <row r="5560" ht="12.75" customHeight="1">
      <c r="A5560" s="59" t="s">
        <v>270</v>
      </c>
      <c r="B5560" s="60" t="s">
        <v>794</v>
      </c>
    </row>
    <row r="5561" ht="12.75" customHeight="1">
      <c r="A5561" s="59" t="s">
        <v>270</v>
      </c>
      <c r="B5561" s="60" t="s">
        <v>795</v>
      </c>
    </row>
    <row r="5562" ht="12.75" customHeight="1">
      <c r="A5562" s="59" t="s">
        <v>270</v>
      </c>
      <c r="B5562" s="60" t="s">
        <v>796</v>
      </c>
    </row>
    <row r="5563" ht="12.75" customHeight="1">
      <c r="A5563" s="59" t="s">
        <v>270</v>
      </c>
      <c r="B5563" s="60" t="s">
        <v>797</v>
      </c>
    </row>
    <row r="5564" ht="12.75" customHeight="1">
      <c r="A5564" s="59" t="s">
        <v>270</v>
      </c>
      <c r="B5564" s="60" t="s">
        <v>798</v>
      </c>
    </row>
    <row r="5565" ht="12.75" customHeight="1">
      <c r="A5565" s="59" t="s">
        <v>270</v>
      </c>
      <c r="B5565" s="60" t="s">
        <v>799</v>
      </c>
    </row>
    <row r="5566" ht="12.75" customHeight="1">
      <c r="A5566" s="59" t="s">
        <v>270</v>
      </c>
      <c r="B5566" s="60" t="s">
        <v>800</v>
      </c>
    </row>
    <row r="5567" ht="12.75" customHeight="1">
      <c r="A5567" s="59" t="s">
        <v>270</v>
      </c>
      <c r="B5567" s="60" t="s">
        <v>801</v>
      </c>
    </row>
    <row r="5568" ht="12.75" customHeight="1">
      <c r="A5568" s="59" t="s">
        <v>270</v>
      </c>
      <c r="B5568" s="60" t="s">
        <v>802</v>
      </c>
    </row>
    <row r="5569" ht="12.75" customHeight="1">
      <c r="A5569" s="59" t="s">
        <v>270</v>
      </c>
      <c r="B5569" s="60" t="s">
        <v>2287</v>
      </c>
    </row>
    <row r="5570" ht="12.75" customHeight="1">
      <c r="A5570" s="59" t="s">
        <v>270</v>
      </c>
      <c r="B5570" s="60" t="s">
        <v>826</v>
      </c>
    </row>
    <row r="5571" ht="12.75" customHeight="1">
      <c r="A5571" s="59" t="s">
        <v>270</v>
      </c>
      <c r="B5571" s="60" t="s">
        <v>2288</v>
      </c>
    </row>
    <row r="5572" ht="12.75" customHeight="1">
      <c r="A5572" s="59" t="s">
        <v>270</v>
      </c>
      <c r="B5572" s="60" t="s">
        <v>2289</v>
      </c>
    </row>
    <row r="5573" ht="12.75" customHeight="1">
      <c r="A5573" s="59" t="s">
        <v>270</v>
      </c>
      <c r="B5573" s="60" t="s">
        <v>2290</v>
      </c>
    </row>
    <row r="5574" ht="12.75" customHeight="1">
      <c r="A5574" s="59" t="s">
        <v>270</v>
      </c>
      <c r="B5574" s="60" t="s">
        <v>827</v>
      </c>
    </row>
    <row r="5575" ht="12.75" customHeight="1">
      <c r="A5575" s="59" t="s">
        <v>270</v>
      </c>
      <c r="B5575" s="60" t="s">
        <v>1992</v>
      </c>
    </row>
    <row r="5576" ht="12.75" customHeight="1">
      <c r="A5576" s="59" t="s">
        <v>270</v>
      </c>
      <c r="B5576" s="60" t="s">
        <v>1993</v>
      </c>
    </row>
    <row r="5577" ht="12.75" customHeight="1">
      <c r="A5577" s="59" t="s">
        <v>270</v>
      </c>
      <c r="B5577" s="60" t="s">
        <v>1994</v>
      </c>
    </row>
    <row r="5578" ht="12.75" customHeight="1">
      <c r="A5578" s="59" t="s">
        <v>270</v>
      </c>
      <c r="B5578" s="60" t="s">
        <v>828</v>
      </c>
    </row>
    <row r="5579" ht="12.75" customHeight="1">
      <c r="A5579" s="59" t="s">
        <v>195</v>
      </c>
      <c r="B5579" s="60" t="s">
        <v>804</v>
      </c>
    </row>
    <row r="5580" ht="12.75" customHeight="1">
      <c r="A5580" s="59" t="s">
        <v>195</v>
      </c>
      <c r="B5580" s="60" t="s">
        <v>76</v>
      </c>
    </row>
    <row r="5581" ht="12.75" customHeight="1">
      <c r="A5581" s="59" t="s">
        <v>195</v>
      </c>
      <c r="B5581" s="60" t="s">
        <v>80</v>
      </c>
    </row>
    <row r="5582" ht="12.75" customHeight="1">
      <c r="A5582" s="59" t="s">
        <v>195</v>
      </c>
      <c r="B5582" s="60" t="s">
        <v>83</v>
      </c>
    </row>
    <row r="5583" ht="12.75" customHeight="1">
      <c r="A5583" s="59" t="s">
        <v>195</v>
      </c>
      <c r="B5583" s="60" t="s">
        <v>85</v>
      </c>
    </row>
    <row r="5584" ht="12.75" customHeight="1">
      <c r="A5584" s="59" t="s">
        <v>195</v>
      </c>
      <c r="B5584" s="60" t="s">
        <v>810</v>
      </c>
    </row>
    <row r="5585" ht="12.75" customHeight="1">
      <c r="A5585" s="59" t="s">
        <v>195</v>
      </c>
      <c r="B5585" s="60" t="s">
        <v>811</v>
      </c>
    </row>
    <row r="5586" ht="12.75" customHeight="1">
      <c r="A5586" s="59" t="s">
        <v>195</v>
      </c>
      <c r="B5586" s="60" t="s">
        <v>812</v>
      </c>
    </row>
    <row r="5587" ht="12.75" customHeight="1">
      <c r="A5587" s="59" t="s">
        <v>195</v>
      </c>
      <c r="B5587" s="60" t="s">
        <v>813</v>
      </c>
    </row>
    <row r="5588" ht="12.75" customHeight="1">
      <c r="A5588" s="59" t="s">
        <v>195</v>
      </c>
      <c r="B5588" s="60" t="s">
        <v>814</v>
      </c>
    </row>
    <row r="5589" ht="12.75" customHeight="1">
      <c r="A5589" s="59" t="s">
        <v>195</v>
      </c>
      <c r="B5589" s="60" t="s">
        <v>820</v>
      </c>
    </row>
    <row r="5590" ht="12.75" customHeight="1">
      <c r="A5590" s="59" t="s">
        <v>195</v>
      </c>
      <c r="B5590" s="60" t="s">
        <v>821</v>
      </c>
    </row>
    <row r="5591" ht="12.75" customHeight="1">
      <c r="A5591" s="59" t="s">
        <v>195</v>
      </c>
      <c r="B5591" s="60" t="s">
        <v>822</v>
      </c>
    </row>
    <row r="5592" ht="12.75" customHeight="1">
      <c r="A5592" s="59" t="s">
        <v>195</v>
      </c>
      <c r="B5592" s="60" t="s">
        <v>823</v>
      </c>
    </row>
    <row r="5593" ht="12.75" customHeight="1">
      <c r="A5593" s="59" t="s">
        <v>195</v>
      </c>
      <c r="B5593" s="60" t="s">
        <v>824</v>
      </c>
    </row>
    <row r="5594" ht="12.75" customHeight="1">
      <c r="A5594" s="59" t="s">
        <v>195</v>
      </c>
      <c r="B5594" s="60" t="s">
        <v>830</v>
      </c>
    </row>
    <row r="5595" ht="12.75" customHeight="1">
      <c r="A5595" s="59" t="s">
        <v>195</v>
      </c>
      <c r="B5595" s="60" t="s">
        <v>831</v>
      </c>
    </row>
    <row r="5596" ht="12.75" customHeight="1">
      <c r="A5596" s="59" t="s">
        <v>195</v>
      </c>
      <c r="B5596" s="60" t="s">
        <v>832</v>
      </c>
    </row>
    <row r="5597" ht="12.75" customHeight="1">
      <c r="A5597" s="59" t="s">
        <v>195</v>
      </c>
      <c r="B5597" s="60" t="s">
        <v>833</v>
      </c>
    </row>
    <row r="5598" ht="12.75" customHeight="1">
      <c r="A5598" s="59" t="s">
        <v>195</v>
      </c>
      <c r="B5598" s="60" t="s">
        <v>834</v>
      </c>
    </row>
    <row r="5599" ht="12.75" customHeight="1">
      <c r="A5599" s="59" t="s">
        <v>181</v>
      </c>
      <c r="B5599" s="60" t="s">
        <v>845</v>
      </c>
    </row>
    <row r="5600" ht="12.75" customHeight="1">
      <c r="A5600" s="59" t="s">
        <v>181</v>
      </c>
      <c r="B5600" s="60" t="s">
        <v>2291</v>
      </c>
    </row>
    <row r="5601" ht="12.75" customHeight="1">
      <c r="A5601" s="59" t="s">
        <v>181</v>
      </c>
      <c r="B5601" s="60" t="s">
        <v>2292</v>
      </c>
    </row>
    <row r="5602" ht="12.75" customHeight="1">
      <c r="A5602" s="59" t="s">
        <v>181</v>
      </c>
      <c r="B5602" s="60" t="s">
        <v>2293</v>
      </c>
    </row>
    <row r="5603" ht="12.75" customHeight="1">
      <c r="A5603" s="59" t="s">
        <v>181</v>
      </c>
      <c r="B5603" s="60" t="s">
        <v>2294</v>
      </c>
    </row>
    <row r="5604" ht="12.75" customHeight="1">
      <c r="A5604" s="59" t="s">
        <v>181</v>
      </c>
      <c r="B5604" s="60" t="s">
        <v>2295</v>
      </c>
    </row>
    <row r="5605" ht="12.75" customHeight="1">
      <c r="A5605" s="59" t="s">
        <v>181</v>
      </c>
      <c r="B5605" s="60" t="s">
        <v>2296</v>
      </c>
    </row>
    <row r="5606" ht="12.75" customHeight="1">
      <c r="A5606" s="59" t="s">
        <v>181</v>
      </c>
      <c r="B5606" s="60" t="s">
        <v>2297</v>
      </c>
    </row>
    <row r="5607" ht="12.75" customHeight="1">
      <c r="A5607" s="59" t="s">
        <v>181</v>
      </c>
      <c r="B5607" s="60" t="s">
        <v>2298</v>
      </c>
    </row>
    <row r="5608" ht="12.75" customHeight="1">
      <c r="A5608" s="59" t="s">
        <v>181</v>
      </c>
      <c r="B5608" s="60" t="s">
        <v>2299</v>
      </c>
    </row>
    <row r="5609" ht="12.75" customHeight="1">
      <c r="A5609" s="59" t="s">
        <v>181</v>
      </c>
      <c r="B5609" s="60" t="s">
        <v>2300</v>
      </c>
    </row>
    <row r="5610" ht="12.75" customHeight="1">
      <c r="A5610" s="59" t="s">
        <v>181</v>
      </c>
      <c r="B5610" s="60" t="s">
        <v>2301</v>
      </c>
    </row>
    <row r="5611" ht="12.75" customHeight="1">
      <c r="A5611" s="59" t="s">
        <v>181</v>
      </c>
      <c r="B5611" s="60" t="s">
        <v>862</v>
      </c>
    </row>
    <row r="5612" ht="12.75" customHeight="1">
      <c r="A5612" s="59" t="s">
        <v>181</v>
      </c>
      <c r="B5612" s="60" t="s">
        <v>2302</v>
      </c>
    </row>
    <row r="5613" ht="12.75" customHeight="1">
      <c r="A5613" s="59" t="s">
        <v>181</v>
      </c>
      <c r="B5613" s="60" t="s">
        <v>2303</v>
      </c>
    </row>
    <row r="5614" ht="12.75" customHeight="1">
      <c r="A5614" s="59" t="s">
        <v>181</v>
      </c>
      <c r="B5614" s="60" t="s">
        <v>2304</v>
      </c>
    </row>
    <row r="5615" ht="12.75" customHeight="1">
      <c r="A5615" s="59" t="s">
        <v>181</v>
      </c>
      <c r="B5615" s="60" t="s">
        <v>2305</v>
      </c>
    </row>
    <row r="5616" ht="12.75" customHeight="1">
      <c r="A5616" s="59" t="s">
        <v>181</v>
      </c>
      <c r="B5616" s="60" t="s">
        <v>2306</v>
      </c>
    </row>
    <row r="5617" ht="12.75" customHeight="1">
      <c r="A5617" s="59" t="s">
        <v>181</v>
      </c>
      <c r="B5617" s="60" t="s">
        <v>2307</v>
      </c>
    </row>
    <row r="5618" ht="12.75" customHeight="1">
      <c r="A5618" s="59" t="s">
        <v>181</v>
      </c>
      <c r="B5618" s="60" t="s">
        <v>2308</v>
      </c>
    </row>
    <row r="5619" ht="12.75" customHeight="1">
      <c r="A5619" s="59" t="s">
        <v>181</v>
      </c>
      <c r="B5619" s="60" t="s">
        <v>2309</v>
      </c>
    </row>
    <row r="5620" ht="12.75" customHeight="1">
      <c r="A5620" s="59" t="s">
        <v>181</v>
      </c>
      <c r="B5620" s="60" t="s">
        <v>2310</v>
      </c>
    </row>
    <row r="5621" ht="12.75" customHeight="1">
      <c r="A5621" s="59" t="s">
        <v>181</v>
      </c>
      <c r="B5621" s="60" t="s">
        <v>2311</v>
      </c>
    </row>
    <row r="5622" ht="12.75" customHeight="1">
      <c r="A5622" s="59" t="s">
        <v>181</v>
      </c>
      <c r="B5622" s="60" t="s">
        <v>2312</v>
      </c>
    </row>
    <row r="5623" ht="12.75" customHeight="1">
      <c r="A5623" s="59" t="s">
        <v>181</v>
      </c>
      <c r="B5623" s="60" t="s">
        <v>881</v>
      </c>
    </row>
    <row r="5624" ht="12.75" customHeight="1">
      <c r="A5624" s="59" t="s">
        <v>181</v>
      </c>
      <c r="B5624" s="60" t="s">
        <v>2313</v>
      </c>
    </row>
    <row r="5625" ht="12.75" customHeight="1">
      <c r="A5625" s="59" t="s">
        <v>181</v>
      </c>
      <c r="B5625" s="60" t="s">
        <v>2314</v>
      </c>
    </row>
    <row r="5626" ht="12.75" customHeight="1">
      <c r="A5626" s="59" t="s">
        <v>181</v>
      </c>
      <c r="B5626" s="60" t="s">
        <v>2315</v>
      </c>
    </row>
    <row r="5627" ht="12.75" customHeight="1">
      <c r="A5627" s="59" t="s">
        <v>181</v>
      </c>
      <c r="B5627" s="60" t="s">
        <v>2316</v>
      </c>
    </row>
    <row r="5628" ht="12.75" customHeight="1">
      <c r="A5628" s="59" t="s">
        <v>181</v>
      </c>
      <c r="B5628" s="60" t="s">
        <v>2317</v>
      </c>
    </row>
    <row r="5629" ht="12.75" customHeight="1">
      <c r="A5629" s="59" t="s">
        <v>181</v>
      </c>
      <c r="B5629" s="60" t="s">
        <v>2318</v>
      </c>
    </row>
    <row r="5630" ht="12.75" customHeight="1">
      <c r="A5630" s="59" t="s">
        <v>181</v>
      </c>
      <c r="B5630" s="60" t="s">
        <v>2319</v>
      </c>
    </row>
    <row r="5631" ht="12.75" customHeight="1">
      <c r="A5631" s="59" t="s">
        <v>181</v>
      </c>
      <c r="B5631" s="60" t="s">
        <v>2320</v>
      </c>
    </row>
    <row r="5632" ht="12.75" customHeight="1">
      <c r="A5632" s="59" t="s">
        <v>181</v>
      </c>
      <c r="B5632" s="60" t="s">
        <v>2321</v>
      </c>
    </row>
    <row r="5633" ht="12.75" customHeight="1">
      <c r="A5633" s="59" t="s">
        <v>181</v>
      </c>
      <c r="B5633" s="60" t="s">
        <v>2322</v>
      </c>
    </row>
    <row r="5634" ht="12.75" customHeight="1">
      <c r="A5634" s="59" t="s">
        <v>181</v>
      </c>
      <c r="B5634" s="60" t="s">
        <v>2323</v>
      </c>
    </row>
    <row r="5635" ht="12.75" customHeight="1">
      <c r="A5635" s="59" t="s">
        <v>181</v>
      </c>
      <c r="B5635" s="60" t="s">
        <v>900</v>
      </c>
    </row>
    <row r="5636" ht="12.75" customHeight="1">
      <c r="A5636" s="59" t="s">
        <v>181</v>
      </c>
      <c r="B5636" s="60" t="s">
        <v>2324</v>
      </c>
    </row>
    <row r="5637" ht="12.75" customHeight="1">
      <c r="A5637" s="59" t="s">
        <v>181</v>
      </c>
      <c r="B5637" s="60" t="s">
        <v>2325</v>
      </c>
    </row>
    <row r="5638" ht="12.75" customHeight="1">
      <c r="A5638" s="59" t="s">
        <v>181</v>
      </c>
      <c r="B5638" s="60" t="s">
        <v>2326</v>
      </c>
    </row>
    <row r="5639" ht="12.75" customHeight="1">
      <c r="A5639" s="59" t="s">
        <v>181</v>
      </c>
      <c r="B5639" s="60" t="s">
        <v>2327</v>
      </c>
    </row>
    <row r="5640" ht="12.75" customHeight="1">
      <c r="A5640" s="59" t="s">
        <v>181</v>
      </c>
      <c r="B5640" s="60" t="s">
        <v>2328</v>
      </c>
    </row>
    <row r="5641" ht="12.75" customHeight="1">
      <c r="A5641" s="59" t="s">
        <v>181</v>
      </c>
      <c r="B5641" s="60" t="s">
        <v>2329</v>
      </c>
    </row>
    <row r="5642" ht="12.75" customHeight="1">
      <c r="A5642" s="59" t="s">
        <v>181</v>
      </c>
      <c r="B5642" s="60" t="s">
        <v>2330</v>
      </c>
    </row>
    <row r="5643" ht="12.75" customHeight="1">
      <c r="A5643" s="59" t="s">
        <v>181</v>
      </c>
      <c r="B5643" s="60" t="s">
        <v>2331</v>
      </c>
    </row>
    <row r="5644" ht="12.75" customHeight="1">
      <c r="A5644" s="59" t="s">
        <v>181</v>
      </c>
      <c r="B5644" s="60" t="s">
        <v>2332</v>
      </c>
    </row>
    <row r="5645" ht="12.75" customHeight="1">
      <c r="A5645" s="59" t="s">
        <v>181</v>
      </c>
      <c r="B5645" s="60" t="s">
        <v>2333</v>
      </c>
    </row>
    <row r="5646" ht="12.75" customHeight="1">
      <c r="A5646" s="59" t="s">
        <v>181</v>
      </c>
      <c r="B5646" s="60" t="s">
        <v>2334</v>
      </c>
    </row>
    <row r="5647" ht="12.75" customHeight="1">
      <c r="A5647" s="59" t="s">
        <v>215</v>
      </c>
      <c r="B5647" s="60" t="s">
        <v>2335</v>
      </c>
    </row>
    <row r="5648" ht="12.75" customHeight="1">
      <c r="A5648" s="59" t="s">
        <v>215</v>
      </c>
      <c r="B5648" s="60" t="s">
        <v>2336</v>
      </c>
    </row>
    <row r="5649" ht="12.75" customHeight="1">
      <c r="A5649" s="59" t="s">
        <v>215</v>
      </c>
      <c r="B5649" s="60" t="s">
        <v>2337</v>
      </c>
    </row>
    <row r="5650" ht="12.75" customHeight="1">
      <c r="A5650" s="59" t="s">
        <v>215</v>
      </c>
      <c r="B5650" s="60" t="s">
        <v>2338</v>
      </c>
    </row>
    <row r="5651" ht="12.75" customHeight="1">
      <c r="A5651" s="59" t="s">
        <v>215</v>
      </c>
      <c r="B5651" s="60" t="s">
        <v>2339</v>
      </c>
    </row>
    <row r="5652" ht="12.75" customHeight="1">
      <c r="A5652" s="59" t="s">
        <v>215</v>
      </c>
      <c r="B5652" s="60" t="s">
        <v>2340</v>
      </c>
    </row>
    <row r="5653" ht="12.75" customHeight="1">
      <c r="A5653" s="59" t="s">
        <v>215</v>
      </c>
      <c r="B5653" s="60">
        <v>42.0</v>
      </c>
    </row>
    <row r="5654" ht="12.75" customHeight="1">
      <c r="A5654" s="59" t="s">
        <v>215</v>
      </c>
      <c r="B5654" s="60">
        <v>43.0</v>
      </c>
    </row>
    <row r="5655" ht="12.75" customHeight="1">
      <c r="A5655" s="59" t="s">
        <v>215</v>
      </c>
      <c r="B5655" s="60">
        <v>44.0</v>
      </c>
    </row>
    <row r="5656" ht="12.75" customHeight="1">
      <c r="A5656" s="59" t="s">
        <v>215</v>
      </c>
      <c r="B5656" s="60">
        <v>46.0</v>
      </c>
    </row>
    <row r="5657" ht="12.75" customHeight="1">
      <c r="A5657" s="59" t="s">
        <v>215</v>
      </c>
      <c r="B5657" s="60">
        <v>48.0</v>
      </c>
    </row>
    <row r="5658" ht="12.75" customHeight="1">
      <c r="A5658" s="59" t="s">
        <v>215</v>
      </c>
      <c r="B5658" s="60">
        <v>50.0</v>
      </c>
    </row>
    <row r="5659" ht="12.75" customHeight="1">
      <c r="A5659" s="59" t="s">
        <v>215</v>
      </c>
      <c r="B5659" s="60">
        <v>52.0</v>
      </c>
    </row>
    <row r="5660" ht="12.75" customHeight="1">
      <c r="A5660" s="59" t="s">
        <v>215</v>
      </c>
      <c r="B5660" s="60">
        <v>54.0</v>
      </c>
    </row>
    <row r="5661" ht="12.75" customHeight="1">
      <c r="A5661" s="59" t="s">
        <v>215</v>
      </c>
      <c r="B5661" s="60">
        <v>56.0</v>
      </c>
    </row>
    <row r="5662" ht="12.75" customHeight="1">
      <c r="A5662" s="59" t="s">
        <v>215</v>
      </c>
      <c r="B5662" s="60">
        <v>58.0</v>
      </c>
    </row>
    <row r="5663" ht="12.75" customHeight="1">
      <c r="A5663" s="59" t="s">
        <v>215</v>
      </c>
      <c r="B5663" s="60">
        <v>60.0</v>
      </c>
    </row>
    <row r="5664" ht="12.75" customHeight="1">
      <c r="A5664" s="59" t="s">
        <v>215</v>
      </c>
      <c r="B5664" s="60" t="s">
        <v>2341</v>
      </c>
    </row>
    <row r="5665" ht="12.75" customHeight="1">
      <c r="A5665" s="59" t="s">
        <v>215</v>
      </c>
      <c r="B5665" s="60" t="s">
        <v>2342</v>
      </c>
    </row>
    <row r="5666" ht="12.75" customHeight="1">
      <c r="A5666" s="59" t="s">
        <v>215</v>
      </c>
      <c r="B5666" s="60" t="s">
        <v>2343</v>
      </c>
    </row>
    <row r="5667" ht="12.75" customHeight="1">
      <c r="A5667" s="59" t="s">
        <v>215</v>
      </c>
      <c r="B5667" s="60" t="s">
        <v>2344</v>
      </c>
    </row>
    <row r="5668" ht="12.75" customHeight="1">
      <c r="A5668" s="59" t="s">
        <v>215</v>
      </c>
      <c r="B5668" s="60" t="s">
        <v>2345</v>
      </c>
    </row>
    <row r="5669" ht="12.75" customHeight="1">
      <c r="A5669" s="59" t="s">
        <v>215</v>
      </c>
      <c r="B5669" s="60" t="s">
        <v>2346</v>
      </c>
    </row>
    <row r="5670" ht="12.75" customHeight="1">
      <c r="A5670" s="59" t="s">
        <v>215</v>
      </c>
      <c r="B5670" s="60" t="s">
        <v>2347</v>
      </c>
    </row>
    <row r="5671" ht="12.75" customHeight="1">
      <c r="A5671" s="59" t="s">
        <v>215</v>
      </c>
      <c r="B5671" s="60" t="s">
        <v>2348</v>
      </c>
    </row>
    <row r="5672" ht="12.75" customHeight="1">
      <c r="A5672" s="59" t="s">
        <v>215</v>
      </c>
      <c r="B5672" s="60" t="s">
        <v>2349</v>
      </c>
    </row>
    <row r="5673" ht="12.75" customHeight="1">
      <c r="A5673" s="59" t="s">
        <v>215</v>
      </c>
      <c r="B5673" s="60" t="s">
        <v>2350</v>
      </c>
    </row>
    <row r="5674" ht="12.75" customHeight="1">
      <c r="A5674" s="59" t="s">
        <v>215</v>
      </c>
      <c r="B5674" s="60" t="s">
        <v>2351</v>
      </c>
    </row>
    <row r="5675" ht="12.75" customHeight="1">
      <c r="A5675" s="59" t="s">
        <v>215</v>
      </c>
      <c r="B5675" s="60" t="s">
        <v>2352</v>
      </c>
    </row>
    <row r="5676" ht="12.75" customHeight="1">
      <c r="A5676" s="59" t="s">
        <v>215</v>
      </c>
      <c r="B5676" s="60" t="s">
        <v>2353</v>
      </c>
    </row>
    <row r="5677" ht="12.75" customHeight="1">
      <c r="A5677" s="59" t="s">
        <v>215</v>
      </c>
      <c r="B5677" s="60" t="s">
        <v>2354</v>
      </c>
    </row>
    <row r="5678" ht="12.75" customHeight="1">
      <c r="A5678" s="59" t="s">
        <v>215</v>
      </c>
      <c r="B5678" s="60" t="s">
        <v>2355</v>
      </c>
    </row>
    <row r="5679" ht="12.75" customHeight="1">
      <c r="A5679" s="59" t="s">
        <v>215</v>
      </c>
      <c r="B5679" s="60" t="s">
        <v>2356</v>
      </c>
    </row>
    <row r="5680" ht="12.75" customHeight="1">
      <c r="A5680" s="59" t="s">
        <v>215</v>
      </c>
      <c r="B5680" s="60" t="s">
        <v>2357</v>
      </c>
    </row>
    <row r="5681" ht="12.75" customHeight="1">
      <c r="A5681" s="59" t="s">
        <v>215</v>
      </c>
      <c r="B5681" s="60" t="s">
        <v>2358</v>
      </c>
    </row>
    <row r="5682" ht="12.75" customHeight="1">
      <c r="A5682" s="59" t="s">
        <v>215</v>
      </c>
      <c r="B5682" s="60" t="s">
        <v>2359</v>
      </c>
    </row>
    <row r="5683" ht="12.75" customHeight="1">
      <c r="A5683" s="59" t="s">
        <v>215</v>
      </c>
      <c r="B5683" s="60" t="s">
        <v>2360</v>
      </c>
    </row>
    <row r="5684" ht="12.75" customHeight="1">
      <c r="A5684" s="59" t="s">
        <v>215</v>
      </c>
      <c r="B5684" s="60" t="s">
        <v>2361</v>
      </c>
    </row>
    <row r="5685" ht="12.75" customHeight="1">
      <c r="A5685" s="59" t="s">
        <v>215</v>
      </c>
      <c r="B5685" s="60" t="s">
        <v>2362</v>
      </c>
    </row>
    <row r="5686" ht="12.75" customHeight="1">
      <c r="A5686" s="59" t="s">
        <v>215</v>
      </c>
      <c r="B5686" s="60" t="s">
        <v>2363</v>
      </c>
    </row>
    <row r="5687" ht="12.75" customHeight="1">
      <c r="A5687" s="59" t="s">
        <v>215</v>
      </c>
      <c r="B5687" s="60" t="s">
        <v>2364</v>
      </c>
    </row>
    <row r="5688" ht="12.75" customHeight="1">
      <c r="A5688" s="59" t="s">
        <v>215</v>
      </c>
      <c r="B5688" s="60" t="s">
        <v>2365</v>
      </c>
    </row>
    <row r="5689" ht="12.75" customHeight="1">
      <c r="A5689" s="59" t="s">
        <v>215</v>
      </c>
      <c r="B5689" s="60" t="s">
        <v>2366</v>
      </c>
    </row>
    <row r="5690" ht="12.75" customHeight="1">
      <c r="A5690" s="59" t="s">
        <v>215</v>
      </c>
      <c r="B5690" s="60" t="s">
        <v>2367</v>
      </c>
    </row>
    <row r="5691" ht="12.75" customHeight="1">
      <c r="A5691" s="59" t="s">
        <v>215</v>
      </c>
      <c r="B5691" s="60" t="s">
        <v>2368</v>
      </c>
    </row>
    <row r="5692" ht="12.75" customHeight="1">
      <c r="A5692" s="59" t="s">
        <v>215</v>
      </c>
      <c r="B5692" s="60" t="s">
        <v>2369</v>
      </c>
    </row>
    <row r="5693" ht="12.75" customHeight="1">
      <c r="A5693" s="59" t="s">
        <v>215</v>
      </c>
      <c r="B5693" s="60" t="s">
        <v>2370</v>
      </c>
    </row>
    <row r="5694" ht="12.75" customHeight="1">
      <c r="A5694" s="59" t="s">
        <v>215</v>
      </c>
      <c r="B5694" s="60" t="s">
        <v>2371</v>
      </c>
    </row>
    <row r="5695" ht="12.75" customHeight="1">
      <c r="A5695" s="59" t="s">
        <v>215</v>
      </c>
      <c r="B5695" s="60" t="s">
        <v>2372</v>
      </c>
    </row>
    <row r="5696" ht="12.75" customHeight="1">
      <c r="A5696" s="59" t="s">
        <v>215</v>
      </c>
      <c r="B5696" s="60" t="s">
        <v>2373</v>
      </c>
    </row>
    <row r="5697" ht="12.75" customHeight="1">
      <c r="A5697" s="59" t="s">
        <v>215</v>
      </c>
      <c r="B5697" s="60" t="s">
        <v>2374</v>
      </c>
    </row>
    <row r="5698" ht="12.75" customHeight="1">
      <c r="A5698" s="59" t="s">
        <v>215</v>
      </c>
      <c r="B5698" s="60" t="s">
        <v>2375</v>
      </c>
    </row>
    <row r="5699" ht="12.75" customHeight="1">
      <c r="A5699" s="59" t="s">
        <v>215</v>
      </c>
      <c r="B5699" s="60" t="s">
        <v>2376</v>
      </c>
    </row>
    <row r="5700" ht="12.75" customHeight="1">
      <c r="A5700" s="59" t="s">
        <v>215</v>
      </c>
      <c r="B5700" s="60" t="s">
        <v>2377</v>
      </c>
    </row>
    <row r="5701" ht="12.75" customHeight="1">
      <c r="A5701" s="59" t="s">
        <v>215</v>
      </c>
      <c r="B5701" s="60" t="s">
        <v>2378</v>
      </c>
    </row>
    <row r="5702" ht="12.75" customHeight="1">
      <c r="A5702" s="59" t="s">
        <v>215</v>
      </c>
      <c r="B5702" s="60" t="s">
        <v>2379</v>
      </c>
    </row>
    <row r="5703" ht="12.75" customHeight="1">
      <c r="A5703" s="59" t="s">
        <v>215</v>
      </c>
      <c r="B5703" s="60" t="s">
        <v>2380</v>
      </c>
    </row>
    <row r="5704" ht="12.75" customHeight="1">
      <c r="A5704" s="59" t="s">
        <v>215</v>
      </c>
      <c r="B5704" s="60" t="s">
        <v>2381</v>
      </c>
    </row>
    <row r="5705" ht="12.75" customHeight="1">
      <c r="A5705" s="59" t="s">
        <v>215</v>
      </c>
      <c r="B5705" s="60" t="s">
        <v>2382</v>
      </c>
    </row>
    <row r="5706" ht="12.75" customHeight="1">
      <c r="A5706" s="59" t="s">
        <v>215</v>
      </c>
      <c r="B5706" s="60" t="s">
        <v>2383</v>
      </c>
    </row>
    <row r="5707" ht="12.75" customHeight="1">
      <c r="A5707" s="59" t="s">
        <v>215</v>
      </c>
      <c r="B5707" s="60" t="s">
        <v>2384</v>
      </c>
    </row>
    <row r="5708" ht="12.75" customHeight="1">
      <c r="A5708" s="59" t="s">
        <v>215</v>
      </c>
      <c r="B5708" s="60" t="s">
        <v>2385</v>
      </c>
    </row>
    <row r="5709" ht="12.75" customHeight="1">
      <c r="A5709" s="59" t="s">
        <v>215</v>
      </c>
      <c r="B5709" s="60" t="s">
        <v>2386</v>
      </c>
    </row>
    <row r="5710" ht="12.75" customHeight="1">
      <c r="A5710" s="59" t="s">
        <v>215</v>
      </c>
      <c r="B5710" s="60" t="s">
        <v>2387</v>
      </c>
    </row>
    <row r="5711" ht="12.75" customHeight="1">
      <c r="A5711" s="59" t="s">
        <v>215</v>
      </c>
      <c r="B5711" s="60" t="s">
        <v>2388</v>
      </c>
    </row>
    <row r="5712" ht="12.75" customHeight="1">
      <c r="A5712" s="59" t="s">
        <v>215</v>
      </c>
      <c r="B5712" s="60" t="s">
        <v>2389</v>
      </c>
    </row>
    <row r="5713" ht="12.75" customHeight="1">
      <c r="A5713" s="59" t="s">
        <v>215</v>
      </c>
      <c r="B5713" s="60" t="s">
        <v>2390</v>
      </c>
    </row>
    <row r="5714" ht="12.75" customHeight="1">
      <c r="A5714" s="59" t="s">
        <v>215</v>
      </c>
      <c r="B5714" s="60" t="s">
        <v>2391</v>
      </c>
    </row>
    <row r="5715" ht="12.75" customHeight="1">
      <c r="A5715" s="59" t="s">
        <v>386</v>
      </c>
      <c r="B5715" s="60" t="s">
        <v>2335</v>
      </c>
    </row>
    <row r="5716" ht="12.75" customHeight="1">
      <c r="A5716" s="59" t="s">
        <v>386</v>
      </c>
      <c r="B5716" s="60" t="s">
        <v>2336</v>
      </c>
    </row>
    <row r="5717" ht="12.75" customHeight="1">
      <c r="A5717" s="59" t="s">
        <v>386</v>
      </c>
      <c r="B5717" s="60" t="s">
        <v>2337</v>
      </c>
    </row>
    <row r="5718" ht="12.75" customHeight="1">
      <c r="A5718" s="59" t="s">
        <v>386</v>
      </c>
      <c r="B5718" s="60" t="s">
        <v>2338</v>
      </c>
    </row>
    <row r="5719" ht="12.75" customHeight="1">
      <c r="A5719" s="59" t="s">
        <v>386</v>
      </c>
      <c r="B5719" s="60" t="s">
        <v>2339</v>
      </c>
    </row>
    <row r="5720" ht="12.75" customHeight="1">
      <c r="A5720" s="59" t="s">
        <v>386</v>
      </c>
      <c r="B5720" s="60">
        <v>42.0</v>
      </c>
    </row>
    <row r="5721" ht="12.75" customHeight="1">
      <c r="A5721" s="59" t="s">
        <v>386</v>
      </c>
      <c r="B5721" s="60">
        <v>43.0</v>
      </c>
    </row>
    <row r="5722" ht="12.75" customHeight="1">
      <c r="A5722" s="59" t="s">
        <v>386</v>
      </c>
      <c r="B5722" s="60">
        <v>44.0</v>
      </c>
    </row>
    <row r="5723" ht="12.75" customHeight="1">
      <c r="A5723" s="59" t="s">
        <v>386</v>
      </c>
      <c r="B5723" s="60">
        <v>46.0</v>
      </c>
    </row>
    <row r="5724" ht="12.75" customHeight="1">
      <c r="A5724" s="59" t="s">
        <v>386</v>
      </c>
      <c r="B5724" s="60">
        <v>48.0</v>
      </c>
    </row>
    <row r="5725" ht="12.75" customHeight="1">
      <c r="A5725" s="59" t="s">
        <v>386</v>
      </c>
      <c r="B5725" s="60">
        <v>50.0</v>
      </c>
    </row>
    <row r="5726" ht="12.75" customHeight="1">
      <c r="A5726" s="59" t="s">
        <v>386</v>
      </c>
      <c r="B5726" s="60">
        <v>52.0</v>
      </c>
    </row>
    <row r="5727" ht="12.75" customHeight="1">
      <c r="A5727" s="59" t="s">
        <v>386</v>
      </c>
      <c r="B5727" s="60">
        <v>54.0</v>
      </c>
    </row>
    <row r="5728" ht="12.75" customHeight="1">
      <c r="A5728" s="59" t="s">
        <v>386</v>
      </c>
      <c r="B5728" s="60">
        <v>56.0</v>
      </c>
    </row>
    <row r="5729" ht="12.75" customHeight="1">
      <c r="A5729" s="59" t="s">
        <v>386</v>
      </c>
      <c r="B5729" s="60">
        <v>58.0</v>
      </c>
    </row>
    <row r="5730" ht="12.75" customHeight="1">
      <c r="A5730" s="59" t="s">
        <v>386</v>
      </c>
      <c r="B5730" s="60">
        <v>60.0</v>
      </c>
    </row>
    <row r="5731" ht="12.75" customHeight="1">
      <c r="A5731" s="59" t="s">
        <v>386</v>
      </c>
      <c r="B5731" s="60" t="s">
        <v>845</v>
      </c>
    </row>
    <row r="5732" ht="12.75" customHeight="1">
      <c r="A5732" s="59" t="s">
        <v>386</v>
      </c>
      <c r="B5732" s="60" t="s">
        <v>2291</v>
      </c>
    </row>
    <row r="5733" ht="12.75" customHeight="1">
      <c r="A5733" s="59" t="s">
        <v>386</v>
      </c>
      <c r="B5733" s="60" t="s">
        <v>2292</v>
      </c>
    </row>
    <row r="5734" ht="12.75" customHeight="1">
      <c r="A5734" s="59" t="s">
        <v>386</v>
      </c>
      <c r="B5734" s="60" t="s">
        <v>2293</v>
      </c>
    </row>
    <row r="5735" ht="12.75" customHeight="1">
      <c r="A5735" s="59" t="s">
        <v>386</v>
      </c>
      <c r="B5735" s="60" t="s">
        <v>2294</v>
      </c>
    </row>
    <row r="5736" ht="12.75" customHeight="1">
      <c r="A5736" s="59" t="s">
        <v>386</v>
      </c>
      <c r="B5736" s="60" t="s">
        <v>2295</v>
      </c>
    </row>
    <row r="5737" ht="12.75" customHeight="1">
      <c r="A5737" s="59" t="s">
        <v>386</v>
      </c>
      <c r="B5737" s="60" t="s">
        <v>2296</v>
      </c>
    </row>
    <row r="5738" ht="12.75" customHeight="1">
      <c r="A5738" s="59" t="s">
        <v>386</v>
      </c>
      <c r="B5738" s="60" t="s">
        <v>2297</v>
      </c>
    </row>
    <row r="5739" ht="12.75" customHeight="1">
      <c r="A5739" s="59" t="s">
        <v>386</v>
      </c>
      <c r="B5739" s="60" t="s">
        <v>2298</v>
      </c>
    </row>
    <row r="5740" ht="12.75" customHeight="1">
      <c r="A5740" s="59" t="s">
        <v>386</v>
      </c>
      <c r="B5740" s="60" t="s">
        <v>2299</v>
      </c>
    </row>
    <row r="5741" ht="12.75" customHeight="1">
      <c r="A5741" s="59" t="s">
        <v>386</v>
      </c>
      <c r="B5741" s="60" t="s">
        <v>2300</v>
      </c>
    </row>
    <row r="5742" ht="12.75" customHeight="1">
      <c r="A5742" s="59" t="s">
        <v>386</v>
      </c>
      <c r="B5742" s="60" t="s">
        <v>2301</v>
      </c>
    </row>
    <row r="5743" ht="12.75" customHeight="1">
      <c r="A5743" s="59" t="s">
        <v>386</v>
      </c>
      <c r="B5743" s="60" t="s">
        <v>2341</v>
      </c>
    </row>
    <row r="5744" ht="12.75" customHeight="1">
      <c r="A5744" s="59" t="s">
        <v>386</v>
      </c>
      <c r="B5744" s="60" t="s">
        <v>2342</v>
      </c>
    </row>
    <row r="5745" ht="12.75" customHeight="1">
      <c r="A5745" s="59" t="s">
        <v>386</v>
      </c>
      <c r="B5745" s="60" t="s">
        <v>2343</v>
      </c>
    </row>
    <row r="5746" ht="12.75" customHeight="1">
      <c r="A5746" s="59" t="s">
        <v>386</v>
      </c>
      <c r="B5746" s="60" t="s">
        <v>2344</v>
      </c>
    </row>
    <row r="5747" ht="12.75" customHeight="1">
      <c r="A5747" s="59" t="s">
        <v>386</v>
      </c>
      <c r="B5747" s="60" t="s">
        <v>2345</v>
      </c>
    </row>
    <row r="5748" ht="12.75" customHeight="1">
      <c r="A5748" s="59" t="s">
        <v>386</v>
      </c>
      <c r="B5748" s="60" t="s">
        <v>2347</v>
      </c>
    </row>
    <row r="5749" ht="12.75" customHeight="1">
      <c r="A5749" s="59" t="s">
        <v>386</v>
      </c>
      <c r="B5749" s="60" t="s">
        <v>2348</v>
      </c>
    </row>
    <row r="5750" ht="12.75" customHeight="1">
      <c r="A5750" s="59" t="s">
        <v>386</v>
      </c>
      <c r="B5750" s="60" t="s">
        <v>2349</v>
      </c>
    </row>
    <row r="5751" ht="12.75" customHeight="1">
      <c r="A5751" s="59" t="s">
        <v>386</v>
      </c>
      <c r="B5751" s="60" t="s">
        <v>2350</v>
      </c>
    </row>
    <row r="5752" ht="12.75" customHeight="1">
      <c r="A5752" s="59" t="s">
        <v>386</v>
      </c>
      <c r="B5752" s="60" t="s">
        <v>2351</v>
      </c>
    </row>
    <row r="5753" ht="12.75" customHeight="1">
      <c r="A5753" s="59" t="s">
        <v>386</v>
      </c>
      <c r="B5753" s="60" t="s">
        <v>2352</v>
      </c>
    </row>
    <row r="5754" ht="12.75" customHeight="1">
      <c r="A5754" s="59" t="s">
        <v>386</v>
      </c>
      <c r="B5754" s="60" t="s">
        <v>2353</v>
      </c>
    </row>
    <row r="5755" ht="12.75" customHeight="1">
      <c r="A5755" s="59" t="s">
        <v>386</v>
      </c>
      <c r="B5755" s="60" t="s">
        <v>2354</v>
      </c>
    </row>
    <row r="5756" ht="12.75" customHeight="1">
      <c r="A5756" s="59" t="s">
        <v>386</v>
      </c>
      <c r="B5756" s="60" t="s">
        <v>2355</v>
      </c>
    </row>
    <row r="5757" ht="12.75" customHeight="1">
      <c r="A5757" s="59" t="s">
        <v>386</v>
      </c>
      <c r="B5757" s="60" t="s">
        <v>2356</v>
      </c>
    </row>
    <row r="5758" ht="12.75" customHeight="1">
      <c r="A5758" s="59" t="s">
        <v>386</v>
      </c>
      <c r="B5758" s="60" t="s">
        <v>2357</v>
      </c>
    </row>
    <row r="5759" ht="12.75" customHeight="1">
      <c r="A5759" s="59" t="s">
        <v>386</v>
      </c>
      <c r="B5759" s="60" t="s">
        <v>862</v>
      </c>
    </row>
    <row r="5760" ht="12.75" customHeight="1">
      <c r="A5760" s="59" t="s">
        <v>386</v>
      </c>
      <c r="B5760" s="60" t="s">
        <v>2302</v>
      </c>
    </row>
    <row r="5761" ht="12.75" customHeight="1">
      <c r="A5761" s="59" t="s">
        <v>386</v>
      </c>
      <c r="B5761" s="60" t="s">
        <v>2303</v>
      </c>
    </row>
    <row r="5762" ht="12.75" customHeight="1">
      <c r="A5762" s="59" t="s">
        <v>386</v>
      </c>
      <c r="B5762" s="60" t="s">
        <v>2304</v>
      </c>
    </row>
    <row r="5763" ht="12.75" customHeight="1">
      <c r="A5763" s="59" t="s">
        <v>386</v>
      </c>
      <c r="B5763" s="60" t="s">
        <v>2305</v>
      </c>
    </row>
    <row r="5764" ht="12.75" customHeight="1">
      <c r="A5764" s="59" t="s">
        <v>386</v>
      </c>
      <c r="B5764" s="60" t="s">
        <v>2306</v>
      </c>
    </row>
    <row r="5765" ht="12.75" customHeight="1">
      <c r="A5765" s="59" t="s">
        <v>386</v>
      </c>
      <c r="B5765" s="60" t="s">
        <v>2307</v>
      </c>
    </row>
    <row r="5766" ht="12.75" customHeight="1">
      <c r="A5766" s="59" t="s">
        <v>386</v>
      </c>
      <c r="B5766" s="60" t="s">
        <v>2308</v>
      </c>
    </row>
    <row r="5767" ht="12.75" customHeight="1">
      <c r="A5767" s="59" t="s">
        <v>386</v>
      </c>
      <c r="B5767" s="60" t="s">
        <v>2309</v>
      </c>
    </row>
    <row r="5768" ht="12.75" customHeight="1">
      <c r="A5768" s="59" t="s">
        <v>386</v>
      </c>
      <c r="B5768" s="60" t="s">
        <v>2310</v>
      </c>
    </row>
    <row r="5769" ht="12.75" customHeight="1">
      <c r="A5769" s="59" t="s">
        <v>386</v>
      </c>
      <c r="B5769" s="60" t="s">
        <v>2311</v>
      </c>
    </row>
    <row r="5770" ht="12.75" customHeight="1">
      <c r="A5770" s="59" t="s">
        <v>386</v>
      </c>
      <c r="B5770" s="60" t="s">
        <v>2312</v>
      </c>
    </row>
    <row r="5771" ht="12.75" customHeight="1">
      <c r="A5771" s="59" t="s">
        <v>386</v>
      </c>
      <c r="B5771" s="60" t="s">
        <v>2358</v>
      </c>
    </row>
    <row r="5772" ht="12.75" customHeight="1">
      <c r="A5772" s="59" t="s">
        <v>386</v>
      </c>
      <c r="B5772" s="60" t="s">
        <v>2359</v>
      </c>
    </row>
    <row r="5773" ht="12.75" customHeight="1">
      <c r="A5773" s="59" t="s">
        <v>386</v>
      </c>
      <c r="B5773" s="60" t="s">
        <v>2360</v>
      </c>
    </row>
    <row r="5774" ht="12.75" customHeight="1">
      <c r="A5774" s="59" t="s">
        <v>386</v>
      </c>
      <c r="B5774" s="60" t="s">
        <v>2361</v>
      </c>
    </row>
    <row r="5775" ht="12.75" customHeight="1">
      <c r="A5775" s="59" t="s">
        <v>386</v>
      </c>
      <c r="B5775" s="60" t="s">
        <v>2362</v>
      </c>
    </row>
    <row r="5776" ht="12.75" customHeight="1">
      <c r="A5776" s="59" t="s">
        <v>386</v>
      </c>
      <c r="B5776" s="60" t="s">
        <v>2364</v>
      </c>
    </row>
    <row r="5777" ht="12.75" customHeight="1">
      <c r="A5777" s="59" t="s">
        <v>386</v>
      </c>
      <c r="B5777" s="60" t="s">
        <v>2365</v>
      </c>
    </row>
    <row r="5778" ht="12.75" customHeight="1">
      <c r="A5778" s="59" t="s">
        <v>386</v>
      </c>
      <c r="B5778" s="60" t="s">
        <v>2366</v>
      </c>
    </row>
    <row r="5779" ht="12.75" customHeight="1">
      <c r="A5779" s="59" t="s">
        <v>386</v>
      </c>
      <c r="B5779" s="60" t="s">
        <v>2367</v>
      </c>
    </row>
    <row r="5780" ht="12.75" customHeight="1">
      <c r="A5780" s="59" t="s">
        <v>386</v>
      </c>
      <c r="B5780" s="60" t="s">
        <v>2368</v>
      </c>
    </row>
    <row r="5781" ht="12.75" customHeight="1">
      <c r="A5781" s="59" t="s">
        <v>386</v>
      </c>
      <c r="B5781" s="60" t="s">
        <v>2369</v>
      </c>
    </row>
    <row r="5782" ht="12.75" customHeight="1">
      <c r="A5782" s="59" t="s">
        <v>386</v>
      </c>
      <c r="B5782" s="60" t="s">
        <v>2370</v>
      </c>
    </row>
    <row r="5783" ht="12.75" customHeight="1">
      <c r="A5783" s="59" t="s">
        <v>386</v>
      </c>
      <c r="B5783" s="60" t="s">
        <v>2371</v>
      </c>
    </row>
    <row r="5784" ht="12.75" customHeight="1">
      <c r="A5784" s="59" t="s">
        <v>386</v>
      </c>
      <c r="B5784" s="60" t="s">
        <v>2372</v>
      </c>
    </row>
    <row r="5785" ht="12.75" customHeight="1">
      <c r="A5785" s="59" t="s">
        <v>386</v>
      </c>
      <c r="B5785" s="60" t="s">
        <v>2373</v>
      </c>
    </row>
    <row r="5786" ht="12.75" customHeight="1">
      <c r="A5786" s="59" t="s">
        <v>386</v>
      </c>
      <c r="B5786" s="60" t="s">
        <v>2374</v>
      </c>
    </row>
    <row r="5787" ht="12.75" customHeight="1">
      <c r="A5787" s="59" t="s">
        <v>386</v>
      </c>
      <c r="B5787" s="60" t="s">
        <v>881</v>
      </c>
    </row>
    <row r="5788" ht="12.75" customHeight="1">
      <c r="A5788" s="59" t="s">
        <v>386</v>
      </c>
      <c r="B5788" s="60" t="s">
        <v>2313</v>
      </c>
    </row>
    <row r="5789" ht="12.75" customHeight="1">
      <c r="A5789" s="59" t="s">
        <v>386</v>
      </c>
      <c r="B5789" s="60" t="s">
        <v>2314</v>
      </c>
    </row>
    <row r="5790" ht="12.75" customHeight="1">
      <c r="A5790" s="59" t="s">
        <v>386</v>
      </c>
      <c r="B5790" s="60" t="s">
        <v>2315</v>
      </c>
    </row>
    <row r="5791" ht="12.75" customHeight="1">
      <c r="A5791" s="59" t="s">
        <v>386</v>
      </c>
      <c r="B5791" s="60" t="s">
        <v>2316</v>
      </c>
    </row>
    <row r="5792" ht="12.75" customHeight="1">
      <c r="A5792" s="59" t="s">
        <v>386</v>
      </c>
      <c r="B5792" s="60" t="s">
        <v>2317</v>
      </c>
    </row>
    <row r="5793" ht="12.75" customHeight="1">
      <c r="A5793" s="59" t="s">
        <v>386</v>
      </c>
      <c r="B5793" s="60" t="s">
        <v>2318</v>
      </c>
    </row>
    <row r="5794" ht="12.75" customHeight="1">
      <c r="A5794" s="59" t="s">
        <v>386</v>
      </c>
      <c r="B5794" s="60" t="s">
        <v>2319</v>
      </c>
    </row>
    <row r="5795" ht="12.75" customHeight="1">
      <c r="A5795" s="59" t="s">
        <v>386</v>
      </c>
      <c r="B5795" s="60" t="s">
        <v>2320</v>
      </c>
    </row>
    <row r="5796" ht="12.75" customHeight="1">
      <c r="A5796" s="59" t="s">
        <v>386</v>
      </c>
      <c r="B5796" s="60" t="s">
        <v>2321</v>
      </c>
    </row>
    <row r="5797" ht="12.75" customHeight="1">
      <c r="A5797" s="59" t="s">
        <v>386</v>
      </c>
      <c r="B5797" s="60" t="s">
        <v>2322</v>
      </c>
    </row>
    <row r="5798" ht="12.75" customHeight="1">
      <c r="A5798" s="59" t="s">
        <v>386</v>
      </c>
      <c r="B5798" s="60" t="s">
        <v>2323</v>
      </c>
    </row>
    <row r="5799" ht="12.75" customHeight="1">
      <c r="A5799" s="59" t="s">
        <v>386</v>
      </c>
      <c r="B5799" s="60" t="s">
        <v>2375</v>
      </c>
    </row>
    <row r="5800" ht="12.75" customHeight="1">
      <c r="A5800" s="59" t="s">
        <v>386</v>
      </c>
      <c r="B5800" s="60" t="s">
        <v>2376</v>
      </c>
    </row>
    <row r="5801" ht="12.75" customHeight="1">
      <c r="A5801" s="59" t="s">
        <v>386</v>
      </c>
      <c r="B5801" s="60" t="s">
        <v>2377</v>
      </c>
    </row>
    <row r="5802" ht="12.75" customHeight="1">
      <c r="A5802" s="59" t="s">
        <v>386</v>
      </c>
      <c r="B5802" s="60" t="s">
        <v>2378</v>
      </c>
    </row>
    <row r="5803" ht="12.75" customHeight="1">
      <c r="A5803" s="59" t="s">
        <v>386</v>
      </c>
      <c r="B5803" s="60" t="s">
        <v>2379</v>
      </c>
    </row>
    <row r="5804" ht="12.75" customHeight="1">
      <c r="A5804" s="59" t="s">
        <v>386</v>
      </c>
      <c r="B5804" s="60" t="s">
        <v>2381</v>
      </c>
    </row>
    <row r="5805" ht="12.75" customHeight="1">
      <c r="A5805" s="59" t="s">
        <v>386</v>
      </c>
      <c r="B5805" s="60" t="s">
        <v>2382</v>
      </c>
    </row>
    <row r="5806" ht="12.75" customHeight="1">
      <c r="A5806" s="59" t="s">
        <v>386</v>
      </c>
      <c r="B5806" s="60" t="s">
        <v>2383</v>
      </c>
    </row>
    <row r="5807" ht="12.75" customHeight="1">
      <c r="A5807" s="59" t="s">
        <v>386</v>
      </c>
      <c r="B5807" s="60" t="s">
        <v>2384</v>
      </c>
    </row>
    <row r="5808" ht="12.75" customHeight="1">
      <c r="A5808" s="59" t="s">
        <v>386</v>
      </c>
      <c r="B5808" s="60" t="s">
        <v>2385</v>
      </c>
    </row>
    <row r="5809" ht="12.75" customHeight="1">
      <c r="A5809" s="59" t="s">
        <v>386</v>
      </c>
      <c r="B5809" s="60" t="s">
        <v>2386</v>
      </c>
    </row>
    <row r="5810" ht="12.75" customHeight="1">
      <c r="A5810" s="59" t="s">
        <v>386</v>
      </c>
      <c r="B5810" s="60" t="s">
        <v>2387</v>
      </c>
    </row>
    <row r="5811" ht="12.75" customHeight="1">
      <c r="A5811" s="59" t="s">
        <v>386</v>
      </c>
      <c r="B5811" s="60" t="s">
        <v>2388</v>
      </c>
    </row>
    <row r="5812" ht="12.75" customHeight="1">
      <c r="A5812" s="59" t="s">
        <v>386</v>
      </c>
      <c r="B5812" s="60" t="s">
        <v>2389</v>
      </c>
    </row>
    <row r="5813" ht="12.75" customHeight="1">
      <c r="A5813" s="59" t="s">
        <v>386</v>
      </c>
      <c r="B5813" s="60" t="s">
        <v>2390</v>
      </c>
    </row>
    <row r="5814" ht="12.75" customHeight="1">
      <c r="A5814" s="59" t="s">
        <v>386</v>
      </c>
      <c r="B5814" s="60" t="s">
        <v>2391</v>
      </c>
    </row>
    <row r="5815" ht="12.75" customHeight="1">
      <c r="A5815" s="59" t="s">
        <v>386</v>
      </c>
      <c r="B5815" s="60" t="s">
        <v>900</v>
      </c>
    </row>
    <row r="5816" ht="12.75" customHeight="1">
      <c r="A5816" s="59" t="s">
        <v>386</v>
      </c>
      <c r="B5816" s="60" t="s">
        <v>2324</v>
      </c>
    </row>
    <row r="5817" ht="12.75" customHeight="1">
      <c r="A5817" s="59" t="s">
        <v>386</v>
      </c>
      <c r="B5817" s="60" t="s">
        <v>2325</v>
      </c>
    </row>
    <row r="5818" ht="12.75" customHeight="1">
      <c r="A5818" s="59" t="s">
        <v>386</v>
      </c>
      <c r="B5818" s="60" t="s">
        <v>2326</v>
      </c>
    </row>
    <row r="5819" ht="12.75" customHeight="1">
      <c r="A5819" s="59" t="s">
        <v>386</v>
      </c>
      <c r="B5819" s="60" t="s">
        <v>2327</v>
      </c>
    </row>
    <row r="5820" ht="12.75" customHeight="1">
      <c r="A5820" s="59" t="s">
        <v>386</v>
      </c>
      <c r="B5820" s="60" t="s">
        <v>2328</v>
      </c>
    </row>
    <row r="5821" ht="12.75" customHeight="1">
      <c r="A5821" s="59" t="s">
        <v>386</v>
      </c>
      <c r="B5821" s="60" t="s">
        <v>2329</v>
      </c>
    </row>
    <row r="5822" ht="12.75" customHeight="1">
      <c r="A5822" s="59" t="s">
        <v>386</v>
      </c>
      <c r="B5822" s="60" t="s">
        <v>2330</v>
      </c>
    </row>
    <row r="5823" ht="12.75" customHeight="1">
      <c r="A5823" s="59" t="s">
        <v>386</v>
      </c>
      <c r="B5823" s="60" t="s">
        <v>2331</v>
      </c>
    </row>
    <row r="5824" ht="12.75" customHeight="1">
      <c r="A5824" s="59" t="s">
        <v>386</v>
      </c>
      <c r="B5824" s="60" t="s">
        <v>2332</v>
      </c>
    </row>
    <row r="5825" ht="12.75" customHeight="1">
      <c r="A5825" s="59" t="s">
        <v>386</v>
      </c>
      <c r="B5825" s="60" t="s">
        <v>2333</v>
      </c>
    </row>
    <row r="5826" ht="12.75" customHeight="1">
      <c r="A5826" s="59" t="s">
        <v>386</v>
      </c>
      <c r="B5826" s="60" t="s">
        <v>2334</v>
      </c>
    </row>
    <row r="5827" ht="12.75" customHeight="1">
      <c r="A5827" s="59" t="s">
        <v>392</v>
      </c>
      <c r="B5827" s="60" t="s">
        <v>2392</v>
      </c>
    </row>
    <row r="5828" ht="12.75" customHeight="1">
      <c r="A5828" s="59" t="s">
        <v>392</v>
      </c>
      <c r="B5828" s="60" t="s">
        <v>2393</v>
      </c>
    </row>
    <row r="5829" ht="12.75" customHeight="1">
      <c r="A5829" s="59" t="s">
        <v>392</v>
      </c>
      <c r="B5829" s="60" t="s">
        <v>2394</v>
      </c>
    </row>
    <row r="5830" ht="12.75" customHeight="1">
      <c r="A5830" s="59" t="s">
        <v>392</v>
      </c>
      <c r="B5830" s="60" t="s">
        <v>2395</v>
      </c>
    </row>
    <row r="5831" ht="12.75" customHeight="1">
      <c r="A5831" s="59" t="s">
        <v>392</v>
      </c>
      <c r="B5831" s="60">
        <v>18.5</v>
      </c>
    </row>
    <row r="5832" ht="12.75" customHeight="1">
      <c r="A5832" s="59" t="s">
        <v>392</v>
      </c>
      <c r="B5832" s="60">
        <v>19.0</v>
      </c>
    </row>
    <row r="5833" ht="12.75" customHeight="1">
      <c r="A5833" s="59" t="s">
        <v>392</v>
      </c>
      <c r="B5833" s="60">
        <v>19.5</v>
      </c>
    </row>
    <row r="5834" ht="12.75" customHeight="1">
      <c r="A5834" s="59" t="s">
        <v>392</v>
      </c>
      <c r="B5834" s="60">
        <v>20.0</v>
      </c>
    </row>
    <row r="5835" ht="12.75" customHeight="1">
      <c r="A5835" s="59" t="s">
        <v>392</v>
      </c>
      <c r="B5835" s="60">
        <v>20.5</v>
      </c>
    </row>
    <row r="5836" ht="12.75" customHeight="1">
      <c r="A5836" s="59" t="s">
        <v>392</v>
      </c>
      <c r="B5836" s="60">
        <v>21.0</v>
      </c>
    </row>
    <row r="5837" ht="12.75" customHeight="1">
      <c r="A5837" s="59" t="s">
        <v>392</v>
      </c>
      <c r="B5837" s="60">
        <v>21.5</v>
      </c>
    </row>
    <row r="5838" ht="12.75" customHeight="1">
      <c r="A5838" s="59" t="s">
        <v>392</v>
      </c>
      <c r="B5838" s="60">
        <v>22.0</v>
      </c>
    </row>
    <row r="5839" ht="12.75" customHeight="1">
      <c r="A5839" s="59" t="s">
        <v>392</v>
      </c>
      <c r="B5839" s="60">
        <v>22.5</v>
      </c>
    </row>
    <row r="5840" ht="12.75" customHeight="1">
      <c r="A5840" s="59" t="s">
        <v>392</v>
      </c>
      <c r="B5840" s="60" t="s">
        <v>845</v>
      </c>
    </row>
    <row r="5841" ht="12.75" customHeight="1">
      <c r="A5841" s="59" t="s">
        <v>392</v>
      </c>
      <c r="B5841" s="60" t="s">
        <v>2291</v>
      </c>
    </row>
    <row r="5842" ht="12.75" customHeight="1">
      <c r="A5842" s="59" t="s">
        <v>392</v>
      </c>
      <c r="B5842" s="60" t="s">
        <v>2292</v>
      </c>
    </row>
    <row r="5843" ht="12.75" customHeight="1">
      <c r="A5843" s="59" t="s">
        <v>392</v>
      </c>
      <c r="B5843" s="60" t="s">
        <v>2293</v>
      </c>
    </row>
    <row r="5844" ht="12.75" customHeight="1">
      <c r="A5844" s="59" t="s">
        <v>392</v>
      </c>
      <c r="B5844" s="60" t="s">
        <v>2294</v>
      </c>
    </row>
    <row r="5845" ht="12.75" customHeight="1">
      <c r="A5845" s="59" t="s">
        <v>392</v>
      </c>
      <c r="B5845" s="60" t="s">
        <v>2295</v>
      </c>
    </row>
    <row r="5846" ht="12.75" customHeight="1">
      <c r="A5846" s="59" t="s">
        <v>392</v>
      </c>
      <c r="B5846" s="60" t="s">
        <v>2296</v>
      </c>
    </row>
    <row r="5847" ht="12.75" customHeight="1">
      <c r="A5847" s="59" t="s">
        <v>392</v>
      </c>
      <c r="B5847" s="60" t="s">
        <v>2297</v>
      </c>
    </row>
    <row r="5848" ht="12.75" customHeight="1">
      <c r="A5848" s="59" t="s">
        <v>392</v>
      </c>
      <c r="B5848" s="60" t="s">
        <v>2298</v>
      </c>
    </row>
    <row r="5849" ht="12.75" customHeight="1">
      <c r="A5849" s="59" t="s">
        <v>392</v>
      </c>
      <c r="B5849" s="60" t="s">
        <v>2299</v>
      </c>
    </row>
    <row r="5850" ht="12.75" customHeight="1">
      <c r="A5850" s="59" t="s">
        <v>392</v>
      </c>
      <c r="B5850" s="60" t="s">
        <v>2300</v>
      </c>
    </row>
    <row r="5851" ht="12.75" customHeight="1">
      <c r="A5851" s="59" t="s">
        <v>392</v>
      </c>
      <c r="B5851" s="60" t="s">
        <v>2301</v>
      </c>
    </row>
    <row r="5852" ht="12.75" customHeight="1">
      <c r="A5852" s="59" t="s">
        <v>392</v>
      </c>
      <c r="B5852" s="60" t="s">
        <v>2396</v>
      </c>
    </row>
    <row r="5853" ht="12.75" customHeight="1">
      <c r="A5853" s="59" t="s">
        <v>392</v>
      </c>
      <c r="B5853" s="60" t="s">
        <v>2397</v>
      </c>
    </row>
    <row r="5854" ht="12.75" customHeight="1">
      <c r="A5854" s="59" t="s">
        <v>392</v>
      </c>
      <c r="B5854" s="60" t="s">
        <v>2398</v>
      </c>
    </row>
    <row r="5855" ht="12.75" customHeight="1">
      <c r="A5855" s="59" t="s">
        <v>392</v>
      </c>
      <c r="B5855" s="60" t="s">
        <v>2399</v>
      </c>
    </row>
    <row r="5856" ht="12.75" customHeight="1">
      <c r="A5856" s="59" t="s">
        <v>392</v>
      </c>
      <c r="B5856" s="60" t="s">
        <v>2278</v>
      </c>
    </row>
    <row r="5857" ht="12.75" customHeight="1">
      <c r="A5857" s="59" t="s">
        <v>392</v>
      </c>
      <c r="B5857" s="60" t="s">
        <v>2400</v>
      </c>
    </row>
    <row r="5858" ht="12.75" customHeight="1">
      <c r="A5858" s="59" t="s">
        <v>392</v>
      </c>
      <c r="B5858" s="60" t="s">
        <v>2401</v>
      </c>
    </row>
    <row r="5859" ht="12.75" customHeight="1">
      <c r="A5859" s="59" t="s">
        <v>392</v>
      </c>
      <c r="B5859" s="60" t="s">
        <v>2402</v>
      </c>
    </row>
    <row r="5860" ht="12.75" customHeight="1">
      <c r="A5860" s="59" t="s">
        <v>392</v>
      </c>
      <c r="B5860" s="60" t="s">
        <v>2403</v>
      </c>
    </row>
    <row r="5861" ht="12.75" customHeight="1">
      <c r="A5861" s="59" t="s">
        <v>392</v>
      </c>
      <c r="B5861" s="60" t="s">
        <v>2404</v>
      </c>
    </row>
    <row r="5862" ht="12.75" customHeight="1">
      <c r="A5862" s="59" t="s">
        <v>392</v>
      </c>
      <c r="B5862" s="60" t="s">
        <v>2405</v>
      </c>
    </row>
    <row r="5863" ht="12.75" customHeight="1">
      <c r="A5863" s="59" t="s">
        <v>392</v>
      </c>
      <c r="B5863" s="60" t="s">
        <v>2406</v>
      </c>
    </row>
    <row r="5864" ht="12.75" customHeight="1">
      <c r="A5864" s="59" t="s">
        <v>392</v>
      </c>
      <c r="B5864" s="60" t="s">
        <v>2407</v>
      </c>
    </row>
    <row r="5865" ht="12.75" customHeight="1">
      <c r="A5865" s="59" t="s">
        <v>392</v>
      </c>
      <c r="B5865" s="60" t="s">
        <v>862</v>
      </c>
    </row>
    <row r="5866" ht="12.75" customHeight="1">
      <c r="A5866" s="59" t="s">
        <v>392</v>
      </c>
      <c r="B5866" s="60" t="s">
        <v>2302</v>
      </c>
    </row>
    <row r="5867" ht="12.75" customHeight="1">
      <c r="A5867" s="59" t="s">
        <v>392</v>
      </c>
      <c r="B5867" s="60" t="s">
        <v>2303</v>
      </c>
    </row>
    <row r="5868" ht="12.75" customHeight="1">
      <c r="A5868" s="59" t="s">
        <v>392</v>
      </c>
      <c r="B5868" s="60" t="s">
        <v>2304</v>
      </c>
    </row>
    <row r="5869" ht="12.75" customHeight="1">
      <c r="A5869" s="59" t="s">
        <v>392</v>
      </c>
      <c r="B5869" s="60" t="s">
        <v>2305</v>
      </c>
    </row>
    <row r="5870" ht="12.75" customHeight="1">
      <c r="A5870" s="59" t="s">
        <v>392</v>
      </c>
      <c r="B5870" s="60" t="s">
        <v>2306</v>
      </c>
    </row>
    <row r="5871" ht="12.75" customHeight="1">
      <c r="A5871" s="59" t="s">
        <v>392</v>
      </c>
      <c r="B5871" s="60" t="s">
        <v>2307</v>
      </c>
    </row>
    <row r="5872" ht="12.75" customHeight="1">
      <c r="A5872" s="59" t="s">
        <v>392</v>
      </c>
      <c r="B5872" s="60" t="s">
        <v>2308</v>
      </c>
    </row>
    <row r="5873" ht="12.75" customHeight="1">
      <c r="A5873" s="59" t="s">
        <v>392</v>
      </c>
      <c r="B5873" s="60" t="s">
        <v>2309</v>
      </c>
    </row>
    <row r="5874" ht="12.75" customHeight="1">
      <c r="A5874" s="59" t="s">
        <v>392</v>
      </c>
      <c r="B5874" s="60" t="s">
        <v>2310</v>
      </c>
    </row>
    <row r="5875" ht="12.75" customHeight="1">
      <c r="A5875" s="59" t="s">
        <v>392</v>
      </c>
      <c r="B5875" s="60" t="s">
        <v>2311</v>
      </c>
    </row>
    <row r="5876" ht="12.75" customHeight="1">
      <c r="A5876" s="59" t="s">
        <v>392</v>
      </c>
      <c r="B5876" s="60" t="s">
        <v>2312</v>
      </c>
    </row>
    <row r="5877" ht="12.75" customHeight="1">
      <c r="A5877" s="59" t="s">
        <v>392</v>
      </c>
      <c r="B5877" s="60" t="s">
        <v>2408</v>
      </c>
    </row>
    <row r="5878" ht="12.75" customHeight="1">
      <c r="A5878" s="59" t="s">
        <v>392</v>
      </c>
      <c r="B5878" s="60" t="s">
        <v>2409</v>
      </c>
    </row>
    <row r="5879" ht="12.75" customHeight="1">
      <c r="A5879" s="59" t="s">
        <v>392</v>
      </c>
      <c r="B5879" s="60" t="s">
        <v>2410</v>
      </c>
    </row>
    <row r="5880" ht="12.75" customHeight="1">
      <c r="A5880" s="59" t="s">
        <v>392</v>
      </c>
      <c r="B5880" s="60" t="s">
        <v>2411</v>
      </c>
    </row>
    <row r="5881" ht="12.75" customHeight="1">
      <c r="A5881" s="59" t="s">
        <v>392</v>
      </c>
      <c r="B5881" s="60" t="s">
        <v>2412</v>
      </c>
    </row>
    <row r="5882" ht="12.75" customHeight="1">
      <c r="A5882" s="59" t="s">
        <v>392</v>
      </c>
      <c r="B5882" s="60" t="s">
        <v>2413</v>
      </c>
    </row>
    <row r="5883" ht="12.75" customHeight="1">
      <c r="A5883" s="59" t="s">
        <v>392</v>
      </c>
      <c r="B5883" s="60" t="s">
        <v>2414</v>
      </c>
    </row>
    <row r="5884" ht="12.75" customHeight="1">
      <c r="A5884" s="59" t="s">
        <v>392</v>
      </c>
      <c r="B5884" s="60" t="s">
        <v>2415</v>
      </c>
    </row>
    <row r="5885" ht="12.75" customHeight="1">
      <c r="A5885" s="59" t="s">
        <v>392</v>
      </c>
      <c r="B5885" s="60" t="s">
        <v>2416</v>
      </c>
    </row>
    <row r="5886" ht="12.75" customHeight="1">
      <c r="A5886" s="59" t="s">
        <v>392</v>
      </c>
      <c r="B5886" s="60" t="s">
        <v>2417</v>
      </c>
    </row>
    <row r="5887" ht="12.75" customHeight="1">
      <c r="A5887" s="59" t="s">
        <v>392</v>
      </c>
      <c r="B5887" s="60" t="s">
        <v>2418</v>
      </c>
    </row>
    <row r="5888" ht="12.75" customHeight="1">
      <c r="A5888" s="59" t="s">
        <v>392</v>
      </c>
      <c r="B5888" s="60" t="s">
        <v>2419</v>
      </c>
    </row>
    <row r="5889" ht="12.75" customHeight="1">
      <c r="A5889" s="59" t="s">
        <v>392</v>
      </c>
      <c r="B5889" s="60" t="s">
        <v>2420</v>
      </c>
    </row>
    <row r="5890" ht="12.75" customHeight="1">
      <c r="A5890" s="59" t="s">
        <v>392</v>
      </c>
      <c r="B5890" s="60" t="s">
        <v>881</v>
      </c>
    </row>
    <row r="5891" ht="12.75" customHeight="1">
      <c r="A5891" s="59" t="s">
        <v>392</v>
      </c>
      <c r="B5891" s="60" t="s">
        <v>2313</v>
      </c>
    </row>
    <row r="5892" ht="12.75" customHeight="1">
      <c r="A5892" s="59" t="s">
        <v>392</v>
      </c>
      <c r="B5892" s="60" t="s">
        <v>2314</v>
      </c>
    </row>
    <row r="5893" ht="12.75" customHeight="1">
      <c r="A5893" s="59" t="s">
        <v>392</v>
      </c>
      <c r="B5893" s="60" t="s">
        <v>2315</v>
      </c>
    </row>
    <row r="5894" ht="12.75" customHeight="1">
      <c r="A5894" s="59" t="s">
        <v>392</v>
      </c>
      <c r="B5894" s="60" t="s">
        <v>2316</v>
      </c>
    </row>
    <row r="5895" ht="12.75" customHeight="1">
      <c r="A5895" s="59" t="s">
        <v>392</v>
      </c>
      <c r="B5895" s="60" t="s">
        <v>2317</v>
      </c>
    </row>
    <row r="5896" ht="12.75" customHeight="1">
      <c r="A5896" s="59" t="s">
        <v>392</v>
      </c>
      <c r="B5896" s="60" t="s">
        <v>2318</v>
      </c>
    </row>
    <row r="5897" ht="12.75" customHeight="1">
      <c r="A5897" s="59" t="s">
        <v>392</v>
      </c>
      <c r="B5897" s="60" t="s">
        <v>2319</v>
      </c>
    </row>
    <row r="5898" ht="12.75" customHeight="1">
      <c r="A5898" s="59" t="s">
        <v>392</v>
      </c>
      <c r="B5898" s="60" t="s">
        <v>2320</v>
      </c>
    </row>
    <row r="5899" ht="12.75" customHeight="1">
      <c r="A5899" s="59" t="s">
        <v>392</v>
      </c>
      <c r="B5899" s="60" t="s">
        <v>2321</v>
      </c>
    </row>
    <row r="5900" ht="12.75" customHeight="1">
      <c r="A5900" s="59" t="s">
        <v>392</v>
      </c>
      <c r="B5900" s="60" t="s">
        <v>2322</v>
      </c>
    </row>
    <row r="5901" ht="12.75" customHeight="1">
      <c r="A5901" s="59" t="s">
        <v>392</v>
      </c>
      <c r="B5901" s="60" t="s">
        <v>2323</v>
      </c>
    </row>
    <row r="5902" ht="12.75" customHeight="1">
      <c r="A5902" s="59" t="s">
        <v>392</v>
      </c>
      <c r="B5902" s="60" t="s">
        <v>2421</v>
      </c>
    </row>
    <row r="5903" ht="12.75" customHeight="1">
      <c r="A5903" s="59" t="s">
        <v>392</v>
      </c>
      <c r="B5903" s="60" t="s">
        <v>2422</v>
      </c>
    </row>
    <row r="5904" ht="12.75" customHeight="1">
      <c r="A5904" s="59" t="s">
        <v>392</v>
      </c>
      <c r="B5904" s="60" t="s">
        <v>2423</v>
      </c>
    </row>
    <row r="5905" ht="12.75" customHeight="1">
      <c r="A5905" s="59" t="s">
        <v>392</v>
      </c>
      <c r="B5905" s="60" t="s">
        <v>2424</v>
      </c>
    </row>
    <row r="5906" ht="12.75" customHeight="1">
      <c r="A5906" s="59" t="s">
        <v>392</v>
      </c>
      <c r="B5906" s="60" t="s">
        <v>2425</v>
      </c>
    </row>
    <row r="5907" ht="12.75" customHeight="1">
      <c r="A5907" s="59" t="s">
        <v>392</v>
      </c>
      <c r="B5907" s="60" t="s">
        <v>2426</v>
      </c>
    </row>
    <row r="5908" ht="12.75" customHeight="1">
      <c r="A5908" s="59" t="s">
        <v>392</v>
      </c>
      <c r="B5908" s="60" t="s">
        <v>2427</v>
      </c>
    </row>
    <row r="5909" ht="12.75" customHeight="1">
      <c r="A5909" s="59" t="s">
        <v>392</v>
      </c>
      <c r="B5909" s="60" t="s">
        <v>890</v>
      </c>
    </row>
    <row r="5910" ht="12.75" customHeight="1">
      <c r="A5910" s="59" t="s">
        <v>392</v>
      </c>
      <c r="B5910" s="60" t="s">
        <v>2428</v>
      </c>
    </row>
    <row r="5911" ht="12.75" customHeight="1">
      <c r="A5911" s="59" t="s">
        <v>392</v>
      </c>
      <c r="B5911" s="60" t="s">
        <v>2429</v>
      </c>
    </row>
    <row r="5912" ht="12.75" customHeight="1">
      <c r="A5912" s="59" t="s">
        <v>392</v>
      </c>
      <c r="B5912" s="60" t="s">
        <v>2430</v>
      </c>
    </row>
    <row r="5913" ht="12.75" customHeight="1">
      <c r="A5913" s="59" t="s">
        <v>392</v>
      </c>
      <c r="B5913" s="60" t="s">
        <v>891</v>
      </c>
    </row>
    <row r="5914" ht="12.75" customHeight="1">
      <c r="A5914" s="59" t="s">
        <v>392</v>
      </c>
      <c r="B5914" s="60" t="s">
        <v>2431</v>
      </c>
    </row>
    <row r="5915" ht="12.75" customHeight="1">
      <c r="A5915" s="59" t="s">
        <v>392</v>
      </c>
      <c r="B5915" s="60" t="s">
        <v>900</v>
      </c>
    </row>
    <row r="5916" ht="12.75" customHeight="1">
      <c r="A5916" s="59" t="s">
        <v>392</v>
      </c>
      <c r="B5916" s="60" t="s">
        <v>2324</v>
      </c>
    </row>
    <row r="5917" ht="12.75" customHeight="1">
      <c r="A5917" s="59" t="s">
        <v>392</v>
      </c>
      <c r="B5917" s="60" t="s">
        <v>2325</v>
      </c>
    </row>
    <row r="5918" ht="12.75" customHeight="1">
      <c r="A5918" s="59" t="s">
        <v>392</v>
      </c>
      <c r="B5918" s="60" t="s">
        <v>2326</v>
      </c>
    </row>
    <row r="5919" ht="12.75" customHeight="1">
      <c r="A5919" s="59" t="s">
        <v>392</v>
      </c>
      <c r="B5919" s="60" t="s">
        <v>2327</v>
      </c>
    </row>
    <row r="5920" ht="12.75" customHeight="1">
      <c r="A5920" s="59" t="s">
        <v>392</v>
      </c>
      <c r="B5920" s="60" t="s">
        <v>2328</v>
      </c>
    </row>
    <row r="5921" ht="12.75" customHeight="1">
      <c r="A5921" s="59" t="s">
        <v>392</v>
      </c>
      <c r="B5921" s="60" t="s">
        <v>2329</v>
      </c>
    </row>
    <row r="5922" ht="12.75" customHeight="1">
      <c r="A5922" s="59" t="s">
        <v>392</v>
      </c>
      <c r="B5922" s="60" t="s">
        <v>2330</v>
      </c>
    </row>
    <row r="5923" ht="12.75" customHeight="1">
      <c r="A5923" s="59" t="s">
        <v>392</v>
      </c>
      <c r="B5923" s="60" t="s">
        <v>2331</v>
      </c>
    </row>
    <row r="5924" ht="12.75" customHeight="1">
      <c r="A5924" s="59" t="s">
        <v>392</v>
      </c>
      <c r="B5924" s="60" t="s">
        <v>2332</v>
      </c>
    </row>
    <row r="5925" ht="12.75" customHeight="1">
      <c r="A5925" s="59" t="s">
        <v>392</v>
      </c>
      <c r="B5925" s="60" t="s">
        <v>2333</v>
      </c>
    </row>
    <row r="5926" ht="12.75" customHeight="1">
      <c r="A5926" s="59" t="s">
        <v>392</v>
      </c>
      <c r="B5926" s="60" t="s">
        <v>2334</v>
      </c>
    </row>
    <row r="5927" ht="12.75" customHeight="1">
      <c r="A5927" s="59" t="s">
        <v>234</v>
      </c>
      <c r="B5927" s="60" t="s">
        <v>2335</v>
      </c>
    </row>
    <row r="5928" ht="12.75" customHeight="1">
      <c r="A5928" s="59" t="s">
        <v>234</v>
      </c>
      <c r="B5928" s="60" t="s">
        <v>2336</v>
      </c>
    </row>
    <row r="5929" ht="12.75" customHeight="1">
      <c r="A5929" s="59" t="s">
        <v>234</v>
      </c>
      <c r="B5929" s="60" t="s">
        <v>2337</v>
      </c>
    </row>
    <row r="5930" ht="12.75" customHeight="1">
      <c r="A5930" s="59" t="s">
        <v>234</v>
      </c>
      <c r="B5930" s="60" t="s">
        <v>2338</v>
      </c>
    </row>
    <row r="5931" ht="12.75" customHeight="1">
      <c r="A5931" s="59" t="s">
        <v>234</v>
      </c>
      <c r="B5931" s="60" t="s">
        <v>2339</v>
      </c>
    </row>
    <row r="5932" ht="12.75" customHeight="1">
      <c r="A5932" s="59" t="s">
        <v>234</v>
      </c>
      <c r="B5932" s="60">
        <v>42.0</v>
      </c>
    </row>
    <row r="5933" ht="12.75" customHeight="1">
      <c r="A5933" s="59" t="s">
        <v>234</v>
      </c>
      <c r="B5933" s="60">
        <v>43.0</v>
      </c>
    </row>
    <row r="5934" ht="12.75" customHeight="1">
      <c r="A5934" s="59" t="s">
        <v>234</v>
      </c>
      <c r="B5934" s="60">
        <v>44.0</v>
      </c>
    </row>
    <row r="5935" ht="12.75" customHeight="1">
      <c r="A5935" s="59" t="s">
        <v>234</v>
      </c>
      <c r="B5935" s="60">
        <v>46.0</v>
      </c>
    </row>
    <row r="5936" ht="12.75" customHeight="1">
      <c r="A5936" s="59" t="s">
        <v>234</v>
      </c>
      <c r="B5936" s="60">
        <v>48.0</v>
      </c>
    </row>
    <row r="5937" ht="12.75" customHeight="1">
      <c r="A5937" s="59" t="s">
        <v>234</v>
      </c>
      <c r="B5937" s="60">
        <v>50.0</v>
      </c>
    </row>
    <row r="5938" ht="12.75" customHeight="1">
      <c r="A5938" s="59" t="s">
        <v>234</v>
      </c>
      <c r="B5938" s="60">
        <v>52.0</v>
      </c>
    </row>
    <row r="5939" ht="12.75" customHeight="1">
      <c r="A5939" s="59" t="s">
        <v>234</v>
      </c>
      <c r="B5939" s="60">
        <v>54.0</v>
      </c>
    </row>
    <row r="5940" ht="12.75" customHeight="1">
      <c r="A5940" s="59" t="s">
        <v>234</v>
      </c>
      <c r="B5940" s="60">
        <v>56.0</v>
      </c>
    </row>
    <row r="5941" ht="12.75" customHeight="1">
      <c r="A5941" s="59" t="s">
        <v>234</v>
      </c>
      <c r="B5941" s="60">
        <v>58.0</v>
      </c>
    </row>
    <row r="5942" ht="12.75" customHeight="1">
      <c r="A5942" s="59" t="s">
        <v>234</v>
      </c>
      <c r="B5942" s="60">
        <v>60.0</v>
      </c>
    </row>
    <row r="5943" ht="12.75" customHeight="1">
      <c r="A5943" s="59" t="s">
        <v>234</v>
      </c>
      <c r="B5943" s="60" t="s">
        <v>845</v>
      </c>
    </row>
    <row r="5944" ht="12.75" customHeight="1">
      <c r="A5944" s="59" t="s">
        <v>234</v>
      </c>
      <c r="B5944" s="60" t="s">
        <v>2291</v>
      </c>
    </row>
    <row r="5945" ht="12.75" customHeight="1">
      <c r="A5945" s="59" t="s">
        <v>234</v>
      </c>
      <c r="B5945" s="60" t="s">
        <v>2292</v>
      </c>
    </row>
    <row r="5946" ht="12.75" customHeight="1">
      <c r="A5946" s="59" t="s">
        <v>234</v>
      </c>
      <c r="B5946" s="60" t="s">
        <v>2293</v>
      </c>
    </row>
    <row r="5947" ht="12.75" customHeight="1">
      <c r="A5947" s="59" t="s">
        <v>234</v>
      </c>
      <c r="B5947" s="60" t="s">
        <v>2294</v>
      </c>
    </row>
    <row r="5948" ht="12.75" customHeight="1">
      <c r="A5948" s="59" t="s">
        <v>234</v>
      </c>
      <c r="B5948" s="60" t="s">
        <v>2295</v>
      </c>
    </row>
    <row r="5949" ht="12.75" customHeight="1">
      <c r="A5949" s="59" t="s">
        <v>234</v>
      </c>
      <c r="B5949" s="60" t="s">
        <v>2296</v>
      </c>
    </row>
    <row r="5950" ht="12.75" customHeight="1">
      <c r="A5950" s="59" t="s">
        <v>234</v>
      </c>
      <c r="B5950" s="60" t="s">
        <v>2297</v>
      </c>
    </row>
    <row r="5951" ht="12.75" customHeight="1">
      <c r="A5951" s="59" t="s">
        <v>234</v>
      </c>
      <c r="B5951" s="60" t="s">
        <v>2298</v>
      </c>
    </row>
    <row r="5952" ht="12.75" customHeight="1">
      <c r="A5952" s="59" t="s">
        <v>234</v>
      </c>
      <c r="B5952" s="60" t="s">
        <v>2299</v>
      </c>
    </row>
    <row r="5953" ht="12.75" customHeight="1">
      <c r="A5953" s="59" t="s">
        <v>234</v>
      </c>
      <c r="B5953" s="60" t="s">
        <v>2300</v>
      </c>
    </row>
    <row r="5954" ht="12.75" customHeight="1">
      <c r="A5954" s="59" t="s">
        <v>234</v>
      </c>
      <c r="B5954" s="60" t="s">
        <v>2301</v>
      </c>
    </row>
    <row r="5955" ht="12.75" customHeight="1">
      <c r="A5955" s="59" t="s">
        <v>234</v>
      </c>
      <c r="B5955" s="60" t="s">
        <v>2341</v>
      </c>
    </row>
    <row r="5956" ht="12.75" customHeight="1">
      <c r="A5956" s="59" t="s">
        <v>234</v>
      </c>
      <c r="B5956" s="60" t="s">
        <v>2342</v>
      </c>
    </row>
    <row r="5957" ht="12.75" customHeight="1">
      <c r="A5957" s="59" t="s">
        <v>234</v>
      </c>
      <c r="B5957" s="60" t="s">
        <v>2343</v>
      </c>
    </row>
    <row r="5958" ht="12.75" customHeight="1">
      <c r="A5958" s="59" t="s">
        <v>234</v>
      </c>
      <c r="B5958" s="60" t="s">
        <v>2344</v>
      </c>
    </row>
    <row r="5959" ht="12.75" customHeight="1">
      <c r="A5959" s="59" t="s">
        <v>234</v>
      </c>
      <c r="B5959" s="60" t="s">
        <v>2345</v>
      </c>
    </row>
    <row r="5960" ht="12.75" customHeight="1">
      <c r="A5960" s="59" t="s">
        <v>234</v>
      </c>
      <c r="B5960" s="60" t="s">
        <v>2347</v>
      </c>
    </row>
    <row r="5961" ht="12.75" customHeight="1">
      <c r="A5961" s="59" t="s">
        <v>234</v>
      </c>
      <c r="B5961" s="60" t="s">
        <v>2348</v>
      </c>
    </row>
    <row r="5962" ht="12.75" customHeight="1">
      <c r="A5962" s="59" t="s">
        <v>234</v>
      </c>
      <c r="B5962" s="60" t="s">
        <v>2349</v>
      </c>
    </row>
    <row r="5963" ht="12.75" customHeight="1">
      <c r="A5963" s="59" t="s">
        <v>234</v>
      </c>
      <c r="B5963" s="60" t="s">
        <v>2350</v>
      </c>
    </row>
    <row r="5964" ht="12.75" customHeight="1">
      <c r="A5964" s="59" t="s">
        <v>234</v>
      </c>
      <c r="B5964" s="60" t="s">
        <v>2351</v>
      </c>
    </row>
    <row r="5965" ht="12.75" customHeight="1">
      <c r="A5965" s="59" t="s">
        <v>234</v>
      </c>
      <c r="B5965" s="60" t="s">
        <v>2352</v>
      </c>
    </row>
    <row r="5966" ht="12.75" customHeight="1">
      <c r="A5966" s="59" t="s">
        <v>234</v>
      </c>
      <c r="B5966" s="60" t="s">
        <v>2353</v>
      </c>
    </row>
    <row r="5967" ht="12.75" customHeight="1">
      <c r="A5967" s="59" t="s">
        <v>234</v>
      </c>
      <c r="B5967" s="60" t="s">
        <v>2354</v>
      </c>
    </row>
    <row r="5968" ht="12.75" customHeight="1">
      <c r="A5968" s="59" t="s">
        <v>234</v>
      </c>
      <c r="B5968" s="60" t="s">
        <v>2355</v>
      </c>
    </row>
    <row r="5969" ht="12.75" customHeight="1">
      <c r="A5969" s="59" t="s">
        <v>234</v>
      </c>
      <c r="B5969" s="60" t="s">
        <v>2356</v>
      </c>
    </row>
    <row r="5970" ht="12.75" customHeight="1">
      <c r="A5970" s="59" t="s">
        <v>234</v>
      </c>
      <c r="B5970" s="60" t="s">
        <v>2357</v>
      </c>
    </row>
    <row r="5971" ht="12.75" customHeight="1">
      <c r="A5971" s="59" t="s">
        <v>234</v>
      </c>
      <c r="B5971" s="60" t="s">
        <v>862</v>
      </c>
    </row>
    <row r="5972" ht="12.75" customHeight="1">
      <c r="A5972" s="59" t="s">
        <v>234</v>
      </c>
      <c r="B5972" s="60" t="s">
        <v>2302</v>
      </c>
    </row>
    <row r="5973" ht="12.75" customHeight="1">
      <c r="A5973" s="59" t="s">
        <v>234</v>
      </c>
      <c r="B5973" s="60" t="s">
        <v>2303</v>
      </c>
    </row>
    <row r="5974" ht="12.75" customHeight="1">
      <c r="A5974" s="59" t="s">
        <v>234</v>
      </c>
      <c r="B5974" s="60" t="s">
        <v>2304</v>
      </c>
    </row>
    <row r="5975" ht="12.75" customHeight="1">
      <c r="A5975" s="59" t="s">
        <v>234</v>
      </c>
      <c r="B5975" s="60" t="s">
        <v>2305</v>
      </c>
    </row>
    <row r="5976" ht="12.75" customHeight="1">
      <c r="A5976" s="59" t="s">
        <v>234</v>
      </c>
      <c r="B5976" s="60" t="s">
        <v>2306</v>
      </c>
    </row>
    <row r="5977" ht="12.75" customHeight="1">
      <c r="A5977" s="59" t="s">
        <v>234</v>
      </c>
      <c r="B5977" s="60" t="s">
        <v>2307</v>
      </c>
    </row>
    <row r="5978" ht="12.75" customHeight="1">
      <c r="A5978" s="59" t="s">
        <v>234</v>
      </c>
      <c r="B5978" s="60" t="s">
        <v>2308</v>
      </c>
    </row>
    <row r="5979" ht="12.75" customHeight="1">
      <c r="A5979" s="59" t="s">
        <v>234</v>
      </c>
      <c r="B5979" s="60" t="s">
        <v>2309</v>
      </c>
    </row>
    <row r="5980" ht="12.75" customHeight="1">
      <c r="A5980" s="59" t="s">
        <v>234</v>
      </c>
      <c r="B5980" s="60" t="s">
        <v>2310</v>
      </c>
    </row>
    <row r="5981" ht="12.75" customHeight="1">
      <c r="A5981" s="59" t="s">
        <v>234</v>
      </c>
      <c r="B5981" s="60" t="s">
        <v>2311</v>
      </c>
    </row>
    <row r="5982" ht="12.75" customHeight="1">
      <c r="A5982" s="59" t="s">
        <v>234</v>
      </c>
      <c r="B5982" s="60" t="s">
        <v>2312</v>
      </c>
    </row>
    <row r="5983" ht="12.75" customHeight="1">
      <c r="A5983" s="59" t="s">
        <v>234</v>
      </c>
      <c r="B5983" s="60" t="s">
        <v>2358</v>
      </c>
    </row>
    <row r="5984" ht="12.75" customHeight="1">
      <c r="A5984" s="59" t="s">
        <v>234</v>
      </c>
      <c r="B5984" s="60" t="s">
        <v>2359</v>
      </c>
    </row>
    <row r="5985" ht="12.75" customHeight="1">
      <c r="A5985" s="59" t="s">
        <v>234</v>
      </c>
      <c r="B5985" s="60" t="s">
        <v>2360</v>
      </c>
    </row>
    <row r="5986" ht="12.75" customHeight="1">
      <c r="A5986" s="59" t="s">
        <v>234</v>
      </c>
      <c r="B5986" s="60" t="s">
        <v>2361</v>
      </c>
    </row>
    <row r="5987" ht="12.75" customHeight="1">
      <c r="A5987" s="59" t="s">
        <v>234</v>
      </c>
      <c r="B5987" s="60" t="s">
        <v>2362</v>
      </c>
    </row>
    <row r="5988" ht="12.75" customHeight="1">
      <c r="A5988" s="59" t="s">
        <v>234</v>
      </c>
      <c r="B5988" s="60" t="s">
        <v>2364</v>
      </c>
    </row>
    <row r="5989" ht="12.75" customHeight="1">
      <c r="A5989" s="59" t="s">
        <v>234</v>
      </c>
      <c r="B5989" s="60" t="s">
        <v>2365</v>
      </c>
    </row>
    <row r="5990" ht="12.75" customHeight="1">
      <c r="A5990" s="59" t="s">
        <v>234</v>
      </c>
      <c r="B5990" s="60" t="s">
        <v>2366</v>
      </c>
    </row>
    <row r="5991" ht="12.75" customHeight="1">
      <c r="A5991" s="59" t="s">
        <v>234</v>
      </c>
      <c r="B5991" s="60" t="s">
        <v>2367</v>
      </c>
    </row>
    <row r="5992" ht="12.75" customHeight="1">
      <c r="A5992" s="59" t="s">
        <v>234</v>
      </c>
      <c r="B5992" s="60" t="s">
        <v>2368</v>
      </c>
    </row>
    <row r="5993" ht="12.75" customHeight="1">
      <c r="A5993" s="59" t="s">
        <v>234</v>
      </c>
      <c r="B5993" s="60" t="s">
        <v>2369</v>
      </c>
    </row>
    <row r="5994" ht="12.75" customHeight="1">
      <c r="A5994" s="59" t="s">
        <v>234</v>
      </c>
      <c r="B5994" s="60" t="s">
        <v>2370</v>
      </c>
    </row>
    <row r="5995" ht="12.75" customHeight="1">
      <c r="A5995" s="59" t="s">
        <v>234</v>
      </c>
      <c r="B5995" s="60" t="s">
        <v>2371</v>
      </c>
    </row>
    <row r="5996" ht="12.75" customHeight="1">
      <c r="A5996" s="59" t="s">
        <v>234</v>
      </c>
      <c r="B5996" s="60" t="s">
        <v>2372</v>
      </c>
    </row>
    <row r="5997" ht="12.75" customHeight="1">
      <c r="A5997" s="59" t="s">
        <v>234</v>
      </c>
      <c r="B5997" s="60" t="s">
        <v>2373</v>
      </c>
    </row>
    <row r="5998" ht="12.75" customHeight="1">
      <c r="A5998" s="59" t="s">
        <v>234</v>
      </c>
      <c r="B5998" s="60" t="s">
        <v>2374</v>
      </c>
    </row>
    <row r="5999" ht="12.75" customHeight="1">
      <c r="A5999" s="59" t="s">
        <v>234</v>
      </c>
      <c r="B5999" s="60" t="s">
        <v>881</v>
      </c>
    </row>
    <row r="6000" ht="12.75" customHeight="1">
      <c r="A6000" s="59" t="s">
        <v>234</v>
      </c>
      <c r="B6000" s="60" t="s">
        <v>2313</v>
      </c>
    </row>
    <row r="6001" ht="12.75" customHeight="1">
      <c r="A6001" s="59" t="s">
        <v>234</v>
      </c>
      <c r="B6001" s="60" t="s">
        <v>2314</v>
      </c>
    </row>
    <row r="6002" ht="12.75" customHeight="1">
      <c r="A6002" s="59" t="s">
        <v>234</v>
      </c>
      <c r="B6002" s="60" t="s">
        <v>2315</v>
      </c>
    </row>
    <row r="6003" ht="12.75" customHeight="1">
      <c r="A6003" s="59" t="s">
        <v>234</v>
      </c>
      <c r="B6003" s="60" t="s">
        <v>2316</v>
      </c>
    </row>
    <row r="6004" ht="12.75" customHeight="1">
      <c r="A6004" s="59" t="s">
        <v>234</v>
      </c>
      <c r="B6004" s="60" t="s">
        <v>2317</v>
      </c>
    </row>
    <row r="6005" ht="12.75" customHeight="1">
      <c r="A6005" s="59" t="s">
        <v>234</v>
      </c>
      <c r="B6005" s="60" t="s">
        <v>2318</v>
      </c>
    </row>
    <row r="6006" ht="12.75" customHeight="1">
      <c r="A6006" s="59" t="s">
        <v>234</v>
      </c>
      <c r="B6006" s="60" t="s">
        <v>2319</v>
      </c>
    </row>
    <row r="6007" ht="12.75" customHeight="1">
      <c r="A6007" s="59" t="s">
        <v>234</v>
      </c>
      <c r="B6007" s="60" t="s">
        <v>2320</v>
      </c>
    </row>
    <row r="6008" ht="12.75" customHeight="1">
      <c r="A6008" s="59" t="s">
        <v>234</v>
      </c>
      <c r="B6008" s="60" t="s">
        <v>2321</v>
      </c>
    </row>
    <row r="6009" ht="12.75" customHeight="1">
      <c r="A6009" s="59" t="s">
        <v>234</v>
      </c>
      <c r="B6009" s="60" t="s">
        <v>2322</v>
      </c>
    </row>
    <row r="6010" ht="12.75" customHeight="1">
      <c r="A6010" s="59" t="s">
        <v>234</v>
      </c>
      <c r="B6010" s="60" t="s">
        <v>2323</v>
      </c>
    </row>
    <row r="6011" ht="12.75" customHeight="1">
      <c r="A6011" s="59" t="s">
        <v>234</v>
      </c>
      <c r="B6011" s="60" t="s">
        <v>2375</v>
      </c>
    </row>
    <row r="6012" ht="12.75" customHeight="1">
      <c r="A6012" s="59" t="s">
        <v>234</v>
      </c>
      <c r="B6012" s="60" t="s">
        <v>2376</v>
      </c>
    </row>
    <row r="6013" ht="12.75" customHeight="1">
      <c r="A6013" s="59" t="s">
        <v>234</v>
      </c>
      <c r="B6013" s="60" t="s">
        <v>2377</v>
      </c>
    </row>
    <row r="6014" ht="12.75" customHeight="1">
      <c r="A6014" s="59" t="s">
        <v>234</v>
      </c>
      <c r="B6014" s="60" t="s">
        <v>2378</v>
      </c>
    </row>
    <row r="6015" ht="12.75" customHeight="1">
      <c r="A6015" s="59" t="s">
        <v>234</v>
      </c>
      <c r="B6015" s="60" t="s">
        <v>2379</v>
      </c>
    </row>
    <row r="6016" ht="12.75" customHeight="1">
      <c r="A6016" s="59" t="s">
        <v>234</v>
      </c>
      <c r="B6016" s="60" t="s">
        <v>2381</v>
      </c>
    </row>
    <row r="6017" ht="12.75" customHeight="1">
      <c r="A6017" s="59" t="s">
        <v>234</v>
      </c>
      <c r="B6017" s="60" t="s">
        <v>2382</v>
      </c>
    </row>
    <row r="6018" ht="12.75" customHeight="1">
      <c r="A6018" s="59" t="s">
        <v>234</v>
      </c>
      <c r="B6018" s="60" t="s">
        <v>2383</v>
      </c>
    </row>
    <row r="6019" ht="12.75" customHeight="1">
      <c r="A6019" s="59" t="s">
        <v>234</v>
      </c>
      <c r="B6019" s="60" t="s">
        <v>2384</v>
      </c>
    </row>
    <row r="6020" ht="12.75" customHeight="1">
      <c r="A6020" s="59" t="s">
        <v>234</v>
      </c>
      <c r="B6020" s="60" t="s">
        <v>2385</v>
      </c>
    </row>
    <row r="6021" ht="12.75" customHeight="1">
      <c r="A6021" s="59" t="s">
        <v>234</v>
      </c>
      <c r="B6021" s="60" t="s">
        <v>2386</v>
      </c>
    </row>
    <row r="6022" ht="12.75" customHeight="1">
      <c r="A6022" s="59" t="s">
        <v>234</v>
      </c>
      <c r="B6022" s="60" t="s">
        <v>2387</v>
      </c>
    </row>
    <row r="6023" ht="12.75" customHeight="1">
      <c r="A6023" s="59" t="s">
        <v>234</v>
      </c>
      <c r="B6023" s="60" t="s">
        <v>2388</v>
      </c>
    </row>
    <row r="6024" ht="12.75" customHeight="1">
      <c r="A6024" s="59" t="s">
        <v>234</v>
      </c>
      <c r="B6024" s="60" t="s">
        <v>2389</v>
      </c>
    </row>
    <row r="6025" ht="12.75" customHeight="1">
      <c r="A6025" s="59" t="s">
        <v>234</v>
      </c>
      <c r="B6025" s="60" t="s">
        <v>2390</v>
      </c>
    </row>
    <row r="6026" ht="12.75" customHeight="1">
      <c r="A6026" s="59" t="s">
        <v>234</v>
      </c>
      <c r="B6026" s="60" t="s">
        <v>2391</v>
      </c>
    </row>
    <row r="6027" ht="12.75" customHeight="1">
      <c r="A6027" s="59" t="s">
        <v>234</v>
      </c>
      <c r="B6027" s="60" t="s">
        <v>900</v>
      </c>
    </row>
    <row r="6028" ht="12.75" customHeight="1">
      <c r="A6028" s="59" t="s">
        <v>234</v>
      </c>
      <c r="B6028" s="60" t="s">
        <v>2324</v>
      </c>
    </row>
    <row r="6029" ht="12.75" customHeight="1">
      <c r="A6029" s="59" t="s">
        <v>234</v>
      </c>
      <c r="B6029" s="60" t="s">
        <v>2325</v>
      </c>
    </row>
    <row r="6030" ht="12.75" customHeight="1">
      <c r="A6030" s="59" t="s">
        <v>234</v>
      </c>
      <c r="B6030" s="60" t="s">
        <v>2326</v>
      </c>
    </row>
    <row r="6031" ht="12.75" customHeight="1">
      <c r="A6031" s="59" t="s">
        <v>234</v>
      </c>
      <c r="B6031" s="60" t="s">
        <v>2327</v>
      </c>
    </row>
    <row r="6032" ht="12.75" customHeight="1">
      <c r="A6032" s="59" t="s">
        <v>234</v>
      </c>
      <c r="B6032" s="60" t="s">
        <v>2328</v>
      </c>
    </row>
    <row r="6033" ht="12.75" customHeight="1">
      <c r="A6033" s="59" t="s">
        <v>234</v>
      </c>
      <c r="B6033" s="60" t="s">
        <v>2329</v>
      </c>
    </row>
    <row r="6034" ht="12.75" customHeight="1">
      <c r="A6034" s="59" t="s">
        <v>234</v>
      </c>
      <c r="B6034" s="60" t="s">
        <v>2330</v>
      </c>
    </row>
    <row r="6035" ht="12.75" customHeight="1">
      <c r="A6035" s="59" t="s">
        <v>234</v>
      </c>
      <c r="B6035" s="60" t="s">
        <v>2331</v>
      </c>
    </row>
    <row r="6036" ht="12.75" customHeight="1">
      <c r="A6036" s="59" t="s">
        <v>234</v>
      </c>
      <c r="B6036" s="60" t="s">
        <v>2332</v>
      </c>
    </row>
    <row r="6037" ht="12.75" customHeight="1">
      <c r="A6037" s="59" t="s">
        <v>234</v>
      </c>
      <c r="B6037" s="60" t="s">
        <v>2333</v>
      </c>
    </row>
    <row r="6038" ht="12.75" customHeight="1">
      <c r="A6038" s="59" t="s">
        <v>234</v>
      </c>
      <c r="B6038" s="60" t="s">
        <v>2334</v>
      </c>
    </row>
    <row r="6039" ht="12.75" customHeight="1">
      <c r="A6039" s="59" t="s">
        <v>407</v>
      </c>
      <c r="B6039" s="60" t="s">
        <v>2432</v>
      </c>
    </row>
    <row r="6040" ht="12.75" customHeight="1">
      <c r="A6040" s="59" t="s">
        <v>407</v>
      </c>
      <c r="B6040" s="60" t="s">
        <v>2433</v>
      </c>
    </row>
    <row r="6041" ht="12.75" customHeight="1">
      <c r="A6041" s="59" t="s">
        <v>407</v>
      </c>
      <c r="B6041" s="60" t="s">
        <v>2434</v>
      </c>
    </row>
    <row r="6042" ht="12.75" customHeight="1">
      <c r="A6042" s="59" t="s">
        <v>407</v>
      </c>
      <c r="B6042" s="60" t="s">
        <v>2435</v>
      </c>
    </row>
    <row r="6043" ht="12.75" customHeight="1">
      <c r="A6043" s="59" t="s">
        <v>407</v>
      </c>
      <c r="B6043" s="60" t="s">
        <v>2436</v>
      </c>
    </row>
    <row r="6044" ht="12.75" customHeight="1">
      <c r="A6044" s="59" t="s">
        <v>407</v>
      </c>
      <c r="B6044" s="60" t="s">
        <v>2437</v>
      </c>
    </row>
    <row r="6045" ht="12.75" customHeight="1">
      <c r="A6045" s="59" t="s">
        <v>407</v>
      </c>
      <c r="B6045" s="60" t="s">
        <v>2438</v>
      </c>
    </row>
    <row r="6046" ht="12.75" customHeight="1">
      <c r="A6046" s="59" t="s">
        <v>407</v>
      </c>
      <c r="B6046" s="60" t="s">
        <v>2439</v>
      </c>
    </row>
    <row r="6047" ht="12.75" customHeight="1">
      <c r="A6047" s="59" t="s">
        <v>407</v>
      </c>
      <c r="B6047" s="60" t="s">
        <v>2440</v>
      </c>
    </row>
    <row r="6048" ht="12.75" customHeight="1">
      <c r="A6048" s="59" t="s">
        <v>407</v>
      </c>
      <c r="B6048" s="60" t="s">
        <v>2441</v>
      </c>
    </row>
    <row r="6049" ht="12.75" customHeight="1">
      <c r="A6049" s="59" t="s">
        <v>407</v>
      </c>
      <c r="B6049" s="60" t="s">
        <v>2442</v>
      </c>
    </row>
    <row r="6050" ht="12.75" customHeight="1">
      <c r="A6050" s="59" t="s">
        <v>407</v>
      </c>
      <c r="B6050" s="60" t="s">
        <v>2443</v>
      </c>
    </row>
    <row r="6051" ht="12.75" customHeight="1">
      <c r="A6051" s="59" t="s">
        <v>407</v>
      </c>
      <c r="B6051" s="60" t="s">
        <v>2444</v>
      </c>
    </row>
    <row r="6052" ht="12.75" customHeight="1">
      <c r="A6052" s="59" t="s">
        <v>407</v>
      </c>
      <c r="B6052" s="60" t="s">
        <v>2445</v>
      </c>
    </row>
    <row r="6053" ht="12.75" customHeight="1">
      <c r="A6053" s="59" t="s">
        <v>407</v>
      </c>
      <c r="B6053" s="60" t="s">
        <v>2446</v>
      </c>
    </row>
    <row r="6054" ht="12.75" customHeight="1">
      <c r="A6054" s="59" t="s">
        <v>407</v>
      </c>
      <c r="B6054" s="60" t="s">
        <v>2447</v>
      </c>
    </row>
    <row r="6055" ht="12.75" customHeight="1">
      <c r="A6055" s="59" t="s">
        <v>407</v>
      </c>
      <c r="B6055" s="60" t="s">
        <v>2448</v>
      </c>
    </row>
    <row r="6056" ht="12.75" customHeight="1">
      <c r="A6056" s="59" t="s">
        <v>407</v>
      </c>
      <c r="B6056" s="60" t="s">
        <v>2449</v>
      </c>
    </row>
    <row r="6057" ht="12.75" customHeight="1">
      <c r="A6057" s="59" t="s">
        <v>407</v>
      </c>
      <c r="B6057" s="60" t="s">
        <v>2450</v>
      </c>
    </row>
    <row r="6058" ht="12.75" customHeight="1">
      <c r="A6058" s="59" t="s">
        <v>407</v>
      </c>
      <c r="B6058" s="60" t="s">
        <v>2451</v>
      </c>
    </row>
    <row r="6059" ht="12.75" customHeight="1">
      <c r="A6059" s="59" t="s">
        <v>195</v>
      </c>
      <c r="B6059" s="60" t="s">
        <v>845</v>
      </c>
    </row>
    <row r="6060" ht="12.75" customHeight="1">
      <c r="A6060" s="59" t="s">
        <v>195</v>
      </c>
      <c r="B6060" s="60" t="s">
        <v>2291</v>
      </c>
    </row>
    <row r="6061" ht="12.75" customHeight="1">
      <c r="A6061" s="59" t="s">
        <v>195</v>
      </c>
      <c r="B6061" s="60" t="s">
        <v>2292</v>
      </c>
    </row>
    <row r="6062" ht="12.75" customHeight="1">
      <c r="A6062" s="59" t="s">
        <v>195</v>
      </c>
      <c r="B6062" s="60" t="s">
        <v>2293</v>
      </c>
    </row>
    <row r="6063" ht="12.75" customHeight="1">
      <c r="A6063" s="59" t="s">
        <v>195</v>
      </c>
      <c r="B6063" s="60" t="s">
        <v>2294</v>
      </c>
    </row>
    <row r="6064" ht="12.75" customHeight="1">
      <c r="A6064" s="59" t="s">
        <v>195</v>
      </c>
      <c r="B6064" s="60" t="s">
        <v>2295</v>
      </c>
    </row>
    <row r="6065" ht="12.75" customHeight="1">
      <c r="A6065" s="59" t="s">
        <v>195</v>
      </c>
      <c r="B6065" s="60" t="s">
        <v>2296</v>
      </c>
    </row>
    <row r="6066" ht="12.75" customHeight="1">
      <c r="A6066" s="59" t="s">
        <v>195</v>
      </c>
      <c r="B6066" s="60" t="s">
        <v>2297</v>
      </c>
    </row>
    <row r="6067" ht="12.75" customHeight="1">
      <c r="A6067" s="59" t="s">
        <v>195</v>
      </c>
      <c r="B6067" s="60" t="s">
        <v>2298</v>
      </c>
    </row>
    <row r="6068" ht="12.75" customHeight="1">
      <c r="A6068" s="59" t="s">
        <v>195</v>
      </c>
      <c r="B6068" s="60" t="s">
        <v>2299</v>
      </c>
    </row>
    <row r="6069" ht="12.75" customHeight="1">
      <c r="A6069" s="59" t="s">
        <v>195</v>
      </c>
      <c r="B6069" s="60" t="s">
        <v>2300</v>
      </c>
    </row>
    <row r="6070" ht="12.75" customHeight="1">
      <c r="A6070" s="59" t="s">
        <v>195</v>
      </c>
      <c r="B6070" s="60" t="s">
        <v>2301</v>
      </c>
    </row>
    <row r="6071" ht="12.75" customHeight="1">
      <c r="A6071" s="59" t="s">
        <v>195</v>
      </c>
      <c r="B6071" s="60" t="s">
        <v>862</v>
      </c>
    </row>
    <row r="6072" ht="12.75" customHeight="1">
      <c r="A6072" s="59" t="s">
        <v>195</v>
      </c>
      <c r="B6072" s="60" t="s">
        <v>2302</v>
      </c>
    </row>
    <row r="6073" ht="12.75" customHeight="1">
      <c r="A6073" s="59" t="s">
        <v>195</v>
      </c>
      <c r="B6073" s="60" t="s">
        <v>2303</v>
      </c>
    </row>
    <row r="6074" ht="12.75" customHeight="1">
      <c r="A6074" s="59" t="s">
        <v>195</v>
      </c>
      <c r="B6074" s="60" t="s">
        <v>2304</v>
      </c>
    </row>
    <row r="6075" ht="12.75" customHeight="1">
      <c r="A6075" s="59" t="s">
        <v>195</v>
      </c>
      <c r="B6075" s="60" t="s">
        <v>2305</v>
      </c>
    </row>
    <row r="6076" ht="12.75" customHeight="1">
      <c r="A6076" s="59" t="s">
        <v>195</v>
      </c>
      <c r="B6076" s="60" t="s">
        <v>2306</v>
      </c>
    </row>
    <row r="6077" ht="12.75" customHeight="1">
      <c r="A6077" s="59" t="s">
        <v>195</v>
      </c>
      <c r="B6077" s="60" t="s">
        <v>2307</v>
      </c>
    </row>
    <row r="6078" ht="12.75" customHeight="1">
      <c r="A6078" s="59" t="s">
        <v>195</v>
      </c>
      <c r="B6078" s="60" t="s">
        <v>2308</v>
      </c>
    </row>
    <row r="6079" ht="12.75" customHeight="1">
      <c r="A6079" s="59" t="s">
        <v>195</v>
      </c>
      <c r="B6079" s="60" t="s">
        <v>2309</v>
      </c>
    </row>
    <row r="6080" ht="12.75" customHeight="1">
      <c r="A6080" s="59" t="s">
        <v>195</v>
      </c>
      <c r="B6080" s="60" t="s">
        <v>2310</v>
      </c>
    </row>
    <row r="6081" ht="12.75" customHeight="1">
      <c r="A6081" s="59" t="s">
        <v>195</v>
      </c>
      <c r="B6081" s="60" t="s">
        <v>2311</v>
      </c>
    </row>
    <row r="6082" ht="12.75" customHeight="1">
      <c r="A6082" s="59" t="s">
        <v>195</v>
      </c>
      <c r="B6082" s="60" t="s">
        <v>2312</v>
      </c>
    </row>
    <row r="6083" ht="12.75" customHeight="1">
      <c r="A6083" s="59" t="s">
        <v>195</v>
      </c>
      <c r="B6083" s="60" t="s">
        <v>881</v>
      </c>
    </row>
    <row r="6084" ht="12.75" customHeight="1">
      <c r="A6084" s="59" t="s">
        <v>195</v>
      </c>
      <c r="B6084" s="60" t="s">
        <v>2313</v>
      </c>
    </row>
    <row r="6085" ht="12.75" customHeight="1">
      <c r="A6085" s="59" t="s">
        <v>195</v>
      </c>
      <c r="B6085" s="60" t="s">
        <v>2314</v>
      </c>
    </row>
    <row r="6086" ht="12.75" customHeight="1">
      <c r="A6086" s="59" t="s">
        <v>195</v>
      </c>
      <c r="B6086" s="60" t="s">
        <v>2315</v>
      </c>
    </row>
    <row r="6087" ht="12.75" customHeight="1">
      <c r="A6087" s="59" t="s">
        <v>195</v>
      </c>
      <c r="B6087" s="60" t="s">
        <v>2316</v>
      </c>
    </row>
    <row r="6088" ht="12.75" customHeight="1">
      <c r="A6088" s="59" t="s">
        <v>195</v>
      </c>
      <c r="B6088" s="60" t="s">
        <v>2317</v>
      </c>
    </row>
    <row r="6089" ht="12.75" customHeight="1">
      <c r="A6089" s="59" t="s">
        <v>195</v>
      </c>
      <c r="B6089" s="60" t="s">
        <v>2318</v>
      </c>
    </row>
    <row r="6090" ht="12.75" customHeight="1">
      <c r="A6090" s="59" t="s">
        <v>195</v>
      </c>
      <c r="B6090" s="60" t="s">
        <v>2319</v>
      </c>
    </row>
    <row r="6091" ht="12.75" customHeight="1">
      <c r="A6091" s="59" t="s">
        <v>195</v>
      </c>
      <c r="B6091" s="60" t="s">
        <v>2320</v>
      </c>
    </row>
    <row r="6092" ht="12.75" customHeight="1">
      <c r="A6092" s="59" t="s">
        <v>195</v>
      </c>
      <c r="B6092" s="60" t="s">
        <v>2321</v>
      </c>
    </row>
    <row r="6093" ht="12.75" customHeight="1">
      <c r="A6093" s="59" t="s">
        <v>195</v>
      </c>
      <c r="B6093" s="60" t="s">
        <v>2322</v>
      </c>
    </row>
    <row r="6094" ht="12.75" customHeight="1">
      <c r="A6094" s="59" t="s">
        <v>195</v>
      </c>
      <c r="B6094" s="60" t="s">
        <v>2323</v>
      </c>
    </row>
    <row r="6095" ht="12.75" customHeight="1">
      <c r="A6095" s="59" t="s">
        <v>195</v>
      </c>
      <c r="B6095" s="60" t="s">
        <v>900</v>
      </c>
    </row>
    <row r="6096" ht="12.75" customHeight="1">
      <c r="A6096" s="59" t="s">
        <v>195</v>
      </c>
      <c r="B6096" s="60" t="s">
        <v>2324</v>
      </c>
    </row>
    <row r="6097" ht="12.75" customHeight="1">
      <c r="A6097" s="59" t="s">
        <v>195</v>
      </c>
      <c r="B6097" s="60" t="s">
        <v>2325</v>
      </c>
    </row>
    <row r="6098" ht="12.75" customHeight="1">
      <c r="A6098" s="59" t="s">
        <v>195</v>
      </c>
      <c r="B6098" s="60" t="s">
        <v>2326</v>
      </c>
    </row>
    <row r="6099" ht="12.75" customHeight="1">
      <c r="A6099" s="59" t="s">
        <v>195</v>
      </c>
      <c r="B6099" s="60" t="s">
        <v>2327</v>
      </c>
    </row>
    <row r="6100" ht="12.75" customHeight="1">
      <c r="A6100" s="59" t="s">
        <v>195</v>
      </c>
      <c r="B6100" s="60" t="s">
        <v>2328</v>
      </c>
    </row>
    <row r="6101" ht="12.75" customHeight="1">
      <c r="A6101" s="59" t="s">
        <v>195</v>
      </c>
      <c r="B6101" s="60" t="s">
        <v>2329</v>
      </c>
    </row>
    <row r="6102" ht="12.75" customHeight="1">
      <c r="A6102" s="59" t="s">
        <v>195</v>
      </c>
      <c r="B6102" s="60" t="s">
        <v>2330</v>
      </c>
    </row>
    <row r="6103" ht="12.75" customHeight="1">
      <c r="A6103" s="59" t="s">
        <v>195</v>
      </c>
      <c r="B6103" s="60" t="s">
        <v>2331</v>
      </c>
    </row>
    <row r="6104" ht="12.75" customHeight="1">
      <c r="A6104" s="59" t="s">
        <v>195</v>
      </c>
      <c r="B6104" s="60" t="s">
        <v>2332</v>
      </c>
    </row>
    <row r="6105" ht="12.75" customHeight="1">
      <c r="A6105" s="59" t="s">
        <v>195</v>
      </c>
      <c r="B6105" s="60" t="s">
        <v>2333</v>
      </c>
    </row>
    <row r="6106" ht="12.75" customHeight="1">
      <c r="A6106" s="59" t="s">
        <v>195</v>
      </c>
      <c r="B6106" s="60" t="s">
        <v>2334</v>
      </c>
    </row>
    <row r="6107" ht="12.75" customHeight="1">
      <c r="A6107" s="59" t="s">
        <v>251</v>
      </c>
      <c r="B6107" s="60" t="s">
        <v>804</v>
      </c>
    </row>
    <row r="6108" ht="12.75" customHeight="1">
      <c r="A6108" s="59" t="s">
        <v>251</v>
      </c>
      <c r="B6108" s="60" t="s">
        <v>76</v>
      </c>
    </row>
    <row r="6109" ht="12.75" customHeight="1">
      <c r="A6109" s="59" t="s">
        <v>251</v>
      </c>
      <c r="B6109" s="60" t="s">
        <v>80</v>
      </c>
    </row>
    <row r="6110" ht="12.75" customHeight="1">
      <c r="A6110" s="59" t="s">
        <v>251</v>
      </c>
      <c r="B6110" s="60" t="s">
        <v>83</v>
      </c>
    </row>
    <row r="6111" ht="12.75" customHeight="1">
      <c r="A6111" s="59" t="s">
        <v>251</v>
      </c>
      <c r="B6111" s="60" t="s">
        <v>85</v>
      </c>
    </row>
    <row r="6112" ht="12.75" customHeight="1">
      <c r="A6112" s="59" t="s">
        <v>251</v>
      </c>
      <c r="B6112" s="60" t="s">
        <v>810</v>
      </c>
    </row>
    <row r="6113" ht="12.75" customHeight="1">
      <c r="A6113" s="59" t="s">
        <v>251</v>
      </c>
      <c r="B6113" s="60" t="s">
        <v>811</v>
      </c>
    </row>
    <row r="6114" ht="12.75" customHeight="1">
      <c r="A6114" s="59" t="s">
        <v>251</v>
      </c>
      <c r="B6114" s="60" t="s">
        <v>812</v>
      </c>
    </row>
    <row r="6115" ht="12.75" customHeight="1">
      <c r="A6115" s="59" t="s">
        <v>251</v>
      </c>
      <c r="B6115" s="60" t="s">
        <v>813</v>
      </c>
    </row>
    <row r="6116" ht="12.75" customHeight="1">
      <c r="A6116" s="59" t="s">
        <v>251</v>
      </c>
      <c r="B6116" s="60" t="s">
        <v>814</v>
      </c>
    </row>
    <row r="6117" ht="12.75" customHeight="1">
      <c r="A6117" s="59" t="s">
        <v>251</v>
      </c>
      <c r="B6117" s="60" t="s">
        <v>820</v>
      </c>
    </row>
    <row r="6118" ht="12.75" customHeight="1">
      <c r="A6118" s="59" t="s">
        <v>251</v>
      </c>
      <c r="B6118" s="60" t="s">
        <v>821</v>
      </c>
    </row>
    <row r="6119" ht="12.75" customHeight="1">
      <c r="A6119" s="59" t="s">
        <v>251</v>
      </c>
      <c r="B6119" s="60" t="s">
        <v>822</v>
      </c>
    </row>
    <row r="6120" ht="12.75" customHeight="1">
      <c r="A6120" s="59" t="s">
        <v>251</v>
      </c>
      <c r="B6120" s="60" t="s">
        <v>823</v>
      </c>
    </row>
    <row r="6121" ht="12.75" customHeight="1">
      <c r="A6121" s="59" t="s">
        <v>251</v>
      </c>
      <c r="B6121" s="60" t="s">
        <v>824</v>
      </c>
    </row>
    <row r="6122" ht="12.75" customHeight="1">
      <c r="A6122" s="59" t="s">
        <v>251</v>
      </c>
      <c r="B6122" s="60" t="s">
        <v>830</v>
      </c>
    </row>
    <row r="6123" ht="12.75" customHeight="1">
      <c r="A6123" s="59" t="s">
        <v>251</v>
      </c>
      <c r="B6123" s="60" t="s">
        <v>831</v>
      </c>
    </row>
    <row r="6124" ht="12.75" customHeight="1">
      <c r="A6124" s="59" t="s">
        <v>251</v>
      </c>
      <c r="B6124" s="60" t="s">
        <v>832</v>
      </c>
    </row>
    <row r="6125" ht="12.75" customHeight="1">
      <c r="A6125" s="59" t="s">
        <v>251</v>
      </c>
      <c r="B6125" s="60" t="s">
        <v>833</v>
      </c>
    </row>
    <row r="6126" ht="12.75" customHeight="1">
      <c r="A6126" s="59" t="s">
        <v>251</v>
      </c>
      <c r="B6126" s="60" t="s">
        <v>834</v>
      </c>
    </row>
    <row r="6127" ht="12.75" customHeight="1">
      <c r="A6127" s="59" t="s">
        <v>251</v>
      </c>
      <c r="B6127" s="60" t="s">
        <v>845</v>
      </c>
    </row>
    <row r="6128" ht="12.75" customHeight="1">
      <c r="A6128" s="59" t="s">
        <v>251</v>
      </c>
      <c r="B6128" s="60" t="s">
        <v>2291</v>
      </c>
    </row>
    <row r="6129" ht="12.75" customHeight="1">
      <c r="A6129" s="59" t="s">
        <v>251</v>
      </c>
      <c r="B6129" s="60" t="s">
        <v>2292</v>
      </c>
    </row>
    <row r="6130" ht="12.75" customHeight="1">
      <c r="A6130" s="59" t="s">
        <v>251</v>
      </c>
      <c r="B6130" s="60" t="s">
        <v>2293</v>
      </c>
    </row>
    <row r="6131" ht="12.75" customHeight="1">
      <c r="A6131" s="59" t="s">
        <v>251</v>
      </c>
      <c r="B6131" s="60" t="s">
        <v>2294</v>
      </c>
    </row>
    <row r="6132" ht="12.75" customHeight="1">
      <c r="A6132" s="59" t="s">
        <v>251</v>
      </c>
      <c r="B6132" s="60" t="s">
        <v>2295</v>
      </c>
    </row>
    <row r="6133" ht="12.75" customHeight="1">
      <c r="A6133" s="59" t="s">
        <v>251</v>
      </c>
      <c r="B6133" s="60" t="s">
        <v>2296</v>
      </c>
    </row>
    <row r="6134" ht="12.75" customHeight="1">
      <c r="A6134" s="59" t="s">
        <v>251</v>
      </c>
      <c r="B6134" s="60" t="s">
        <v>2297</v>
      </c>
    </row>
    <row r="6135" ht="12.75" customHeight="1">
      <c r="A6135" s="59" t="s">
        <v>251</v>
      </c>
      <c r="B6135" s="60" t="s">
        <v>2298</v>
      </c>
    </row>
    <row r="6136" ht="12.75" customHeight="1">
      <c r="A6136" s="59" t="s">
        <v>251</v>
      </c>
      <c r="B6136" s="60" t="s">
        <v>2299</v>
      </c>
    </row>
    <row r="6137" ht="12.75" customHeight="1">
      <c r="A6137" s="59" t="s">
        <v>251</v>
      </c>
      <c r="B6137" s="60" t="s">
        <v>2300</v>
      </c>
    </row>
    <row r="6138" ht="12.75" customHeight="1">
      <c r="A6138" s="59" t="s">
        <v>251</v>
      </c>
      <c r="B6138" s="60" t="s">
        <v>2301</v>
      </c>
    </row>
    <row r="6139" ht="12.75" customHeight="1">
      <c r="A6139" s="59" t="s">
        <v>251</v>
      </c>
      <c r="B6139" s="60" t="s">
        <v>862</v>
      </c>
    </row>
    <row r="6140" ht="12.75" customHeight="1">
      <c r="A6140" s="59" t="s">
        <v>251</v>
      </c>
      <c r="B6140" s="60" t="s">
        <v>2302</v>
      </c>
    </row>
    <row r="6141" ht="12.75" customHeight="1">
      <c r="A6141" s="59" t="s">
        <v>251</v>
      </c>
      <c r="B6141" s="60" t="s">
        <v>2303</v>
      </c>
    </row>
    <row r="6142" ht="12.75" customHeight="1">
      <c r="A6142" s="59" t="s">
        <v>251</v>
      </c>
      <c r="B6142" s="60" t="s">
        <v>2304</v>
      </c>
    </row>
    <row r="6143" ht="12.75" customHeight="1">
      <c r="A6143" s="59" t="s">
        <v>251</v>
      </c>
      <c r="B6143" s="60" t="s">
        <v>2305</v>
      </c>
    </row>
    <row r="6144" ht="12.75" customHeight="1">
      <c r="A6144" s="59" t="s">
        <v>251</v>
      </c>
      <c r="B6144" s="60" t="s">
        <v>2306</v>
      </c>
    </row>
    <row r="6145" ht="12.75" customHeight="1">
      <c r="A6145" s="59" t="s">
        <v>251</v>
      </c>
      <c r="B6145" s="60" t="s">
        <v>2307</v>
      </c>
    </row>
    <row r="6146" ht="12.75" customHeight="1">
      <c r="A6146" s="59" t="s">
        <v>251</v>
      </c>
      <c r="B6146" s="60" t="s">
        <v>2308</v>
      </c>
    </row>
    <row r="6147" ht="12.75" customHeight="1">
      <c r="A6147" s="59" t="s">
        <v>251</v>
      </c>
      <c r="B6147" s="60" t="s">
        <v>2309</v>
      </c>
    </row>
    <row r="6148" ht="12.75" customHeight="1">
      <c r="A6148" s="59" t="s">
        <v>251</v>
      </c>
      <c r="B6148" s="60" t="s">
        <v>2310</v>
      </c>
    </row>
    <row r="6149" ht="12.75" customHeight="1">
      <c r="A6149" s="59" t="s">
        <v>251</v>
      </c>
      <c r="B6149" s="60" t="s">
        <v>2311</v>
      </c>
    </row>
    <row r="6150" ht="12.75" customHeight="1">
      <c r="A6150" s="59" t="s">
        <v>251</v>
      </c>
      <c r="B6150" s="60" t="s">
        <v>2312</v>
      </c>
    </row>
    <row r="6151" ht="12.75" customHeight="1">
      <c r="A6151" s="59" t="s">
        <v>251</v>
      </c>
      <c r="B6151" s="60" t="s">
        <v>881</v>
      </c>
    </row>
    <row r="6152" ht="12.75" customHeight="1">
      <c r="A6152" s="59" t="s">
        <v>251</v>
      </c>
      <c r="B6152" s="60" t="s">
        <v>2313</v>
      </c>
    </row>
    <row r="6153" ht="12.75" customHeight="1">
      <c r="A6153" s="59" t="s">
        <v>251</v>
      </c>
      <c r="B6153" s="60" t="s">
        <v>2314</v>
      </c>
    </row>
    <row r="6154" ht="12.75" customHeight="1">
      <c r="A6154" s="59" t="s">
        <v>251</v>
      </c>
      <c r="B6154" s="60" t="s">
        <v>2315</v>
      </c>
    </row>
    <row r="6155" ht="12.75" customHeight="1">
      <c r="A6155" s="59" t="s">
        <v>251</v>
      </c>
      <c r="B6155" s="60" t="s">
        <v>2316</v>
      </c>
    </row>
    <row r="6156" ht="12.75" customHeight="1">
      <c r="A6156" s="59" t="s">
        <v>251</v>
      </c>
      <c r="B6156" s="60" t="s">
        <v>2317</v>
      </c>
    </row>
    <row r="6157" ht="12.75" customHeight="1">
      <c r="A6157" s="59" t="s">
        <v>251</v>
      </c>
      <c r="B6157" s="60" t="s">
        <v>2318</v>
      </c>
    </row>
    <row r="6158" ht="12.75" customHeight="1">
      <c r="A6158" s="59" t="s">
        <v>251</v>
      </c>
      <c r="B6158" s="60" t="s">
        <v>2319</v>
      </c>
    </row>
    <row r="6159" ht="12.75" customHeight="1">
      <c r="A6159" s="59" t="s">
        <v>251</v>
      </c>
      <c r="B6159" s="60" t="s">
        <v>2320</v>
      </c>
    </row>
    <row r="6160" ht="12.75" customHeight="1">
      <c r="A6160" s="59" t="s">
        <v>251</v>
      </c>
      <c r="B6160" s="60" t="s">
        <v>2321</v>
      </c>
    </row>
    <row r="6161" ht="12.75" customHeight="1">
      <c r="A6161" s="59" t="s">
        <v>251</v>
      </c>
      <c r="B6161" s="60" t="s">
        <v>2322</v>
      </c>
    </row>
    <row r="6162" ht="12.75" customHeight="1">
      <c r="A6162" s="59" t="s">
        <v>251</v>
      </c>
      <c r="B6162" s="60" t="s">
        <v>2323</v>
      </c>
    </row>
    <row r="6163" ht="12.75" customHeight="1">
      <c r="A6163" s="59" t="s">
        <v>251</v>
      </c>
      <c r="B6163" s="60" t="s">
        <v>900</v>
      </c>
    </row>
    <row r="6164" ht="12.75" customHeight="1">
      <c r="A6164" s="59" t="s">
        <v>251</v>
      </c>
      <c r="B6164" s="60" t="s">
        <v>2324</v>
      </c>
    </row>
    <row r="6165" ht="12.75" customHeight="1">
      <c r="A6165" s="59" t="s">
        <v>251</v>
      </c>
      <c r="B6165" s="60" t="s">
        <v>2325</v>
      </c>
    </row>
    <row r="6166" ht="12.75" customHeight="1">
      <c r="A6166" s="59" t="s">
        <v>251</v>
      </c>
      <c r="B6166" s="60" t="s">
        <v>2326</v>
      </c>
    </row>
    <row r="6167" ht="12.75" customHeight="1">
      <c r="A6167" s="59" t="s">
        <v>251</v>
      </c>
      <c r="B6167" s="60" t="s">
        <v>2327</v>
      </c>
    </row>
    <row r="6168" ht="12.75" customHeight="1">
      <c r="A6168" s="59" t="s">
        <v>251</v>
      </c>
      <c r="B6168" s="60" t="s">
        <v>2328</v>
      </c>
    </row>
    <row r="6169" ht="12.75" customHeight="1">
      <c r="A6169" s="59" t="s">
        <v>251</v>
      </c>
      <c r="B6169" s="60" t="s">
        <v>2329</v>
      </c>
    </row>
    <row r="6170" ht="12.75" customHeight="1">
      <c r="A6170" s="59" t="s">
        <v>251</v>
      </c>
      <c r="B6170" s="60" t="s">
        <v>2330</v>
      </c>
    </row>
    <row r="6171" ht="12.75" customHeight="1">
      <c r="A6171" s="59" t="s">
        <v>251</v>
      </c>
      <c r="B6171" s="60" t="s">
        <v>2331</v>
      </c>
    </row>
    <row r="6172" ht="12.75" customHeight="1">
      <c r="A6172" s="59" t="s">
        <v>251</v>
      </c>
      <c r="B6172" s="60" t="s">
        <v>2332</v>
      </c>
    </row>
    <row r="6173" ht="12.75" customHeight="1">
      <c r="A6173" s="59" t="s">
        <v>251</v>
      </c>
      <c r="B6173" s="60" t="s">
        <v>2333</v>
      </c>
    </row>
    <row r="6174" ht="12.75" customHeight="1">
      <c r="A6174" s="59" t="s">
        <v>251</v>
      </c>
      <c r="B6174" s="60" t="s">
        <v>2334</v>
      </c>
    </row>
    <row r="6175" ht="12.75" customHeight="1">
      <c r="A6175" s="59" t="s">
        <v>419</v>
      </c>
      <c r="B6175" s="60" t="s">
        <v>745</v>
      </c>
    </row>
    <row r="6176" ht="12.75" customHeight="1">
      <c r="A6176" s="59" t="s">
        <v>419</v>
      </c>
      <c r="B6176" s="60" t="s">
        <v>804</v>
      </c>
    </row>
    <row r="6177" ht="12.75" customHeight="1">
      <c r="A6177" s="59" t="s">
        <v>419</v>
      </c>
      <c r="B6177" s="60" t="s">
        <v>76</v>
      </c>
    </row>
    <row r="6178" ht="12.75" customHeight="1">
      <c r="A6178" s="59" t="s">
        <v>419</v>
      </c>
      <c r="B6178" s="60" t="s">
        <v>80</v>
      </c>
    </row>
    <row r="6179" ht="12.75" customHeight="1">
      <c r="A6179" s="59" t="s">
        <v>419</v>
      </c>
      <c r="B6179" s="60" t="s">
        <v>83</v>
      </c>
    </row>
    <row r="6180" ht="12.75" customHeight="1">
      <c r="A6180" s="59" t="s">
        <v>419</v>
      </c>
      <c r="B6180" s="60" t="s">
        <v>85</v>
      </c>
    </row>
    <row r="6181" ht="12.75" customHeight="1">
      <c r="A6181" s="59" t="s">
        <v>419</v>
      </c>
      <c r="B6181" s="60" t="s">
        <v>845</v>
      </c>
    </row>
    <row r="6182" ht="12.75" customHeight="1">
      <c r="A6182" s="59" t="s">
        <v>419</v>
      </c>
      <c r="B6182" s="60" t="s">
        <v>2291</v>
      </c>
    </row>
    <row r="6183" ht="12.75" customHeight="1">
      <c r="A6183" s="59" t="s">
        <v>419</v>
      </c>
      <c r="B6183" s="60" t="s">
        <v>2292</v>
      </c>
    </row>
    <row r="6184" ht="12.75" customHeight="1">
      <c r="A6184" s="59" t="s">
        <v>419</v>
      </c>
      <c r="B6184" s="60" t="s">
        <v>2293</v>
      </c>
    </row>
    <row r="6185" ht="12.75" customHeight="1">
      <c r="A6185" s="59" t="s">
        <v>419</v>
      </c>
      <c r="B6185" s="60" t="s">
        <v>2294</v>
      </c>
    </row>
    <row r="6186" ht="12.75" customHeight="1">
      <c r="A6186" s="59" t="s">
        <v>419</v>
      </c>
      <c r="B6186" s="60" t="s">
        <v>2295</v>
      </c>
    </row>
    <row r="6187" ht="12.75" customHeight="1">
      <c r="A6187" s="59" t="s">
        <v>419</v>
      </c>
      <c r="B6187" s="60" t="s">
        <v>2296</v>
      </c>
    </row>
    <row r="6188" ht="12.75" customHeight="1">
      <c r="A6188" s="59" t="s">
        <v>419</v>
      </c>
      <c r="B6188" s="60" t="s">
        <v>2297</v>
      </c>
    </row>
    <row r="6189" ht="12.75" customHeight="1">
      <c r="A6189" s="59" t="s">
        <v>419</v>
      </c>
      <c r="B6189" s="60" t="s">
        <v>2298</v>
      </c>
    </row>
    <row r="6190" ht="12.75" customHeight="1">
      <c r="A6190" s="59" t="s">
        <v>419</v>
      </c>
      <c r="B6190" s="60" t="s">
        <v>2299</v>
      </c>
    </row>
    <row r="6191" ht="12.75" customHeight="1">
      <c r="A6191" s="59" t="s">
        <v>419</v>
      </c>
      <c r="B6191" s="60" t="s">
        <v>2300</v>
      </c>
    </row>
    <row r="6192" ht="12.75" customHeight="1">
      <c r="A6192" s="59" t="s">
        <v>419</v>
      </c>
      <c r="B6192" s="60" t="s">
        <v>2301</v>
      </c>
    </row>
    <row r="6193" ht="12.75" customHeight="1">
      <c r="A6193" s="59" t="s">
        <v>419</v>
      </c>
      <c r="B6193" s="60" t="s">
        <v>746</v>
      </c>
    </row>
    <row r="6194" ht="12.75" customHeight="1">
      <c r="A6194" s="59" t="s">
        <v>419</v>
      </c>
      <c r="B6194" s="60" t="s">
        <v>810</v>
      </c>
    </row>
    <row r="6195" ht="12.75" customHeight="1">
      <c r="A6195" s="59" t="s">
        <v>419</v>
      </c>
      <c r="B6195" s="60" t="s">
        <v>811</v>
      </c>
    </row>
    <row r="6196" ht="12.75" customHeight="1">
      <c r="A6196" s="59" t="s">
        <v>419</v>
      </c>
      <c r="B6196" s="60" t="s">
        <v>812</v>
      </c>
    </row>
    <row r="6197" ht="12.75" customHeight="1">
      <c r="A6197" s="59" t="s">
        <v>419</v>
      </c>
      <c r="B6197" s="60" t="s">
        <v>813</v>
      </c>
    </row>
    <row r="6198" ht="12.75" customHeight="1">
      <c r="A6198" s="59" t="s">
        <v>419</v>
      </c>
      <c r="B6198" s="60" t="s">
        <v>814</v>
      </c>
    </row>
    <row r="6199" ht="12.75" customHeight="1">
      <c r="A6199" s="59" t="s">
        <v>419</v>
      </c>
      <c r="B6199" s="60" t="s">
        <v>862</v>
      </c>
    </row>
    <row r="6200" ht="12.75" customHeight="1">
      <c r="A6200" s="59" t="s">
        <v>419</v>
      </c>
      <c r="B6200" s="60" t="s">
        <v>2302</v>
      </c>
    </row>
    <row r="6201" ht="12.75" customHeight="1">
      <c r="A6201" s="59" t="s">
        <v>419</v>
      </c>
      <c r="B6201" s="60" t="s">
        <v>2303</v>
      </c>
    </row>
    <row r="6202" ht="12.75" customHeight="1">
      <c r="A6202" s="59" t="s">
        <v>419</v>
      </c>
      <c r="B6202" s="60" t="s">
        <v>2304</v>
      </c>
    </row>
    <row r="6203" ht="12.75" customHeight="1">
      <c r="A6203" s="59" t="s">
        <v>419</v>
      </c>
      <c r="B6203" s="60" t="s">
        <v>2305</v>
      </c>
    </row>
    <row r="6204" ht="12.75" customHeight="1">
      <c r="A6204" s="59" t="s">
        <v>419</v>
      </c>
      <c r="B6204" s="60" t="s">
        <v>2306</v>
      </c>
    </row>
    <row r="6205" ht="12.75" customHeight="1">
      <c r="A6205" s="59" t="s">
        <v>419</v>
      </c>
      <c r="B6205" s="60" t="s">
        <v>2307</v>
      </c>
    </row>
    <row r="6206" ht="12.75" customHeight="1">
      <c r="A6206" s="59" t="s">
        <v>419</v>
      </c>
      <c r="B6206" s="60" t="s">
        <v>2308</v>
      </c>
    </row>
    <row r="6207" ht="12.75" customHeight="1">
      <c r="A6207" s="59" t="s">
        <v>419</v>
      </c>
      <c r="B6207" s="60" t="s">
        <v>2309</v>
      </c>
    </row>
    <row r="6208" ht="12.75" customHeight="1">
      <c r="A6208" s="59" t="s">
        <v>419</v>
      </c>
      <c r="B6208" s="60" t="s">
        <v>2310</v>
      </c>
    </row>
    <row r="6209" ht="12.75" customHeight="1">
      <c r="A6209" s="59" t="s">
        <v>419</v>
      </c>
      <c r="B6209" s="60" t="s">
        <v>2311</v>
      </c>
    </row>
    <row r="6210" ht="12.75" customHeight="1">
      <c r="A6210" s="59" t="s">
        <v>419</v>
      </c>
      <c r="B6210" s="60" t="s">
        <v>2312</v>
      </c>
    </row>
    <row r="6211" ht="12.75" customHeight="1">
      <c r="A6211" s="59" t="s">
        <v>419</v>
      </c>
      <c r="B6211" s="60" t="s">
        <v>747</v>
      </c>
    </row>
    <row r="6212" ht="12.75" customHeight="1">
      <c r="A6212" s="59" t="s">
        <v>419</v>
      </c>
      <c r="B6212" s="60" t="s">
        <v>820</v>
      </c>
    </row>
    <row r="6213" ht="12.75" customHeight="1">
      <c r="A6213" s="59" t="s">
        <v>419</v>
      </c>
      <c r="B6213" s="60" t="s">
        <v>821</v>
      </c>
    </row>
    <row r="6214" ht="12.75" customHeight="1">
      <c r="A6214" s="59" t="s">
        <v>419</v>
      </c>
      <c r="B6214" s="60" t="s">
        <v>822</v>
      </c>
    </row>
    <row r="6215" ht="12.75" customHeight="1">
      <c r="A6215" s="59" t="s">
        <v>419</v>
      </c>
      <c r="B6215" s="60" t="s">
        <v>823</v>
      </c>
    </row>
    <row r="6216" ht="12.75" customHeight="1">
      <c r="A6216" s="59" t="s">
        <v>419</v>
      </c>
      <c r="B6216" s="60" t="s">
        <v>824</v>
      </c>
    </row>
    <row r="6217" ht="12.75" customHeight="1">
      <c r="A6217" s="59" t="s">
        <v>419</v>
      </c>
      <c r="B6217" s="60" t="s">
        <v>881</v>
      </c>
    </row>
    <row r="6218" ht="12.75" customHeight="1">
      <c r="A6218" s="59" t="s">
        <v>419</v>
      </c>
      <c r="B6218" s="60" t="s">
        <v>2313</v>
      </c>
    </row>
    <row r="6219" ht="12.75" customHeight="1">
      <c r="A6219" s="59" t="s">
        <v>419</v>
      </c>
      <c r="B6219" s="60" t="s">
        <v>2314</v>
      </c>
    </row>
    <row r="6220" ht="12.75" customHeight="1">
      <c r="A6220" s="59" t="s">
        <v>419</v>
      </c>
      <c r="B6220" s="60" t="s">
        <v>2315</v>
      </c>
    </row>
    <row r="6221" ht="12.75" customHeight="1">
      <c r="A6221" s="59" t="s">
        <v>419</v>
      </c>
      <c r="B6221" s="60" t="s">
        <v>2316</v>
      </c>
    </row>
    <row r="6222" ht="12.75" customHeight="1">
      <c r="A6222" s="59" t="s">
        <v>419</v>
      </c>
      <c r="B6222" s="60" t="s">
        <v>2317</v>
      </c>
    </row>
    <row r="6223" ht="12.75" customHeight="1">
      <c r="A6223" s="59" t="s">
        <v>419</v>
      </c>
      <c r="B6223" s="60" t="s">
        <v>2318</v>
      </c>
    </row>
    <row r="6224" ht="12.75" customHeight="1">
      <c r="A6224" s="59" t="s">
        <v>419</v>
      </c>
      <c r="B6224" s="60" t="s">
        <v>2319</v>
      </c>
    </row>
    <row r="6225" ht="12.75" customHeight="1">
      <c r="A6225" s="59" t="s">
        <v>419</v>
      </c>
      <c r="B6225" s="60" t="s">
        <v>2320</v>
      </c>
    </row>
    <row r="6226" ht="12.75" customHeight="1">
      <c r="A6226" s="59" t="s">
        <v>419</v>
      </c>
      <c r="B6226" s="60" t="s">
        <v>2321</v>
      </c>
    </row>
    <row r="6227" ht="12.75" customHeight="1">
      <c r="A6227" s="59" t="s">
        <v>419</v>
      </c>
      <c r="B6227" s="60" t="s">
        <v>2322</v>
      </c>
    </row>
    <row r="6228" ht="12.75" customHeight="1">
      <c r="A6228" s="59" t="s">
        <v>419</v>
      </c>
      <c r="B6228" s="60" t="s">
        <v>2323</v>
      </c>
    </row>
    <row r="6229" ht="12.75" customHeight="1">
      <c r="A6229" s="59" t="s">
        <v>419</v>
      </c>
      <c r="B6229" s="60" t="s">
        <v>748</v>
      </c>
    </row>
    <row r="6230" ht="12.75" customHeight="1">
      <c r="A6230" s="59" t="s">
        <v>419</v>
      </c>
      <c r="B6230" s="60" t="s">
        <v>830</v>
      </c>
    </row>
    <row r="6231" ht="12.75" customHeight="1">
      <c r="A6231" s="59" t="s">
        <v>419</v>
      </c>
      <c r="B6231" s="60" t="s">
        <v>831</v>
      </c>
    </row>
    <row r="6232" ht="12.75" customHeight="1">
      <c r="A6232" s="59" t="s">
        <v>419</v>
      </c>
      <c r="B6232" s="60" t="s">
        <v>832</v>
      </c>
    </row>
    <row r="6233" ht="12.75" customHeight="1">
      <c r="A6233" s="59" t="s">
        <v>419</v>
      </c>
      <c r="B6233" s="60" t="s">
        <v>833</v>
      </c>
    </row>
    <row r="6234" ht="12.75" customHeight="1">
      <c r="A6234" s="59" t="s">
        <v>419</v>
      </c>
      <c r="B6234" s="60" t="s">
        <v>834</v>
      </c>
    </row>
    <row r="6235" ht="12.75" customHeight="1">
      <c r="A6235" s="59" t="s">
        <v>419</v>
      </c>
      <c r="B6235" s="60" t="s">
        <v>900</v>
      </c>
    </row>
    <row r="6236" ht="12.75" customHeight="1">
      <c r="A6236" s="59" t="s">
        <v>419</v>
      </c>
      <c r="B6236" s="60" t="s">
        <v>2324</v>
      </c>
    </row>
    <row r="6237" ht="12.75" customHeight="1">
      <c r="A6237" s="59" t="s">
        <v>419</v>
      </c>
      <c r="B6237" s="60" t="s">
        <v>2325</v>
      </c>
    </row>
    <row r="6238" ht="12.75" customHeight="1">
      <c r="A6238" s="59" t="s">
        <v>419</v>
      </c>
      <c r="B6238" s="60" t="s">
        <v>2326</v>
      </c>
    </row>
    <row r="6239" ht="12.75" customHeight="1">
      <c r="A6239" s="59" t="s">
        <v>419</v>
      </c>
      <c r="B6239" s="60" t="s">
        <v>2327</v>
      </c>
    </row>
    <row r="6240" ht="12.75" customHeight="1">
      <c r="A6240" s="59" t="s">
        <v>419</v>
      </c>
      <c r="B6240" s="60" t="s">
        <v>2328</v>
      </c>
    </row>
    <row r="6241" ht="12.75" customHeight="1">
      <c r="A6241" s="59" t="s">
        <v>419</v>
      </c>
      <c r="B6241" s="60" t="s">
        <v>2329</v>
      </c>
    </row>
    <row r="6242" ht="12.75" customHeight="1">
      <c r="A6242" s="59" t="s">
        <v>419</v>
      </c>
      <c r="B6242" s="60" t="s">
        <v>2330</v>
      </c>
    </row>
    <row r="6243" ht="12.75" customHeight="1">
      <c r="A6243" s="59" t="s">
        <v>419</v>
      </c>
      <c r="B6243" s="60" t="s">
        <v>2331</v>
      </c>
    </row>
    <row r="6244" ht="12.75" customHeight="1">
      <c r="A6244" s="59" t="s">
        <v>419</v>
      </c>
      <c r="B6244" s="60" t="s">
        <v>2332</v>
      </c>
    </row>
    <row r="6245" ht="12.75" customHeight="1">
      <c r="A6245" s="59" t="s">
        <v>419</v>
      </c>
      <c r="B6245" s="60" t="s">
        <v>2333</v>
      </c>
    </row>
    <row r="6246" ht="12.75" customHeight="1">
      <c r="A6246" s="59" t="s">
        <v>419</v>
      </c>
      <c r="B6246" s="60" t="s">
        <v>2334</v>
      </c>
    </row>
    <row r="6247" ht="12.75" customHeight="1">
      <c r="A6247" s="59" t="s">
        <v>427</v>
      </c>
      <c r="B6247" s="60" t="s">
        <v>745</v>
      </c>
    </row>
    <row r="6248" ht="12.75" customHeight="1">
      <c r="A6248" s="59" t="s">
        <v>427</v>
      </c>
      <c r="B6248" s="60" t="s">
        <v>746</v>
      </c>
    </row>
    <row r="6249" ht="12.75" customHeight="1">
      <c r="A6249" s="59" t="s">
        <v>427</v>
      </c>
      <c r="B6249" s="60" t="s">
        <v>747</v>
      </c>
    </row>
    <row r="6250" ht="12.75" customHeight="1">
      <c r="A6250" s="59" t="s">
        <v>427</v>
      </c>
      <c r="B6250" s="60" t="s">
        <v>748</v>
      </c>
    </row>
    <row r="6251" ht="12.75" customHeight="1">
      <c r="A6251" s="59" t="s">
        <v>749</v>
      </c>
      <c r="B6251" s="60" t="s">
        <v>745</v>
      </c>
    </row>
    <row r="6252" ht="12.75" customHeight="1">
      <c r="A6252" s="59" t="s">
        <v>749</v>
      </c>
      <c r="B6252" s="60" t="s">
        <v>746</v>
      </c>
    </row>
    <row r="6253" ht="12.75" customHeight="1">
      <c r="A6253" s="59" t="s">
        <v>749</v>
      </c>
      <c r="B6253" s="60" t="s">
        <v>747</v>
      </c>
    </row>
    <row r="6254" ht="12.75" customHeight="1">
      <c r="A6254" s="59" t="s">
        <v>749</v>
      </c>
      <c r="B6254" s="60" t="s">
        <v>748</v>
      </c>
    </row>
    <row r="6255" ht="12.75" customHeight="1">
      <c r="A6255" s="59" t="s">
        <v>254</v>
      </c>
      <c r="B6255" s="60" t="s">
        <v>2452</v>
      </c>
    </row>
    <row r="6256" ht="12.75" customHeight="1">
      <c r="A6256" s="59" t="s">
        <v>254</v>
      </c>
      <c r="B6256" s="60" t="s">
        <v>2453</v>
      </c>
    </row>
    <row r="6257" ht="12.75" customHeight="1">
      <c r="A6257" s="59" t="s">
        <v>254</v>
      </c>
      <c r="B6257" s="60" t="s">
        <v>2454</v>
      </c>
    </row>
    <row r="6258" ht="12.75" customHeight="1">
      <c r="A6258" s="59" t="s">
        <v>254</v>
      </c>
      <c r="B6258" s="60" t="s">
        <v>2455</v>
      </c>
    </row>
    <row r="6259" ht="12.75" customHeight="1">
      <c r="A6259" s="59" t="s">
        <v>254</v>
      </c>
      <c r="B6259" s="60" t="s">
        <v>2456</v>
      </c>
    </row>
    <row r="6260" ht="12.75" customHeight="1">
      <c r="A6260" s="59" t="s">
        <v>254</v>
      </c>
      <c r="B6260" s="60" t="s">
        <v>2457</v>
      </c>
    </row>
    <row r="6261" ht="12.75" customHeight="1">
      <c r="A6261" s="59" t="s">
        <v>254</v>
      </c>
      <c r="B6261" s="60" t="s">
        <v>2458</v>
      </c>
    </row>
    <row r="6262" ht="12.75" customHeight="1">
      <c r="A6262" s="59" t="s">
        <v>254</v>
      </c>
      <c r="B6262" s="60" t="s">
        <v>2459</v>
      </c>
    </row>
    <row r="6263" ht="12.75" customHeight="1">
      <c r="A6263" s="59" t="s">
        <v>254</v>
      </c>
      <c r="B6263" s="60" t="s">
        <v>2460</v>
      </c>
    </row>
    <row r="6264" ht="12.75" customHeight="1">
      <c r="A6264" s="59" t="s">
        <v>254</v>
      </c>
      <c r="B6264" s="60" t="s">
        <v>2461</v>
      </c>
    </row>
    <row r="6265" ht="12.75" customHeight="1">
      <c r="A6265" s="59" t="s">
        <v>254</v>
      </c>
      <c r="B6265" s="60" t="s">
        <v>2462</v>
      </c>
    </row>
    <row r="6266" ht="12.75" customHeight="1">
      <c r="A6266" s="59" t="s">
        <v>254</v>
      </c>
      <c r="B6266" s="60" t="s">
        <v>2463</v>
      </c>
    </row>
    <row r="6267" ht="12.75" customHeight="1">
      <c r="A6267" s="59" t="s">
        <v>254</v>
      </c>
      <c r="B6267" s="60" t="s">
        <v>2464</v>
      </c>
    </row>
    <row r="6268" ht="12.75" customHeight="1">
      <c r="A6268" s="59" t="s">
        <v>254</v>
      </c>
      <c r="B6268" s="60" t="s">
        <v>2465</v>
      </c>
    </row>
    <row r="6269" ht="12.75" customHeight="1">
      <c r="A6269" s="59" t="s">
        <v>254</v>
      </c>
      <c r="B6269" s="60" t="s">
        <v>2466</v>
      </c>
    </row>
    <row r="6270" ht="12.75" customHeight="1">
      <c r="A6270" s="59" t="s">
        <v>254</v>
      </c>
      <c r="B6270" s="60" t="s">
        <v>2467</v>
      </c>
    </row>
    <row r="6271" ht="12.75" customHeight="1">
      <c r="A6271" s="59" t="s">
        <v>254</v>
      </c>
      <c r="B6271" s="60" t="s">
        <v>2468</v>
      </c>
    </row>
    <row r="6272" ht="12.75" customHeight="1">
      <c r="A6272" s="59" t="s">
        <v>254</v>
      </c>
      <c r="B6272" s="60" t="s">
        <v>2469</v>
      </c>
    </row>
    <row r="6273" ht="12.75" customHeight="1">
      <c r="A6273" s="59" t="s">
        <v>254</v>
      </c>
      <c r="B6273" s="60" t="s">
        <v>2470</v>
      </c>
    </row>
    <row r="6274" ht="12.75" customHeight="1">
      <c r="A6274" s="59" t="s">
        <v>254</v>
      </c>
      <c r="B6274" s="60" t="s">
        <v>2471</v>
      </c>
    </row>
    <row r="6275" ht="12.75" customHeight="1">
      <c r="A6275" s="59" t="s">
        <v>254</v>
      </c>
      <c r="B6275" s="60" t="s">
        <v>2472</v>
      </c>
    </row>
    <row r="6276" ht="12.75" customHeight="1">
      <c r="A6276" s="59" t="s">
        <v>254</v>
      </c>
      <c r="B6276" s="60" t="s">
        <v>2473</v>
      </c>
    </row>
    <row r="6277" ht="12.75" customHeight="1">
      <c r="A6277" s="59" t="s">
        <v>254</v>
      </c>
      <c r="B6277" s="60" t="s">
        <v>2474</v>
      </c>
    </row>
    <row r="6278" ht="12.75" customHeight="1">
      <c r="A6278" s="59" t="s">
        <v>254</v>
      </c>
      <c r="B6278" s="60" t="s">
        <v>2475</v>
      </c>
    </row>
    <row r="6279" ht="12.75" customHeight="1">
      <c r="A6279" s="59" t="s">
        <v>254</v>
      </c>
      <c r="B6279" s="60" t="s">
        <v>2476</v>
      </c>
    </row>
    <row r="6280" ht="12.75" customHeight="1">
      <c r="A6280" s="59" t="s">
        <v>254</v>
      </c>
      <c r="B6280" s="60" t="s">
        <v>2477</v>
      </c>
    </row>
    <row r="6281" ht="12.75" customHeight="1">
      <c r="A6281" s="59" t="s">
        <v>254</v>
      </c>
      <c r="B6281" s="60" t="s">
        <v>2478</v>
      </c>
    </row>
    <row r="6282" ht="12.75" customHeight="1">
      <c r="A6282" s="59" t="s">
        <v>254</v>
      </c>
      <c r="B6282" s="60" t="s">
        <v>2479</v>
      </c>
    </row>
    <row r="6283" ht="12.75" customHeight="1">
      <c r="A6283" s="59" t="s">
        <v>254</v>
      </c>
      <c r="B6283" s="60" t="s">
        <v>2480</v>
      </c>
    </row>
    <row r="6284" ht="12.75" customHeight="1">
      <c r="A6284" s="59" t="s">
        <v>254</v>
      </c>
      <c r="B6284" s="60" t="s">
        <v>2481</v>
      </c>
    </row>
    <row r="6285" ht="12.75" customHeight="1">
      <c r="A6285" s="59" t="s">
        <v>254</v>
      </c>
      <c r="B6285" s="60" t="s">
        <v>2482</v>
      </c>
    </row>
    <row r="6286" ht="12.75" customHeight="1">
      <c r="A6286" s="59" t="s">
        <v>254</v>
      </c>
      <c r="B6286" s="60" t="s">
        <v>2483</v>
      </c>
    </row>
    <row r="6287" ht="12.75" customHeight="1">
      <c r="A6287" s="59" t="s">
        <v>254</v>
      </c>
      <c r="B6287" s="60" t="s">
        <v>2484</v>
      </c>
    </row>
    <row r="6288" ht="12.75" customHeight="1">
      <c r="A6288" s="59" t="s">
        <v>254</v>
      </c>
      <c r="B6288" s="60" t="s">
        <v>2485</v>
      </c>
    </row>
    <row r="6289" ht="12.75" customHeight="1">
      <c r="A6289" s="59" t="s">
        <v>254</v>
      </c>
      <c r="B6289" s="60" t="s">
        <v>2486</v>
      </c>
    </row>
    <row r="6290" ht="12.75" customHeight="1">
      <c r="A6290" s="59" t="s">
        <v>254</v>
      </c>
      <c r="B6290" s="60" t="s">
        <v>2487</v>
      </c>
    </row>
    <row r="6291" ht="12.75" customHeight="1">
      <c r="A6291" s="59" t="s">
        <v>254</v>
      </c>
      <c r="B6291" s="60" t="s">
        <v>2488</v>
      </c>
    </row>
    <row r="6292" ht="12.75" customHeight="1">
      <c r="A6292" s="59" t="s">
        <v>254</v>
      </c>
      <c r="B6292" s="60" t="s">
        <v>2489</v>
      </c>
    </row>
    <row r="6293" ht="12.75" customHeight="1">
      <c r="A6293" s="59" t="s">
        <v>254</v>
      </c>
      <c r="B6293" s="60" t="s">
        <v>2490</v>
      </c>
    </row>
    <row r="6294" ht="12.75" customHeight="1">
      <c r="A6294" s="59" t="s">
        <v>254</v>
      </c>
      <c r="B6294" s="60" t="s">
        <v>2491</v>
      </c>
    </row>
    <row r="6295" ht="12.75" customHeight="1">
      <c r="A6295" s="59" t="s">
        <v>254</v>
      </c>
      <c r="B6295" s="60" t="s">
        <v>2492</v>
      </c>
    </row>
    <row r="6296" ht="12.75" customHeight="1">
      <c r="A6296" s="59" t="s">
        <v>254</v>
      </c>
      <c r="B6296" s="60" t="s">
        <v>2493</v>
      </c>
    </row>
    <row r="6297" ht="12.75" customHeight="1">
      <c r="A6297" s="59" t="s">
        <v>254</v>
      </c>
      <c r="B6297" s="60" t="s">
        <v>2494</v>
      </c>
    </row>
    <row r="6298" ht="12.75" customHeight="1">
      <c r="A6298" s="59" t="s">
        <v>254</v>
      </c>
      <c r="B6298" s="60" t="s">
        <v>2495</v>
      </c>
    </row>
    <row r="6299" ht="12.75" customHeight="1">
      <c r="A6299" s="59" t="s">
        <v>254</v>
      </c>
      <c r="B6299" s="60" t="s">
        <v>2496</v>
      </c>
    </row>
    <row r="6300" ht="12.75" customHeight="1">
      <c r="A6300" s="59" t="s">
        <v>254</v>
      </c>
      <c r="B6300" s="60" t="s">
        <v>2497</v>
      </c>
    </row>
    <row r="6301" ht="12.75" customHeight="1">
      <c r="A6301" s="59" t="s">
        <v>254</v>
      </c>
      <c r="B6301" s="60" t="s">
        <v>2498</v>
      </c>
    </row>
    <row r="6302" ht="12.75" customHeight="1">
      <c r="A6302" s="59" t="s">
        <v>254</v>
      </c>
      <c r="B6302" s="60" t="s">
        <v>2499</v>
      </c>
    </row>
    <row r="6303" ht="12.75" customHeight="1">
      <c r="A6303" s="59" t="s">
        <v>254</v>
      </c>
      <c r="B6303" s="60" t="s">
        <v>2500</v>
      </c>
    </row>
    <row r="6304" ht="12.75" customHeight="1">
      <c r="A6304" s="59" t="s">
        <v>254</v>
      </c>
      <c r="B6304" s="60" t="s">
        <v>2501</v>
      </c>
    </row>
    <row r="6305" ht="12.75" customHeight="1">
      <c r="A6305" s="59" t="s">
        <v>254</v>
      </c>
      <c r="B6305" s="60" t="s">
        <v>2502</v>
      </c>
    </row>
    <row r="6306" ht="12.75" customHeight="1">
      <c r="A6306" s="59" t="s">
        <v>254</v>
      </c>
      <c r="B6306" s="60" t="s">
        <v>2503</v>
      </c>
    </row>
    <row r="6307" ht="12.75" customHeight="1">
      <c r="A6307" s="59" t="s">
        <v>254</v>
      </c>
      <c r="B6307" s="60" t="s">
        <v>2504</v>
      </c>
    </row>
    <row r="6308" ht="12.75" customHeight="1">
      <c r="A6308" s="59" t="s">
        <v>164</v>
      </c>
      <c r="B6308" s="60" t="s">
        <v>2453</v>
      </c>
    </row>
    <row r="6309" ht="12.75" customHeight="1">
      <c r="A6309" s="59" t="s">
        <v>164</v>
      </c>
      <c r="B6309" s="60" t="s">
        <v>2505</v>
      </c>
    </row>
    <row r="6310" ht="12.75" customHeight="1">
      <c r="A6310" s="59" t="s">
        <v>164</v>
      </c>
      <c r="B6310" s="60" t="s">
        <v>2455</v>
      </c>
    </row>
    <row r="6311" ht="12.75" customHeight="1">
      <c r="A6311" s="59" t="s">
        <v>164</v>
      </c>
      <c r="B6311" s="60" t="s">
        <v>2456</v>
      </c>
    </row>
    <row r="6312" ht="12.75" customHeight="1">
      <c r="A6312" s="59" t="s">
        <v>164</v>
      </c>
      <c r="B6312" s="60" t="s">
        <v>2457</v>
      </c>
    </row>
    <row r="6313" ht="12.75" customHeight="1">
      <c r="A6313" s="59" t="s">
        <v>164</v>
      </c>
      <c r="B6313" s="60" t="s">
        <v>2458</v>
      </c>
    </row>
    <row r="6314" ht="12.75" customHeight="1">
      <c r="A6314" s="59" t="s">
        <v>164</v>
      </c>
      <c r="B6314" s="60" t="s">
        <v>2459</v>
      </c>
    </row>
    <row r="6315" ht="12.75" customHeight="1">
      <c r="A6315" s="59" t="s">
        <v>164</v>
      </c>
      <c r="B6315" s="60" t="s">
        <v>2460</v>
      </c>
    </row>
    <row r="6316" ht="12.75" customHeight="1">
      <c r="A6316" s="59" t="s">
        <v>164</v>
      </c>
      <c r="B6316" s="60" t="s">
        <v>2461</v>
      </c>
    </row>
    <row r="6317" ht="12.75" customHeight="1">
      <c r="A6317" s="59" t="s">
        <v>164</v>
      </c>
      <c r="B6317" s="60" t="s">
        <v>2462</v>
      </c>
    </row>
    <row r="6318" ht="12.75" customHeight="1">
      <c r="A6318" s="59" t="s">
        <v>164</v>
      </c>
      <c r="B6318" s="60" t="s">
        <v>2463</v>
      </c>
    </row>
    <row r="6319" ht="12.75" customHeight="1">
      <c r="A6319" s="59" t="s">
        <v>164</v>
      </c>
      <c r="B6319" s="60" t="s">
        <v>2464</v>
      </c>
    </row>
    <row r="6320" ht="12.75" customHeight="1">
      <c r="A6320" s="59" t="s">
        <v>164</v>
      </c>
      <c r="B6320" s="60" t="s">
        <v>2465</v>
      </c>
    </row>
    <row r="6321" ht="12.75" customHeight="1">
      <c r="A6321" s="59" t="s">
        <v>164</v>
      </c>
      <c r="B6321" s="60" t="s">
        <v>2466</v>
      </c>
    </row>
    <row r="6322" ht="12.75" customHeight="1">
      <c r="A6322" s="59" t="s">
        <v>164</v>
      </c>
      <c r="B6322" s="60" t="s">
        <v>2468</v>
      </c>
    </row>
    <row r="6323" ht="12.75" customHeight="1">
      <c r="A6323" s="59" t="s">
        <v>164</v>
      </c>
      <c r="B6323" s="60" t="s">
        <v>2469</v>
      </c>
    </row>
    <row r="6324" ht="12.75" customHeight="1">
      <c r="A6324" s="59" t="s">
        <v>164</v>
      </c>
      <c r="B6324" s="60" t="s">
        <v>2470</v>
      </c>
    </row>
    <row r="6325" ht="12.75" customHeight="1">
      <c r="A6325" s="59" t="s">
        <v>164</v>
      </c>
      <c r="B6325" s="60" t="s">
        <v>2476</v>
      </c>
    </row>
    <row r="6326" ht="12.75" customHeight="1">
      <c r="A6326" s="59" t="s">
        <v>164</v>
      </c>
      <c r="B6326" s="60" t="s">
        <v>2471</v>
      </c>
    </row>
    <row r="6327" ht="12.75" customHeight="1">
      <c r="A6327" s="59" t="s">
        <v>164</v>
      </c>
      <c r="B6327" s="60" t="s">
        <v>2472</v>
      </c>
    </row>
    <row r="6328" ht="12.75" customHeight="1">
      <c r="A6328" s="59" t="s">
        <v>164</v>
      </c>
      <c r="B6328" s="60" t="s">
        <v>2473</v>
      </c>
    </row>
    <row r="6329" ht="12.75" customHeight="1">
      <c r="A6329" s="59" t="s">
        <v>164</v>
      </c>
      <c r="B6329" s="60" t="s">
        <v>2474</v>
      </c>
    </row>
    <row r="6330" ht="12.75" customHeight="1">
      <c r="A6330" s="59" t="s">
        <v>164</v>
      </c>
      <c r="B6330" s="60" t="s">
        <v>2475</v>
      </c>
    </row>
    <row r="6331" ht="12.75" customHeight="1">
      <c r="A6331" s="59" t="s">
        <v>164</v>
      </c>
      <c r="B6331" s="60" t="s">
        <v>2477</v>
      </c>
    </row>
    <row r="6332" ht="12.75" customHeight="1">
      <c r="A6332" s="59" t="s">
        <v>164</v>
      </c>
      <c r="B6332" s="60" t="s">
        <v>2478</v>
      </c>
    </row>
    <row r="6333" ht="12.75" customHeight="1">
      <c r="A6333" s="59" t="s">
        <v>164</v>
      </c>
      <c r="B6333" s="60" t="s">
        <v>2479</v>
      </c>
    </row>
    <row r="6334" ht="12.75" customHeight="1">
      <c r="A6334" s="59" t="s">
        <v>164</v>
      </c>
      <c r="B6334" s="60" t="s">
        <v>2480</v>
      </c>
    </row>
    <row r="6335" ht="12.75" customHeight="1">
      <c r="A6335" s="59" t="s">
        <v>164</v>
      </c>
      <c r="B6335" s="60" t="s">
        <v>2481</v>
      </c>
    </row>
    <row r="6336" ht="12.75" customHeight="1">
      <c r="A6336" s="59" t="s">
        <v>164</v>
      </c>
      <c r="B6336" s="60" t="s">
        <v>2483</v>
      </c>
    </row>
    <row r="6337" ht="12.75" customHeight="1">
      <c r="A6337" s="59" t="s">
        <v>164</v>
      </c>
      <c r="B6337" s="60" t="s">
        <v>2484</v>
      </c>
    </row>
    <row r="6338" ht="12.75" customHeight="1">
      <c r="A6338" s="59" t="s">
        <v>164</v>
      </c>
      <c r="B6338" s="60" t="s">
        <v>2485</v>
      </c>
    </row>
    <row r="6339" ht="12.75" customHeight="1">
      <c r="A6339" s="59" t="s">
        <v>164</v>
      </c>
      <c r="B6339" s="60" t="s">
        <v>2486</v>
      </c>
    </row>
    <row r="6340" ht="12.75" customHeight="1">
      <c r="A6340" s="59" t="s">
        <v>164</v>
      </c>
      <c r="B6340" s="60" t="s">
        <v>2487</v>
      </c>
    </row>
    <row r="6341" ht="12.75" customHeight="1">
      <c r="A6341" s="59" t="s">
        <v>164</v>
      </c>
      <c r="B6341" s="60" t="s">
        <v>2488</v>
      </c>
    </row>
    <row r="6342" ht="12.75" customHeight="1">
      <c r="A6342" s="59" t="s">
        <v>164</v>
      </c>
      <c r="B6342" s="60" t="s">
        <v>2489</v>
      </c>
    </row>
    <row r="6343" ht="12.75" customHeight="1">
      <c r="A6343" s="59" t="s">
        <v>164</v>
      </c>
      <c r="B6343" s="60" t="s">
        <v>2491</v>
      </c>
    </row>
    <row r="6344" ht="12.75" customHeight="1">
      <c r="A6344" s="59" t="s">
        <v>164</v>
      </c>
      <c r="B6344" s="60" t="s">
        <v>2492</v>
      </c>
    </row>
    <row r="6345" ht="12.75" customHeight="1">
      <c r="A6345" s="59" t="s">
        <v>164</v>
      </c>
      <c r="B6345" s="60" t="s">
        <v>2493</v>
      </c>
    </row>
    <row r="6346" ht="12.75" customHeight="1">
      <c r="A6346" s="59" t="s">
        <v>164</v>
      </c>
      <c r="B6346" s="60" t="s">
        <v>2494</v>
      </c>
    </row>
    <row r="6347" ht="12.75" customHeight="1">
      <c r="A6347" s="59" t="s">
        <v>164</v>
      </c>
      <c r="B6347" s="60" t="s">
        <v>2495</v>
      </c>
    </row>
    <row r="6348" ht="12.75" customHeight="1">
      <c r="A6348" s="59" t="s">
        <v>164</v>
      </c>
      <c r="B6348" s="60" t="s">
        <v>2496</v>
      </c>
    </row>
    <row r="6349" ht="12.75" customHeight="1">
      <c r="A6349" s="59" t="s">
        <v>164</v>
      </c>
      <c r="B6349" s="60" t="s">
        <v>2497</v>
      </c>
    </row>
    <row r="6350" ht="12.75" customHeight="1">
      <c r="A6350" s="59" t="s">
        <v>164</v>
      </c>
      <c r="B6350" s="60" t="s">
        <v>2498</v>
      </c>
    </row>
    <row r="6351" ht="12.75" customHeight="1">
      <c r="A6351" s="59" t="s">
        <v>164</v>
      </c>
      <c r="B6351" s="60" t="s">
        <v>2499</v>
      </c>
    </row>
    <row r="6352" ht="12.75" customHeight="1">
      <c r="A6352" s="59" t="s">
        <v>164</v>
      </c>
      <c r="B6352" s="60" t="s">
        <v>2500</v>
      </c>
    </row>
    <row r="6353" ht="12.75" customHeight="1">
      <c r="A6353" s="59" t="s">
        <v>164</v>
      </c>
      <c r="B6353" s="60" t="s">
        <v>2501</v>
      </c>
    </row>
    <row r="6354" ht="12.75" customHeight="1">
      <c r="A6354" s="59" t="s">
        <v>164</v>
      </c>
      <c r="B6354" s="60" t="s">
        <v>2502</v>
      </c>
    </row>
    <row r="6355" ht="12.75" customHeight="1">
      <c r="A6355" s="59" t="s">
        <v>164</v>
      </c>
      <c r="B6355" s="60" t="s">
        <v>2503</v>
      </c>
    </row>
    <row r="6356" ht="12.75" customHeight="1">
      <c r="A6356" s="59" t="s">
        <v>164</v>
      </c>
      <c r="B6356" s="60" t="s">
        <v>2504</v>
      </c>
    </row>
    <row r="6357" ht="12.75" customHeight="1">
      <c r="A6357" s="59" t="s">
        <v>164</v>
      </c>
      <c r="B6357" s="60" t="s">
        <v>2506</v>
      </c>
    </row>
    <row r="6358" ht="12.75" customHeight="1">
      <c r="A6358" s="59" t="s">
        <v>164</v>
      </c>
      <c r="B6358" s="60" t="s">
        <v>2507</v>
      </c>
    </row>
    <row r="6359" ht="12.75" customHeight="1">
      <c r="A6359" s="59" t="s">
        <v>164</v>
      </c>
      <c r="B6359" s="60" t="s">
        <v>2508</v>
      </c>
    </row>
    <row r="6360" ht="12.75" customHeight="1">
      <c r="A6360" s="59" t="s">
        <v>164</v>
      </c>
      <c r="B6360" s="60" t="s">
        <v>2509</v>
      </c>
    </row>
    <row r="6361" ht="12.75" customHeight="1">
      <c r="A6361" s="59" t="s">
        <v>164</v>
      </c>
      <c r="B6361" s="60" t="s">
        <v>2510</v>
      </c>
    </row>
    <row r="6362" ht="12.75" customHeight="1">
      <c r="A6362" s="59" t="s">
        <v>164</v>
      </c>
      <c r="B6362" s="60" t="s">
        <v>2511</v>
      </c>
    </row>
    <row r="6363" ht="12.75" customHeight="1">
      <c r="A6363" s="59" t="s">
        <v>164</v>
      </c>
      <c r="B6363" s="60" t="s">
        <v>2512</v>
      </c>
    </row>
    <row r="6364" ht="12.75" customHeight="1">
      <c r="A6364" s="59" t="s">
        <v>164</v>
      </c>
      <c r="B6364" s="60" t="s">
        <v>2513</v>
      </c>
    </row>
    <row r="6365" ht="12.75" customHeight="1">
      <c r="A6365" s="59" t="s">
        <v>164</v>
      </c>
      <c r="B6365" s="60" t="s">
        <v>2514</v>
      </c>
    </row>
    <row r="6366" ht="12.75" customHeight="1">
      <c r="A6366" s="59" t="s">
        <v>164</v>
      </c>
      <c r="B6366" s="60" t="s">
        <v>2515</v>
      </c>
    </row>
    <row r="6367" ht="12.75" customHeight="1">
      <c r="A6367" s="59" t="s">
        <v>164</v>
      </c>
      <c r="B6367" s="60" t="s">
        <v>2516</v>
      </c>
    </row>
    <row r="6368" ht="12.75" customHeight="1">
      <c r="A6368" s="59" t="s">
        <v>164</v>
      </c>
      <c r="B6368" s="60" t="s">
        <v>2517</v>
      </c>
    </row>
    <row r="6369" ht="12.75" customHeight="1">
      <c r="A6369" s="59" t="s">
        <v>164</v>
      </c>
      <c r="B6369" s="60" t="s">
        <v>2518</v>
      </c>
    </row>
    <row r="6370" ht="12.75" customHeight="1">
      <c r="A6370" s="59" t="s">
        <v>164</v>
      </c>
      <c r="B6370" s="60" t="s">
        <v>2519</v>
      </c>
    </row>
    <row r="6371" ht="12.75" customHeight="1">
      <c r="A6371" s="59" t="s">
        <v>164</v>
      </c>
      <c r="B6371" s="60" t="s">
        <v>2520</v>
      </c>
    </row>
    <row r="6372" ht="12.75" customHeight="1">
      <c r="A6372" s="59" t="s">
        <v>164</v>
      </c>
      <c r="B6372" s="60" t="s">
        <v>2521</v>
      </c>
    </row>
    <row r="6373" ht="12.75" customHeight="1">
      <c r="A6373" s="59" t="s">
        <v>164</v>
      </c>
      <c r="B6373" s="60" t="s">
        <v>2522</v>
      </c>
    </row>
    <row r="6374" ht="12.75" customHeight="1">
      <c r="A6374" s="59" t="s">
        <v>164</v>
      </c>
      <c r="B6374" s="60" t="s">
        <v>2523</v>
      </c>
    </row>
    <row r="6375" ht="12.75" customHeight="1">
      <c r="A6375" s="59" t="s">
        <v>164</v>
      </c>
      <c r="B6375" s="60" t="s">
        <v>2524</v>
      </c>
    </row>
    <row r="6376" ht="12.75" customHeight="1">
      <c r="A6376" s="59" t="s">
        <v>164</v>
      </c>
      <c r="B6376" s="60" t="s">
        <v>2525</v>
      </c>
    </row>
    <row r="6377" ht="12.75" customHeight="1">
      <c r="A6377" s="59" t="s">
        <v>164</v>
      </c>
      <c r="B6377" s="60" t="s">
        <v>2526</v>
      </c>
    </row>
    <row r="6378" ht="12.75" customHeight="1">
      <c r="A6378" s="59" t="s">
        <v>164</v>
      </c>
      <c r="B6378" s="60" t="s">
        <v>2527</v>
      </c>
    </row>
    <row r="6379" ht="12.75" customHeight="1">
      <c r="A6379" s="59" t="s">
        <v>164</v>
      </c>
      <c r="B6379" s="60" t="s">
        <v>2528</v>
      </c>
    </row>
    <row r="6380" ht="12.75" customHeight="1">
      <c r="A6380" s="59" t="s">
        <v>164</v>
      </c>
      <c r="B6380" s="60" t="s">
        <v>2529</v>
      </c>
    </row>
    <row r="6381" ht="12.75" customHeight="1">
      <c r="A6381" s="59" t="s">
        <v>164</v>
      </c>
      <c r="B6381" s="60" t="s">
        <v>2530</v>
      </c>
    </row>
    <row r="6382" ht="12.75" customHeight="1">
      <c r="A6382" s="59" t="s">
        <v>164</v>
      </c>
      <c r="B6382" s="60" t="s">
        <v>2531</v>
      </c>
    </row>
    <row r="6383" ht="12.75" customHeight="1">
      <c r="A6383" s="59" t="s">
        <v>164</v>
      </c>
      <c r="B6383" s="60" t="s">
        <v>2532</v>
      </c>
    </row>
    <row r="6384" ht="12.75" customHeight="1">
      <c r="A6384" s="59" t="s">
        <v>164</v>
      </c>
      <c r="B6384" s="60" t="s">
        <v>2533</v>
      </c>
    </row>
    <row r="6385" ht="12.75" customHeight="1">
      <c r="A6385" s="59" t="s">
        <v>164</v>
      </c>
      <c r="B6385" s="60" t="s">
        <v>2534</v>
      </c>
    </row>
    <row r="6386" ht="12.75" customHeight="1">
      <c r="A6386" s="59" t="s">
        <v>164</v>
      </c>
      <c r="B6386" s="60" t="s">
        <v>2535</v>
      </c>
    </row>
    <row r="6387" ht="12.75" customHeight="1">
      <c r="A6387" s="59" t="s">
        <v>164</v>
      </c>
      <c r="B6387" s="60" t="s">
        <v>2536</v>
      </c>
    </row>
    <row r="6388" ht="12.75" customHeight="1">
      <c r="A6388" s="59" t="s">
        <v>164</v>
      </c>
      <c r="B6388" s="60" t="s">
        <v>2537</v>
      </c>
    </row>
    <row r="6389" ht="12.75" customHeight="1">
      <c r="A6389" s="59" t="s">
        <v>164</v>
      </c>
      <c r="B6389" s="60" t="s">
        <v>2538</v>
      </c>
    </row>
    <row r="6390" ht="12.75" customHeight="1">
      <c r="A6390" s="59" t="s">
        <v>164</v>
      </c>
      <c r="B6390" s="60" t="s">
        <v>2539</v>
      </c>
    </row>
    <row r="6391" ht="12.75" customHeight="1">
      <c r="A6391" s="59" t="s">
        <v>164</v>
      </c>
      <c r="B6391" s="60" t="s">
        <v>2540</v>
      </c>
    </row>
    <row r="6392" ht="12.75" customHeight="1">
      <c r="A6392" s="59" t="s">
        <v>164</v>
      </c>
      <c r="B6392" s="60" t="s">
        <v>2541</v>
      </c>
    </row>
    <row r="6393" ht="12.75" customHeight="1">
      <c r="A6393" s="59" t="s">
        <v>164</v>
      </c>
      <c r="B6393" s="60" t="s">
        <v>2542</v>
      </c>
    </row>
    <row r="6394" ht="12.75" customHeight="1">
      <c r="A6394" s="59" t="s">
        <v>164</v>
      </c>
      <c r="B6394" s="60" t="s">
        <v>2543</v>
      </c>
    </row>
    <row r="6395" ht="12.75" customHeight="1">
      <c r="A6395" s="59" t="s">
        <v>164</v>
      </c>
      <c r="B6395" s="60" t="s">
        <v>2544</v>
      </c>
    </row>
    <row r="6396" ht="12.75" customHeight="1">
      <c r="A6396" s="59" t="s">
        <v>164</v>
      </c>
      <c r="B6396" s="60" t="s">
        <v>2545</v>
      </c>
    </row>
    <row r="6397" ht="12.75" customHeight="1">
      <c r="A6397" s="59" t="s">
        <v>164</v>
      </c>
      <c r="B6397" s="60" t="s">
        <v>2546</v>
      </c>
    </row>
    <row r="6398" ht="12.75" customHeight="1">
      <c r="A6398" s="59" t="s">
        <v>164</v>
      </c>
      <c r="B6398" s="60" t="s">
        <v>2547</v>
      </c>
    </row>
    <row r="6399" ht="12.75" customHeight="1">
      <c r="A6399" s="59" t="s">
        <v>164</v>
      </c>
      <c r="B6399" s="60" t="s">
        <v>2548</v>
      </c>
    </row>
    <row r="6400" ht="12.75" customHeight="1">
      <c r="A6400" s="59" t="s">
        <v>164</v>
      </c>
      <c r="B6400" s="60" t="s">
        <v>2549</v>
      </c>
    </row>
    <row r="6401" ht="12.75" customHeight="1">
      <c r="A6401" s="59" t="s">
        <v>164</v>
      </c>
      <c r="B6401" s="60" t="s">
        <v>2550</v>
      </c>
    </row>
    <row r="6402" ht="12.75" customHeight="1">
      <c r="A6402" s="59" t="s">
        <v>164</v>
      </c>
      <c r="B6402" s="60" t="s">
        <v>2551</v>
      </c>
    </row>
    <row r="6403" ht="12.75" customHeight="1">
      <c r="A6403" s="59" t="s">
        <v>164</v>
      </c>
      <c r="B6403" s="60" t="s">
        <v>2552</v>
      </c>
    </row>
    <row r="6404" ht="12.75" customHeight="1">
      <c r="A6404" s="59" t="s">
        <v>164</v>
      </c>
      <c r="B6404" s="60" t="s">
        <v>2553</v>
      </c>
    </row>
    <row r="6405" ht="12.75" customHeight="1">
      <c r="A6405" s="59" t="s">
        <v>164</v>
      </c>
      <c r="B6405" s="60" t="s">
        <v>2554</v>
      </c>
    </row>
    <row r="6406" ht="12.75" customHeight="1">
      <c r="A6406" s="59" t="s">
        <v>164</v>
      </c>
      <c r="B6406" s="60" t="s">
        <v>2555</v>
      </c>
    </row>
    <row r="6407" ht="12.75" customHeight="1">
      <c r="A6407" s="59" t="s">
        <v>164</v>
      </c>
      <c r="B6407" s="60" t="s">
        <v>2556</v>
      </c>
    </row>
    <row r="6408" ht="12.75" customHeight="1">
      <c r="A6408" s="59" t="s">
        <v>164</v>
      </c>
      <c r="B6408" s="60" t="s">
        <v>2557</v>
      </c>
    </row>
    <row r="6409" ht="12.75" customHeight="1">
      <c r="A6409" s="59" t="s">
        <v>164</v>
      </c>
      <c r="B6409" s="60" t="s">
        <v>2558</v>
      </c>
    </row>
    <row r="6410" ht="12.75" customHeight="1">
      <c r="A6410" s="59" t="s">
        <v>164</v>
      </c>
      <c r="B6410" s="60" t="s">
        <v>2559</v>
      </c>
    </row>
    <row r="6411" ht="12.75" customHeight="1">
      <c r="A6411" s="59" t="s">
        <v>164</v>
      </c>
      <c r="B6411" s="60" t="s">
        <v>2560</v>
      </c>
    </row>
    <row r="6412" ht="12.75" customHeight="1">
      <c r="A6412" s="59" t="s">
        <v>164</v>
      </c>
      <c r="B6412" s="60" t="s">
        <v>2561</v>
      </c>
    </row>
    <row r="6413" ht="12.75" customHeight="1">
      <c r="A6413" s="59" t="s">
        <v>164</v>
      </c>
      <c r="B6413" s="60" t="s">
        <v>2562</v>
      </c>
    </row>
    <row r="6414" ht="12.75" customHeight="1">
      <c r="A6414" s="59" t="s">
        <v>164</v>
      </c>
      <c r="B6414" s="60" t="s">
        <v>2563</v>
      </c>
    </row>
    <row r="6415" ht="12.75" customHeight="1">
      <c r="A6415" s="59" t="s">
        <v>164</v>
      </c>
      <c r="B6415" s="60" t="s">
        <v>2564</v>
      </c>
    </row>
    <row r="6416" ht="12.75" customHeight="1">
      <c r="A6416" s="59" t="s">
        <v>164</v>
      </c>
      <c r="B6416" s="60" t="s">
        <v>2565</v>
      </c>
    </row>
    <row r="6417" ht="12.75" customHeight="1">
      <c r="A6417" s="59" t="s">
        <v>164</v>
      </c>
      <c r="B6417" s="60" t="s">
        <v>2566</v>
      </c>
    </row>
    <row r="6418" ht="12.75" customHeight="1">
      <c r="A6418" s="59" t="s">
        <v>164</v>
      </c>
      <c r="B6418" s="60" t="s">
        <v>2567</v>
      </c>
    </row>
    <row r="6419" ht="12.75" customHeight="1">
      <c r="A6419" s="59" t="s">
        <v>164</v>
      </c>
      <c r="B6419" s="60" t="s">
        <v>2568</v>
      </c>
    </row>
    <row r="6420" ht="12.75" customHeight="1">
      <c r="A6420" s="59" t="s">
        <v>164</v>
      </c>
      <c r="B6420" s="60" t="s">
        <v>2569</v>
      </c>
    </row>
    <row r="6421" ht="12.75" customHeight="1">
      <c r="A6421" s="59" t="s">
        <v>164</v>
      </c>
      <c r="B6421" s="60" t="s">
        <v>2570</v>
      </c>
    </row>
    <row r="6422" ht="12.75" customHeight="1">
      <c r="A6422" s="59" t="s">
        <v>164</v>
      </c>
      <c r="B6422" s="60" t="s">
        <v>2571</v>
      </c>
    </row>
    <row r="6423" ht="12.75" customHeight="1">
      <c r="A6423" s="59" t="s">
        <v>164</v>
      </c>
      <c r="B6423" s="60" t="s">
        <v>2572</v>
      </c>
    </row>
    <row r="6424" ht="12.75" customHeight="1">
      <c r="A6424" s="59" t="s">
        <v>164</v>
      </c>
      <c r="B6424" s="60" t="s">
        <v>2573</v>
      </c>
    </row>
    <row r="6425" ht="12.75" customHeight="1">
      <c r="A6425" s="59" t="s">
        <v>164</v>
      </c>
      <c r="B6425" s="60" t="s">
        <v>2574</v>
      </c>
    </row>
    <row r="6426" ht="12.75" customHeight="1">
      <c r="A6426" s="59" t="s">
        <v>164</v>
      </c>
      <c r="B6426" s="60" t="s">
        <v>2575</v>
      </c>
    </row>
    <row r="6427" ht="12.75" customHeight="1">
      <c r="A6427" s="59" t="s">
        <v>164</v>
      </c>
      <c r="B6427" s="60" t="s">
        <v>2576</v>
      </c>
    </row>
    <row r="6428" ht="12.75" customHeight="1">
      <c r="A6428" s="59" t="s">
        <v>164</v>
      </c>
      <c r="B6428" s="60" t="s">
        <v>2577</v>
      </c>
    </row>
    <row r="6429" ht="12.75" customHeight="1">
      <c r="A6429" s="59" t="s">
        <v>449</v>
      </c>
      <c r="B6429" s="60" t="s">
        <v>2453</v>
      </c>
    </row>
    <row r="6430" ht="12.75" customHeight="1">
      <c r="A6430" s="59" t="s">
        <v>449</v>
      </c>
      <c r="B6430" s="60" t="s">
        <v>2505</v>
      </c>
    </row>
    <row r="6431" ht="12.75" customHeight="1">
      <c r="A6431" s="59" t="s">
        <v>449</v>
      </c>
      <c r="B6431" s="60" t="s">
        <v>2455</v>
      </c>
    </row>
    <row r="6432" ht="12.75" customHeight="1">
      <c r="A6432" s="59" t="s">
        <v>449</v>
      </c>
      <c r="B6432" s="60" t="s">
        <v>2456</v>
      </c>
    </row>
    <row r="6433" ht="12.75" customHeight="1">
      <c r="A6433" s="59" t="s">
        <v>449</v>
      </c>
      <c r="B6433" s="60" t="s">
        <v>2457</v>
      </c>
    </row>
    <row r="6434" ht="12.75" customHeight="1">
      <c r="A6434" s="59" t="s">
        <v>449</v>
      </c>
      <c r="B6434" s="60" t="s">
        <v>2458</v>
      </c>
    </row>
    <row r="6435" ht="12.75" customHeight="1">
      <c r="A6435" s="59" t="s">
        <v>449</v>
      </c>
      <c r="B6435" s="60" t="s">
        <v>2459</v>
      </c>
    </row>
    <row r="6436" ht="12.75" customHeight="1">
      <c r="A6436" s="59" t="s">
        <v>449</v>
      </c>
      <c r="B6436" s="60" t="s">
        <v>2460</v>
      </c>
    </row>
    <row r="6437" ht="12.75" customHeight="1">
      <c r="A6437" s="59" t="s">
        <v>449</v>
      </c>
      <c r="B6437" s="60" t="s">
        <v>2461</v>
      </c>
    </row>
    <row r="6438" ht="12.75" customHeight="1">
      <c r="A6438" s="59" t="s">
        <v>449</v>
      </c>
      <c r="B6438" s="60" t="s">
        <v>2462</v>
      </c>
    </row>
    <row r="6439" ht="12.75" customHeight="1">
      <c r="A6439" s="59" t="s">
        <v>449</v>
      </c>
      <c r="B6439" s="60" t="s">
        <v>2463</v>
      </c>
    </row>
    <row r="6440" ht="12.75" customHeight="1">
      <c r="A6440" s="59" t="s">
        <v>449</v>
      </c>
      <c r="B6440" s="60" t="s">
        <v>2464</v>
      </c>
    </row>
    <row r="6441" ht="12.75" customHeight="1">
      <c r="A6441" s="59" t="s">
        <v>449</v>
      </c>
      <c r="B6441" s="60" t="s">
        <v>2465</v>
      </c>
    </row>
    <row r="6442" ht="12.75" customHeight="1">
      <c r="A6442" s="59" t="s">
        <v>449</v>
      </c>
      <c r="B6442" s="60" t="s">
        <v>2466</v>
      </c>
    </row>
    <row r="6443" ht="12.75" customHeight="1">
      <c r="A6443" s="59" t="s">
        <v>449</v>
      </c>
      <c r="B6443" s="60" t="s">
        <v>2468</v>
      </c>
    </row>
    <row r="6444" ht="12.75" customHeight="1">
      <c r="A6444" s="59" t="s">
        <v>449</v>
      </c>
      <c r="B6444" s="60" t="s">
        <v>2469</v>
      </c>
    </row>
    <row r="6445" ht="12.75" customHeight="1">
      <c r="A6445" s="59" t="s">
        <v>449</v>
      </c>
      <c r="B6445" s="60" t="s">
        <v>2470</v>
      </c>
    </row>
    <row r="6446" ht="12.75" customHeight="1">
      <c r="A6446" s="59" t="s">
        <v>449</v>
      </c>
      <c r="B6446" s="60" t="s">
        <v>2471</v>
      </c>
    </row>
    <row r="6447" ht="12.75" customHeight="1">
      <c r="A6447" s="59" t="s">
        <v>449</v>
      </c>
      <c r="B6447" s="60" t="s">
        <v>2472</v>
      </c>
    </row>
    <row r="6448" ht="12.75" customHeight="1">
      <c r="A6448" s="59" t="s">
        <v>449</v>
      </c>
      <c r="B6448" s="60" t="s">
        <v>2473</v>
      </c>
    </row>
    <row r="6449" ht="12.75" customHeight="1">
      <c r="A6449" s="59" t="s">
        <v>449</v>
      </c>
      <c r="B6449" s="60" t="s">
        <v>2474</v>
      </c>
    </row>
    <row r="6450" ht="12.75" customHeight="1">
      <c r="A6450" s="59" t="s">
        <v>449</v>
      </c>
      <c r="B6450" s="60" t="s">
        <v>2475</v>
      </c>
    </row>
    <row r="6451" ht="12.75" customHeight="1">
      <c r="A6451" s="59" t="s">
        <v>449</v>
      </c>
      <c r="B6451" s="60" t="s">
        <v>2476</v>
      </c>
    </row>
    <row r="6452" ht="12.75" customHeight="1">
      <c r="A6452" s="59" t="s">
        <v>449</v>
      </c>
      <c r="B6452" s="60" t="s">
        <v>2477</v>
      </c>
    </row>
    <row r="6453" ht="12.75" customHeight="1">
      <c r="A6453" s="59" t="s">
        <v>449</v>
      </c>
      <c r="B6453" s="60" t="s">
        <v>2478</v>
      </c>
    </row>
    <row r="6454" ht="12.75" customHeight="1">
      <c r="A6454" s="59" t="s">
        <v>449</v>
      </c>
      <c r="B6454" s="60" t="s">
        <v>2479</v>
      </c>
    </row>
    <row r="6455" ht="12.75" customHeight="1">
      <c r="A6455" s="59" t="s">
        <v>449</v>
      </c>
      <c r="B6455" s="60" t="s">
        <v>2480</v>
      </c>
    </row>
    <row r="6456" ht="12.75" customHeight="1">
      <c r="A6456" s="59" t="s">
        <v>449</v>
      </c>
      <c r="B6456" s="60" t="s">
        <v>2481</v>
      </c>
    </row>
    <row r="6457" ht="12.75" customHeight="1">
      <c r="A6457" s="59" t="s">
        <v>449</v>
      </c>
      <c r="B6457" s="60" t="s">
        <v>2483</v>
      </c>
    </row>
    <row r="6458" ht="12.75" customHeight="1">
      <c r="A6458" s="59" t="s">
        <v>449</v>
      </c>
      <c r="B6458" s="60" t="s">
        <v>2484</v>
      </c>
    </row>
    <row r="6459" ht="12.75" customHeight="1">
      <c r="A6459" s="59" t="s">
        <v>449</v>
      </c>
      <c r="B6459" s="60" t="s">
        <v>2485</v>
      </c>
    </row>
    <row r="6460" ht="12.75" customHeight="1">
      <c r="A6460" s="59" t="s">
        <v>449</v>
      </c>
      <c r="B6460" s="60" t="s">
        <v>2486</v>
      </c>
    </row>
    <row r="6461" ht="12.75" customHeight="1">
      <c r="A6461" s="59" t="s">
        <v>449</v>
      </c>
      <c r="B6461" s="60" t="s">
        <v>2487</v>
      </c>
    </row>
    <row r="6462" ht="12.75" customHeight="1">
      <c r="A6462" s="59" t="s">
        <v>449</v>
      </c>
      <c r="B6462" s="60" t="s">
        <v>2488</v>
      </c>
    </row>
    <row r="6463" ht="12.75" customHeight="1">
      <c r="A6463" s="59" t="s">
        <v>449</v>
      </c>
      <c r="B6463" s="60" t="s">
        <v>2489</v>
      </c>
    </row>
    <row r="6464" ht="12.75" customHeight="1">
      <c r="A6464" s="59" t="s">
        <v>449</v>
      </c>
      <c r="B6464" s="60" t="s">
        <v>2491</v>
      </c>
    </row>
    <row r="6465" ht="12.75" customHeight="1">
      <c r="A6465" s="59" t="s">
        <v>449</v>
      </c>
      <c r="B6465" s="60" t="s">
        <v>2492</v>
      </c>
    </row>
    <row r="6466" ht="12.75" customHeight="1">
      <c r="A6466" s="59" t="s">
        <v>449</v>
      </c>
      <c r="B6466" s="60" t="s">
        <v>2493</v>
      </c>
    </row>
    <row r="6467" ht="12.75" customHeight="1">
      <c r="A6467" s="59" t="s">
        <v>449</v>
      </c>
      <c r="B6467" s="60" t="s">
        <v>2494</v>
      </c>
    </row>
    <row r="6468" ht="12.75" customHeight="1">
      <c r="A6468" s="59" t="s">
        <v>449</v>
      </c>
      <c r="B6468" s="60" t="s">
        <v>2495</v>
      </c>
    </row>
    <row r="6469" ht="12.75" customHeight="1">
      <c r="A6469" s="59" t="s">
        <v>449</v>
      </c>
      <c r="B6469" s="60" t="s">
        <v>2496</v>
      </c>
    </row>
    <row r="6470" ht="12.75" customHeight="1">
      <c r="A6470" s="59" t="s">
        <v>449</v>
      </c>
      <c r="B6470" s="60" t="s">
        <v>2497</v>
      </c>
    </row>
    <row r="6471" ht="12.75" customHeight="1">
      <c r="A6471" s="59" t="s">
        <v>449</v>
      </c>
      <c r="B6471" s="60" t="s">
        <v>2498</v>
      </c>
    </row>
    <row r="6472" ht="12.75" customHeight="1">
      <c r="A6472" s="59" t="s">
        <v>449</v>
      </c>
      <c r="B6472" s="60" t="s">
        <v>2499</v>
      </c>
    </row>
    <row r="6473" ht="12.75" customHeight="1">
      <c r="A6473" s="59" t="s">
        <v>449</v>
      </c>
      <c r="B6473" s="60" t="s">
        <v>2500</v>
      </c>
    </row>
    <row r="6474" ht="12.75" customHeight="1">
      <c r="A6474" s="59" t="s">
        <v>449</v>
      </c>
      <c r="B6474" s="60" t="s">
        <v>2501</v>
      </c>
    </row>
    <row r="6475" ht="12.75" customHeight="1">
      <c r="A6475" s="59" t="s">
        <v>449</v>
      </c>
      <c r="B6475" s="60" t="s">
        <v>2502</v>
      </c>
    </row>
    <row r="6476" ht="12.75" customHeight="1">
      <c r="A6476" s="59" t="s">
        <v>449</v>
      </c>
      <c r="B6476" s="60" t="s">
        <v>2503</v>
      </c>
    </row>
    <row r="6477" ht="12.75" customHeight="1">
      <c r="A6477" s="59" t="s">
        <v>449</v>
      </c>
      <c r="B6477" s="60" t="s">
        <v>2504</v>
      </c>
    </row>
    <row r="6478" ht="12.75" customHeight="1">
      <c r="A6478" s="59" t="s">
        <v>449</v>
      </c>
      <c r="B6478" s="60" t="s">
        <v>2506</v>
      </c>
    </row>
    <row r="6479" ht="12.75" customHeight="1">
      <c r="A6479" s="59" t="s">
        <v>449</v>
      </c>
      <c r="B6479" s="60" t="s">
        <v>2507</v>
      </c>
    </row>
    <row r="6480" ht="12.75" customHeight="1">
      <c r="A6480" s="59" t="s">
        <v>449</v>
      </c>
      <c r="B6480" s="60" t="s">
        <v>2508</v>
      </c>
    </row>
    <row r="6481" ht="12.75" customHeight="1">
      <c r="A6481" s="59" t="s">
        <v>449</v>
      </c>
      <c r="B6481" s="60" t="s">
        <v>2509</v>
      </c>
    </row>
    <row r="6482" ht="12.75" customHeight="1">
      <c r="A6482" s="59" t="s">
        <v>449</v>
      </c>
      <c r="B6482" s="60" t="s">
        <v>2510</v>
      </c>
    </row>
    <row r="6483" ht="12.75" customHeight="1">
      <c r="A6483" s="59" t="s">
        <v>449</v>
      </c>
      <c r="B6483" s="60" t="s">
        <v>2511</v>
      </c>
    </row>
    <row r="6484" ht="12.75" customHeight="1">
      <c r="A6484" s="59" t="s">
        <v>449</v>
      </c>
      <c r="B6484" s="60" t="s">
        <v>2512</v>
      </c>
    </row>
    <row r="6485" ht="12.75" customHeight="1">
      <c r="A6485" s="59" t="s">
        <v>449</v>
      </c>
      <c r="B6485" s="60" t="s">
        <v>2513</v>
      </c>
    </row>
    <row r="6486" ht="12.75" customHeight="1">
      <c r="A6486" s="59" t="s">
        <v>449</v>
      </c>
      <c r="B6486" s="60" t="s">
        <v>2514</v>
      </c>
    </row>
    <row r="6487" ht="12.75" customHeight="1">
      <c r="A6487" s="59" t="s">
        <v>449</v>
      </c>
      <c r="B6487" s="60" t="s">
        <v>2515</v>
      </c>
    </row>
    <row r="6488" ht="12.75" customHeight="1">
      <c r="A6488" s="59" t="s">
        <v>449</v>
      </c>
      <c r="B6488" s="60" t="s">
        <v>2516</v>
      </c>
    </row>
    <row r="6489" ht="12.75" customHeight="1">
      <c r="A6489" s="59" t="s">
        <v>449</v>
      </c>
      <c r="B6489" s="60" t="s">
        <v>2517</v>
      </c>
    </row>
    <row r="6490" ht="12.75" customHeight="1">
      <c r="A6490" s="59" t="s">
        <v>449</v>
      </c>
      <c r="B6490" s="60" t="s">
        <v>2518</v>
      </c>
    </row>
    <row r="6491" ht="12.75" customHeight="1">
      <c r="A6491" s="59" t="s">
        <v>449</v>
      </c>
      <c r="B6491" s="60" t="s">
        <v>2519</v>
      </c>
    </row>
    <row r="6492" ht="12.75" customHeight="1">
      <c r="A6492" s="59" t="s">
        <v>449</v>
      </c>
      <c r="B6492" s="60" t="s">
        <v>2520</v>
      </c>
    </row>
    <row r="6493" ht="12.75" customHeight="1">
      <c r="A6493" s="59" t="s">
        <v>449</v>
      </c>
      <c r="B6493" s="60" t="s">
        <v>2521</v>
      </c>
    </row>
    <row r="6494" ht="12.75" customHeight="1">
      <c r="A6494" s="59" t="s">
        <v>449</v>
      </c>
      <c r="B6494" s="60" t="s">
        <v>2522</v>
      </c>
    </row>
    <row r="6495" ht="12.75" customHeight="1">
      <c r="A6495" s="59" t="s">
        <v>449</v>
      </c>
      <c r="B6495" s="60" t="s">
        <v>2523</v>
      </c>
    </row>
    <row r="6496" ht="12.75" customHeight="1">
      <c r="A6496" s="59" t="s">
        <v>449</v>
      </c>
      <c r="B6496" s="60" t="s">
        <v>2524</v>
      </c>
    </row>
    <row r="6497" ht="12.75" customHeight="1">
      <c r="A6497" s="59" t="s">
        <v>449</v>
      </c>
      <c r="B6497" s="60" t="s">
        <v>2525</v>
      </c>
    </row>
    <row r="6498" ht="12.75" customHeight="1">
      <c r="A6498" s="59" t="s">
        <v>449</v>
      </c>
      <c r="B6498" s="60" t="s">
        <v>2526</v>
      </c>
    </row>
    <row r="6499" ht="12.75" customHeight="1">
      <c r="A6499" s="59" t="s">
        <v>449</v>
      </c>
      <c r="B6499" s="60" t="s">
        <v>2527</v>
      </c>
    </row>
    <row r="6500" ht="12.75" customHeight="1">
      <c r="A6500" s="59" t="s">
        <v>449</v>
      </c>
      <c r="B6500" s="60" t="s">
        <v>2528</v>
      </c>
    </row>
    <row r="6501" ht="12.75" customHeight="1">
      <c r="A6501" s="59" t="s">
        <v>449</v>
      </c>
      <c r="B6501" s="60" t="s">
        <v>2529</v>
      </c>
    </row>
    <row r="6502" ht="12.75" customHeight="1">
      <c r="A6502" s="59" t="s">
        <v>449</v>
      </c>
      <c r="B6502" s="60" t="s">
        <v>2530</v>
      </c>
    </row>
    <row r="6503" ht="12.75" customHeight="1">
      <c r="A6503" s="59" t="s">
        <v>449</v>
      </c>
      <c r="B6503" s="60" t="s">
        <v>2531</v>
      </c>
    </row>
    <row r="6504" ht="12.75" customHeight="1">
      <c r="A6504" s="59" t="s">
        <v>449</v>
      </c>
      <c r="B6504" s="60" t="s">
        <v>2532</v>
      </c>
    </row>
    <row r="6505" ht="12.75" customHeight="1">
      <c r="A6505" s="59" t="s">
        <v>449</v>
      </c>
      <c r="B6505" s="60" t="s">
        <v>2533</v>
      </c>
    </row>
    <row r="6506" ht="12.75" customHeight="1">
      <c r="A6506" s="59" t="s">
        <v>449</v>
      </c>
      <c r="B6506" s="60" t="s">
        <v>2534</v>
      </c>
    </row>
    <row r="6507" ht="12.75" customHeight="1">
      <c r="A6507" s="59" t="s">
        <v>449</v>
      </c>
      <c r="B6507" s="60" t="s">
        <v>2535</v>
      </c>
    </row>
    <row r="6508" ht="12.75" customHeight="1">
      <c r="A6508" s="59" t="s">
        <v>449</v>
      </c>
      <c r="B6508" s="60" t="s">
        <v>2536</v>
      </c>
    </row>
    <row r="6509" ht="12.75" customHeight="1">
      <c r="A6509" s="59" t="s">
        <v>449</v>
      </c>
      <c r="B6509" s="60" t="s">
        <v>2537</v>
      </c>
    </row>
    <row r="6510" ht="12.75" customHeight="1">
      <c r="A6510" s="59" t="s">
        <v>449</v>
      </c>
      <c r="B6510" s="60" t="s">
        <v>2538</v>
      </c>
    </row>
    <row r="6511" ht="12.75" customHeight="1">
      <c r="A6511" s="59" t="s">
        <v>449</v>
      </c>
      <c r="B6511" s="60" t="s">
        <v>2539</v>
      </c>
    </row>
    <row r="6512" ht="12.75" customHeight="1">
      <c r="A6512" s="59" t="s">
        <v>449</v>
      </c>
      <c r="B6512" s="60" t="s">
        <v>2540</v>
      </c>
    </row>
    <row r="6513" ht="12.75" customHeight="1">
      <c r="A6513" s="59" t="s">
        <v>449</v>
      </c>
      <c r="B6513" s="60" t="s">
        <v>2541</v>
      </c>
    </row>
    <row r="6514" ht="12.75" customHeight="1">
      <c r="A6514" s="59" t="s">
        <v>449</v>
      </c>
      <c r="B6514" s="60" t="s">
        <v>2542</v>
      </c>
    </row>
    <row r="6515" ht="12.75" customHeight="1">
      <c r="A6515" s="59" t="s">
        <v>449</v>
      </c>
      <c r="B6515" s="60" t="s">
        <v>2543</v>
      </c>
    </row>
    <row r="6516" ht="12.75" customHeight="1">
      <c r="A6516" s="59" t="s">
        <v>449</v>
      </c>
      <c r="B6516" s="60" t="s">
        <v>2544</v>
      </c>
    </row>
    <row r="6517" ht="12.75" customHeight="1">
      <c r="A6517" s="59" t="s">
        <v>449</v>
      </c>
      <c r="B6517" s="60" t="s">
        <v>2545</v>
      </c>
    </row>
    <row r="6518" ht="12.75" customHeight="1">
      <c r="A6518" s="59" t="s">
        <v>449</v>
      </c>
      <c r="B6518" s="60" t="s">
        <v>2546</v>
      </c>
    </row>
    <row r="6519" ht="12.75" customHeight="1">
      <c r="A6519" s="59" t="s">
        <v>449</v>
      </c>
      <c r="B6519" s="60" t="s">
        <v>2547</v>
      </c>
    </row>
    <row r="6520" ht="12.75" customHeight="1">
      <c r="A6520" s="59" t="s">
        <v>449</v>
      </c>
      <c r="B6520" s="60" t="s">
        <v>2548</v>
      </c>
    </row>
    <row r="6521" ht="12.75" customHeight="1">
      <c r="A6521" s="59" t="s">
        <v>449</v>
      </c>
      <c r="B6521" s="60" t="s">
        <v>2549</v>
      </c>
    </row>
    <row r="6522" ht="12.75" customHeight="1">
      <c r="A6522" s="59" t="s">
        <v>449</v>
      </c>
      <c r="B6522" s="60" t="s">
        <v>2550</v>
      </c>
    </row>
    <row r="6523" ht="12.75" customHeight="1">
      <c r="A6523" s="59" t="s">
        <v>449</v>
      </c>
      <c r="B6523" s="60" t="s">
        <v>2551</v>
      </c>
    </row>
    <row r="6524" ht="12.75" customHeight="1">
      <c r="A6524" s="59" t="s">
        <v>449</v>
      </c>
      <c r="B6524" s="60" t="s">
        <v>2552</v>
      </c>
    </row>
    <row r="6525" ht="12.75" customHeight="1">
      <c r="A6525" s="59" t="s">
        <v>449</v>
      </c>
      <c r="B6525" s="60" t="s">
        <v>2553</v>
      </c>
    </row>
    <row r="6526" ht="12.75" customHeight="1">
      <c r="A6526" s="59" t="s">
        <v>449</v>
      </c>
      <c r="B6526" s="60" t="s">
        <v>2554</v>
      </c>
    </row>
    <row r="6527" ht="12.75" customHeight="1">
      <c r="A6527" s="59" t="s">
        <v>449</v>
      </c>
      <c r="B6527" s="60" t="s">
        <v>2555</v>
      </c>
    </row>
    <row r="6528" ht="12.75" customHeight="1">
      <c r="A6528" s="59" t="s">
        <v>449</v>
      </c>
      <c r="B6528" s="60" t="s">
        <v>2556</v>
      </c>
    </row>
    <row r="6529" ht="12.75" customHeight="1">
      <c r="A6529" s="59" t="s">
        <v>449</v>
      </c>
      <c r="B6529" s="60" t="s">
        <v>2557</v>
      </c>
    </row>
    <row r="6530" ht="12.75" customHeight="1">
      <c r="A6530" s="59" t="s">
        <v>449</v>
      </c>
      <c r="B6530" s="60" t="s">
        <v>2558</v>
      </c>
    </row>
    <row r="6531" ht="12.75" customHeight="1">
      <c r="A6531" s="59" t="s">
        <v>449</v>
      </c>
      <c r="B6531" s="60" t="s">
        <v>2559</v>
      </c>
    </row>
    <row r="6532" ht="12.75" customHeight="1">
      <c r="A6532" s="59" t="s">
        <v>449</v>
      </c>
      <c r="B6532" s="60" t="s">
        <v>2560</v>
      </c>
    </row>
    <row r="6533" ht="12.75" customHeight="1">
      <c r="A6533" s="59" t="s">
        <v>449</v>
      </c>
      <c r="B6533" s="60" t="s">
        <v>2561</v>
      </c>
    </row>
    <row r="6534" ht="12.75" customHeight="1">
      <c r="A6534" s="59" t="s">
        <v>449</v>
      </c>
      <c r="B6534" s="60" t="s">
        <v>2562</v>
      </c>
    </row>
    <row r="6535" ht="12.75" customHeight="1">
      <c r="A6535" s="59" t="s">
        <v>449</v>
      </c>
      <c r="B6535" s="60" t="s">
        <v>2563</v>
      </c>
    </row>
    <row r="6536" ht="12.75" customHeight="1">
      <c r="A6536" s="59" t="s">
        <v>449</v>
      </c>
      <c r="B6536" s="60" t="s">
        <v>2564</v>
      </c>
    </row>
    <row r="6537" ht="12.75" customHeight="1">
      <c r="A6537" s="59" t="s">
        <v>449</v>
      </c>
      <c r="B6537" s="60" t="s">
        <v>2565</v>
      </c>
    </row>
    <row r="6538" ht="12.75" customHeight="1">
      <c r="A6538" s="59" t="s">
        <v>449</v>
      </c>
      <c r="B6538" s="60" t="s">
        <v>2566</v>
      </c>
    </row>
    <row r="6539" ht="12.75" customHeight="1">
      <c r="A6539" s="59" t="s">
        <v>449</v>
      </c>
      <c r="B6539" s="60" t="s">
        <v>2567</v>
      </c>
    </row>
    <row r="6540" ht="12.75" customHeight="1">
      <c r="A6540" s="59" t="s">
        <v>449</v>
      </c>
      <c r="B6540" s="60" t="s">
        <v>2568</v>
      </c>
    </row>
    <row r="6541" ht="12.75" customHeight="1">
      <c r="A6541" s="59" t="s">
        <v>449</v>
      </c>
      <c r="B6541" s="60" t="s">
        <v>2569</v>
      </c>
    </row>
    <row r="6542" ht="12.75" customHeight="1">
      <c r="A6542" s="59" t="s">
        <v>449</v>
      </c>
      <c r="B6542" s="60" t="s">
        <v>2570</v>
      </c>
    </row>
    <row r="6543" ht="12.75" customHeight="1">
      <c r="A6543" s="59" t="s">
        <v>449</v>
      </c>
      <c r="B6543" s="60" t="s">
        <v>2571</v>
      </c>
    </row>
    <row r="6544" ht="12.75" customHeight="1">
      <c r="A6544" s="59" t="s">
        <v>449</v>
      </c>
      <c r="B6544" s="60" t="s">
        <v>2572</v>
      </c>
    </row>
    <row r="6545" ht="12.75" customHeight="1">
      <c r="A6545" s="59" t="s">
        <v>449</v>
      </c>
      <c r="B6545" s="60" t="s">
        <v>2573</v>
      </c>
    </row>
    <row r="6546" ht="12.75" customHeight="1">
      <c r="A6546" s="59" t="s">
        <v>449</v>
      </c>
      <c r="B6546" s="60" t="s">
        <v>2574</v>
      </c>
    </row>
    <row r="6547" ht="12.75" customHeight="1">
      <c r="A6547" s="59" t="s">
        <v>449</v>
      </c>
      <c r="B6547" s="60" t="s">
        <v>2575</v>
      </c>
    </row>
    <row r="6548" ht="12.75" customHeight="1">
      <c r="A6548" s="59" t="s">
        <v>449</v>
      </c>
      <c r="B6548" s="60" t="s">
        <v>2576</v>
      </c>
    </row>
    <row r="6549" ht="12.75" customHeight="1">
      <c r="A6549" s="59" t="s">
        <v>449</v>
      </c>
      <c r="B6549" s="60" t="s">
        <v>2577</v>
      </c>
    </row>
    <row r="6550" ht="12.75" customHeight="1">
      <c r="A6550" s="59" t="s">
        <v>449</v>
      </c>
      <c r="B6550" s="60" t="s">
        <v>2578</v>
      </c>
    </row>
    <row r="6551" ht="12.75" customHeight="1">
      <c r="A6551" s="59" t="s">
        <v>449</v>
      </c>
      <c r="B6551" s="60" t="s">
        <v>2579</v>
      </c>
    </row>
    <row r="6552" ht="12.75" customHeight="1">
      <c r="A6552" s="59" t="s">
        <v>449</v>
      </c>
      <c r="B6552" s="60" t="s">
        <v>2580</v>
      </c>
    </row>
    <row r="6553" ht="12.75" customHeight="1">
      <c r="A6553" s="59" t="s">
        <v>449</v>
      </c>
      <c r="B6553" s="60" t="s">
        <v>2581</v>
      </c>
    </row>
    <row r="6554" ht="12.75" customHeight="1">
      <c r="A6554" s="59" t="s">
        <v>449</v>
      </c>
      <c r="B6554" s="60" t="s">
        <v>2582</v>
      </c>
    </row>
    <row r="6555" ht="12.75" customHeight="1">
      <c r="A6555" s="59" t="s">
        <v>449</v>
      </c>
      <c r="B6555" s="60" t="s">
        <v>2583</v>
      </c>
    </row>
    <row r="6556" ht="12.75" customHeight="1">
      <c r="A6556" s="59" t="s">
        <v>449</v>
      </c>
      <c r="B6556" s="60" t="s">
        <v>2584</v>
      </c>
    </row>
    <row r="6557" ht="12.75" customHeight="1">
      <c r="A6557" s="59" t="s">
        <v>449</v>
      </c>
      <c r="B6557" s="60" t="s">
        <v>2585</v>
      </c>
    </row>
    <row r="6558" ht="12.75" customHeight="1">
      <c r="A6558" s="59" t="s">
        <v>449</v>
      </c>
      <c r="B6558" s="60" t="s">
        <v>2586</v>
      </c>
    </row>
    <row r="6559" ht="12.75" customHeight="1">
      <c r="A6559" s="59" t="s">
        <v>449</v>
      </c>
      <c r="B6559" s="60" t="s">
        <v>2587</v>
      </c>
    </row>
    <row r="6560" ht="12.75" customHeight="1">
      <c r="A6560" s="59" t="s">
        <v>449</v>
      </c>
      <c r="B6560" s="60" t="s">
        <v>2588</v>
      </c>
    </row>
    <row r="6561" ht="12.75" customHeight="1">
      <c r="A6561" s="59" t="s">
        <v>449</v>
      </c>
      <c r="B6561" s="60" t="s">
        <v>2589</v>
      </c>
    </row>
    <row r="6562" ht="12.75" customHeight="1">
      <c r="A6562" s="59" t="s">
        <v>449</v>
      </c>
      <c r="B6562" s="60" t="s">
        <v>2590</v>
      </c>
    </row>
    <row r="6563" ht="12.75" customHeight="1">
      <c r="A6563" s="59" t="s">
        <v>449</v>
      </c>
      <c r="B6563" s="60" t="s">
        <v>2591</v>
      </c>
    </row>
    <row r="6564" ht="12.75" customHeight="1">
      <c r="A6564" s="59" t="s">
        <v>449</v>
      </c>
      <c r="B6564" s="60" t="s">
        <v>2592</v>
      </c>
    </row>
    <row r="6565" ht="12.75" customHeight="1">
      <c r="A6565" s="59" t="s">
        <v>449</v>
      </c>
      <c r="B6565" s="60" t="s">
        <v>2593</v>
      </c>
    </row>
    <row r="6566" ht="12.75" customHeight="1">
      <c r="A6566" s="59" t="s">
        <v>449</v>
      </c>
      <c r="B6566" s="60" t="s">
        <v>2594</v>
      </c>
    </row>
    <row r="6567" ht="12.75" customHeight="1">
      <c r="A6567" s="59" t="s">
        <v>449</v>
      </c>
      <c r="B6567" s="60" t="s">
        <v>2595</v>
      </c>
    </row>
    <row r="6568" ht="12.75" customHeight="1">
      <c r="A6568" s="59" t="s">
        <v>449</v>
      </c>
      <c r="B6568" s="60" t="s">
        <v>2596</v>
      </c>
    </row>
    <row r="6569" ht="12.75" customHeight="1">
      <c r="A6569" s="59" t="s">
        <v>449</v>
      </c>
      <c r="B6569" s="60" t="s">
        <v>2597</v>
      </c>
    </row>
    <row r="6570" ht="12.75" customHeight="1">
      <c r="A6570" s="59" t="s">
        <v>449</v>
      </c>
      <c r="B6570" s="60" t="s">
        <v>2598</v>
      </c>
    </row>
    <row r="6571" ht="12.75" customHeight="1">
      <c r="A6571" s="59" t="s">
        <v>449</v>
      </c>
      <c r="B6571" s="60" t="s">
        <v>2599</v>
      </c>
    </row>
    <row r="6572" ht="12.75" customHeight="1">
      <c r="A6572" s="59" t="s">
        <v>449</v>
      </c>
      <c r="B6572" s="60" t="s">
        <v>2600</v>
      </c>
    </row>
    <row r="6573" ht="12.75" customHeight="1">
      <c r="A6573" s="59" t="s">
        <v>449</v>
      </c>
      <c r="B6573" s="60" t="s">
        <v>2601</v>
      </c>
    </row>
    <row r="6574" ht="12.75" customHeight="1">
      <c r="A6574" s="59" t="s">
        <v>449</v>
      </c>
      <c r="B6574" s="60" t="s">
        <v>2602</v>
      </c>
    </row>
    <row r="6575" ht="12.75" customHeight="1">
      <c r="A6575" s="59" t="s">
        <v>449</v>
      </c>
      <c r="B6575" s="60" t="s">
        <v>2603</v>
      </c>
    </row>
    <row r="6576" ht="12.75" customHeight="1">
      <c r="A6576" s="59" t="s">
        <v>449</v>
      </c>
      <c r="B6576" s="60" t="s">
        <v>2604</v>
      </c>
    </row>
    <row r="6577" ht="12.75" customHeight="1">
      <c r="A6577" s="59" t="s">
        <v>449</v>
      </c>
      <c r="B6577" s="60" t="s">
        <v>2605</v>
      </c>
    </row>
    <row r="6578" ht="12.75" customHeight="1">
      <c r="A6578" s="59" t="s">
        <v>449</v>
      </c>
      <c r="B6578" s="60" t="s">
        <v>2606</v>
      </c>
    </row>
    <row r="6579" ht="12.75" customHeight="1">
      <c r="A6579" s="59" t="s">
        <v>449</v>
      </c>
      <c r="B6579" s="60" t="s">
        <v>2607</v>
      </c>
    </row>
    <row r="6580" ht="12.75" customHeight="1">
      <c r="A6580" s="59" t="s">
        <v>449</v>
      </c>
      <c r="B6580" s="60" t="s">
        <v>2608</v>
      </c>
    </row>
    <row r="6581" ht="12.75" customHeight="1">
      <c r="A6581" s="59" t="s">
        <v>449</v>
      </c>
      <c r="B6581" s="60" t="s">
        <v>2609</v>
      </c>
    </row>
    <row r="6582" ht="12.75" customHeight="1">
      <c r="A6582" s="59" t="s">
        <v>449</v>
      </c>
      <c r="B6582" s="60" t="s">
        <v>2610</v>
      </c>
    </row>
    <row r="6583" ht="12.75" customHeight="1">
      <c r="A6583" s="59" t="s">
        <v>449</v>
      </c>
      <c r="B6583" s="60" t="s">
        <v>2611</v>
      </c>
    </row>
    <row r="6584" ht="12.75" customHeight="1">
      <c r="A6584" s="59" t="s">
        <v>449</v>
      </c>
      <c r="B6584" s="60" t="s">
        <v>2612</v>
      </c>
    </row>
    <row r="6585" ht="12.75" customHeight="1">
      <c r="A6585" s="59" t="s">
        <v>449</v>
      </c>
      <c r="B6585" s="60" t="s">
        <v>2613</v>
      </c>
    </row>
    <row r="6586" ht="12.75" customHeight="1">
      <c r="A6586" s="59" t="s">
        <v>449</v>
      </c>
      <c r="B6586" s="60" t="s">
        <v>2614</v>
      </c>
    </row>
    <row r="6587" ht="12.75" customHeight="1">
      <c r="A6587" s="59" t="s">
        <v>449</v>
      </c>
      <c r="B6587" s="60" t="s">
        <v>2615</v>
      </c>
    </row>
    <row r="6588" ht="12.75" customHeight="1">
      <c r="A6588" s="59" t="s">
        <v>449</v>
      </c>
      <c r="B6588" s="60" t="s">
        <v>2616</v>
      </c>
    </row>
    <row r="6589" ht="12.75" customHeight="1">
      <c r="A6589" s="59" t="s">
        <v>449</v>
      </c>
      <c r="B6589" s="60" t="s">
        <v>2617</v>
      </c>
    </row>
    <row r="6590" ht="12.75" customHeight="1">
      <c r="A6590" s="59" t="s">
        <v>449</v>
      </c>
      <c r="B6590" s="60" t="s">
        <v>2618</v>
      </c>
    </row>
    <row r="6591" ht="12.75" customHeight="1">
      <c r="A6591" s="59" t="s">
        <v>449</v>
      </c>
      <c r="B6591" s="60" t="s">
        <v>2619</v>
      </c>
    </row>
    <row r="6592" ht="12.75" customHeight="1">
      <c r="A6592" s="59" t="s">
        <v>449</v>
      </c>
      <c r="B6592" s="60" t="s">
        <v>2620</v>
      </c>
    </row>
    <row r="6593" ht="12.75" customHeight="1">
      <c r="A6593" s="59" t="s">
        <v>449</v>
      </c>
      <c r="B6593" s="60" t="s">
        <v>2621</v>
      </c>
    </row>
    <row r="6594" ht="12.75" customHeight="1">
      <c r="A6594" s="59" t="s">
        <v>449</v>
      </c>
      <c r="B6594" s="60" t="s">
        <v>2622</v>
      </c>
    </row>
    <row r="6595" ht="12.75" customHeight="1">
      <c r="A6595" s="59" t="s">
        <v>449</v>
      </c>
      <c r="B6595" s="60" t="s">
        <v>2623</v>
      </c>
    </row>
    <row r="6596" ht="12.75" customHeight="1">
      <c r="A6596" s="59" t="s">
        <v>449</v>
      </c>
      <c r="B6596" s="60" t="s">
        <v>2624</v>
      </c>
    </row>
    <row r="6597" ht="12.75" customHeight="1">
      <c r="A6597" s="59" t="s">
        <v>449</v>
      </c>
      <c r="B6597" s="60" t="s">
        <v>2625</v>
      </c>
    </row>
    <row r="6598" ht="12.75" customHeight="1">
      <c r="A6598" s="59" t="s">
        <v>449</v>
      </c>
      <c r="B6598" s="60" t="s">
        <v>2626</v>
      </c>
    </row>
    <row r="6599" ht="12.75" customHeight="1">
      <c r="A6599" s="59" t="s">
        <v>449</v>
      </c>
      <c r="B6599" s="60" t="s">
        <v>1415</v>
      </c>
    </row>
    <row r="6600" ht="12.75" customHeight="1">
      <c r="A6600" s="59" t="s">
        <v>449</v>
      </c>
      <c r="B6600" s="60" t="s">
        <v>1418</v>
      </c>
    </row>
    <row r="6601" ht="12.75" customHeight="1">
      <c r="A6601" s="59" t="s">
        <v>449</v>
      </c>
      <c r="B6601" s="60" t="s">
        <v>1427</v>
      </c>
    </row>
    <row r="6602" ht="12.75" customHeight="1">
      <c r="A6602" s="59" t="s">
        <v>449</v>
      </c>
      <c r="B6602" s="60" t="s">
        <v>1436</v>
      </c>
    </row>
    <row r="6603" ht="12.75" customHeight="1">
      <c r="A6603" s="59" t="s">
        <v>449</v>
      </c>
      <c r="B6603" s="60" t="s">
        <v>1563</v>
      </c>
    </row>
    <row r="6604" ht="12.75" customHeight="1">
      <c r="A6604" s="59" t="s">
        <v>449</v>
      </c>
      <c r="B6604" s="60" t="s">
        <v>1571</v>
      </c>
    </row>
    <row r="6605" ht="12.75" customHeight="1">
      <c r="A6605" s="59" t="s">
        <v>449</v>
      </c>
      <c r="B6605" s="60" t="s">
        <v>1578</v>
      </c>
    </row>
    <row r="6606" ht="12.75" customHeight="1">
      <c r="A6606" s="59" t="s">
        <v>449</v>
      </c>
      <c r="B6606" s="60" t="s">
        <v>2627</v>
      </c>
    </row>
    <row r="6607" ht="12.75" customHeight="1">
      <c r="A6607" s="59" t="s">
        <v>449</v>
      </c>
      <c r="B6607" s="60" t="s">
        <v>2628</v>
      </c>
    </row>
    <row r="6608" ht="12.75" customHeight="1">
      <c r="A6608" s="59" t="s">
        <v>449</v>
      </c>
      <c r="B6608" s="60" t="s">
        <v>2629</v>
      </c>
    </row>
    <row r="6609" ht="12.75" customHeight="1">
      <c r="A6609" s="59" t="s">
        <v>449</v>
      </c>
      <c r="B6609" s="60" t="s">
        <v>2630</v>
      </c>
    </row>
    <row r="6610" ht="12.75" customHeight="1">
      <c r="A6610" s="59" t="s">
        <v>449</v>
      </c>
      <c r="B6610" s="60" t="s">
        <v>2631</v>
      </c>
    </row>
    <row r="6611" ht="12.75" customHeight="1">
      <c r="A6611" s="59" t="s">
        <v>449</v>
      </c>
      <c r="B6611" s="60" t="s">
        <v>2632</v>
      </c>
    </row>
    <row r="6612" ht="12.75" customHeight="1">
      <c r="A6612" s="59" t="s">
        <v>449</v>
      </c>
      <c r="B6612" s="60" t="s">
        <v>2633</v>
      </c>
    </row>
    <row r="6613" ht="12.75" customHeight="1">
      <c r="A6613" s="59" t="s">
        <v>449</v>
      </c>
      <c r="B6613" s="60" t="s">
        <v>2634</v>
      </c>
    </row>
    <row r="6614" ht="12.75" customHeight="1">
      <c r="A6614" s="59" t="s">
        <v>449</v>
      </c>
      <c r="B6614" s="60" t="s">
        <v>2635</v>
      </c>
    </row>
    <row r="6615" ht="12.75" customHeight="1">
      <c r="A6615" s="59" t="s">
        <v>449</v>
      </c>
      <c r="B6615" s="60" t="s">
        <v>2636</v>
      </c>
    </row>
    <row r="6616" ht="12.75" customHeight="1">
      <c r="A6616" s="59" t="s">
        <v>449</v>
      </c>
      <c r="B6616" s="60" t="s">
        <v>2637</v>
      </c>
    </row>
    <row r="6617" ht="12.75" customHeight="1">
      <c r="A6617" s="59" t="s">
        <v>449</v>
      </c>
      <c r="B6617" s="60" t="s">
        <v>2638</v>
      </c>
    </row>
    <row r="6618" ht="12.75" customHeight="1">
      <c r="A6618" s="59" t="s">
        <v>449</v>
      </c>
      <c r="B6618" s="60" t="s">
        <v>2639</v>
      </c>
    </row>
    <row r="6619" ht="12.75" customHeight="1">
      <c r="A6619" s="59" t="s">
        <v>449</v>
      </c>
      <c r="B6619" s="60" t="s">
        <v>2640</v>
      </c>
    </row>
    <row r="6620" ht="12.75" customHeight="1">
      <c r="A6620" s="59" t="s">
        <v>449</v>
      </c>
      <c r="B6620" s="60" t="s">
        <v>2641</v>
      </c>
    </row>
    <row r="6621" ht="12.75" customHeight="1">
      <c r="A6621" s="59" t="s">
        <v>449</v>
      </c>
      <c r="B6621" s="60" t="s">
        <v>2642</v>
      </c>
    </row>
    <row r="6622" ht="12.75" customHeight="1">
      <c r="A6622" s="59" t="s">
        <v>449</v>
      </c>
      <c r="B6622" s="60" t="s">
        <v>2643</v>
      </c>
    </row>
    <row r="6623" ht="12.75" customHeight="1">
      <c r="A6623" s="59" t="s">
        <v>449</v>
      </c>
      <c r="B6623" s="60" t="s">
        <v>2644</v>
      </c>
    </row>
    <row r="6624" ht="12.75" customHeight="1">
      <c r="A6624" s="59" t="s">
        <v>449</v>
      </c>
      <c r="B6624" s="60" t="s">
        <v>2645</v>
      </c>
    </row>
    <row r="6625" ht="12.75" customHeight="1">
      <c r="A6625" s="59" t="s">
        <v>449</v>
      </c>
      <c r="B6625" s="60" t="s">
        <v>2646</v>
      </c>
    </row>
    <row r="6626" ht="12.75" customHeight="1">
      <c r="A6626" s="59" t="s">
        <v>449</v>
      </c>
      <c r="B6626" s="60" t="s">
        <v>2647</v>
      </c>
    </row>
    <row r="6627" ht="12.75" customHeight="1">
      <c r="A6627" s="59" t="s">
        <v>449</v>
      </c>
      <c r="B6627" s="60" t="s">
        <v>2648</v>
      </c>
    </row>
    <row r="6628" ht="12.75" customHeight="1">
      <c r="A6628" s="59" t="s">
        <v>449</v>
      </c>
      <c r="B6628" s="60" t="s">
        <v>2649</v>
      </c>
    </row>
    <row r="6629" ht="12.75" customHeight="1">
      <c r="A6629" s="59" t="s">
        <v>449</v>
      </c>
      <c r="B6629" s="60" t="s">
        <v>2650</v>
      </c>
    </row>
    <row r="6630" ht="12.75" customHeight="1">
      <c r="A6630" s="59" t="s">
        <v>270</v>
      </c>
      <c r="B6630" s="60" t="s">
        <v>2651</v>
      </c>
    </row>
    <row r="6631" ht="12.75" customHeight="1">
      <c r="A6631" s="59" t="s">
        <v>270</v>
      </c>
      <c r="B6631" s="60" t="s">
        <v>2652</v>
      </c>
    </row>
    <row r="6632" ht="12.75" customHeight="1">
      <c r="A6632" s="59" t="s">
        <v>270</v>
      </c>
      <c r="B6632" s="60" t="s">
        <v>2653</v>
      </c>
    </row>
    <row r="6633" ht="12.75" customHeight="1">
      <c r="A6633" s="59" t="s">
        <v>270</v>
      </c>
      <c r="B6633" s="60" t="s">
        <v>2654</v>
      </c>
    </row>
    <row r="6634" ht="12.75" customHeight="1">
      <c r="A6634" s="59" t="s">
        <v>270</v>
      </c>
      <c r="B6634" s="60" t="s">
        <v>2655</v>
      </c>
    </row>
    <row r="6635" ht="12.75" customHeight="1">
      <c r="A6635" s="59" t="s">
        <v>270</v>
      </c>
      <c r="B6635" s="60" t="s">
        <v>2656</v>
      </c>
    </row>
    <row r="6636" ht="12.75" customHeight="1">
      <c r="A6636" s="59" t="s">
        <v>270</v>
      </c>
      <c r="B6636" s="60" t="s">
        <v>2657</v>
      </c>
    </row>
    <row r="6637" ht="12.75" customHeight="1">
      <c r="A6637" s="59" t="s">
        <v>270</v>
      </c>
      <c r="B6637" s="60" t="s">
        <v>2658</v>
      </c>
    </row>
    <row r="6638" ht="12.75" customHeight="1">
      <c r="A6638" s="59" t="s">
        <v>270</v>
      </c>
      <c r="B6638" s="60" t="s">
        <v>2659</v>
      </c>
    </row>
    <row r="6639" ht="12.75" customHeight="1">
      <c r="A6639" s="59" t="s">
        <v>270</v>
      </c>
      <c r="B6639" s="60" t="s">
        <v>2660</v>
      </c>
    </row>
    <row r="6640" ht="12.75" customHeight="1">
      <c r="A6640" s="59" t="s">
        <v>270</v>
      </c>
      <c r="B6640" s="60" t="s">
        <v>2661</v>
      </c>
    </row>
    <row r="6641" ht="12.75" customHeight="1">
      <c r="A6641" s="59" t="s">
        <v>270</v>
      </c>
      <c r="B6641" s="60" t="s">
        <v>2662</v>
      </c>
    </row>
    <row r="6642" ht="12.75" customHeight="1">
      <c r="A6642" s="59" t="s">
        <v>270</v>
      </c>
      <c r="B6642" s="60" t="s">
        <v>2663</v>
      </c>
    </row>
    <row r="6643" ht="12.75" customHeight="1">
      <c r="A6643" s="59" t="s">
        <v>270</v>
      </c>
      <c r="B6643" s="60" t="s">
        <v>2664</v>
      </c>
    </row>
    <row r="6644" ht="12.75" customHeight="1">
      <c r="A6644" s="59" t="s">
        <v>270</v>
      </c>
      <c r="B6644" s="60" t="s">
        <v>2665</v>
      </c>
    </row>
    <row r="6645" ht="12.75" customHeight="1">
      <c r="A6645" s="59" t="s">
        <v>270</v>
      </c>
      <c r="B6645" s="60" t="s">
        <v>2666</v>
      </c>
    </row>
    <row r="6646" ht="12.75" customHeight="1">
      <c r="A6646" s="59" t="s">
        <v>270</v>
      </c>
      <c r="B6646" s="60" t="s">
        <v>2667</v>
      </c>
    </row>
    <row r="6647" ht="12.75" customHeight="1">
      <c r="A6647" s="59" t="s">
        <v>270</v>
      </c>
      <c r="B6647" s="60" t="s">
        <v>2668</v>
      </c>
    </row>
    <row r="6648" ht="12.75" customHeight="1">
      <c r="A6648" s="59" t="s">
        <v>270</v>
      </c>
      <c r="B6648" s="60" t="s">
        <v>2669</v>
      </c>
    </row>
    <row r="6649" ht="12.75" customHeight="1">
      <c r="A6649" s="59" t="s">
        <v>270</v>
      </c>
      <c r="B6649" s="60" t="s">
        <v>2670</v>
      </c>
    </row>
    <row r="6650" ht="12.75" customHeight="1">
      <c r="A6650" s="59" t="s">
        <v>270</v>
      </c>
      <c r="B6650" s="60" t="s">
        <v>2671</v>
      </c>
    </row>
    <row r="6651" ht="12.75" customHeight="1">
      <c r="A6651" s="59" t="s">
        <v>270</v>
      </c>
      <c r="B6651" s="60" t="s">
        <v>2672</v>
      </c>
    </row>
    <row r="6652" ht="12.75" customHeight="1">
      <c r="A6652" s="59" t="s">
        <v>270</v>
      </c>
      <c r="B6652" s="60" t="s">
        <v>2673</v>
      </c>
    </row>
    <row r="6653" ht="12.75" customHeight="1">
      <c r="A6653" s="59" t="s">
        <v>270</v>
      </c>
      <c r="B6653" s="60" t="s">
        <v>2674</v>
      </c>
    </row>
    <row r="6654" ht="12.75" customHeight="1">
      <c r="A6654" s="59" t="s">
        <v>270</v>
      </c>
      <c r="B6654" s="60" t="s">
        <v>2675</v>
      </c>
    </row>
    <row r="6655" ht="12.75" customHeight="1">
      <c r="A6655" s="59" t="s">
        <v>270</v>
      </c>
      <c r="B6655" s="60" t="s">
        <v>2676</v>
      </c>
    </row>
    <row r="6656" ht="12.75" customHeight="1">
      <c r="A6656" s="59" t="s">
        <v>270</v>
      </c>
      <c r="B6656" s="60" t="s">
        <v>2677</v>
      </c>
    </row>
    <row r="6657" ht="12.75" customHeight="1">
      <c r="A6657" s="59" t="s">
        <v>270</v>
      </c>
      <c r="B6657" s="60" t="s">
        <v>2678</v>
      </c>
    </row>
    <row r="6658" ht="12.75" customHeight="1">
      <c r="A6658" s="59" t="s">
        <v>270</v>
      </c>
      <c r="B6658" s="60" t="s">
        <v>2679</v>
      </c>
    </row>
    <row r="6659" ht="12.75" customHeight="1">
      <c r="A6659" s="59" t="s">
        <v>270</v>
      </c>
      <c r="B6659" s="60" t="s">
        <v>2680</v>
      </c>
    </row>
    <row r="6660" ht="12.75" customHeight="1">
      <c r="A6660" s="59" t="s">
        <v>270</v>
      </c>
      <c r="B6660" s="60" t="s">
        <v>2681</v>
      </c>
    </row>
    <row r="6661" ht="12.75" customHeight="1">
      <c r="A6661" s="59" t="s">
        <v>270</v>
      </c>
      <c r="B6661" s="60" t="s">
        <v>2682</v>
      </c>
    </row>
    <row r="6662" ht="12.75" customHeight="1">
      <c r="A6662" s="59" t="s">
        <v>270</v>
      </c>
      <c r="B6662" s="60" t="s">
        <v>2683</v>
      </c>
    </row>
    <row r="6663" ht="12.75" customHeight="1">
      <c r="A6663" s="59" t="s">
        <v>270</v>
      </c>
      <c r="B6663" s="60" t="s">
        <v>2684</v>
      </c>
    </row>
    <row r="6664" ht="12.75" customHeight="1">
      <c r="A6664" s="59" t="s">
        <v>270</v>
      </c>
      <c r="B6664" s="60" t="s">
        <v>2685</v>
      </c>
    </row>
    <row r="6665" ht="12.75" customHeight="1">
      <c r="A6665" s="59" t="s">
        <v>270</v>
      </c>
      <c r="B6665" s="60" t="s">
        <v>2686</v>
      </c>
    </row>
    <row r="6666" ht="12.75" customHeight="1">
      <c r="A6666" s="59" t="s">
        <v>270</v>
      </c>
      <c r="B6666" s="60" t="s">
        <v>2687</v>
      </c>
    </row>
    <row r="6667" ht="12.75" customHeight="1">
      <c r="A6667" s="59" t="s">
        <v>270</v>
      </c>
      <c r="B6667" s="60" t="s">
        <v>2688</v>
      </c>
    </row>
    <row r="6668" ht="12.75" customHeight="1">
      <c r="A6668" s="59" t="s">
        <v>270</v>
      </c>
      <c r="B6668" s="60" t="s">
        <v>2689</v>
      </c>
    </row>
    <row r="6669" ht="12.75" customHeight="1">
      <c r="A6669" s="59" t="s">
        <v>270</v>
      </c>
      <c r="B6669" s="60" t="s">
        <v>2690</v>
      </c>
    </row>
    <row r="6670" ht="12.75" customHeight="1">
      <c r="A6670" s="59" t="s">
        <v>270</v>
      </c>
      <c r="B6670" s="60" t="s">
        <v>2691</v>
      </c>
    </row>
    <row r="6671" ht="12.75" customHeight="1">
      <c r="A6671" s="59" t="s">
        <v>270</v>
      </c>
      <c r="B6671" s="60" t="s">
        <v>2692</v>
      </c>
    </row>
    <row r="6672" ht="12.75" customHeight="1">
      <c r="A6672" s="59" t="s">
        <v>270</v>
      </c>
      <c r="B6672" s="60" t="s">
        <v>2693</v>
      </c>
    </row>
    <row r="6673" ht="12.75" customHeight="1">
      <c r="A6673" s="59" t="s">
        <v>270</v>
      </c>
      <c r="B6673" s="60" t="s">
        <v>2694</v>
      </c>
    </row>
    <row r="6674" ht="12.75" customHeight="1">
      <c r="A6674" s="59" t="s">
        <v>270</v>
      </c>
      <c r="B6674" s="60" t="s">
        <v>2695</v>
      </c>
    </row>
    <row r="6675" ht="12.75" customHeight="1">
      <c r="A6675" s="59" t="s">
        <v>270</v>
      </c>
      <c r="B6675" s="60" t="s">
        <v>2696</v>
      </c>
    </row>
    <row r="6676" ht="12.75" customHeight="1">
      <c r="A6676" s="59" t="s">
        <v>270</v>
      </c>
      <c r="B6676" s="60" t="s">
        <v>2697</v>
      </c>
    </row>
    <row r="6677" ht="12.75" customHeight="1">
      <c r="A6677" s="59" t="s">
        <v>270</v>
      </c>
      <c r="B6677" s="60" t="s">
        <v>2698</v>
      </c>
    </row>
    <row r="6678" ht="12.75" customHeight="1">
      <c r="A6678" s="59" t="s">
        <v>270</v>
      </c>
      <c r="B6678" s="60" t="s">
        <v>2515</v>
      </c>
    </row>
    <row r="6679" ht="12.75" customHeight="1">
      <c r="A6679" s="59" t="s">
        <v>270</v>
      </c>
      <c r="B6679" s="60" t="s">
        <v>2699</v>
      </c>
    </row>
    <row r="6680" ht="12.75" customHeight="1">
      <c r="A6680" s="59" t="s">
        <v>270</v>
      </c>
      <c r="B6680" s="60" t="s">
        <v>2700</v>
      </c>
    </row>
    <row r="6681" ht="12.75" customHeight="1">
      <c r="A6681" s="59" t="s">
        <v>270</v>
      </c>
      <c r="B6681" s="60" t="s">
        <v>2701</v>
      </c>
    </row>
    <row r="6682" ht="12.75" customHeight="1">
      <c r="A6682" s="59" t="s">
        <v>270</v>
      </c>
      <c r="B6682" s="60" t="s">
        <v>2516</v>
      </c>
    </row>
    <row r="6683" ht="12.75" customHeight="1">
      <c r="A6683" s="59" t="s">
        <v>270</v>
      </c>
      <c r="B6683" s="60" t="s">
        <v>2702</v>
      </c>
    </row>
    <row r="6684" ht="12.75" customHeight="1">
      <c r="A6684" s="59" t="s">
        <v>270</v>
      </c>
      <c r="B6684" s="60" t="s">
        <v>2703</v>
      </c>
    </row>
    <row r="6685" ht="12.75" customHeight="1">
      <c r="A6685" s="59" t="s">
        <v>270</v>
      </c>
      <c r="B6685" s="60" t="s">
        <v>2704</v>
      </c>
    </row>
    <row r="6686" ht="12.75" customHeight="1">
      <c r="A6686" s="59" t="s">
        <v>270</v>
      </c>
      <c r="B6686" s="60" t="s">
        <v>2517</v>
      </c>
    </row>
    <row r="6687" ht="12.75" customHeight="1">
      <c r="A6687" s="59" t="s">
        <v>270</v>
      </c>
      <c r="B6687" s="60" t="s">
        <v>2705</v>
      </c>
    </row>
    <row r="6688" ht="12.75" customHeight="1">
      <c r="A6688" s="59" t="s">
        <v>270</v>
      </c>
      <c r="B6688" s="60" t="s">
        <v>2706</v>
      </c>
    </row>
    <row r="6689" ht="12.75" customHeight="1">
      <c r="A6689" s="59" t="s">
        <v>270</v>
      </c>
      <c r="B6689" s="60" t="s">
        <v>2707</v>
      </c>
    </row>
    <row r="6690" ht="12.75" customHeight="1">
      <c r="A6690" s="59" t="s">
        <v>270</v>
      </c>
      <c r="B6690" s="60" t="s">
        <v>2708</v>
      </c>
    </row>
    <row r="6691" ht="12.75" customHeight="1">
      <c r="A6691" s="59" t="s">
        <v>270</v>
      </c>
      <c r="B6691" s="60" t="s">
        <v>2709</v>
      </c>
    </row>
    <row r="6692" ht="12.75" customHeight="1">
      <c r="A6692" s="59" t="s">
        <v>270</v>
      </c>
      <c r="B6692" s="60" t="s">
        <v>2710</v>
      </c>
    </row>
    <row r="6693" ht="12.75" customHeight="1">
      <c r="A6693" s="59" t="s">
        <v>270</v>
      </c>
      <c r="B6693" s="60" t="s">
        <v>2711</v>
      </c>
    </row>
    <row r="6694" ht="12.75" customHeight="1">
      <c r="A6694" s="59" t="s">
        <v>270</v>
      </c>
      <c r="B6694" s="60" t="s">
        <v>2712</v>
      </c>
    </row>
    <row r="6695" ht="12.75" customHeight="1">
      <c r="A6695" s="59" t="s">
        <v>270</v>
      </c>
      <c r="B6695" s="60" t="s">
        <v>2713</v>
      </c>
    </row>
    <row r="6696" ht="12.75" customHeight="1">
      <c r="A6696" s="59" t="s">
        <v>270</v>
      </c>
      <c r="B6696" s="60" t="s">
        <v>2510</v>
      </c>
    </row>
    <row r="6697" ht="12.75" customHeight="1">
      <c r="A6697" s="59" t="s">
        <v>270</v>
      </c>
      <c r="B6697" s="60" t="s">
        <v>2714</v>
      </c>
    </row>
    <row r="6698" ht="12.75" customHeight="1">
      <c r="A6698" s="59" t="s">
        <v>270</v>
      </c>
      <c r="B6698" s="60" t="s">
        <v>2511</v>
      </c>
    </row>
    <row r="6699" ht="12.75" customHeight="1">
      <c r="A6699" s="59" t="s">
        <v>270</v>
      </c>
      <c r="B6699" s="60" t="s">
        <v>2715</v>
      </c>
    </row>
    <row r="6700" ht="12.75" customHeight="1">
      <c r="A6700" s="59" t="s">
        <v>270</v>
      </c>
      <c r="B6700" s="60" t="s">
        <v>2512</v>
      </c>
    </row>
    <row r="6701" ht="12.75" customHeight="1">
      <c r="A6701" s="59" t="s">
        <v>270</v>
      </c>
      <c r="B6701" s="60" t="s">
        <v>2716</v>
      </c>
    </row>
    <row r="6702" ht="12.75" customHeight="1">
      <c r="A6702" s="59" t="s">
        <v>270</v>
      </c>
      <c r="B6702" s="60" t="s">
        <v>2514</v>
      </c>
    </row>
    <row r="6703" ht="12.75" customHeight="1">
      <c r="A6703" s="59" t="s">
        <v>270</v>
      </c>
      <c r="B6703" s="60" t="s">
        <v>2717</v>
      </c>
    </row>
    <row r="6704" ht="12.75" customHeight="1">
      <c r="A6704" s="59" t="s">
        <v>270</v>
      </c>
      <c r="B6704" s="60" t="s">
        <v>2718</v>
      </c>
    </row>
    <row r="6705" ht="12.75" customHeight="1">
      <c r="A6705" s="59" t="s">
        <v>270</v>
      </c>
      <c r="B6705" s="60" t="s">
        <v>2719</v>
      </c>
    </row>
    <row r="6706" ht="12.75" customHeight="1">
      <c r="A6706" s="59" t="s">
        <v>270</v>
      </c>
      <c r="B6706" s="60" t="s">
        <v>2720</v>
      </c>
    </row>
    <row r="6707" ht="12.75" customHeight="1">
      <c r="A6707" s="59" t="s">
        <v>270</v>
      </c>
      <c r="B6707" s="60" t="s">
        <v>2721</v>
      </c>
    </row>
    <row r="6708" ht="12.75" customHeight="1">
      <c r="A6708" s="59" t="s">
        <v>270</v>
      </c>
      <c r="B6708" s="60" t="s">
        <v>2722</v>
      </c>
    </row>
    <row r="6709" ht="12.75" customHeight="1">
      <c r="A6709" s="59" t="s">
        <v>270</v>
      </c>
      <c r="B6709" s="60" t="s">
        <v>2723</v>
      </c>
    </row>
    <row r="6710" ht="12.75" customHeight="1">
      <c r="A6710" s="59" t="s">
        <v>270</v>
      </c>
      <c r="B6710" s="60" t="s">
        <v>2724</v>
      </c>
    </row>
    <row r="6711" ht="12.75" customHeight="1">
      <c r="A6711" s="59" t="s">
        <v>270</v>
      </c>
      <c r="B6711" s="60" t="s">
        <v>2725</v>
      </c>
    </row>
    <row r="6712" ht="12.75" customHeight="1">
      <c r="A6712" s="59" t="s">
        <v>270</v>
      </c>
      <c r="B6712" s="60" t="s">
        <v>2726</v>
      </c>
    </row>
    <row r="6713" ht="12.75" customHeight="1">
      <c r="A6713" s="59" t="s">
        <v>270</v>
      </c>
      <c r="B6713" s="60" t="s">
        <v>2727</v>
      </c>
    </row>
    <row r="6714" ht="12.75" customHeight="1">
      <c r="A6714" s="59" t="s">
        <v>270</v>
      </c>
      <c r="B6714" s="60" t="s">
        <v>2728</v>
      </c>
    </row>
    <row r="6715" ht="12.75" customHeight="1">
      <c r="A6715" s="59" t="s">
        <v>270</v>
      </c>
      <c r="B6715" s="60" t="s">
        <v>2729</v>
      </c>
    </row>
    <row r="6716" ht="12.75" customHeight="1">
      <c r="A6716" s="59" t="s">
        <v>270</v>
      </c>
      <c r="B6716" s="60" t="s">
        <v>2730</v>
      </c>
    </row>
    <row r="6717" ht="12.75" customHeight="1">
      <c r="A6717" s="59" t="s">
        <v>270</v>
      </c>
      <c r="B6717" s="60" t="s">
        <v>2731</v>
      </c>
    </row>
    <row r="6718" ht="12.75" customHeight="1">
      <c r="A6718" s="59" t="s">
        <v>270</v>
      </c>
      <c r="B6718" s="60" t="s">
        <v>2732</v>
      </c>
    </row>
    <row r="6719" ht="12.75" customHeight="1">
      <c r="A6719" s="59" t="s">
        <v>270</v>
      </c>
      <c r="B6719" s="60" t="s">
        <v>2733</v>
      </c>
    </row>
    <row r="6720" ht="12.75" customHeight="1">
      <c r="A6720" s="59" t="s">
        <v>270</v>
      </c>
      <c r="B6720" s="60" t="s">
        <v>2734</v>
      </c>
    </row>
    <row r="6721" ht="12.75" customHeight="1">
      <c r="A6721" s="59" t="s">
        <v>270</v>
      </c>
      <c r="B6721" s="60" t="s">
        <v>2735</v>
      </c>
    </row>
    <row r="6722" ht="12.75" customHeight="1">
      <c r="A6722" s="59" t="s">
        <v>270</v>
      </c>
      <c r="B6722" s="60" t="s">
        <v>2736</v>
      </c>
    </row>
    <row r="6723" ht="12.75" customHeight="1">
      <c r="A6723" s="59" t="s">
        <v>270</v>
      </c>
      <c r="B6723" s="60" t="s">
        <v>2737</v>
      </c>
    </row>
    <row r="6724" ht="12.75" customHeight="1">
      <c r="A6724" s="59" t="s">
        <v>270</v>
      </c>
      <c r="B6724" s="60" t="s">
        <v>2546</v>
      </c>
    </row>
    <row r="6725" ht="12.75" customHeight="1">
      <c r="A6725" s="59" t="s">
        <v>270</v>
      </c>
      <c r="B6725" s="60" t="s">
        <v>2738</v>
      </c>
    </row>
    <row r="6726" ht="12.75" customHeight="1">
      <c r="A6726" s="59" t="s">
        <v>270</v>
      </c>
      <c r="B6726" s="60" t="s">
        <v>2547</v>
      </c>
    </row>
    <row r="6727" ht="12.75" customHeight="1">
      <c r="A6727" s="59" t="s">
        <v>270</v>
      </c>
      <c r="B6727" s="60" t="s">
        <v>2739</v>
      </c>
    </row>
    <row r="6728" ht="12.75" customHeight="1">
      <c r="A6728" s="59" t="s">
        <v>270</v>
      </c>
      <c r="B6728" s="60" t="s">
        <v>2548</v>
      </c>
    </row>
    <row r="6729" ht="12.75" customHeight="1">
      <c r="A6729" s="59" t="s">
        <v>270</v>
      </c>
      <c r="B6729" s="60" t="s">
        <v>2740</v>
      </c>
    </row>
    <row r="6730" ht="12.75" customHeight="1">
      <c r="A6730" s="59" t="s">
        <v>270</v>
      </c>
      <c r="B6730" s="60" t="s">
        <v>2549</v>
      </c>
    </row>
    <row r="6731" ht="12.75" customHeight="1">
      <c r="A6731" s="59" t="s">
        <v>270</v>
      </c>
      <c r="B6731" s="60" t="s">
        <v>2741</v>
      </c>
    </row>
    <row r="6732" ht="12.75" customHeight="1">
      <c r="A6732" s="59" t="s">
        <v>270</v>
      </c>
      <c r="B6732" s="60" t="s">
        <v>2550</v>
      </c>
    </row>
    <row r="6733" ht="12.75" customHeight="1">
      <c r="A6733" s="59" t="s">
        <v>270</v>
      </c>
      <c r="B6733" s="60" t="s">
        <v>2742</v>
      </c>
    </row>
    <row r="6734" ht="12.75" customHeight="1">
      <c r="A6734" s="59" t="s">
        <v>270</v>
      </c>
      <c r="B6734" s="60" t="s">
        <v>2551</v>
      </c>
    </row>
    <row r="6735" ht="12.75" customHeight="1">
      <c r="A6735" s="59" t="s">
        <v>270</v>
      </c>
      <c r="B6735" s="60" t="s">
        <v>2743</v>
      </c>
    </row>
    <row r="6736" ht="12.75" customHeight="1">
      <c r="A6736" s="59" t="s">
        <v>270</v>
      </c>
      <c r="B6736" s="60" t="s">
        <v>2744</v>
      </c>
    </row>
    <row r="6737" ht="12.75" customHeight="1">
      <c r="A6737" s="59" t="s">
        <v>270</v>
      </c>
      <c r="B6737" s="60" t="s">
        <v>2745</v>
      </c>
    </row>
    <row r="6738" ht="12.75" customHeight="1">
      <c r="A6738" s="59" t="s">
        <v>270</v>
      </c>
      <c r="B6738" s="60" t="s">
        <v>2552</v>
      </c>
    </row>
    <row r="6739" ht="12.75" customHeight="1">
      <c r="A6739" s="59" t="s">
        <v>270</v>
      </c>
      <c r="B6739" s="60" t="s">
        <v>2746</v>
      </c>
    </row>
    <row r="6740" ht="12.75" customHeight="1">
      <c r="A6740" s="59" t="s">
        <v>270</v>
      </c>
      <c r="B6740" s="60" t="s">
        <v>2747</v>
      </c>
    </row>
    <row r="6741" ht="12.75" customHeight="1">
      <c r="A6741" s="59" t="s">
        <v>270</v>
      </c>
      <c r="B6741" s="60" t="s">
        <v>2748</v>
      </c>
    </row>
    <row r="6742" ht="12.75" customHeight="1">
      <c r="A6742" s="59" t="s">
        <v>270</v>
      </c>
      <c r="B6742" s="60" t="s">
        <v>2553</v>
      </c>
    </row>
    <row r="6743" ht="12.75" customHeight="1">
      <c r="A6743" s="59" t="s">
        <v>270</v>
      </c>
      <c r="B6743" s="60" t="s">
        <v>2749</v>
      </c>
    </row>
    <row r="6744" ht="12.75" customHeight="1">
      <c r="A6744" s="59" t="s">
        <v>270</v>
      </c>
      <c r="B6744" s="60" t="s">
        <v>2750</v>
      </c>
    </row>
    <row r="6745" ht="12.75" customHeight="1">
      <c r="A6745" s="59" t="s">
        <v>270</v>
      </c>
      <c r="B6745" s="60" t="s">
        <v>2554</v>
      </c>
    </row>
    <row r="6746" ht="12.75" customHeight="1">
      <c r="A6746" s="59" t="s">
        <v>270</v>
      </c>
      <c r="B6746" s="60" t="s">
        <v>2751</v>
      </c>
    </row>
    <row r="6747" ht="12.75" customHeight="1">
      <c r="A6747" s="59" t="s">
        <v>270</v>
      </c>
      <c r="B6747" s="60" t="s">
        <v>2752</v>
      </c>
    </row>
    <row r="6748" ht="12.75" customHeight="1">
      <c r="A6748" s="59" t="s">
        <v>270</v>
      </c>
      <c r="B6748" s="60" t="s">
        <v>2753</v>
      </c>
    </row>
    <row r="6749" ht="12.75" customHeight="1">
      <c r="A6749" s="59" t="s">
        <v>270</v>
      </c>
      <c r="B6749" s="60" t="s">
        <v>2562</v>
      </c>
    </row>
    <row r="6750" ht="12.75" customHeight="1">
      <c r="A6750" s="59" t="s">
        <v>270</v>
      </c>
      <c r="B6750" s="60" t="s">
        <v>2754</v>
      </c>
    </row>
    <row r="6751" ht="12.75" customHeight="1">
      <c r="A6751" s="59" t="s">
        <v>270</v>
      </c>
      <c r="B6751" s="60" t="s">
        <v>2563</v>
      </c>
    </row>
    <row r="6752" ht="12.75" customHeight="1">
      <c r="A6752" s="59" t="s">
        <v>270</v>
      </c>
      <c r="B6752" s="60" t="s">
        <v>2755</v>
      </c>
    </row>
    <row r="6753" ht="12.75" customHeight="1">
      <c r="A6753" s="59" t="s">
        <v>270</v>
      </c>
      <c r="B6753" s="60" t="s">
        <v>2564</v>
      </c>
    </row>
    <row r="6754" ht="12.75" customHeight="1">
      <c r="A6754" s="59" t="s">
        <v>270</v>
      </c>
      <c r="B6754" s="60" t="s">
        <v>2756</v>
      </c>
    </row>
    <row r="6755" ht="12.75" customHeight="1">
      <c r="A6755" s="59" t="s">
        <v>270</v>
      </c>
      <c r="B6755" s="60" t="s">
        <v>2565</v>
      </c>
    </row>
    <row r="6756" ht="12.75" customHeight="1">
      <c r="A6756" s="59" t="s">
        <v>270</v>
      </c>
      <c r="B6756" s="60" t="s">
        <v>2566</v>
      </c>
    </row>
    <row r="6757" ht="12.75" customHeight="1">
      <c r="A6757" s="59" t="s">
        <v>270</v>
      </c>
      <c r="B6757" s="60" t="s">
        <v>2757</v>
      </c>
    </row>
    <row r="6758" ht="12.75" customHeight="1">
      <c r="A6758" s="59" t="s">
        <v>270</v>
      </c>
      <c r="B6758" s="60" t="s">
        <v>2567</v>
      </c>
    </row>
    <row r="6759" ht="12.75" customHeight="1">
      <c r="A6759" s="59" t="s">
        <v>270</v>
      </c>
      <c r="B6759" s="60" t="s">
        <v>2758</v>
      </c>
    </row>
    <row r="6760" ht="12.75" customHeight="1">
      <c r="A6760" s="59" t="s">
        <v>270</v>
      </c>
      <c r="B6760" s="60" t="s">
        <v>2759</v>
      </c>
    </row>
    <row r="6761" ht="12.75" customHeight="1">
      <c r="A6761" s="59" t="s">
        <v>270</v>
      </c>
      <c r="B6761" s="60" t="s">
        <v>2760</v>
      </c>
    </row>
    <row r="6762" ht="12.75" customHeight="1">
      <c r="A6762" s="59" t="s">
        <v>270</v>
      </c>
      <c r="B6762" s="60" t="s">
        <v>2568</v>
      </c>
    </row>
    <row r="6763" ht="12.75" customHeight="1">
      <c r="A6763" s="59" t="s">
        <v>270</v>
      </c>
      <c r="B6763" s="60" t="s">
        <v>2761</v>
      </c>
    </row>
    <row r="6764" ht="12.75" customHeight="1">
      <c r="A6764" s="59" t="s">
        <v>270</v>
      </c>
      <c r="B6764" s="60" t="s">
        <v>2762</v>
      </c>
    </row>
    <row r="6765" ht="12.75" customHeight="1">
      <c r="A6765" s="59" t="s">
        <v>270</v>
      </c>
      <c r="B6765" s="60" t="s">
        <v>2763</v>
      </c>
    </row>
    <row r="6766" ht="12.75" customHeight="1">
      <c r="A6766" s="59" t="s">
        <v>270</v>
      </c>
      <c r="B6766" s="60" t="s">
        <v>2764</v>
      </c>
    </row>
    <row r="6767" ht="12.75" customHeight="1">
      <c r="A6767" s="59" t="s">
        <v>270</v>
      </c>
      <c r="B6767" s="60" t="s">
        <v>2765</v>
      </c>
    </row>
    <row r="6768" ht="12.75" customHeight="1">
      <c r="A6768" s="59" t="s">
        <v>270</v>
      </c>
      <c r="B6768" s="60" t="s">
        <v>2587</v>
      </c>
    </row>
    <row r="6769" ht="12.75" customHeight="1">
      <c r="A6769" s="59" t="s">
        <v>270</v>
      </c>
      <c r="B6769" s="60" t="s">
        <v>2766</v>
      </c>
    </row>
    <row r="6770" ht="12.75" customHeight="1">
      <c r="A6770" s="59" t="s">
        <v>270</v>
      </c>
      <c r="B6770" s="60" t="s">
        <v>2767</v>
      </c>
    </row>
    <row r="6771" ht="12.75" customHeight="1">
      <c r="A6771" s="59" t="s">
        <v>270</v>
      </c>
      <c r="B6771" s="60" t="s">
        <v>2768</v>
      </c>
    </row>
    <row r="6772" ht="12.75" customHeight="1">
      <c r="A6772" s="59" t="s">
        <v>270</v>
      </c>
      <c r="B6772" s="60" t="s">
        <v>2588</v>
      </c>
    </row>
    <row r="6773" ht="12.75" customHeight="1">
      <c r="A6773" s="59" t="s">
        <v>270</v>
      </c>
      <c r="B6773" s="60" t="s">
        <v>2769</v>
      </c>
    </row>
    <row r="6774" ht="12.75" customHeight="1">
      <c r="A6774" s="59" t="s">
        <v>270</v>
      </c>
      <c r="B6774" s="60" t="s">
        <v>2770</v>
      </c>
    </row>
    <row r="6775" ht="12.75" customHeight="1">
      <c r="A6775" s="59" t="s">
        <v>270</v>
      </c>
      <c r="B6775" s="60" t="s">
        <v>2771</v>
      </c>
    </row>
    <row r="6776" ht="12.75" customHeight="1">
      <c r="A6776" s="59" t="s">
        <v>270</v>
      </c>
      <c r="B6776" s="60" t="s">
        <v>2589</v>
      </c>
    </row>
    <row r="6777" ht="12.75" customHeight="1">
      <c r="A6777" s="59" t="s">
        <v>270</v>
      </c>
      <c r="B6777" s="60" t="s">
        <v>2772</v>
      </c>
    </row>
    <row r="6778" ht="12.75" customHeight="1">
      <c r="A6778" s="59" t="s">
        <v>270</v>
      </c>
      <c r="B6778" s="60" t="s">
        <v>2773</v>
      </c>
    </row>
    <row r="6779" ht="12.75" customHeight="1">
      <c r="A6779" s="59" t="s">
        <v>270</v>
      </c>
      <c r="B6779" s="60" t="s">
        <v>2774</v>
      </c>
    </row>
    <row r="6780" ht="12.75" customHeight="1">
      <c r="A6780" s="59" t="s">
        <v>270</v>
      </c>
      <c r="B6780" s="60" t="s">
        <v>2775</v>
      </c>
    </row>
    <row r="6781" ht="12.75" customHeight="1">
      <c r="A6781" s="59" t="s">
        <v>270</v>
      </c>
      <c r="B6781" s="60" t="s">
        <v>2776</v>
      </c>
    </row>
    <row r="6782" ht="12.75" customHeight="1">
      <c r="A6782" s="59" t="s">
        <v>270</v>
      </c>
      <c r="B6782" s="60" t="s">
        <v>2777</v>
      </c>
    </row>
    <row r="6783" ht="12.75" customHeight="1">
      <c r="A6783" s="59" t="s">
        <v>270</v>
      </c>
      <c r="B6783" s="60" t="s">
        <v>2778</v>
      </c>
    </row>
    <row r="6784" ht="12.75" customHeight="1">
      <c r="A6784" s="59" t="s">
        <v>270</v>
      </c>
      <c r="B6784" s="60" t="s">
        <v>2779</v>
      </c>
    </row>
    <row r="6785" ht="12.75" customHeight="1">
      <c r="A6785" s="59" t="s">
        <v>270</v>
      </c>
      <c r="B6785" s="60" t="s">
        <v>2780</v>
      </c>
    </row>
    <row r="6786" ht="12.75" customHeight="1">
      <c r="A6786" s="59" t="s">
        <v>270</v>
      </c>
      <c r="B6786" s="60" t="s">
        <v>2582</v>
      </c>
    </row>
    <row r="6787" ht="12.75" customHeight="1">
      <c r="A6787" s="59" t="s">
        <v>270</v>
      </c>
      <c r="B6787" s="60" t="s">
        <v>2781</v>
      </c>
    </row>
    <row r="6788" ht="12.75" customHeight="1">
      <c r="A6788" s="59" t="s">
        <v>270</v>
      </c>
      <c r="B6788" s="60" t="s">
        <v>2583</v>
      </c>
    </row>
    <row r="6789" ht="12.75" customHeight="1">
      <c r="A6789" s="59" t="s">
        <v>270</v>
      </c>
      <c r="B6789" s="60" t="s">
        <v>2782</v>
      </c>
    </row>
    <row r="6790" ht="12.75" customHeight="1">
      <c r="A6790" s="59" t="s">
        <v>270</v>
      </c>
      <c r="B6790" s="60" t="s">
        <v>2584</v>
      </c>
    </row>
    <row r="6791" ht="12.75" customHeight="1">
      <c r="A6791" s="59" t="s">
        <v>270</v>
      </c>
      <c r="B6791" s="60" t="s">
        <v>2783</v>
      </c>
    </row>
    <row r="6792" ht="12.75" customHeight="1">
      <c r="A6792" s="59" t="s">
        <v>270</v>
      </c>
      <c r="B6792" s="60" t="s">
        <v>2585</v>
      </c>
    </row>
    <row r="6793" ht="12.75" customHeight="1">
      <c r="A6793" s="59" t="s">
        <v>270</v>
      </c>
      <c r="B6793" s="60" t="s">
        <v>2784</v>
      </c>
    </row>
    <row r="6794" ht="12.75" customHeight="1">
      <c r="A6794" s="59" t="s">
        <v>270</v>
      </c>
      <c r="B6794" s="60" t="s">
        <v>2785</v>
      </c>
    </row>
    <row r="6795" ht="12.75" customHeight="1">
      <c r="A6795" s="59" t="s">
        <v>270</v>
      </c>
      <c r="B6795" s="60" t="s">
        <v>2786</v>
      </c>
    </row>
    <row r="6796" ht="12.75" customHeight="1">
      <c r="A6796" s="59" t="s">
        <v>270</v>
      </c>
      <c r="B6796" s="60" t="s">
        <v>2787</v>
      </c>
    </row>
    <row r="6797" ht="12.75" customHeight="1">
      <c r="A6797" s="59" t="s">
        <v>270</v>
      </c>
      <c r="B6797" s="60" t="s">
        <v>2788</v>
      </c>
    </row>
    <row r="6798" ht="12.75" customHeight="1">
      <c r="A6798" s="59" t="s">
        <v>270</v>
      </c>
      <c r="B6798" s="60" t="s">
        <v>2789</v>
      </c>
    </row>
    <row r="6799" ht="12.75" customHeight="1">
      <c r="A6799" s="59" t="s">
        <v>270</v>
      </c>
      <c r="B6799" s="60" t="s">
        <v>2790</v>
      </c>
    </row>
    <row r="6800" ht="12.75" customHeight="1">
      <c r="A6800" s="59" t="s">
        <v>270</v>
      </c>
      <c r="B6800" s="60" t="s">
        <v>2791</v>
      </c>
    </row>
    <row r="6801" ht="12.75" customHeight="1">
      <c r="A6801" s="59" t="s">
        <v>270</v>
      </c>
      <c r="B6801" s="60" t="s">
        <v>2792</v>
      </c>
    </row>
    <row r="6802" ht="12.75" customHeight="1">
      <c r="A6802" s="59" t="s">
        <v>270</v>
      </c>
      <c r="B6802" s="60" t="s">
        <v>2793</v>
      </c>
    </row>
    <row r="6803" ht="12.75" customHeight="1">
      <c r="A6803" s="59" t="s">
        <v>270</v>
      </c>
      <c r="B6803" s="60" t="s">
        <v>2794</v>
      </c>
    </row>
    <row r="6804" ht="12.75" customHeight="1">
      <c r="A6804" s="59" t="s">
        <v>270</v>
      </c>
      <c r="B6804" s="60" t="s">
        <v>2795</v>
      </c>
    </row>
    <row r="6805" ht="12.75" customHeight="1">
      <c r="A6805" s="59" t="s">
        <v>270</v>
      </c>
      <c r="B6805" s="60" t="s">
        <v>2796</v>
      </c>
    </row>
    <row r="6806" ht="12.75" customHeight="1">
      <c r="A6806" s="59" t="s">
        <v>270</v>
      </c>
      <c r="B6806" s="60" t="s">
        <v>2797</v>
      </c>
    </row>
    <row r="6807" ht="12.75" customHeight="1">
      <c r="A6807" s="59" t="s">
        <v>270</v>
      </c>
      <c r="B6807" s="60" t="s">
        <v>2798</v>
      </c>
    </row>
    <row r="6808" ht="12.75" customHeight="1">
      <c r="A6808" s="59" t="s">
        <v>270</v>
      </c>
      <c r="B6808" s="60" t="s">
        <v>2799</v>
      </c>
    </row>
    <row r="6809" ht="12.75" customHeight="1">
      <c r="A6809" s="59" t="s">
        <v>270</v>
      </c>
      <c r="B6809" s="60" t="s">
        <v>2800</v>
      </c>
    </row>
    <row r="6810" ht="12.75" customHeight="1">
      <c r="A6810" s="59" t="s">
        <v>270</v>
      </c>
      <c r="B6810" s="60" t="s">
        <v>2801</v>
      </c>
    </row>
    <row r="6811" ht="12.75" customHeight="1">
      <c r="A6811" s="59" t="s">
        <v>270</v>
      </c>
      <c r="B6811" s="60" t="s">
        <v>2802</v>
      </c>
    </row>
    <row r="6812" ht="12.75" customHeight="1">
      <c r="A6812" s="59" t="s">
        <v>270</v>
      </c>
      <c r="B6812" s="60" t="s">
        <v>2803</v>
      </c>
    </row>
    <row r="6813" ht="12.75" customHeight="1">
      <c r="A6813" s="59" t="s">
        <v>270</v>
      </c>
      <c r="B6813" s="60" t="s">
        <v>2804</v>
      </c>
    </row>
    <row r="6814" ht="12.75" customHeight="1">
      <c r="A6814" s="59" t="s">
        <v>270</v>
      </c>
      <c r="B6814" s="60" t="s">
        <v>2622</v>
      </c>
    </row>
    <row r="6815" ht="12.75" customHeight="1">
      <c r="A6815" s="59" t="s">
        <v>270</v>
      </c>
      <c r="B6815" s="60" t="s">
        <v>2805</v>
      </c>
    </row>
    <row r="6816" ht="12.75" customHeight="1">
      <c r="A6816" s="59" t="s">
        <v>270</v>
      </c>
      <c r="B6816" s="60" t="s">
        <v>2623</v>
      </c>
    </row>
    <row r="6817" ht="12.75" customHeight="1">
      <c r="A6817" s="59" t="s">
        <v>270</v>
      </c>
      <c r="B6817" s="60" t="s">
        <v>2806</v>
      </c>
    </row>
    <row r="6818" ht="12.75" customHeight="1">
      <c r="A6818" s="59" t="s">
        <v>270</v>
      </c>
      <c r="B6818" s="60" t="s">
        <v>2624</v>
      </c>
    </row>
    <row r="6819" ht="12.75" customHeight="1">
      <c r="A6819" s="59" t="s">
        <v>270</v>
      </c>
      <c r="B6819" s="60" t="s">
        <v>2807</v>
      </c>
    </row>
    <row r="6820" ht="12.75" customHeight="1">
      <c r="A6820" s="59" t="s">
        <v>270</v>
      </c>
      <c r="B6820" s="60" t="s">
        <v>2625</v>
      </c>
    </row>
    <row r="6821" ht="12.75" customHeight="1">
      <c r="A6821" s="59" t="s">
        <v>270</v>
      </c>
      <c r="B6821" s="60" t="s">
        <v>2808</v>
      </c>
    </row>
    <row r="6822" ht="12.75" customHeight="1">
      <c r="A6822" s="59" t="s">
        <v>270</v>
      </c>
      <c r="B6822" s="60" t="s">
        <v>2626</v>
      </c>
    </row>
    <row r="6823" ht="12.75" customHeight="1">
      <c r="A6823" s="59" t="s">
        <v>270</v>
      </c>
      <c r="B6823" s="60" t="s">
        <v>2809</v>
      </c>
    </row>
    <row r="6824" ht="12.75" customHeight="1">
      <c r="A6824" s="59" t="s">
        <v>270</v>
      </c>
      <c r="B6824" s="60" t="s">
        <v>1415</v>
      </c>
    </row>
    <row r="6825" ht="12.75" customHeight="1">
      <c r="A6825" s="59" t="s">
        <v>270</v>
      </c>
      <c r="B6825" s="60" t="s">
        <v>2810</v>
      </c>
    </row>
    <row r="6826" ht="12.75" customHeight="1">
      <c r="A6826" s="59" t="s">
        <v>270</v>
      </c>
      <c r="B6826" s="60" t="s">
        <v>2811</v>
      </c>
    </row>
    <row r="6827" ht="12.75" customHeight="1">
      <c r="A6827" s="59" t="s">
        <v>270</v>
      </c>
      <c r="B6827" s="60" t="s">
        <v>2812</v>
      </c>
    </row>
    <row r="6828" ht="12.75" customHeight="1">
      <c r="A6828" s="59" t="s">
        <v>270</v>
      </c>
      <c r="B6828" s="60" t="s">
        <v>1418</v>
      </c>
    </row>
    <row r="6829" ht="12.75" customHeight="1">
      <c r="A6829" s="59" t="s">
        <v>270</v>
      </c>
      <c r="B6829" s="60" t="s">
        <v>2813</v>
      </c>
    </row>
    <row r="6830" ht="12.75" customHeight="1">
      <c r="A6830" s="59" t="s">
        <v>270</v>
      </c>
      <c r="B6830" s="60" t="s">
        <v>2814</v>
      </c>
    </row>
    <row r="6831" ht="12.75" customHeight="1">
      <c r="A6831" s="59" t="s">
        <v>270</v>
      </c>
      <c r="B6831" s="60" t="s">
        <v>2815</v>
      </c>
    </row>
    <row r="6832" ht="12.75" customHeight="1">
      <c r="A6832" s="59" t="s">
        <v>270</v>
      </c>
      <c r="B6832" s="60" t="s">
        <v>1427</v>
      </c>
    </row>
    <row r="6833" ht="12.75" customHeight="1">
      <c r="A6833" s="59" t="s">
        <v>270</v>
      </c>
      <c r="B6833" s="60" t="s">
        <v>2816</v>
      </c>
    </row>
    <row r="6834" ht="12.75" customHeight="1">
      <c r="A6834" s="59" t="s">
        <v>270</v>
      </c>
      <c r="B6834" s="60" t="s">
        <v>2817</v>
      </c>
    </row>
    <row r="6835" ht="12.75" customHeight="1">
      <c r="A6835" s="59" t="s">
        <v>270</v>
      </c>
      <c r="B6835" s="60" t="s">
        <v>1436</v>
      </c>
    </row>
    <row r="6836" ht="12.75" customHeight="1">
      <c r="A6836" s="59" t="s">
        <v>270</v>
      </c>
      <c r="B6836" s="60" t="s">
        <v>2818</v>
      </c>
    </row>
    <row r="6837" ht="12.75" customHeight="1">
      <c r="A6837" s="59" t="s">
        <v>270</v>
      </c>
      <c r="B6837" s="60" t="s">
        <v>2819</v>
      </c>
    </row>
    <row r="6838" ht="12.75" customHeight="1">
      <c r="A6838" s="59" t="s">
        <v>270</v>
      </c>
      <c r="B6838" s="60" t="s">
        <v>2820</v>
      </c>
    </row>
    <row r="6839" ht="12.75" customHeight="1">
      <c r="A6839" s="59" t="s">
        <v>270</v>
      </c>
      <c r="B6839" s="60" t="s">
        <v>2633</v>
      </c>
    </row>
    <row r="6840" ht="12.75" customHeight="1">
      <c r="A6840" s="59" t="s">
        <v>270</v>
      </c>
      <c r="B6840" s="60" t="s">
        <v>2821</v>
      </c>
    </row>
    <row r="6841" ht="12.75" customHeight="1">
      <c r="A6841" s="59" t="s">
        <v>270</v>
      </c>
      <c r="B6841" s="60" t="s">
        <v>2634</v>
      </c>
    </row>
    <row r="6842" ht="12.75" customHeight="1">
      <c r="A6842" s="59" t="s">
        <v>270</v>
      </c>
      <c r="B6842" s="60" t="s">
        <v>2822</v>
      </c>
    </row>
    <row r="6843" ht="12.75" customHeight="1">
      <c r="A6843" s="59" t="s">
        <v>270</v>
      </c>
      <c r="B6843" s="60" t="s">
        <v>2635</v>
      </c>
    </row>
    <row r="6844" ht="12.75" customHeight="1">
      <c r="A6844" s="59" t="s">
        <v>270</v>
      </c>
      <c r="B6844" s="60" t="s">
        <v>2823</v>
      </c>
    </row>
    <row r="6845" ht="12.75" customHeight="1">
      <c r="A6845" s="59" t="s">
        <v>270</v>
      </c>
      <c r="B6845" s="60" t="s">
        <v>2636</v>
      </c>
    </row>
    <row r="6846" ht="12.75" customHeight="1">
      <c r="A6846" s="59" t="s">
        <v>270</v>
      </c>
      <c r="B6846" s="60" t="s">
        <v>2637</v>
      </c>
    </row>
    <row r="6847" ht="12.75" customHeight="1">
      <c r="A6847" s="59" t="s">
        <v>270</v>
      </c>
      <c r="B6847" s="60" t="s">
        <v>2824</v>
      </c>
    </row>
    <row r="6848" ht="12.75" customHeight="1">
      <c r="A6848" s="59" t="s">
        <v>270</v>
      </c>
      <c r="B6848" s="60" t="s">
        <v>2638</v>
      </c>
    </row>
    <row r="6849" ht="12.75" customHeight="1">
      <c r="A6849" s="59" t="s">
        <v>270</v>
      </c>
      <c r="B6849" s="60" t="s">
        <v>2825</v>
      </c>
    </row>
    <row r="6850" ht="12.75" customHeight="1">
      <c r="A6850" s="59" t="s">
        <v>270</v>
      </c>
      <c r="B6850" s="60" t="s">
        <v>2826</v>
      </c>
    </row>
    <row r="6851" ht="12.75" customHeight="1">
      <c r="A6851" s="59" t="s">
        <v>270</v>
      </c>
      <c r="B6851" s="60" t="s">
        <v>2827</v>
      </c>
    </row>
    <row r="6852" ht="12.75" customHeight="1">
      <c r="A6852" s="59" t="s">
        <v>270</v>
      </c>
      <c r="B6852" s="60" t="s">
        <v>2639</v>
      </c>
    </row>
    <row r="6853" ht="12.75" customHeight="1">
      <c r="A6853" s="59" t="s">
        <v>270</v>
      </c>
      <c r="B6853" s="60" t="s">
        <v>2828</v>
      </c>
    </row>
    <row r="6854" ht="12.75" customHeight="1">
      <c r="A6854" s="59" t="s">
        <v>270</v>
      </c>
      <c r="B6854" s="60" t="s">
        <v>2829</v>
      </c>
    </row>
    <row r="6855" ht="12.75" customHeight="1">
      <c r="A6855" s="59" t="s">
        <v>270</v>
      </c>
      <c r="B6855" s="60" t="s">
        <v>2830</v>
      </c>
    </row>
    <row r="6856" ht="12.75" customHeight="1">
      <c r="A6856" s="59" t="s">
        <v>270</v>
      </c>
      <c r="B6856" s="60" t="s">
        <v>2831</v>
      </c>
    </row>
    <row r="6857" ht="12.75" customHeight="1">
      <c r="A6857" s="59" t="s">
        <v>439</v>
      </c>
      <c r="B6857" s="60" t="s">
        <v>2453</v>
      </c>
    </row>
    <row r="6858" ht="12.75" customHeight="1">
      <c r="A6858" s="59" t="s">
        <v>439</v>
      </c>
      <c r="B6858" s="60" t="s">
        <v>2505</v>
      </c>
    </row>
    <row r="6859" ht="12.75" customHeight="1">
      <c r="A6859" s="59" t="s">
        <v>439</v>
      </c>
      <c r="B6859" s="60" t="s">
        <v>2455</v>
      </c>
    </row>
    <row r="6860" ht="12.75" customHeight="1">
      <c r="A6860" s="59" t="s">
        <v>439</v>
      </c>
      <c r="B6860" s="60" t="s">
        <v>2456</v>
      </c>
    </row>
    <row r="6861" ht="12.75" customHeight="1">
      <c r="A6861" s="59" t="s">
        <v>439</v>
      </c>
      <c r="B6861" s="60" t="s">
        <v>2457</v>
      </c>
    </row>
    <row r="6862" ht="12.75" customHeight="1">
      <c r="A6862" s="59" t="s">
        <v>439</v>
      </c>
      <c r="B6862" s="60" t="s">
        <v>2458</v>
      </c>
    </row>
    <row r="6863" ht="12.75" customHeight="1">
      <c r="A6863" s="59" t="s">
        <v>439</v>
      </c>
      <c r="B6863" s="60" t="s">
        <v>2459</v>
      </c>
    </row>
    <row r="6864" ht="12.75" customHeight="1">
      <c r="A6864" s="59" t="s">
        <v>439</v>
      </c>
      <c r="B6864" s="60" t="s">
        <v>2460</v>
      </c>
    </row>
    <row r="6865" ht="12.75" customHeight="1">
      <c r="A6865" s="59" t="s">
        <v>439</v>
      </c>
      <c r="B6865" s="60" t="s">
        <v>2461</v>
      </c>
    </row>
    <row r="6866" ht="12.75" customHeight="1">
      <c r="A6866" s="59" t="s">
        <v>439</v>
      </c>
      <c r="B6866" s="60" t="s">
        <v>2462</v>
      </c>
    </row>
    <row r="6867" ht="12.75" customHeight="1">
      <c r="A6867" s="59" t="s">
        <v>439</v>
      </c>
      <c r="B6867" s="60" t="s">
        <v>2463</v>
      </c>
    </row>
    <row r="6868" ht="12.75" customHeight="1">
      <c r="A6868" s="59" t="s">
        <v>439</v>
      </c>
      <c r="B6868" s="60" t="s">
        <v>2464</v>
      </c>
    </row>
    <row r="6869" ht="12.75" customHeight="1">
      <c r="A6869" s="59" t="s">
        <v>439</v>
      </c>
      <c r="B6869" s="60" t="s">
        <v>2465</v>
      </c>
    </row>
    <row r="6870" ht="12.75" customHeight="1">
      <c r="A6870" s="59" t="s">
        <v>439</v>
      </c>
      <c r="B6870" s="60" t="s">
        <v>2466</v>
      </c>
    </row>
    <row r="6871" ht="12.75" customHeight="1">
      <c r="A6871" s="59" t="s">
        <v>439</v>
      </c>
      <c r="B6871" s="60" t="s">
        <v>2468</v>
      </c>
    </row>
    <row r="6872" ht="12.75" customHeight="1">
      <c r="A6872" s="59" t="s">
        <v>439</v>
      </c>
      <c r="B6872" s="60" t="s">
        <v>2469</v>
      </c>
    </row>
    <row r="6873" ht="12.75" customHeight="1">
      <c r="A6873" s="59" t="s">
        <v>439</v>
      </c>
      <c r="B6873" s="60" t="s">
        <v>2470</v>
      </c>
    </row>
    <row r="6874" ht="12.75" customHeight="1">
      <c r="A6874" s="59" t="s">
        <v>439</v>
      </c>
      <c r="B6874" s="60" t="s">
        <v>2471</v>
      </c>
    </row>
    <row r="6875" ht="12.75" customHeight="1">
      <c r="A6875" s="59" t="s">
        <v>439</v>
      </c>
      <c r="B6875" s="60" t="s">
        <v>2472</v>
      </c>
    </row>
    <row r="6876" ht="12.75" customHeight="1">
      <c r="A6876" s="59" t="s">
        <v>439</v>
      </c>
      <c r="B6876" s="60" t="s">
        <v>2473</v>
      </c>
    </row>
    <row r="6877" ht="12.75" customHeight="1">
      <c r="A6877" s="59" t="s">
        <v>439</v>
      </c>
      <c r="B6877" s="60" t="s">
        <v>2474</v>
      </c>
    </row>
    <row r="6878" ht="12.75" customHeight="1">
      <c r="A6878" s="59" t="s">
        <v>439</v>
      </c>
      <c r="B6878" s="60" t="s">
        <v>2475</v>
      </c>
    </row>
    <row r="6879" ht="12.75" customHeight="1">
      <c r="A6879" s="59" t="s">
        <v>439</v>
      </c>
      <c r="B6879" s="60" t="s">
        <v>2476</v>
      </c>
    </row>
    <row r="6880" ht="12.75" customHeight="1">
      <c r="A6880" s="59" t="s">
        <v>439</v>
      </c>
      <c r="B6880" s="60" t="s">
        <v>2477</v>
      </c>
    </row>
    <row r="6881" ht="12.75" customHeight="1">
      <c r="A6881" s="59" t="s">
        <v>439</v>
      </c>
      <c r="B6881" s="60" t="s">
        <v>2478</v>
      </c>
    </row>
    <row r="6882" ht="12.75" customHeight="1">
      <c r="A6882" s="59" t="s">
        <v>439</v>
      </c>
      <c r="B6882" s="60" t="s">
        <v>2479</v>
      </c>
    </row>
    <row r="6883" ht="12.75" customHeight="1">
      <c r="A6883" s="59" t="s">
        <v>439</v>
      </c>
      <c r="B6883" s="60" t="s">
        <v>2480</v>
      </c>
    </row>
    <row r="6884" ht="12.75" customHeight="1">
      <c r="A6884" s="59" t="s">
        <v>439</v>
      </c>
      <c r="B6884" s="60" t="s">
        <v>2481</v>
      </c>
    </row>
    <row r="6885" ht="12.75" customHeight="1">
      <c r="A6885" s="59" t="s">
        <v>439</v>
      </c>
      <c r="B6885" s="60" t="s">
        <v>2483</v>
      </c>
    </row>
    <row r="6886" ht="12.75" customHeight="1">
      <c r="A6886" s="59" t="s">
        <v>439</v>
      </c>
      <c r="B6886" s="60" t="s">
        <v>2484</v>
      </c>
    </row>
    <row r="6887" ht="12.75" customHeight="1">
      <c r="A6887" s="59" t="s">
        <v>439</v>
      </c>
      <c r="B6887" s="60" t="s">
        <v>2485</v>
      </c>
    </row>
    <row r="6888" ht="12.75" customHeight="1">
      <c r="A6888" s="59" t="s">
        <v>439</v>
      </c>
      <c r="B6888" s="60" t="s">
        <v>2486</v>
      </c>
    </row>
    <row r="6889" ht="12.75" customHeight="1">
      <c r="A6889" s="59" t="s">
        <v>439</v>
      </c>
      <c r="B6889" s="60" t="s">
        <v>2487</v>
      </c>
    </row>
    <row r="6890" ht="12.75" customHeight="1">
      <c r="A6890" s="59" t="s">
        <v>439</v>
      </c>
      <c r="B6890" s="60" t="s">
        <v>2488</v>
      </c>
    </row>
    <row r="6891" ht="12.75" customHeight="1">
      <c r="A6891" s="59" t="s">
        <v>439</v>
      </c>
      <c r="B6891" s="60" t="s">
        <v>2489</v>
      </c>
    </row>
    <row r="6892" ht="12.75" customHeight="1">
      <c r="A6892" s="59" t="s">
        <v>439</v>
      </c>
      <c r="B6892" s="60" t="s">
        <v>2491</v>
      </c>
    </row>
    <row r="6893" ht="12.75" customHeight="1">
      <c r="A6893" s="59" t="s">
        <v>439</v>
      </c>
      <c r="B6893" s="60" t="s">
        <v>2492</v>
      </c>
    </row>
    <row r="6894" ht="12.75" customHeight="1">
      <c r="A6894" s="59" t="s">
        <v>439</v>
      </c>
      <c r="B6894" s="60" t="s">
        <v>2493</v>
      </c>
    </row>
    <row r="6895" ht="12.75" customHeight="1">
      <c r="A6895" s="59" t="s">
        <v>439</v>
      </c>
      <c r="B6895" s="60" t="s">
        <v>2494</v>
      </c>
    </row>
    <row r="6896" ht="12.75" customHeight="1">
      <c r="A6896" s="59" t="s">
        <v>439</v>
      </c>
      <c r="B6896" s="60" t="s">
        <v>2495</v>
      </c>
    </row>
    <row r="6897" ht="12.75" customHeight="1">
      <c r="A6897" s="59" t="s">
        <v>439</v>
      </c>
      <c r="B6897" s="60" t="s">
        <v>2496</v>
      </c>
    </row>
    <row r="6898" ht="12.75" customHeight="1">
      <c r="A6898" s="59" t="s">
        <v>439</v>
      </c>
      <c r="B6898" s="60" t="s">
        <v>2497</v>
      </c>
    </row>
    <row r="6899" ht="12.75" customHeight="1">
      <c r="A6899" s="59" t="s">
        <v>439</v>
      </c>
      <c r="B6899" s="60" t="s">
        <v>2498</v>
      </c>
    </row>
    <row r="6900" ht="12.75" customHeight="1">
      <c r="A6900" s="59" t="s">
        <v>439</v>
      </c>
      <c r="B6900" s="60" t="s">
        <v>2499</v>
      </c>
    </row>
    <row r="6901" ht="12.75" customHeight="1">
      <c r="A6901" s="59" t="s">
        <v>439</v>
      </c>
      <c r="B6901" s="60" t="s">
        <v>2500</v>
      </c>
    </row>
    <row r="6902" ht="12.75" customHeight="1">
      <c r="A6902" s="59" t="s">
        <v>439</v>
      </c>
      <c r="B6902" s="60" t="s">
        <v>2501</v>
      </c>
    </row>
    <row r="6903" ht="12.75" customHeight="1">
      <c r="A6903" s="59" t="s">
        <v>439</v>
      </c>
      <c r="B6903" s="60" t="s">
        <v>2502</v>
      </c>
    </row>
    <row r="6904" ht="12.75" customHeight="1">
      <c r="A6904" s="59" t="s">
        <v>439</v>
      </c>
      <c r="B6904" s="60" t="s">
        <v>2503</v>
      </c>
    </row>
    <row r="6905" ht="12.75" customHeight="1">
      <c r="A6905" s="59" t="s">
        <v>439</v>
      </c>
      <c r="B6905" s="60" t="s">
        <v>2504</v>
      </c>
    </row>
    <row r="6906" ht="12.75" customHeight="1">
      <c r="A6906" s="59" t="s">
        <v>439</v>
      </c>
      <c r="B6906" s="60" t="s">
        <v>2506</v>
      </c>
    </row>
    <row r="6907" ht="12.75" customHeight="1">
      <c r="A6907" s="59" t="s">
        <v>439</v>
      </c>
      <c r="B6907" s="60" t="s">
        <v>2507</v>
      </c>
    </row>
    <row r="6908" ht="12.75" customHeight="1">
      <c r="A6908" s="59" t="s">
        <v>439</v>
      </c>
      <c r="B6908" s="60" t="s">
        <v>2508</v>
      </c>
    </row>
    <row r="6909" ht="12.75" customHeight="1">
      <c r="A6909" s="59" t="s">
        <v>439</v>
      </c>
      <c r="B6909" s="60" t="s">
        <v>2509</v>
      </c>
    </row>
    <row r="6910" ht="12.75" customHeight="1">
      <c r="A6910" s="59" t="s">
        <v>439</v>
      </c>
      <c r="B6910" s="60" t="s">
        <v>2510</v>
      </c>
    </row>
    <row r="6911" ht="12.75" customHeight="1">
      <c r="A6911" s="59" t="s">
        <v>439</v>
      </c>
      <c r="B6911" s="60" t="s">
        <v>2511</v>
      </c>
    </row>
    <row r="6912" ht="12.75" customHeight="1">
      <c r="A6912" s="59" t="s">
        <v>439</v>
      </c>
      <c r="B6912" s="60" t="s">
        <v>2512</v>
      </c>
    </row>
    <row r="6913" ht="12.75" customHeight="1">
      <c r="A6913" s="59" t="s">
        <v>439</v>
      </c>
      <c r="B6913" s="60" t="s">
        <v>2513</v>
      </c>
    </row>
    <row r="6914" ht="12.75" customHeight="1">
      <c r="A6914" s="59" t="s">
        <v>439</v>
      </c>
      <c r="B6914" s="60" t="s">
        <v>2514</v>
      </c>
    </row>
    <row r="6915" ht="12.75" customHeight="1">
      <c r="A6915" s="59" t="s">
        <v>439</v>
      </c>
      <c r="B6915" s="60" t="s">
        <v>2515</v>
      </c>
    </row>
    <row r="6916" ht="12.75" customHeight="1">
      <c r="A6916" s="59" t="s">
        <v>439</v>
      </c>
      <c r="B6916" s="60" t="s">
        <v>2516</v>
      </c>
    </row>
    <row r="6917" ht="12.75" customHeight="1">
      <c r="A6917" s="59" t="s">
        <v>439</v>
      </c>
      <c r="B6917" s="60" t="s">
        <v>2517</v>
      </c>
    </row>
    <row r="6918" ht="12.75" customHeight="1">
      <c r="A6918" s="59" t="s">
        <v>439</v>
      </c>
      <c r="B6918" s="60" t="s">
        <v>2518</v>
      </c>
    </row>
    <row r="6919" ht="12.75" customHeight="1">
      <c r="A6919" s="59" t="s">
        <v>439</v>
      </c>
      <c r="B6919" s="60" t="s">
        <v>2519</v>
      </c>
    </row>
    <row r="6920" ht="12.75" customHeight="1">
      <c r="A6920" s="59" t="s">
        <v>439</v>
      </c>
      <c r="B6920" s="60" t="s">
        <v>2520</v>
      </c>
    </row>
    <row r="6921" ht="12.75" customHeight="1">
      <c r="A6921" s="59" t="s">
        <v>439</v>
      </c>
      <c r="B6921" s="60" t="s">
        <v>2521</v>
      </c>
    </row>
    <row r="6922" ht="12.75" customHeight="1">
      <c r="A6922" s="59" t="s">
        <v>439</v>
      </c>
      <c r="B6922" s="60" t="s">
        <v>2522</v>
      </c>
    </row>
    <row r="6923" ht="12.75" customHeight="1">
      <c r="A6923" s="59" t="s">
        <v>439</v>
      </c>
      <c r="B6923" s="60" t="s">
        <v>2523</v>
      </c>
    </row>
    <row r="6924" ht="12.75" customHeight="1">
      <c r="A6924" s="59" t="s">
        <v>439</v>
      </c>
      <c r="B6924" s="60" t="s">
        <v>2524</v>
      </c>
    </row>
    <row r="6925" ht="12.75" customHeight="1">
      <c r="A6925" s="59" t="s">
        <v>439</v>
      </c>
      <c r="B6925" s="60" t="s">
        <v>2525</v>
      </c>
    </row>
    <row r="6926" ht="12.75" customHeight="1">
      <c r="A6926" s="59" t="s">
        <v>439</v>
      </c>
      <c r="B6926" s="60" t="s">
        <v>2526</v>
      </c>
    </row>
    <row r="6927" ht="12.75" customHeight="1">
      <c r="A6927" s="59" t="s">
        <v>439</v>
      </c>
      <c r="B6927" s="60" t="s">
        <v>2527</v>
      </c>
    </row>
    <row r="6928" ht="12.75" customHeight="1">
      <c r="A6928" s="59" t="s">
        <v>439</v>
      </c>
      <c r="B6928" s="60" t="s">
        <v>2528</v>
      </c>
    </row>
    <row r="6929" ht="12.75" customHeight="1">
      <c r="A6929" s="59" t="s">
        <v>439</v>
      </c>
      <c r="B6929" s="60" t="s">
        <v>2529</v>
      </c>
    </row>
    <row r="6930" ht="12.75" customHeight="1">
      <c r="A6930" s="59" t="s">
        <v>439</v>
      </c>
      <c r="B6930" s="60" t="s">
        <v>2530</v>
      </c>
    </row>
    <row r="6931" ht="12.75" customHeight="1">
      <c r="A6931" s="59" t="s">
        <v>439</v>
      </c>
      <c r="B6931" s="60" t="s">
        <v>2531</v>
      </c>
    </row>
    <row r="6932" ht="12.75" customHeight="1">
      <c r="A6932" s="59" t="s">
        <v>439</v>
      </c>
      <c r="B6932" s="60" t="s">
        <v>2532</v>
      </c>
    </row>
    <row r="6933" ht="12.75" customHeight="1">
      <c r="A6933" s="59" t="s">
        <v>439</v>
      </c>
      <c r="B6933" s="60" t="s">
        <v>2533</v>
      </c>
    </row>
    <row r="6934" ht="12.75" customHeight="1">
      <c r="A6934" s="59" t="s">
        <v>439</v>
      </c>
      <c r="B6934" s="60" t="s">
        <v>2534</v>
      </c>
    </row>
    <row r="6935" ht="12.75" customHeight="1">
      <c r="A6935" s="59" t="s">
        <v>439</v>
      </c>
      <c r="B6935" s="60" t="s">
        <v>2535</v>
      </c>
    </row>
    <row r="6936" ht="12.75" customHeight="1">
      <c r="A6936" s="59" t="s">
        <v>439</v>
      </c>
      <c r="B6936" s="60" t="s">
        <v>2536</v>
      </c>
    </row>
    <row r="6937" ht="12.75" customHeight="1">
      <c r="A6937" s="59" t="s">
        <v>439</v>
      </c>
      <c r="B6937" s="60" t="s">
        <v>2537</v>
      </c>
    </row>
    <row r="6938" ht="12.75" customHeight="1">
      <c r="A6938" s="59" t="s">
        <v>439</v>
      </c>
      <c r="B6938" s="60" t="s">
        <v>2538</v>
      </c>
    </row>
    <row r="6939" ht="12.75" customHeight="1">
      <c r="A6939" s="59" t="s">
        <v>439</v>
      </c>
      <c r="B6939" s="60" t="s">
        <v>2539</v>
      </c>
    </row>
    <row r="6940" ht="12.75" customHeight="1">
      <c r="A6940" s="59" t="s">
        <v>439</v>
      </c>
      <c r="B6940" s="60" t="s">
        <v>2540</v>
      </c>
    </row>
    <row r="6941" ht="12.75" customHeight="1">
      <c r="A6941" s="59" t="s">
        <v>439</v>
      </c>
      <c r="B6941" s="60" t="s">
        <v>2541</v>
      </c>
    </row>
    <row r="6942" ht="12.75" customHeight="1">
      <c r="A6942" s="59" t="s">
        <v>439</v>
      </c>
      <c r="B6942" s="60" t="s">
        <v>2542</v>
      </c>
    </row>
    <row r="6943" ht="12.75" customHeight="1">
      <c r="A6943" s="59" t="s">
        <v>439</v>
      </c>
      <c r="B6943" s="60" t="s">
        <v>2543</v>
      </c>
    </row>
    <row r="6944" ht="12.75" customHeight="1">
      <c r="A6944" s="59" t="s">
        <v>439</v>
      </c>
      <c r="B6944" s="60" t="s">
        <v>2544</v>
      </c>
    </row>
    <row r="6945" ht="12.75" customHeight="1">
      <c r="A6945" s="59" t="s">
        <v>439</v>
      </c>
      <c r="B6945" s="60" t="s">
        <v>2545</v>
      </c>
    </row>
    <row r="6946" ht="12.75" customHeight="1">
      <c r="A6946" s="59" t="s">
        <v>439</v>
      </c>
      <c r="B6946" s="60" t="s">
        <v>2546</v>
      </c>
    </row>
    <row r="6947" ht="12.75" customHeight="1">
      <c r="A6947" s="59" t="s">
        <v>439</v>
      </c>
      <c r="B6947" s="60" t="s">
        <v>2547</v>
      </c>
    </row>
    <row r="6948" ht="12.75" customHeight="1">
      <c r="A6948" s="59" t="s">
        <v>439</v>
      </c>
      <c r="B6948" s="60" t="s">
        <v>2548</v>
      </c>
    </row>
    <row r="6949" ht="12.75" customHeight="1">
      <c r="A6949" s="59" t="s">
        <v>439</v>
      </c>
      <c r="B6949" s="60" t="s">
        <v>2549</v>
      </c>
    </row>
    <row r="6950" ht="12.75" customHeight="1">
      <c r="A6950" s="59" t="s">
        <v>439</v>
      </c>
      <c r="B6950" s="60" t="s">
        <v>2550</v>
      </c>
    </row>
    <row r="6951" ht="12.75" customHeight="1">
      <c r="A6951" s="59" t="s">
        <v>439</v>
      </c>
      <c r="B6951" s="60" t="s">
        <v>2551</v>
      </c>
    </row>
    <row r="6952" ht="12.75" customHeight="1">
      <c r="A6952" s="59" t="s">
        <v>439</v>
      </c>
      <c r="B6952" s="60" t="s">
        <v>2552</v>
      </c>
    </row>
    <row r="6953" ht="12.75" customHeight="1">
      <c r="A6953" s="59" t="s">
        <v>439</v>
      </c>
      <c r="B6953" s="60" t="s">
        <v>2553</v>
      </c>
    </row>
    <row r="6954" ht="12.75" customHeight="1">
      <c r="A6954" s="59" t="s">
        <v>439</v>
      </c>
      <c r="B6954" s="60" t="s">
        <v>2554</v>
      </c>
    </row>
    <row r="6955" ht="12.75" customHeight="1">
      <c r="A6955" s="59" t="s">
        <v>439</v>
      </c>
      <c r="B6955" s="60" t="s">
        <v>2555</v>
      </c>
    </row>
    <row r="6956" ht="12.75" customHeight="1">
      <c r="A6956" s="59" t="s">
        <v>439</v>
      </c>
      <c r="B6956" s="60" t="s">
        <v>2556</v>
      </c>
    </row>
    <row r="6957" ht="12.75" customHeight="1">
      <c r="A6957" s="59" t="s">
        <v>439</v>
      </c>
      <c r="B6957" s="60" t="s">
        <v>2557</v>
      </c>
    </row>
    <row r="6958" ht="12.75" customHeight="1">
      <c r="A6958" s="59" t="s">
        <v>439</v>
      </c>
      <c r="B6958" s="60" t="s">
        <v>2558</v>
      </c>
    </row>
    <row r="6959" ht="12.75" customHeight="1">
      <c r="A6959" s="59" t="s">
        <v>439</v>
      </c>
      <c r="B6959" s="60" t="s">
        <v>2559</v>
      </c>
    </row>
    <row r="6960" ht="12.75" customHeight="1">
      <c r="A6960" s="59" t="s">
        <v>439</v>
      </c>
      <c r="B6960" s="60" t="s">
        <v>2560</v>
      </c>
    </row>
    <row r="6961" ht="12.75" customHeight="1">
      <c r="A6961" s="59" t="s">
        <v>439</v>
      </c>
      <c r="B6961" s="60" t="s">
        <v>2561</v>
      </c>
    </row>
    <row r="6962" ht="12.75" customHeight="1">
      <c r="A6962" s="59" t="s">
        <v>439</v>
      </c>
      <c r="B6962" s="60" t="s">
        <v>2832</v>
      </c>
    </row>
    <row r="6963" ht="12.75" customHeight="1">
      <c r="A6963" s="59" t="s">
        <v>439</v>
      </c>
      <c r="B6963" s="60" t="s">
        <v>2562</v>
      </c>
    </row>
    <row r="6964" ht="12.75" customHeight="1">
      <c r="A6964" s="59" t="s">
        <v>439</v>
      </c>
      <c r="B6964" s="60" t="s">
        <v>2563</v>
      </c>
    </row>
    <row r="6965" ht="12.75" customHeight="1">
      <c r="A6965" s="59" t="s">
        <v>439</v>
      </c>
      <c r="B6965" s="60" t="s">
        <v>2564</v>
      </c>
    </row>
    <row r="6966" ht="12.75" customHeight="1">
      <c r="A6966" s="59" t="s">
        <v>439</v>
      </c>
      <c r="B6966" s="60" t="s">
        <v>2565</v>
      </c>
    </row>
    <row r="6967" ht="12.75" customHeight="1">
      <c r="A6967" s="59" t="s">
        <v>439</v>
      </c>
      <c r="B6967" s="60" t="s">
        <v>2566</v>
      </c>
    </row>
    <row r="6968" ht="12.75" customHeight="1">
      <c r="A6968" s="59" t="s">
        <v>439</v>
      </c>
      <c r="B6968" s="60" t="s">
        <v>2567</v>
      </c>
    </row>
    <row r="6969" ht="12.75" customHeight="1">
      <c r="A6969" s="59" t="s">
        <v>439</v>
      </c>
      <c r="B6969" s="60" t="s">
        <v>2568</v>
      </c>
    </row>
    <row r="6970" ht="12.75" customHeight="1">
      <c r="A6970" s="59" t="s">
        <v>439</v>
      </c>
      <c r="B6970" s="60" t="s">
        <v>2569</v>
      </c>
    </row>
    <row r="6971" ht="12.75" customHeight="1">
      <c r="A6971" s="59" t="s">
        <v>439</v>
      </c>
      <c r="B6971" s="60" t="s">
        <v>2570</v>
      </c>
    </row>
    <row r="6972" ht="12.75" customHeight="1">
      <c r="A6972" s="59" t="s">
        <v>439</v>
      </c>
      <c r="B6972" s="60" t="s">
        <v>2571</v>
      </c>
    </row>
    <row r="6973" ht="12.75" customHeight="1">
      <c r="A6973" s="59" t="s">
        <v>439</v>
      </c>
      <c r="B6973" s="60" t="s">
        <v>2572</v>
      </c>
    </row>
    <row r="6974" ht="12.75" customHeight="1">
      <c r="A6974" s="59" t="s">
        <v>439</v>
      </c>
      <c r="B6974" s="60" t="s">
        <v>2573</v>
      </c>
    </row>
    <row r="6975" ht="12.75" customHeight="1">
      <c r="A6975" s="59" t="s">
        <v>439</v>
      </c>
      <c r="B6975" s="60" t="s">
        <v>2574</v>
      </c>
    </row>
    <row r="6976" ht="12.75" customHeight="1">
      <c r="A6976" s="59" t="s">
        <v>439</v>
      </c>
      <c r="B6976" s="60" t="s">
        <v>2575</v>
      </c>
    </row>
    <row r="6977" ht="12.75" customHeight="1">
      <c r="A6977" s="59" t="s">
        <v>439</v>
      </c>
      <c r="B6977" s="60" t="s">
        <v>2576</v>
      </c>
    </row>
    <row r="6978" ht="12.75" customHeight="1">
      <c r="A6978" s="59" t="s">
        <v>439</v>
      </c>
      <c r="B6978" s="60" t="s">
        <v>2577</v>
      </c>
    </row>
    <row r="6979" ht="12.75" customHeight="1">
      <c r="A6979" s="59" t="s">
        <v>439</v>
      </c>
      <c r="B6979" s="60" t="s">
        <v>2578</v>
      </c>
    </row>
    <row r="6980" ht="12.75" customHeight="1">
      <c r="A6980" s="59" t="s">
        <v>439</v>
      </c>
      <c r="B6980" s="60" t="s">
        <v>2579</v>
      </c>
    </row>
    <row r="6981" ht="12.75" customHeight="1">
      <c r="A6981" s="59" t="s">
        <v>439</v>
      </c>
      <c r="B6981" s="60" t="s">
        <v>2580</v>
      </c>
    </row>
    <row r="6982" ht="12.75" customHeight="1">
      <c r="A6982" s="59" t="s">
        <v>439</v>
      </c>
      <c r="B6982" s="60" t="s">
        <v>2581</v>
      </c>
    </row>
    <row r="6983" ht="12.75" customHeight="1">
      <c r="A6983" s="59" t="s">
        <v>439</v>
      </c>
      <c r="B6983" s="60" t="s">
        <v>2582</v>
      </c>
    </row>
    <row r="6984" ht="12.75" customHeight="1">
      <c r="A6984" s="59" t="s">
        <v>439</v>
      </c>
      <c r="B6984" s="60" t="s">
        <v>2583</v>
      </c>
    </row>
    <row r="6985" ht="12.75" customHeight="1">
      <c r="A6985" s="59" t="s">
        <v>439</v>
      </c>
      <c r="B6985" s="60" t="s">
        <v>2584</v>
      </c>
    </row>
    <row r="6986" ht="12.75" customHeight="1">
      <c r="A6986" s="59" t="s">
        <v>439</v>
      </c>
      <c r="B6986" s="60" t="s">
        <v>2585</v>
      </c>
    </row>
    <row r="6987" ht="12.75" customHeight="1">
      <c r="A6987" s="59" t="s">
        <v>439</v>
      </c>
      <c r="B6987" s="60" t="s">
        <v>2586</v>
      </c>
    </row>
    <row r="6988" ht="12.75" customHeight="1">
      <c r="A6988" s="59" t="s">
        <v>439</v>
      </c>
      <c r="B6988" s="60" t="s">
        <v>2587</v>
      </c>
    </row>
    <row r="6989" ht="12.75" customHeight="1">
      <c r="A6989" s="59" t="s">
        <v>439</v>
      </c>
      <c r="B6989" s="60" t="s">
        <v>2588</v>
      </c>
    </row>
    <row r="6990" ht="12.75" customHeight="1">
      <c r="A6990" s="59" t="s">
        <v>439</v>
      </c>
      <c r="B6990" s="60" t="s">
        <v>2589</v>
      </c>
    </row>
    <row r="6991" ht="12.75" customHeight="1">
      <c r="A6991" s="59" t="s">
        <v>439</v>
      </c>
      <c r="B6991" s="60" t="s">
        <v>2590</v>
      </c>
    </row>
    <row r="6992" ht="12.75" customHeight="1">
      <c r="A6992" s="59" t="s">
        <v>439</v>
      </c>
      <c r="B6992" s="60" t="s">
        <v>2591</v>
      </c>
    </row>
    <row r="6993" ht="12.75" customHeight="1">
      <c r="A6993" s="59" t="s">
        <v>439</v>
      </c>
      <c r="B6993" s="60" t="s">
        <v>2592</v>
      </c>
    </row>
    <row r="6994" ht="12.75" customHeight="1">
      <c r="A6994" s="59" t="s">
        <v>439</v>
      </c>
      <c r="B6994" s="60" t="s">
        <v>2593</v>
      </c>
    </row>
    <row r="6995" ht="12.75" customHeight="1">
      <c r="A6995" s="59" t="s">
        <v>439</v>
      </c>
      <c r="B6995" s="60" t="s">
        <v>2594</v>
      </c>
    </row>
    <row r="6996" ht="12.75" customHeight="1">
      <c r="A6996" s="59" t="s">
        <v>439</v>
      </c>
      <c r="B6996" s="60" t="s">
        <v>2595</v>
      </c>
    </row>
    <row r="6997" ht="12.75" customHeight="1">
      <c r="A6997" s="59" t="s">
        <v>439</v>
      </c>
      <c r="B6997" s="60" t="s">
        <v>2596</v>
      </c>
    </row>
    <row r="6998" ht="12.75" customHeight="1">
      <c r="A6998" s="59" t="s">
        <v>439</v>
      </c>
      <c r="B6998" s="60" t="s">
        <v>2597</v>
      </c>
    </row>
    <row r="6999" ht="12.75" customHeight="1">
      <c r="A6999" s="59" t="s">
        <v>439</v>
      </c>
      <c r="B6999" s="60" t="s">
        <v>2598</v>
      </c>
    </row>
    <row r="7000" ht="12.75" customHeight="1">
      <c r="A7000" s="59" t="s">
        <v>439</v>
      </c>
      <c r="B7000" s="60" t="s">
        <v>2599</v>
      </c>
    </row>
    <row r="7001" ht="12.75" customHeight="1">
      <c r="A7001" s="59" t="s">
        <v>439</v>
      </c>
      <c r="B7001" s="60" t="s">
        <v>2600</v>
      </c>
    </row>
    <row r="7002" ht="12.75" customHeight="1">
      <c r="A7002" s="59" t="s">
        <v>439</v>
      </c>
      <c r="B7002" s="60" t="s">
        <v>2601</v>
      </c>
    </row>
    <row r="7003" ht="12.75" customHeight="1">
      <c r="A7003" s="59" t="s">
        <v>439</v>
      </c>
      <c r="B7003" s="60" t="s">
        <v>2602</v>
      </c>
    </row>
    <row r="7004" ht="12.75" customHeight="1">
      <c r="A7004" s="59" t="s">
        <v>439</v>
      </c>
      <c r="B7004" s="60" t="s">
        <v>2603</v>
      </c>
    </row>
    <row r="7005" ht="12.75" customHeight="1">
      <c r="A7005" s="59" t="s">
        <v>439</v>
      </c>
      <c r="B7005" s="60" t="s">
        <v>2604</v>
      </c>
    </row>
    <row r="7006" ht="12.75" customHeight="1">
      <c r="A7006" s="59" t="s">
        <v>439</v>
      </c>
      <c r="B7006" s="60" t="s">
        <v>2605</v>
      </c>
    </row>
    <row r="7007" ht="12.75" customHeight="1">
      <c r="A7007" s="59" t="s">
        <v>439</v>
      </c>
      <c r="B7007" s="60" t="s">
        <v>2606</v>
      </c>
    </row>
    <row r="7008" ht="12.75" customHeight="1">
      <c r="A7008" s="59" t="s">
        <v>439</v>
      </c>
      <c r="B7008" s="60" t="s">
        <v>2607</v>
      </c>
    </row>
    <row r="7009" ht="12.75" customHeight="1">
      <c r="A7009" s="59" t="s">
        <v>439</v>
      </c>
      <c r="B7009" s="60" t="s">
        <v>2608</v>
      </c>
    </row>
    <row r="7010" ht="12.75" customHeight="1">
      <c r="A7010" s="59" t="s">
        <v>439</v>
      </c>
      <c r="B7010" s="60" t="s">
        <v>2609</v>
      </c>
    </row>
    <row r="7011" ht="12.75" customHeight="1">
      <c r="A7011" s="59" t="s">
        <v>439</v>
      </c>
      <c r="B7011" s="60" t="s">
        <v>2610</v>
      </c>
    </row>
    <row r="7012" ht="12.75" customHeight="1">
      <c r="A7012" s="59" t="s">
        <v>439</v>
      </c>
      <c r="B7012" s="60" t="s">
        <v>2611</v>
      </c>
    </row>
    <row r="7013" ht="12.75" customHeight="1">
      <c r="A7013" s="59" t="s">
        <v>439</v>
      </c>
      <c r="B7013" s="60" t="s">
        <v>2612</v>
      </c>
    </row>
    <row r="7014" ht="12.75" customHeight="1">
      <c r="A7014" s="59" t="s">
        <v>439</v>
      </c>
      <c r="B7014" s="60" t="s">
        <v>2613</v>
      </c>
    </row>
    <row r="7015" ht="12.75" customHeight="1">
      <c r="A7015" s="59" t="s">
        <v>439</v>
      </c>
      <c r="B7015" s="60" t="s">
        <v>2614</v>
      </c>
    </row>
    <row r="7016" ht="12.75" customHeight="1">
      <c r="A7016" s="59" t="s">
        <v>439</v>
      </c>
      <c r="B7016" s="60" t="s">
        <v>2615</v>
      </c>
    </row>
    <row r="7017" ht="12.75" customHeight="1">
      <c r="A7017" s="59" t="s">
        <v>439</v>
      </c>
      <c r="B7017" s="60" t="s">
        <v>2616</v>
      </c>
    </row>
    <row r="7018" ht="12.75" customHeight="1">
      <c r="A7018" s="59" t="s">
        <v>439</v>
      </c>
      <c r="B7018" s="60" t="s">
        <v>2617</v>
      </c>
    </row>
    <row r="7019" ht="12.75" customHeight="1">
      <c r="A7019" s="59" t="s">
        <v>439</v>
      </c>
      <c r="B7019" s="60" t="s">
        <v>2618</v>
      </c>
    </row>
    <row r="7020" ht="12.75" customHeight="1">
      <c r="A7020" s="59" t="s">
        <v>439</v>
      </c>
      <c r="B7020" s="60" t="s">
        <v>2619</v>
      </c>
    </row>
    <row r="7021" ht="12.75" customHeight="1">
      <c r="A7021" s="59" t="s">
        <v>439</v>
      </c>
      <c r="B7021" s="60" t="s">
        <v>2620</v>
      </c>
    </row>
    <row r="7022" ht="12.75" customHeight="1">
      <c r="A7022" s="59" t="s">
        <v>439</v>
      </c>
      <c r="B7022" s="60" t="s">
        <v>2621</v>
      </c>
    </row>
    <row r="7023" ht="12.75" customHeight="1">
      <c r="A7023" s="59" t="s">
        <v>439</v>
      </c>
      <c r="B7023" s="60" t="s">
        <v>2622</v>
      </c>
    </row>
    <row r="7024" ht="12.75" customHeight="1">
      <c r="A7024" s="59" t="s">
        <v>439</v>
      </c>
      <c r="B7024" s="60" t="s">
        <v>2623</v>
      </c>
    </row>
    <row r="7025" ht="12.75" customHeight="1">
      <c r="A7025" s="59" t="s">
        <v>439</v>
      </c>
      <c r="B7025" s="60" t="s">
        <v>2624</v>
      </c>
    </row>
    <row r="7026" ht="12.75" customHeight="1">
      <c r="A7026" s="59" t="s">
        <v>439</v>
      </c>
      <c r="B7026" s="60" t="s">
        <v>2625</v>
      </c>
    </row>
    <row r="7027" ht="12.75" customHeight="1">
      <c r="A7027" s="59" t="s">
        <v>439</v>
      </c>
      <c r="B7027" s="60" t="s">
        <v>2626</v>
      </c>
    </row>
    <row r="7028" ht="12.75" customHeight="1">
      <c r="A7028" s="59" t="s">
        <v>439</v>
      </c>
      <c r="B7028" s="60" t="s">
        <v>1415</v>
      </c>
    </row>
    <row r="7029" ht="12.75" customHeight="1">
      <c r="A7029" s="59" t="s">
        <v>439</v>
      </c>
      <c r="B7029" s="60" t="s">
        <v>1418</v>
      </c>
    </row>
    <row r="7030" ht="12.75" customHeight="1">
      <c r="A7030" s="59" t="s">
        <v>439</v>
      </c>
      <c r="B7030" s="60" t="s">
        <v>1427</v>
      </c>
    </row>
    <row r="7031" ht="12.75" customHeight="1">
      <c r="A7031" s="59" t="s">
        <v>439</v>
      </c>
      <c r="B7031" s="60" t="s">
        <v>1436</v>
      </c>
    </row>
    <row r="7032" ht="12.75" customHeight="1">
      <c r="A7032" s="59" t="s">
        <v>439</v>
      </c>
      <c r="B7032" s="60" t="s">
        <v>1563</v>
      </c>
    </row>
    <row r="7033" ht="12.75" customHeight="1">
      <c r="A7033" s="59" t="s">
        <v>439</v>
      </c>
      <c r="B7033" s="60" t="s">
        <v>1571</v>
      </c>
    </row>
    <row r="7034" ht="12.75" customHeight="1">
      <c r="A7034" s="59" t="s">
        <v>439</v>
      </c>
      <c r="B7034" s="60" t="s">
        <v>1578</v>
      </c>
    </row>
    <row r="7035" ht="12.75" customHeight="1">
      <c r="A7035" s="59" t="s">
        <v>439</v>
      </c>
      <c r="B7035" s="60" t="s">
        <v>2627</v>
      </c>
    </row>
    <row r="7036" ht="12.75" customHeight="1">
      <c r="A7036" s="59" t="s">
        <v>439</v>
      </c>
      <c r="B7036" s="60" t="s">
        <v>2628</v>
      </c>
    </row>
    <row r="7037" ht="12.75" customHeight="1">
      <c r="A7037" s="59" t="s">
        <v>439</v>
      </c>
      <c r="B7037" s="60" t="s">
        <v>2629</v>
      </c>
    </row>
    <row r="7038" ht="12.75" customHeight="1">
      <c r="A7038" s="59" t="s">
        <v>439</v>
      </c>
      <c r="B7038" s="60" t="s">
        <v>2630</v>
      </c>
    </row>
    <row r="7039" ht="12.75" customHeight="1">
      <c r="A7039" s="59" t="s">
        <v>439</v>
      </c>
      <c r="B7039" s="60" t="s">
        <v>2631</v>
      </c>
    </row>
    <row r="7040" ht="12.75" customHeight="1">
      <c r="A7040" s="59" t="s">
        <v>439</v>
      </c>
      <c r="B7040" s="60" t="s">
        <v>2632</v>
      </c>
    </row>
    <row r="7041" ht="12.75" customHeight="1">
      <c r="A7041" s="59" t="s">
        <v>439</v>
      </c>
      <c r="B7041" s="60" t="s">
        <v>2833</v>
      </c>
    </row>
    <row r="7042" ht="12.75" customHeight="1">
      <c r="A7042" s="59" t="s">
        <v>439</v>
      </c>
      <c r="B7042" s="60" t="s">
        <v>2633</v>
      </c>
    </row>
    <row r="7043" ht="12.75" customHeight="1">
      <c r="A7043" s="59" t="s">
        <v>439</v>
      </c>
      <c r="B7043" s="60" t="s">
        <v>2634</v>
      </c>
    </row>
    <row r="7044" ht="12.75" customHeight="1">
      <c r="A7044" s="59" t="s">
        <v>439</v>
      </c>
      <c r="B7044" s="60" t="s">
        <v>2635</v>
      </c>
    </row>
    <row r="7045" ht="12.75" customHeight="1">
      <c r="A7045" s="59" t="s">
        <v>439</v>
      </c>
      <c r="B7045" s="60" t="s">
        <v>2636</v>
      </c>
    </row>
    <row r="7046" ht="12.75" customHeight="1">
      <c r="A7046" s="59" t="s">
        <v>439</v>
      </c>
      <c r="B7046" s="60" t="s">
        <v>2637</v>
      </c>
    </row>
    <row r="7047" ht="12.75" customHeight="1">
      <c r="A7047" s="59" t="s">
        <v>439</v>
      </c>
      <c r="B7047" s="60" t="s">
        <v>2638</v>
      </c>
    </row>
    <row r="7048" ht="12.75" customHeight="1">
      <c r="A7048" s="59" t="s">
        <v>439</v>
      </c>
      <c r="B7048" s="60" t="s">
        <v>2639</v>
      </c>
    </row>
    <row r="7049" ht="12.75" customHeight="1">
      <c r="A7049" s="59" t="s">
        <v>439</v>
      </c>
      <c r="B7049" s="60" t="s">
        <v>2640</v>
      </c>
    </row>
    <row r="7050" ht="12.75" customHeight="1">
      <c r="A7050" s="59" t="s">
        <v>439</v>
      </c>
      <c r="B7050" s="60" t="s">
        <v>2641</v>
      </c>
    </row>
    <row r="7051" ht="12.75" customHeight="1">
      <c r="A7051" s="59" t="s">
        <v>439</v>
      </c>
      <c r="B7051" s="60" t="s">
        <v>2642</v>
      </c>
    </row>
    <row r="7052" ht="12.75" customHeight="1">
      <c r="A7052" s="59" t="s">
        <v>439</v>
      </c>
      <c r="B7052" s="60" t="s">
        <v>2643</v>
      </c>
    </row>
    <row r="7053" ht="12.75" customHeight="1">
      <c r="A7053" s="59" t="s">
        <v>439</v>
      </c>
      <c r="B7053" s="60" t="s">
        <v>2644</v>
      </c>
    </row>
    <row r="7054" ht="12.75" customHeight="1">
      <c r="A7054" s="59" t="s">
        <v>439</v>
      </c>
      <c r="B7054" s="60" t="s">
        <v>2645</v>
      </c>
    </row>
    <row r="7055" ht="12.75" customHeight="1">
      <c r="A7055" s="59" t="s">
        <v>439</v>
      </c>
      <c r="B7055" s="60" t="s">
        <v>2646</v>
      </c>
    </row>
    <row r="7056" ht="12.75" customHeight="1">
      <c r="A7056" s="59" t="s">
        <v>439</v>
      </c>
      <c r="B7056" s="60" t="s">
        <v>2647</v>
      </c>
    </row>
    <row r="7057" ht="12.75" customHeight="1">
      <c r="A7057" s="59" t="s">
        <v>439</v>
      </c>
      <c r="B7057" s="60" t="s">
        <v>2648</v>
      </c>
    </row>
    <row r="7058" ht="12.75" customHeight="1">
      <c r="A7058" s="59" t="s">
        <v>439</v>
      </c>
      <c r="B7058" s="60" t="s">
        <v>2649</v>
      </c>
    </row>
    <row r="7059" ht="12.75" customHeight="1">
      <c r="A7059" s="59" t="s">
        <v>439</v>
      </c>
      <c r="B7059" s="60" t="s">
        <v>2650</v>
      </c>
    </row>
    <row r="7060" ht="12.75" customHeight="1">
      <c r="A7060" s="59" t="s">
        <v>181</v>
      </c>
      <c r="B7060" s="60" t="s">
        <v>2453</v>
      </c>
    </row>
    <row r="7061" ht="12.75" customHeight="1">
      <c r="A7061" s="59" t="s">
        <v>181</v>
      </c>
      <c r="B7061" s="60" t="s">
        <v>2505</v>
      </c>
    </row>
    <row r="7062" ht="12.75" customHeight="1">
      <c r="A7062" s="59" t="s">
        <v>181</v>
      </c>
      <c r="B7062" s="60" t="s">
        <v>2455</v>
      </c>
    </row>
    <row r="7063" ht="12.75" customHeight="1">
      <c r="A7063" s="59" t="s">
        <v>181</v>
      </c>
      <c r="B7063" s="60" t="s">
        <v>2456</v>
      </c>
    </row>
    <row r="7064" ht="12.75" customHeight="1">
      <c r="A7064" s="59" t="s">
        <v>181</v>
      </c>
      <c r="B7064" s="60" t="s">
        <v>2457</v>
      </c>
    </row>
    <row r="7065" ht="12.75" customHeight="1">
      <c r="A7065" s="59" t="s">
        <v>181</v>
      </c>
      <c r="B7065" s="60" t="s">
        <v>2458</v>
      </c>
    </row>
    <row r="7066" ht="12.75" customHeight="1">
      <c r="A7066" s="59" t="s">
        <v>181</v>
      </c>
      <c r="B7066" s="60" t="s">
        <v>2459</v>
      </c>
    </row>
    <row r="7067" ht="12.75" customHeight="1">
      <c r="A7067" s="59" t="s">
        <v>181</v>
      </c>
      <c r="B7067" s="60" t="s">
        <v>2460</v>
      </c>
    </row>
    <row r="7068" ht="12.75" customHeight="1">
      <c r="A7068" s="59" t="s">
        <v>181</v>
      </c>
      <c r="B7068" s="60" t="s">
        <v>2461</v>
      </c>
    </row>
    <row r="7069" ht="12.75" customHeight="1">
      <c r="A7069" s="59" t="s">
        <v>181</v>
      </c>
      <c r="B7069" s="60" t="s">
        <v>2462</v>
      </c>
    </row>
    <row r="7070" ht="12.75" customHeight="1">
      <c r="A7070" s="59" t="s">
        <v>181</v>
      </c>
      <c r="B7070" s="60" t="s">
        <v>2463</v>
      </c>
    </row>
    <row r="7071" ht="12.75" customHeight="1">
      <c r="A7071" s="59" t="s">
        <v>181</v>
      </c>
      <c r="B7071" s="60" t="s">
        <v>2464</v>
      </c>
    </row>
    <row r="7072" ht="12.75" customHeight="1">
      <c r="A7072" s="59" t="s">
        <v>181</v>
      </c>
      <c r="B7072" s="60" t="s">
        <v>2465</v>
      </c>
    </row>
    <row r="7073" ht="12.75" customHeight="1">
      <c r="A7073" s="59" t="s">
        <v>181</v>
      </c>
      <c r="B7073" s="60" t="s">
        <v>2466</v>
      </c>
    </row>
    <row r="7074" ht="12.75" customHeight="1">
      <c r="A7074" s="59" t="s">
        <v>181</v>
      </c>
      <c r="B7074" s="60" t="s">
        <v>2468</v>
      </c>
    </row>
    <row r="7075" ht="12.75" customHeight="1">
      <c r="A7075" s="59" t="s">
        <v>181</v>
      </c>
      <c r="B7075" s="60" t="s">
        <v>2469</v>
      </c>
    </row>
    <row r="7076" ht="12.75" customHeight="1">
      <c r="A7076" s="59" t="s">
        <v>181</v>
      </c>
      <c r="B7076" s="60" t="s">
        <v>2470</v>
      </c>
    </row>
    <row r="7077" ht="12.75" customHeight="1">
      <c r="A7077" s="59" t="s">
        <v>181</v>
      </c>
      <c r="B7077" s="60" t="s">
        <v>2471</v>
      </c>
    </row>
    <row r="7078" ht="12.75" customHeight="1">
      <c r="A7078" s="59" t="s">
        <v>181</v>
      </c>
      <c r="B7078" s="60" t="s">
        <v>2472</v>
      </c>
    </row>
    <row r="7079" ht="12.75" customHeight="1">
      <c r="A7079" s="59" t="s">
        <v>181</v>
      </c>
      <c r="B7079" s="60" t="s">
        <v>2473</v>
      </c>
    </row>
    <row r="7080" ht="12.75" customHeight="1">
      <c r="A7080" s="59" t="s">
        <v>181</v>
      </c>
      <c r="B7080" s="60" t="s">
        <v>2474</v>
      </c>
    </row>
    <row r="7081" ht="12.75" customHeight="1">
      <c r="A7081" s="59" t="s">
        <v>181</v>
      </c>
      <c r="B7081" s="60" t="s">
        <v>2475</v>
      </c>
    </row>
    <row r="7082" ht="12.75" customHeight="1">
      <c r="A7082" s="59" t="s">
        <v>181</v>
      </c>
      <c r="B7082" s="60" t="s">
        <v>2476</v>
      </c>
    </row>
    <row r="7083" ht="12.75" customHeight="1">
      <c r="A7083" s="59" t="s">
        <v>181</v>
      </c>
      <c r="B7083" s="60" t="s">
        <v>2477</v>
      </c>
    </row>
    <row r="7084" ht="12.75" customHeight="1">
      <c r="A7084" s="59" t="s">
        <v>181</v>
      </c>
      <c r="B7084" s="60" t="s">
        <v>2478</v>
      </c>
    </row>
    <row r="7085" ht="12.75" customHeight="1">
      <c r="A7085" s="59" t="s">
        <v>181</v>
      </c>
      <c r="B7085" s="60" t="s">
        <v>2479</v>
      </c>
    </row>
    <row r="7086" ht="12.75" customHeight="1">
      <c r="A7086" s="59" t="s">
        <v>181</v>
      </c>
      <c r="B7086" s="60" t="s">
        <v>2480</v>
      </c>
    </row>
    <row r="7087" ht="12.75" customHeight="1">
      <c r="A7087" s="59" t="s">
        <v>181</v>
      </c>
      <c r="B7087" s="60" t="s">
        <v>2481</v>
      </c>
    </row>
    <row r="7088" ht="12.75" customHeight="1">
      <c r="A7088" s="59" t="s">
        <v>181</v>
      </c>
      <c r="B7088" s="60" t="s">
        <v>2483</v>
      </c>
    </row>
    <row r="7089" ht="12.75" customHeight="1">
      <c r="A7089" s="59" t="s">
        <v>181</v>
      </c>
      <c r="B7089" s="60" t="s">
        <v>2484</v>
      </c>
    </row>
    <row r="7090" ht="12.75" customHeight="1">
      <c r="A7090" s="59" t="s">
        <v>181</v>
      </c>
      <c r="B7090" s="60" t="s">
        <v>2485</v>
      </c>
    </row>
    <row r="7091" ht="12.75" customHeight="1">
      <c r="A7091" s="59" t="s">
        <v>181</v>
      </c>
      <c r="B7091" s="60" t="s">
        <v>2486</v>
      </c>
    </row>
    <row r="7092" ht="12.75" customHeight="1">
      <c r="A7092" s="59" t="s">
        <v>181</v>
      </c>
      <c r="B7092" s="60" t="s">
        <v>2487</v>
      </c>
    </row>
    <row r="7093" ht="12.75" customHeight="1">
      <c r="A7093" s="59" t="s">
        <v>181</v>
      </c>
      <c r="B7093" s="60" t="s">
        <v>2488</v>
      </c>
    </row>
    <row r="7094" ht="12.75" customHeight="1">
      <c r="A7094" s="59" t="s">
        <v>181</v>
      </c>
      <c r="B7094" s="60" t="s">
        <v>2489</v>
      </c>
    </row>
    <row r="7095" ht="12.75" customHeight="1">
      <c r="A7095" s="59" t="s">
        <v>181</v>
      </c>
      <c r="B7095" s="60" t="s">
        <v>2491</v>
      </c>
    </row>
    <row r="7096" ht="12.75" customHeight="1">
      <c r="A7096" s="59" t="s">
        <v>181</v>
      </c>
      <c r="B7096" s="60" t="s">
        <v>2492</v>
      </c>
    </row>
    <row r="7097" ht="12.75" customHeight="1">
      <c r="A7097" s="59" t="s">
        <v>181</v>
      </c>
      <c r="B7097" s="60" t="s">
        <v>2493</v>
      </c>
    </row>
    <row r="7098" ht="12.75" customHeight="1">
      <c r="A7098" s="59" t="s">
        <v>181</v>
      </c>
      <c r="B7098" s="60" t="s">
        <v>2494</v>
      </c>
    </row>
    <row r="7099" ht="12.75" customHeight="1">
      <c r="A7099" s="59" t="s">
        <v>181</v>
      </c>
      <c r="B7099" s="60" t="s">
        <v>2495</v>
      </c>
    </row>
    <row r="7100" ht="12.75" customHeight="1">
      <c r="A7100" s="59" t="s">
        <v>181</v>
      </c>
      <c r="B7100" s="60" t="s">
        <v>2496</v>
      </c>
    </row>
    <row r="7101" ht="12.75" customHeight="1">
      <c r="A7101" s="59" t="s">
        <v>181</v>
      </c>
      <c r="B7101" s="60" t="s">
        <v>2497</v>
      </c>
    </row>
    <row r="7102" ht="12.75" customHeight="1">
      <c r="A7102" s="59" t="s">
        <v>181</v>
      </c>
      <c r="B7102" s="60" t="s">
        <v>2498</v>
      </c>
    </row>
    <row r="7103" ht="12.75" customHeight="1">
      <c r="A7103" s="59" t="s">
        <v>181</v>
      </c>
      <c r="B7103" s="60" t="s">
        <v>2499</v>
      </c>
    </row>
    <row r="7104" ht="12.75" customHeight="1">
      <c r="A7104" s="59" t="s">
        <v>181</v>
      </c>
      <c r="B7104" s="60" t="s">
        <v>2500</v>
      </c>
    </row>
    <row r="7105" ht="12.75" customHeight="1">
      <c r="A7105" s="59" t="s">
        <v>181</v>
      </c>
      <c r="B7105" s="60" t="s">
        <v>2501</v>
      </c>
    </row>
    <row r="7106" ht="12.75" customHeight="1">
      <c r="A7106" s="59" t="s">
        <v>181</v>
      </c>
      <c r="B7106" s="60" t="s">
        <v>2502</v>
      </c>
    </row>
    <row r="7107" ht="12.75" customHeight="1">
      <c r="A7107" s="59" t="s">
        <v>181</v>
      </c>
      <c r="B7107" s="60" t="s">
        <v>2503</v>
      </c>
    </row>
    <row r="7108" ht="12.75" customHeight="1">
      <c r="A7108" s="59" t="s">
        <v>181</v>
      </c>
      <c r="B7108" s="60" t="s">
        <v>2504</v>
      </c>
    </row>
    <row r="7109" ht="12.75" customHeight="1">
      <c r="A7109" s="59" t="s">
        <v>181</v>
      </c>
      <c r="B7109" s="60" t="s">
        <v>2506</v>
      </c>
    </row>
    <row r="7110" ht="12.75" customHeight="1">
      <c r="A7110" s="59" t="s">
        <v>181</v>
      </c>
      <c r="B7110" s="60" t="s">
        <v>2507</v>
      </c>
    </row>
    <row r="7111" ht="12.75" customHeight="1">
      <c r="A7111" s="59" t="s">
        <v>181</v>
      </c>
      <c r="B7111" s="60" t="s">
        <v>2508</v>
      </c>
    </row>
    <row r="7112" ht="12.75" customHeight="1">
      <c r="A7112" s="59" t="s">
        <v>181</v>
      </c>
      <c r="B7112" s="60" t="s">
        <v>2509</v>
      </c>
    </row>
    <row r="7113" ht="12.75" customHeight="1">
      <c r="A7113" s="59" t="s">
        <v>181</v>
      </c>
      <c r="B7113" s="60" t="s">
        <v>2510</v>
      </c>
    </row>
    <row r="7114" ht="12.75" customHeight="1">
      <c r="A7114" s="59" t="s">
        <v>181</v>
      </c>
      <c r="B7114" s="60" t="s">
        <v>2511</v>
      </c>
    </row>
    <row r="7115" ht="12.75" customHeight="1">
      <c r="A7115" s="59" t="s">
        <v>181</v>
      </c>
      <c r="B7115" s="60" t="s">
        <v>2512</v>
      </c>
    </row>
    <row r="7116" ht="12.75" customHeight="1">
      <c r="A7116" s="59" t="s">
        <v>181</v>
      </c>
      <c r="B7116" s="60" t="s">
        <v>2513</v>
      </c>
    </row>
    <row r="7117" ht="12.75" customHeight="1">
      <c r="A7117" s="59" t="s">
        <v>181</v>
      </c>
      <c r="B7117" s="60" t="s">
        <v>2514</v>
      </c>
    </row>
    <row r="7118" ht="12.75" customHeight="1">
      <c r="A7118" s="59" t="s">
        <v>181</v>
      </c>
      <c r="B7118" s="60" t="s">
        <v>2515</v>
      </c>
    </row>
    <row r="7119" ht="12.75" customHeight="1">
      <c r="A7119" s="59" t="s">
        <v>181</v>
      </c>
      <c r="B7119" s="60" t="s">
        <v>2516</v>
      </c>
    </row>
    <row r="7120" ht="12.75" customHeight="1">
      <c r="A7120" s="59" t="s">
        <v>181</v>
      </c>
      <c r="B7120" s="60" t="s">
        <v>2517</v>
      </c>
    </row>
    <row r="7121" ht="12.75" customHeight="1">
      <c r="A7121" s="59" t="s">
        <v>181</v>
      </c>
      <c r="B7121" s="60" t="s">
        <v>2518</v>
      </c>
    </row>
    <row r="7122" ht="12.75" customHeight="1">
      <c r="A7122" s="59" t="s">
        <v>181</v>
      </c>
      <c r="B7122" s="60" t="s">
        <v>2519</v>
      </c>
    </row>
    <row r="7123" ht="12.75" customHeight="1">
      <c r="A7123" s="59" t="s">
        <v>181</v>
      </c>
      <c r="B7123" s="60" t="s">
        <v>2520</v>
      </c>
    </row>
    <row r="7124" ht="12.75" customHeight="1">
      <c r="A7124" s="59" t="s">
        <v>181</v>
      </c>
      <c r="B7124" s="60" t="s">
        <v>2521</v>
      </c>
    </row>
    <row r="7125" ht="12.75" customHeight="1">
      <c r="A7125" s="59" t="s">
        <v>181</v>
      </c>
      <c r="B7125" s="60" t="s">
        <v>2522</v>
      </c>
    </row>
    <row r="7126" ht="12.75" customHeight="1">
      <c r="A7126" s="59" t="s">
        <v>181</v>
      </c>
      <c r="B7126" s="60" t="s">
        <v>2523</v>
      </c>
    </row>
    <row r="7127" ht="12.75" customHeight="1">
      <c r="A7127" s="59" t="s">
        <v>181</v>
      </c>
      <c r="B7127" s="60" t="s">
        <v>2524</v>
      </c>
    </row>
    <row r="7128" ht="12.75" customHeight="1">
      <c r="A7128" s="59" t="s">
        <v>181</v>
      </c>
      <c r="B7128" s="60" t="s">
        <v>2525</v>
      </c>
    </row>
    <row r="7129" ht="12.75" customHeight="1">
      <c r="A7129" s="59" t="s">
        <v>181</v>
      </c>
      <c r="B7129" s="60" t="s">
        <v>2526</v>
      </c>
    </row>
    <row r="7130" ht="12.75" customHeight="1">
      <c r="A7130" s="59" t="s">
        <v>181</v>
      </c>
      <c r="B7130" s="60" t="s">
        <v>2527</v>
      </c>
    </row>
    <row r="7131" ht="12.75" customHeight="1">
      <c r="A7131" s="59" t="s">
        <v>181</v>
      </c>
      <c r="B7131" s="60" t="s">
        <v>2528</v>
      </c>
    </row>
    <row r="7132" ht="12.75" customHeight="1">
      <c r="A7132" s="59" t="s">
        <v>181</v>
      </c>
      <c r="B7132" s="60" t="s">
        <v>2529</v>
      </c>
    </row>
    <row r="7133" ht="12.75" customHeight="1">
      <c r="A7133" s="59" t="s">
        <v>181</v>
      </c>
      <c r="B7133" s="60" t="s">
        <v>2530</v>
      </c>
    </row>
    <row r="7134" ht="12.75" customHeight="1">
      <c r="A7134" s="59" t="s">
        <v>181</v>
      </c>
      <c r="B7134" s="60" t="s">
        <v>2531</v>
      </c>
    </row>
    <row r="7135" ht="12.75" customHeight="1">
      <c r="A7135" s="59" t="s">
        <v>181</v>
      </c>
      <c r="B7135" s="60" t="s">
        <v>2532</v>
      </c>
    </row>
    <row r="7136" ht="12.75" customHeight="1">
      <c r="A7136" s="59" t="s">
        <v>181</v>
      </c>
      <c r="B7136" s="60" t="s">
        <v>2533</v>
      </c>
    </row>
    <row r="7137" ht="12.75" customHeight="1">
      <c r="A7137" s="59" t="s">
        <v>181</v>
      </c>
      <c r="B7137" s="60" t="s">
        <v>2534</v>
      </c>
    </row>
    <row r="7138" ht="12.75" customHeight="1">
      <c r="A7138" s="59" t="s">
        <v>181</v>
      </c>
      <c r="B7138" s="60" t="s">
        <v>2535</v>
      </c>
    </row>
    <row r="7139" ht="12.75" customHeight="1">
      <c r="A7139" s="59" t="s">
        <v>181</v>
      </c>
      <c r="B7139" s="60" t="s">
        <v>2536</v>
      </c>
    </row>
    <row r="7140" ht="12.75" customHeight="1">
      <c r="A7140" s="59" t="s">
        <v>181</v>
      </c>
      <c r="B7140" s="60" t="s">
        <v>2537</v>
      </c>
    </row>
    <row r="7141" ht="12.75" customHeight="1">
      <c r="A7141" s="59" t="s">
        <v>181</v>
      </c>
      <c r="B7141" s="60" t="s">
        <v>2538</v>
      </c>
    </row>
    <row r="7142" ht="12.75" customHeight="1">
      <c r="A7142" s="59" t="s">
        <v>181</v>
      </c>
      <c r="B7142" s="60" t="s">
        <v>2539</v>
      </c>
    </row>
    <row r="7143" ht="12.75" customHeight="1">
      <c r="A7143" s="59" t="s">
        <v>181</v>
      </c>
      <c r="B7143" s="60" t="s">
        <v>2540</v>
      </c>
    </row>
    <row r="7144" ht="12.75" customHeight="1">
      <c r="A7144" s="59" t="s">
        <v>181</v>
      </c>
      <c r="B7144" s="60" t="s">
        <v>2541</v>
      </c>
    </row>
    <row r="7145" ht="12.75" customHeight="1">
      <c r="A7145" s="59" t="s">
        <v>181</v>
      </c>
      <c r="B7145" s="60" t="s">
        <v>2542</v>
      </c>
    </row>
    <row r="7146" ht="12.75" customHeight="1">
      <c r="A7146" s="59" t="s">
        <v>181</v>
      </c>
      <c r="B7146" s="60" t="s">
        <v>2543</v>
      </c>
    </row>
    <row r="7147" ht="12.75" customHeight="1">
      <c r="A7147" s="59" t="s">
        <v>181</v>
      </c>
      <c r="B7147" s="60" t="s">
        <v>2544</v>
      </c>
    </row>
    <row r="7148" ht="12.75" customHeight="1">
      <c r="A7148" s="59" t="s">
        <v>181</v>
      </c>
      <c r="B7148" s="60" t="s">
        <v>2545</v>
      </c>
    </row>
    <row r="7149" ht="12.75" customHeight="1">
      <c r="A7149" s="59" t="s">
        <v>181</v>
      </c>
      <c r="B7149" s="60" t="s">
        <v>2546</v>
      </c>
    </row>
    <row r="7150" ht="12.75" customHeight="1">
      <c r="A7150" s="59" t="s">
        <v>181</v>
      </c>
      <c r="B7150" s="60" t="s">
        <v>2547</v>
      </c>
    </row>
    <row r="7151" ht="12.75" customHeight="1">
      <c r="A7151" s="59" t="s">
        <v>181</v>
      </c>
      <c r="B7151" s="60" t="s">
        <v>2548</v>
      </c>
    </row>
    <row r="7152" ht="12.75" customHeight="1">
      <c r="A7152" s="59" t="s">
        <v>181</v>
      </c>
      <c r="B7152" s="60" t="s">
        <v>2549</v>
      </c>
    </row>
    <row r="7153" ht="12.75" customHeight="1">
      <c r="A7153" s="59" t="s">
        <v>181</v>
      </c>
      <c r="B7153" s="60" t="s">
        <v>2550</v>
      </c>
    </row>
    <row r="7154" ht="12.75" customHeight="1">
      <c r="A7154" s="59" t="s">
        <v>181</v>
      </c>
      <c r="B7154" s="60" t="s">
        <v>2551</v>
      </c>
    </row>
    <row r="7155" ht="12.75" customHeight="1">
      <c r="A7155" s="59" t="s">
        <v>181</v>
      </c>
      <c r="B7155" s="60" t="s">
        <v>2552</v>
      </c>
    </row>
    <row r="7156" ht="12.75" customHeight="1">
      <c r="A7156" s="59" t="s">
        <v>181</v>
      </c>
      <c r="B7156" s="60" t="s">
        <v>2553</v>
      </c>
    </row>
    <row r="7157" ht="12.75" customHeight="1">
      <c r="A7157" s="59" t="s">
        <v>181</v>
      </c>
      <c r="B7157" s="60" t="s">
        <v>2554</v>
      </c>
    </row>
    <row r="7158" ht="12.75" customHeight="1">
      <c r="A7158" s="59" t="s">
        <v>181</v>
      </c>
      <c r="B7158" s="60" t="s">
        <v>2555</v>
      </c>
    </row>
    <row r="7159" ht="12.75" customHeight="1">
      <c r="A7159" s="59" t="s">
        <v>181</v>
      </c>
      <c r="B7159" s="60" t="s">
        <v>2556</v>
      </c>
    </row>
    <row r="7160" ht="12.75" customHeight="1">
      <c r="A7160" s="59" t="s">
        <v>181</v>
      </c>
      <c r="B7160" s="60" t="s">
        <v>2557</v>
      </c>
    </row>
    <row r="7161" ht="12.75" customHeight="1">
      <c r="A7161" s="59" t="s">
        <v>181</v>
      </c>
      <c r="B7161" s="60" t="s">
        <v>2558</v>
      </c>
    </row>
    <row r="7162" ht="12.75" customHeight="1">
      <c r="A7162" s="59" t="s">
        <v>181</v>
      </c>
      <c r="B7162" s="60" t="s">
        <v>2559</v>
      </c>
    </row>
    <row r="7163" ht="12.75" customHeight="1">
      <c r="A7163" s="59" t="s">
        <v>181</v>
      </c>
      <c r="B7163" s="60" t="s">
        <v>2560</v>
      </c>
    </row>
    <row r="7164" ht="12.75" customHeight="1">
      <c r="A7164" s="59" t="s">
        <v>181</v>
      </c>
      <c r="B7164" s="60" t="s">
        <v>2561</v>
      </c>
    </row>
    <row r="7165" ht="12.75" customHeight="1">
      <c r="A7165" s="59" t="s">
        <v>181</v>
      </c>
      <c r="B7165" s="60" t="s">
        <v>2562</v>
      </c>
    </row>
    <row r="7166" ht="12.75" customHeight="1">
      <c r="A7166" s="59" t="s">
        <v>181</v>
      </c>
      <c r="B7166" s="60" t="s">
        <v>2563</v>
      </c>
    </row>
    <row r="7167" ht="12.75" customHeight="1">
      <c r="A7167" s="59" t="s">
        <v>181</v>
      </c>
      <c r="B7167" s="60" t="s">
        <v>2564</v>
      </c>
    </row>
    <row r="7168" ht="12.75" customHeight="1">
      <c r="A7168" s="59" t="s">
        <v>181</v>
      </c>
      <c r="B7168" s="60" t="s">
        <v>2565</v>
      </c>
    </row>
    <row r="7169" ht="12.75" customHeight="1">
      <c r="A7169" s="59" t="s">
        <v>181</v>
      </c>
      <c r="B7169" s="60" t="s">
        <v>2566</v>
      </c>
    </row>
    <row r="7170" ht="12.75" customHeight="1">
      <c r="A7170" s="59" t="s">
        <v>181</v>
      </c>
      <c r="B7170" s="60" t="s">
        <v>2567</v>
      </c>
    </row>
    <row r="7171" ht="12.75" customHeight="1">
      <c r="A7171" s="59" t="s">
        <v>181</v>
      </c>
      <c r="B7171" s="60" t="s">
        <v>2568</v>
      </c>
    </row>
    <row r="7172" ht="12.75" customHeight="1">
      <c r="A7172" s="59" t="s">
        <v>181</v>
      </c>
      <c r="B7172" s="60" t="s">
        <v>2569</v>
      </c>
    </row>
    <row r="7173" ht="12.75" customHeight="1">
      <c r="A7173" s="59" t="s">
        <v>181</v>
      </c>
      <c r="B7173" s="60" t="s">
        <v>2570</v>
      </c>
    </row>
    <row r="7174" ht="12.75" customHeight="1">
      <c r="A7174" s="59" t="s">
        <v>181</v>
      </c>
      <c r="B7174" s="60" t="s">
        <v>2571</v>
      </c>
    </row>
    <row r="7175" ht="12.75" customHeight="1">
      <c r="A7175" s="59" t="s">
        <v>181</v>
      </c>
      <c r="B7175" s="60" t="s">
        <v>2572</v>
      </c>
    </row>
    <row r="7176" ht="12.75" customHeight="1">
      <c r="A7176" s="59" t="s">
        <v>181</v>
      </c>
      <c r="B7176" s="60" t="s">
        <v>2573</v>
      </c>
    </row>
    <row r="7177" ht="12.75" customHeight="1">
      <c r="A7177" s="59" t="s">
        <v>181</v>
      </c>
      <c r="B7177" s="60" t="s">
        <v>2574</v>
      </c>
    </row>
    <row r="7178" ht="12.75" customHeight="1">
      <c r="A7178" s="59" t="s">
        <v>181</v>
      </c>
      <c r="B7178" s="60" t="s">
        <v>2575</v>
      </c>
    </row>
    <row r="7179" ht="12.75" customHeight="1">
      <c r="A7179" s="59" t="s">
        <v>181</v>
      </c>
      <c r="B7179" s="60" t="s">
        <v>2576</v>
      </c>
    </row>
    <row r="7180" ht="12.75" customHeight="1">
      <c r="A7180" s="59" t="s">
        <v>181</v>
      </c>
      <c r="B7180" s="60" t="s">
        <v>2577</v>
      </c>
    </row>
    <row r="7181" ht="12.75" customHeight="1">
      <c r="A7181" s="59" t="s">
        <v>181</v>
      </c>
      <c r="B7181" s="60" t="s">
        <v>2578</v>
      </c>
    </row>
    <row r="7182" ht="12.75" customHeight="1">
      <c r="A7182" s="59" t="s">
        <v>181</v>
      </c>
      <c r="B7182" s="60" t="s">
        <v>2579</v>
      </c>
    </row>
    <row r="7183" ht="12.75" customHeight="1">
      <c r="A7183" s="59" t="s">
        <v>181</v>
      </c>
      <c r="B7183" s="60" t="s">
        <v>2580</v>
      </c>
    </row>
    <row r="7184" ht="12.75" customHeight="1">
      <c r="A7184" s="59" t="s">
        <v>181</v>
      </c>
      <c r="B7184" s="60" t="s">
        <v>2581</v>
      </c>
    </row>
    <row r="7185" ht="12.75" customHeight="1">
      <c r="A7185" s="59" t="s">
        <v>181</v>
      </c>
      <c r="B7185" s="60" t="s">
        <v>2582</v>
      </c>
    </row>
    <row r="7186" ht="12.75" customHeight="1">
      <c r="A7186" s="59" t="s">
        <v>181</v>
      </c>
      <c r="B7186" s="60" t="s">
        <v>2583</v>
      </c>
    </row>
    <row r="7187" ht="12.75" customHeight="1">
      <c r="A7187" s="59" t="s">
        <v>181</v>
      </c>
      <c r="B7187" s="60" t="s">
        <v>2584</v>
      </c>
    </row>
    <row r="7188" ht="12.75" customHeight="1">
      <c r="A7188" s="59" t="s">
        <v>181</v>
      </c>
      <c r="B7188" s="60" t="s">
        <v>2585</v>
      </c>
    </row>
    <row r="7189" ht="12.75" customHeight="1">
      <c r="A7189" s="59" t="s">
        <v>181</v>
      </c>
      <c r="B7189" s="60" t="s">
        <v>2586</v>
      </c>
    </row>
    <row r="7190" ht="12.75" customHeight="1">
      <c r="A7190" s="59" t="s">
        <v>181</v>
      </c>
      <c r="B7190" s="60" t="s">
        <v>2587</v>
      </c>
    </row>
    <row r="7191" ht="12.75" customHeight="1">
      <c r="A7191" s="59" t="s">
        <v>181</v>
      </c>
      <c r="B7191" s="60" t="s">
        <v>2588</v>
      </c>
    </row>
    <row r="7192" ht="12.75" customHeight="1">
      <c r="A7192" s="59" t="s">
        <v>181</v>
      </c>
      <c r="B7192" s="60" t="s">
        <v>2589</v>
      </c>
    </row>
    <row r="7193" ht="12.75" customHeight="1">
      <c r="A7193" s="59" t="s">
        <v>181</v>
      </c>
      <c r="B7193" s="60" t="s">
        <v>2590</v>
      </c>
    </row>
    <row r="7194" ht="12.75" customHeight="1">
      <c r="A7194" s="59" t="s">
        <v>181</v>
      </c>
      <c r="B7194" s="60" t="s">
        <v>2591</v>
      </c>
    </row>
    <row r="7195" ht="12.75" customHeight="1">
      <c r="A7195" s="59" t="s">
        <v>181</v>
      </c>
      <c r="B7195" s="60" t="s">
        <v>2592</v>
      </c>
    </row>
    <row r="7196" ht="12.75" customHeight="1">
      <c r="A7196" s="59" t="s">
        <v>181</v>
      </c>
      <c r="B7196" s="60" t="s">
        <v>2593</v>
      </c>
    </row>
    <row r="7197" ht="12.75" customHeight="1">
      <c r="A7197" s="59" t="s">
        <v>181</v>
      </c>
      <c r="B7197" s="60" t="s">
        <v>2594</v>
      </c>
    </row>
    <row r="7198" ht="12.75" customHeight="1">
      <c r="A7198" s="59" t="s">
        <v>181</v>
      </c>
      <c r="B7198" s="60" t="s">
        <v>2595</v>
      </c>
    </row>
    <row r="7199" ht="12.75" customHeight="1">
      <c r="A7199" s="59" t="s">
        <v>181</v>
      </c>
      <c r="B7199" s="60" t="s">
        <v>2596</v>
      </c>
    </row>
    <row r="7200" ht="12.75" customHeight="1">
      <c r="A7200" s="59" t="s">
        <v>181</v>
      </c>
      <c r="B7200" s="60" t="s">
        <v>2597</v>
      </c>
    </row>
    <row r="7201" ht="12.75" customHeight="1">
      <c r="A7201" s="59" t="s">
        <v>181</v>
      </c>
      <c r="B7201" s="60" t="s">
        <v>2598</v>
      </c>
    </row>
    <row r="7202" ht="12.75" customHeight="1">
      <c r="A7202" s="59" t="s">
        <v>181</v>
      </c>
      <c r="B7202" s="60" t="s">
        <v>2599</v>
      </c>
    </row>
    <row r="7203" ht="12.75" customHeight="1">
      <c r="A7203" s="59" t="s">
        <v>181</v>
      </c>
      <c r="B7203" s="60" t="s">
        <v>2600</v>
      </c>
    </row>
    <row r="7204" ht="12.75" customHeight="1">
      <c r="A7204" s="59" t="s">
        <v>181</v>
      </c>
      <c r="B7204" s="60" t="s">
        <v>2601</v>
      </c>
    </row>
    <row r="7205" ht="12.75" customHeight="1">
      <c r="A7205" s="59" t="s">
        <v>181</v>
      </c>
      <c r="B7205" s="60" t="s">
        <v>2602</v>
      </c>
    </row>
    <row r="7206" ht="12.75" customHeight="1">
      <c r="A7206" s="59" t="s">
        <v>181</v>
      </c>
      <c r="B7206" s="60" t="s">
        <v>2603</v>
      </c>
    </row>
    <row r="7207" ht="12.75" customHeight="1">
      <c r="A7207" s="59" t="s">
        <v>181</v>
      </c>
      <c r="B7207" s="60" t="s">
        <v>2604</v>
      </c>
    </row>
    <row r="7208" ht="12.75" customHeight="1">
      <c r="A7208" s="59" t="s">
        <v>181</v>
      </c>
      <c r="B7208" s="60" t="s">
        <v>2605</v>
      </c>
    </row>
    <row r="7209" ht="12.75" customHeight="1">
      <c r="A7209" s="59" t="s">
        <v>181</v>
      </c>
      <c r="B7209" s="60" t="s">
        <v>2606</v>
      </c>
    </row>
    <row r="7210" ht="12.75" customHeight="1">
      <c r="A7210" s="59" t="s">
        <v>181</v>
      </c>
      <c r="B7210" s="60" t="s">
        <v>2607</v>
      </c>
    </row>
    <row r="7211" ht="12.75" customHeight="1">
      <c r="A7211" s="59" t="s">
        <v>181</v>
      </c>
      <c r="B7211" s="60" t="s">
        <v>2608</v>
      </c>
    </row>
    <row r="7212" ht="12.75" customHeight="1">
      <c r="A7212" s="59" t="s">
        <v>181</v>
      </c>
      <c r="B7212" s="60" t="s">
        <v>2609</v>
      </c>
    </row>
    <row r="7213" ht="12.75" customHeight="1">
      <c r="A7213" s="59" t="s">
        <v>181</v>
      </c>
      <c r="B7213" s="60" t="s">
        <v>2610</v>
      </c>
    </row>
    <row r="7214" ht="12.75" customHeight="1">
      <c r="A7214" s="59" t="s">
        <v>181</v>
      </c>
      <c r="B7214" s="60" t="s">
        <v>2611</v>
      </c>
    </row>
    <row r="7215" ht="12.75" customHeight="1">
      <c r="A7215" s="59" t="s">
        <v>181</v>
      </c>
      <c r="B7215" s="60" t="s">
        <v>2612</v>
      </c>
    </row>
    <row r="7216" ht="12.75" customHeight="1">
      <c r="A7216" s="59" t="s">
        <v>181</v>
      </c>
      <c r="B7216" s="60" t="s">
        <v>2613</v>
      </c>
    </row>
    <row r="7217" ht="12.75" customHeight="1">
      <c r="A7217" s="59" t="s">
        <v>181</v>
      </c>
      <c r="B7217" s="60" t="s">
        <v>2614</v>
      </c>
    </row>
    <row r="7218" ht="12.75" customHeight="1">
      <c r="A7218" s="59" t="s">
        <v>181</v>
      </c>
      <c r="B7218" s="60" t="s">
        <v>2615</v>
      </c>
    </row>
    <row r="7219" ht="12.75" customHeight="1">
      <c r="A7219" s="59" t="s">
        <v>181</v>
      </c>
      <c r="B7219" s="60" t="s">
        <v>2616</v>
      </c>
    </row>
    <row r="7220" ht="12.75" customHeight="1">
      <c r="A7220" s="59" t="s">
        <v>181</v>
      </c>
      <c r="B7220" s="60" t="s">
        <v>2617</v>
      </c>
    </row>
    <row r="7221" ht="12.75" customHeight="1">
      <c r="A7221" s="59" t="s">
        <v>181</v>
      </c>
      <c r="B7221" s="60" t="s">
        <v>2618</v>
      </c>
    </row>
    <row r="7222" ht="12.75" customHeight="1">
      <c r="A7222" s="59" t="s">
        <v>181</v>
      </c>
      <c r="B7222" s="60" t="s">
        <v>2619</v>
      </c>
    </row>
    <row r="7223" ht="12.75" customHeight="1">
      <c r="A7223" s="59" t="s">
        <v>181</v>
      </c>
      <c r="B7223" s="60" t="s">
        <v>2620</v>
      </c>
    </row>
    <row r="7224" ht="12.75" customHeight="1">
      <c r="A7224" s="59" t="s">
        <v>181</v>
      </c>
      <c r="B7224" s="60" t="s">
        <v>2621</v>
      </c>
    </row>
    <row r="7225" ht="12.75" customHeight="1">
      <c r="A7225" s="59" t="s">
        <v>181</v>
      </c>
      <c r="B7225" s="60" t="s">
        <v>2622</v>
      </c>
    </row>
    <row r="7226" ht="12.75" customHeight="1">
      <c r="A7226" s="59" t="s">
        <v>181</v>
      </c>
      <c r="B7226" s="60" t="s">
        <v>2623</v>
      </c>
    </row>
    <row r="7227" ht="12.75" customHeight="1">
      <c r="A7227" s="59" t="s">
        <v>181</v>
      </c>
      <c r="B7227" s="60" t="s">
        <v>2624</v>
      </c>
    </row>
    <row r="7228" ht="12.75" customHeight="1">
      <c r="A7228" s="59" t="s">
        <v>181</v>
      </c>
      <c r="B7228" s="60" t="s">
        <v>2625</v>
      </c>
    </row>
    <row r="7229" ht="12.75" customHeight="1">
      <c r="A7229" s="59" t="s">
        <v>181</v>
      </c>
      <c r="B7229" s="60" t="s">
        <v>2626</v>
      </c>
    </row>
    <row r="7230" ht="12.75" customHeight="1">
      <c r="A7230" s="59" t="s">
        <v>181</v>
      </c>
      <c r="B7230" s="60" t="s">
        <v>1415</v>
      </c>
    </row>
    <row r="7231" ht="12.75" customHeight="1">
      <c r="A7231" s="59" t="s">
        <v>181</v>
      </c>
      <c r="B7231" s="60" t="s">
        <v>1418</v>
      </c>
    </row>
    <row r="7232" ht="12.75" customHeight="1">
      <c r="A7232" s="59" t="s">
        <v>181</v>
      </c>
      <c r="B7232" s="60" t="s">
        <v>1427</v>
      </c>
    </row>
    <row r="7233" ht="12.75" customHeight="1">
      <c r="A7233" s="59" t="s">
        <v>181</v>
      </c>
      <c r="B7233" s="60" t="s">
        <v>1436</v>
      </c>
    </row>
    <row r="7234" ht="12.75" customHeight="1">
      <c r="A7234" s="59" t="s">
        <v>181</v>
      </c>
      <c r="B7234" s="60" t="s">
        <v>1563</v>
      </c>
    </row>
    <row r="7235" ht="12.75" customHeight="1">
      <c r="A7235" s="59" t="s">
        <v>181</v>
      </c>
      <c r="B7235" s="60" t="s">
        <v>1571</v>
      </c>
    </row>
    <row r="7236" ht="12.75" customHeight="1">
      <c r="A7236" s="59" t="s">
        <v>181</v>
      </c>
      <c r="B7236" s="60" t="s">
        <v>1578</v>
      </c>
    </row>
    <row r="7237" ht="12.75" customHeight="1">
      <c r="A7237" s="59" t="s">
        <v>181</v>
      </c>
      <c r="B7237" s="60" t="s">
        <v>2627</v>
      </c>
    </row>
    <row r="7238" ht="12.75" customHeight="1">
      <c r="A7238" s="59" t="s">
        <v>181</v>
      </c>
      <c r="B7238" s="60" t="s">
        <v>2628</v>
      </c>
    </row>
    <row r="7239" ht="12.75" customHeight="1">
      <c r="A7239" s="59" t="s">
        <v>181</v>
      </c>
      <c r="B7239" s="60" t="s">
        <v>2629</v>
      </c>
    </row>
    <row r="7240" ht="12.75" customHeight="1">
      <c r="A7240" s="59" t="s">
        <v>181</v>
      </c>
      <c r="B7240" s="60" t="s">
        <v>2630</v>
      </c>
    </row>
    <row r="7241" ht="12.75" customHeight="1">
      <c r="A7241" s="59" t="s">
        <v>181</v>
      </c>
      <c r="B7241" s="60" t="s">
        <v>2631</v>
      </c>
    </row>
    <row r="7242" ht="12.75" customHeight="1">
      <c r="A7242" s="59" t="s">
        <v>181</v>
      </c>
      <c r="B7242" s="60" t="s">
        <v>2632</v>
      </c>
    </row>
    <row r="7243" ht="12.75" customHeight="1">
      <c r="A7243" s="59" t="s">
        <v>181</v>
      </c>
      <c r="B7243" s="60" t="s">
        <v>2633</v>
      </c>
    </row>
    <row r="7244" ht="12.75" customHeight="1">
      <c r="A7244" s="59" t="s">
        <v>181</v>
      </c>
      <c r="B7244" s="60" t="s">
        <v>2634</v>
      </c>
    </row>
    <row r="7245" ht="12.75" customHeight="1">
      <c r="A7245" s="59" t="s">
        <v>181</v>
      </c>
      <c r="B7245" s="60" t="s">
        <v>2635</v>
      </c>
    </row>
    <row r="7246" ht="12.75" customHeight="1">
      <c r="A7246" s="59" t="s">
        <v>181</v>
      </c>
      <c r="B7246" s="60" t="s">
        <v>2636</v>
      </c>
    </row>
    <row r="7247" ht="12.75" customHeight="1">
      <c r="A7247" s="59" t="s">
        <v>181</v>
      </c>
      <c r="B7247" s="60" t="s">
        <v>2637</v>
      </c>
    </row>
    <row r="7248" ht="12.75" customHeight="1">
      <c r="A7248" s="59" t="s">
        <v>181</v>
      </c>
      <c r="B7248" s="60" t="s">
        <v>2638</v>
      </c>
    </row>
    <row r="7249" ht="12.75" customHeight="1">
      <c r="A7249" s="59" t="s">
        <v>181</v>
      </c>
      <c r="B7249" s="60" t="s">
        <v>2639</v>
      </c>
    </row>
    <row r="7250" ht="12.75" customHeight="1">
      <c r="A7250" s="59" t="s">
        <v>181</v>
      </c>
      <c r="B7250" s="60" t="s">
        <v>2640</v>
      </c>
    </row>
    <row r="7251" ht="12.75" customHeight="1">
      <c r="A7251" s="59" t="s">
        <v>181</v>
      </c>
      <c r="B7251" s="60" t="s">
        <v>2641</v>
      </c>
    </row>
    <row r="7252" ht="12.75" customHeight="1">
      <c r="A7252" s="59" t="s">
        <v>181</v>
      </c>
      <c r="B7252" s="60" t="s">
        <v>2642</v>
      </c>
    </row>
    <row r="7253" ht="12.75" customHeight="1">
      <c r="A7253" s="59" t="s">
        <v>181</v>
      </c>
      <c r="B7253" s="60" t="s">
        <v>2643</v>
      </c>
    </row>
    <row r="7254" ht="12.75" customHeight="1">
      <c r="A7254" s="59" t="s">
        <v>181</v>
      </c>
      <c r="B7254" s="60" t="s">
        <v>2644</v>
      </c>
    </row>
    <row r="7255" ht="12.75" customHeight="1">
      <c r="A7255" s="59" t="s">
        <v>181</v>
      </c>
      <c r="B7255" s="60" t="s">
        <v>2645</v>
      </c>
    </row>
    <row r="7256" ht="12.75" customHeight="1">
      <c r="A7256" s="59" t="s">
        <v>181</v>
      </c>
      <c r="B7256" s="60" t="s">
        <v>2646</v>
      </c>
    </row>
    <row r="7257" ht="12.75" customHeight="1">
      <c r="A7257" s="59" t="s">
        <v>181</v>
      </c>
      <c r="B7257" s="60" t="s">
        <v>2647</v>
      </c>
    </row>
    <row r="7258" ht="12.75" customHeight="1">
      <c r="A7258" s="59" t="s">
        <v>181</v>
      </c>
      <c r="B7258" s="60" t="s">
        <v>2648</v>
      </c>
    </row>
    <row r="7259" ht="12.75" customHeight="1">
      <c r="A7259" s="59" t="s">
        <v>181</v>
      </c>
      <c r="B7259" s="60" t="s">
        <v>2649</v>
      </c>
    </row>
    <row r="7260" ht="12.75" customHeight="1">
      <c r="A7260" s="59" t="s">
        <v>181</v>
      </c>
      <c r="B7260" s="60" t="s">
        <v>2650</v>
      </c>
    </row>
    <row r="7261" ht="12.75" customHeight="1">
      <c r="A7261" s="59" t="s">
        <v>2834</v>
      </c>
      <c r="B7261" s="60" t="s">
        <v>2453</v>
      </c>
    </row>
    <row r="7262" ht="12.75" customHeight="1">
      <c r="A7262" s="59" t="s">
        <v>2834</v>
      </c>
      <c r="B7262" s="60" t="s">
        <v>2505</v>
      </c>
    </row>
    <row r="7263" ht="12.75" customHeight="1">
      <c r="A7263" s="59" t="s">
        <v>2834</v>
      </c>
      <c r="B7263" s="60" t="s">
        <v>2455</v>
      </c>
    </row>
    <row r="7264" ht="12.75" customHeight="1">
      <c r="A7264" s="59" t="s">
        <v>2834</v>
      </c>
      <c r="B7264" s="60" t="s">
        <v>2456</v>
      </c>
    </row>
    <row r="7265" ht="12.75" customHeight="1">
      <c r="A7265" s="59" t="s">
        <v>2834</v>
      </c>
      <c r="B7265" s="60" t="s">
        <v>2457</v>
      </c>
    </row>
    <row r="7266" ht="12.75" customHeight="1">
      <c r="A7266" s="59" t="s">
        <v>2834</v>
      </c>
      <c r="B7266" s="60" t="s">
        <v>2458</v>
      </c>
    </row>
    <row r="7267" ht="12.75" customHeight="1">
      <c r="A7267" s="59" t="s">
        <v>2834</v>
      </c>
      <c r="B7267" s="60" t="s">
        <v>2459</v>
      </c>
    </row>
    <row r="7268" ht="12.75" customHeight="1">
      <c r="A7268" s="59" t="s">
        <v>2834</v>
      </c>
      <c r="B7268" s="60" t="s">
        <v>2460</v>
      </c>
    </row>
    <row r="7269" ht="12.75" customHeight="1">
      <c r="A7269" s="59" t="s">
        <v>2834</v>
      </c>
      <c r="B7269" s="60" t="s">
        <v>2461</v>
      </c>
    </row>
    <row r="7270" ht="12.75" customHeight="1">
      <c r="A7270" s="59" t="s">
        <v>2834</v>
      </c>
      <c r="B7270" s="60" t="s">
        <v>2462</v>
      </c>
    </row>
    <row r="7271" ht="12.75" customHeight="1">
      <c r="A7271" s="59" t="s">
        <v>2834</v>
      </c>
      <c r="B7271" s="60" t="s">
        <v>2463</v>
      </c>
    </row>
    <row r="7272" ht="12.75" customHeight="1">
      <c r="A7272" s="59" t="s">
        <v>2834</v>
      </c>
      <c r="B7272" s="60" t="s">
        <v>2464</v>
      </c>
    </row>
    <row r="7273" ht="12.75" customHeight="1">
      <c r="A7273" s="59" t="s">
        <v>2834</v>
      </c>
      <c r="B7273" s="60" t="s">
        <v>2465</v>
      </c>
    </row>
    <row r="7274" ht="12.75" customHeight="1">
      <c r="A7274" s="59" t="s">
        <v>2834</v>
      </c>
      <c r="B7274" s="60" t="s">
        <v>2466</v>
      </c>
    </row>
    <row r="7275" ht="12.75" customHeight="1">
      <c r="A7275" s="59" t="s">
        <v>2834</v>
      </c>
      <c r="B7275" s="60" t="s">
        <v>2468</v>
      </c>
    </row>
    <row r="7276" ht="12.75" customHeight="1">
      <c r="A7276" s="59" t="s">
        <v>2834</v>
      </c>
      <c r="B7276" s="60" t="s">
        <v>2469</v>
      </c>
    </row>
    <row r="7277" ht="12.75" customHeight="1">
      <c r="A7277" s="59" t="s">
        <v>2834</v>
      </c>
      <c r="B7277" s="60" t="s">
        <v>2470</v>
      </c>
    </row>
    <row r="7278" ht="12.75" customHeight="1">
      <c r="A7278" s="59" t="s">
        <v>2834</v>
      </c>
      <c r="B7278" s="60" t="s">
        <v>2471</v>
      </c>
    </row>
    <row r="7279" ht="12.75" customHeight="1">
      <c r="A7279" s="59" t="s">
        <v>2834</v>
      </c>
      <c r="B7279" s="60" t="s">
        <v>2472</v>
      </c>
    </row>
    <row r="7280" ht="12.75" customHeight="1">
      <c r="A7280" s="59" t="s">
        <v>2834</v>
      </c>
      <c r="B7280" s="60" t="s">
        <v>2473</v>
      </c>
    </row>
    <row r="7281" ht="12.75" customHeight="1">
      <c r="A7281" s="59" t="s">
        <v>2834</v>
      </c>
      <c r="B7281" s="60" t="s">
        <v>2474</v>
      </c>
    </row>
    <row r="7282" ht="12.75" customHeight="1">
      <c r="A7282" s="59" t="s">
        <v>2834</v>
      </c>
      <c r="B7282" s="60" t="s">
        <v>2475</v>
      </c>
    </row>
    <row r="7283" ht="12.75" customHeight="1">
      <c r="A7283" s="59" t="s">
        <v>2834</v>
      </c>
      <c r="B7283" s="60" t="s">
        <v>2476</v>
      </c>
    </row>
    <row r="7284" ht="12.75" customHeight="1">
      <c r="A7284" s="59" t="s">
        <v>2834</v>
      </c>
      <c r="B7284" s="60" t="s">
        <v>2477</v>
      </c>
    </row>
    <row r="7285" ht="12.75" customHeight="1">
      <c r="A7285" s="59" t="s">
        <v>2834</v>
      </c>
      <c r="B7285" s="60" t="s">
        <v>2478</v>
      </c>
    </row>
    <row r="7286" ht="12.75" customHeight="1">
      <c r="A7286" s="59" t="s">
        <v>2834</v>
      </c>
      <c r="B7286" s="60" t="s">
        <v>2479</v>
      </c>
    </row>
    <row r="7287" ht="12.75" customHeight="1">
      <c r="A7287" s="59" t="s">
        <v>2834</v>
      </c>
      <c r="B7287" s="60" t="s">
        <v>2480</v>
      </c>
    </row>
    <row r="7288" ht="12.75" customHeight="1">
      <c r="A7288" s="59" t="s">
        <v>2834</v>
      </c>
      <c r="B7288" s="60" t="s">
        <v>2481</v>
      </c>
    </row>
    <row r="7289" ht="12.75" customHeight="1">
      <c r="A7289" s="59" t="s">
        <v>2834</v>
      </c>
      <c r="B7289" s="60" t="s">
        <v>2483</v>
      </c>
    </row>
    <row r="7290" ht="12.75" customHeight="1">
      <c r="A7290" s="59" t="s">
        <v>2834</v>
      </c>
      <c r="B7290" s="60" t="s">
        <v>2484</v>
      </c>
    </row>
    <row r="7291" ht="12.75" customHeight="1">
      <c r="A7291" s="59" t="s">
        <v>2834</v>
      </c>
      <c r="B7291" s="60" t="s">
        <v>2485</v>
      </c>
    </row>
    <row r="7292" ht="12.75" customHeight="1">
      <c r="A7292" s="59" t="s">
        <v>2834</v>
      </c>
      <c r="B7292" s="60" t="s">
        <v>2486</v>
      </c>
    </row>
    <row r="7293" ht="12.75" customHeight="1">
      <c r="A7293" s="59" t="s">
        <v>2834</v>
      </c>
      <c r="B7293" s="60" t="s">
        <v>2487</v>
      </c>
    </row>
    <row r="7294" ht="12.75" customHeight="1">
      <c r="A7294" s="59" t="s">
        <v>2834</v>
      </c>
      <c r="B7294" s="60" t="s">
        <v>2488</v>
      </c>
    </row>
    <row r="7295" ht="12.75" customHeight="1">
      <c r="A7295" s="59" t="s">
        <v>2834</v>
      </c>
      <c r="B7295" s="60" t="s">
        <v>2489</v>
      </c>
    </row>
    <row r="7296" ht="12.75" customHeight="1">
      <c r="A7296" s="59" t="s">
        <v>2834</v>
      </c>
      <c r="B7296" s="60" t="s">
        <v>2491</v>
      </c>
    </row>
    <row r="7297" ht="12.75" customHeight="1">
      <c r="A7297" s="59" t="s">
        <v>2834</v>
      </c>
      <c r="B7297" s="60" t="s">
        <v>2492</v>
      </c>
    </row>
    <row r="7298" ht="12.75" customHeight="1">
      <c r="A7298" s="59" t="s">
        <v>2834</v>
      </c>
      <c r="B7298" s="60" t="s">
        <v>2493</v>
      </c>
    </row>
    <row r="7299" ht="12.75" customHeight="1">
      <c r="A7299" s="59" t="s">
        <v>2834</v>
      </c>
      <c r="B7299" s="60" t="s">
        <v>2494</v>
      </c>
    </row>
    <row r="7300" ht="12.75" customHeight="1">
      <c r="A7300" s="59" t="s">
        <v>2834</v>
      </c>
      <c r="B7300" s="60" t="s">
        <v>2495</v>
      </c>
    </row>
    <row r="7301" ht="12.75" customHeight="1">
      <c r="A7301" s="59" t="s">
        <v>2834</v>
      </c>
      <c r="B7301" s="60" t="s">
        <v>2496</v>
      </c>
    </row>
    <row r="7302" ht="12.75" customHeight="1">
      <c r="A7302" s="59" t="s">
        <v>2834</v>
      </c>
      <c r="B7302" s="60" t="s">
        <v>2497</v>
      </c>
    </row>
    <row r="7303" ht="12.75" customHeight="1">
      <c r="A7303" s="59" t="s">
        <v>2834</v>
      </c>
      <c r="B7303" s="60" t="s">
        <v>2498</v>
      </c>
    </row>
    <row r="7304" ht="12.75" customHeight="1">
      <c r="A7304" s="59" t="s">
        <v>2834</v>
      </c>
      <c r="B7304" s="60" t="s">
        <v>2499</v>
      </c>
    </row>
    <row r="7305" ht="12.75" customHeight="1">
      <c r="A7305" s="59" t="s">
        <v>2834</v>
      </c>
      <c r="B7305" s="60" t="s">
        <v>2500</v>
      </c>
    </row>
    <row r="7306" ht="12.75" customHeight="1">
      <c r="A7306" s="59" t="s">
        <v>2834</v>
      </c>
      <c r="B7306" s="60" t="s">
        <v>2501</v>
      </c>
    </row>
    <row r="7307" ht="12.75" customHeight="1">
      <c r="A7307" s="59" t="s">
        <v>2834</v>
      </c>
      <c r="B7307" s="60" t="s">
        <v>2502</v>
      </c>
    </row>
    <row r="7308" ht="12.75" customHeight="1">
      <c r="A7308" s="59" t="s">
        <v>2834</v>
      </c>
      <c r="B7308" s="60" t="s">
        <v>2503</v>
      </c>
    </row>
    <row r="7309" ht="12.75" customHeight="1">
      <c r="A7309" s="59" t="s">
        <v>2834</v>
      </c>
      <c r="B7309" s="60" t="s">
        <v>2504</v>
      </c>
    </row>
    <row r="7310" ht="12.75" customHeight="1">
      <c r="A7310" s="59" t="s">
        <v>2834</v>
      </c>
      <c r="B7310" s="60" t="s">
        <v>2506</v>
      </c>
    </row>
    <row r="7311" ht="12.75" customHeight="1">
      <c r="A7311" s="59" t="s">
        <v>2834</v>
      </c>
      <c r="B7311" s="60" t="s">
        <v>2507</v>
      </c>
    </row>
    <row r="7312" ht="12.75" customHeight="1">
      <c r="A7312" s="59" t="s">
        <v>2834</v>
      </c>
      <c r="B7312" s="60" t="s">
        <v>2508</v>
      </c>
    </row>
    <row r="7313" ht="12.75" customHeight="1">
      <c r="A7313" s="59" t="s">
        <v>2834</v>
      </c>
      <c r="B7313" s="60" t="s">
        <v>2509</v>
      </c>
    </row>
    <row r="7314" ht="12.75" customHeight="1">
      <c r="A7314" s="59" t="s">
        <v>2834</v>
      </c>
      <c r="B7314" s="60" t="s">
        <v>2510</v>
      </c>
    </row>
    <row r="7315" ht="12.75" customHeight="1">
      <c r="A7315" s="59" t="s">
        <v>2834</v>
      </c>
      <c r="B7315" s="60" t="s">
        <v>2511</v>
      </c>
    </row>
    <row r="7316" ht="12.75" customHeight="1">
      <c r="A7316" s="59" t="s">
        <v>2834</v>
      </c>
      <c r="B7316" s="60" t="s">
        <v>2512</v>
      </c>
    </row>
    <row r="7317" ht="12.75" customHeight="1">
      <c r="A7317" s="59" t="s">
        <v>2834</v>
      </c>
      <c r="B7317" s="60" t="s">
        <v>2513</v>
      </c>
    </row>
    <row r="7318" ht="12.75" customHeight="1">
      <c r="A7318" s="59" t="s">
        <v>2834</v>
      </c>
      <c r="B7318" s="60" t="s">
        <v>2514</v>
      </c>
    </row>
    <row r="7319" ht="12.75" customHeight="1">
      <c r="A7319" s="59" t="s">
        <v>2834</v>
      </c>
      <c r="B7319" s="60" t="s">
        <v>2515</v>
      </c>
    </row>
    <row r="7320" ht="12.75" customHeight="1">
      <c r="A7320" s="59" t="s">
        <v>2834</v>
      </c>
      <c r="B7320" s="60" t="s">
        <v>2516</v>
      </c>
    </row>
    <row r="7321" ht="12.75" customHeight="1">
      <c r="A7321" s="59" t="s">
        <v>2834</v>
      </c>
      <c r="B7321" s="60" t="s">
        <v>2517</v>
      </c>
    </row>
    <row r="7322" ht="12.75" customHeight="1">
      <c r="A7322" s="59" t="s">
        <v>2834</v>
      </c>
      <c r="B7322" s="60" t="s">
        <v>2518</v>
      </c>
    </row>
    <row r="7323" ht="12.75" customHeight="1">
      <c r="A7323" s="59" t="s">
        <v>2834</v>
      </c>
      <c r="B7323" s="60" t="s">
        <v>2519</v>
      </c>
    </row>
    <row r="7324" ht="12.75" customHeight="1">
      <c r="A7324" s="59" t="s">
        <v>2834</v>
      </c>
      <c r="B7324" s="60" t="s">
        <v>2520</v>
      </c>
    </row>
    <row r="7325" ht="12.75" customHeight="1">
      <c r="A7325" s="59" t="s">
        <v>2834</v>
      </c>
      <c r="B7325" s="60" t="s">
        <v>2521</v>
      </c>
    </row>
    <row r="7326" ht="12.75" customHeight="1">
      <c r="A7326" s="59" t="s">
        <v>2834</v>
      </c>
      <c r="B7326" s="60" t="s">
        <v>2522</v>
      </c>
    </row>
    <row r="7327" ht="12.75" customHeight="1">
      <c r="A7327" s="59" t="s">
        <v>2834</v>
      </c>
      <c r="B7327" s="60" t="s">
        <v>2523</v>
      </c>
    </row>
    <row r="7328" ht="12.75" customHeight="1">
      <c r="A7328" s="59" t="s">
        <v>2834</v>
      </c>
      <c r="B7328" s="60" t="s">
        <v>2524</v>
      </c>
    </row>
    <row r="7329" ht="12.75" customHeight="1">
      <c r="A7329" s="59" t="s">
        <v>2834</v>
      </c>
      <c r="B7329" s="60" t="s">
        <v>2525</v>
      </c>
    </row>
    <row r="7330" ht="12.75" customHeight="1">
      <c r="A7330" s="59" t="s">
        <v>2834</v>
      </c>
      <c r="B7330" s="60" t="s">
        <v>2526</v>
      </c>
    </row>
    <row r="7331" ht="12.75" customHeight="1">
      <c r="A7331" s="59" t="s">
        <v>2834</v>
      </c>
      <c r="B7331" s="60" t="s">
        <v>2527</v>
      </c>
    </row>
    <row r="7332" ht="12.75" customHeight="1">
      <c r="A7332" s="59" t="s">
        <v>2834</v>
      </c>
      <c r="B7332" s="60" t="s">
        <v>2528</v>
      </c>
    </row>
    <row r="7333" ht="12.75" customHeight="1">
      <c r="A7333" s="59" t="s">
        <v>2834</v>
      </c>
      <c r="B7333" s="60" t="s">
        <v>2529</v>
      </c>
    </row>
    <row r="7334" ht="12.75" customHeight="1">
      <c r="A7334" s="59" t="s">
        <v>2834</v>
      </c>
      <c r="B7334" s="60" t="s">
        <v>2530</v>
      </c>
    </row>
    <row r="7335" ht="12.75" customHeight="1">
      <c r="A7335" s="59" t="s">
        <v>2834</v>
      </c>
      <c r="B7335" s="60" t="s">
        <v>2531</v>
      </c>
    </row>
    <row r="7336" ht="12.75" customHeight="1">
      <c r="A7336" s="59" t="s">
        <v>2834</v>
      </c>
      <c r="B7336" s="60" t="s">
        <v>2532</v>
      </c>
    </row>
    <row r="7337" ht="12.75" customHeight="1">
      <c r="A7337" s="59" t="s">
        <v>2834</v>
      </c>
      <c r="B7337" s="60" t="s">
        <v>2533</v>
      </c>
    </row>
    <row r="7338" ht="12.75" customHeight="1">
      <c r="A7338" s="59" t="s">
        <v>2834</v>
      </c>
      <c r="B7338" s="60" t="s">
        <v>2534</v>
      </c>
    </row>
    <row r="7339" ht="12.75" customHeight="1">
      <c r="A7339" s="59" t="s">
        <v>2834</v>
      </c>
      <c r="B7339" s="60" t="s">
        <v>2535</v>
      </c>
    </row>
    <row r="7340" ht="12.75" customHeight="1">
      <c r="A7340" s="59" t="s">
        <v>2834</v>
      </c>
      <c r="B7340" s="60" t="s">
        <v>2536</v>
      </c>
    </row>
    <row r="7341" ht="12.75" customHeight="1">
      <c r="A7341" s="59" t="s">
        <v>2834</v>
      </c>
      <c r="B7341" s="60" t="s">
        <v>2537</v>
      </c>
    </row>
    <row r="7342" ht="12.75" customHeight="1">
      <c r="A7342" s="59" t="s">
        <v>2834</v>
      </c>
      <c r="B7342" s="60" t="s">
        <v>2538</v>
      </c>
    </row>
    <row r="7343" ht="12.75" customHeight="1">
      <c r="A7343" s="59" t="s">
        <v>2834</v>
      </c>
      <c r="B7343" s="60" t="s">
        <v>2539</v>
      </c>
    </row>
    <row r="7344" ht="12.75" customHeight="1">
      <c r="A7344" s="59" t="s">
        <v>2834</v>
      </c>
      <c r="B7344" s="60" t="s">
        <v>2540</v>
      </c>
    </row>
    <row r="7345" ht="12.75" customHeight="1">
      <c r="A7345" s="59" t="s">
        <v>2834</v>
      </c>
      <c r="B7345" s="60" t="s">
        <v>2541</v>
      </c>
    </row>
    <row r="7346" ht="12.75" customHeight="1">
      <c r="A7346" s="59" t="s">
        <v>2834</v>
      </c>
      <c r="B7346" s="60" t="s">
        <v>2542</v>
      </c>
    </row>
    <row r="7347" ht="12.75" customHeight="1">
      <c r="A7347" s="59" t="s">
        <v>2834</v>
      </c>
      <c r="B7347" s="60" t="s">
        <v>2543</v>
      </c>
    </row>
    <row r="7348" ht="12.75" customHeight="1">
      <c r="A7348" s="59" t="s">
        <v>2834</v>
      </c>
      <c r="B7348" s="60" t="s">
        <v>2544</v>
      </c>
    </row>
    <row r="7349" ht="12.75" customHeight="1">
      <c r="A7349" s="59" t="s">
        <v>2834</v>
      </c>
      <c r="B7349" s="60" t="s">
        <v>2545</v>
      </c>
    </row>
    <row r="7350" ht="12.75" customHeight="1">
      <c r="A7350" s="59" t="s">
        <v>2834</v>
      </c>
      <c r="B7350" s="60" t="s">
        <v>2546</v>
      </c>
    </row>
    <row r="7351" ht="12.75" customHeight="1">
      <c r="A7351" s="59" t="s">
        <v>2834</v>
      </c>
      <c r="B7351" s="60" t="s">
        <v>2547</v>
      </c>
    </row>
    <row r="7352" ht="12.75" customHeight="1">
      <c r="A7352" s="59" t="s">
        <v>2834</v>
      </c>
      <c r="B7352" s="60" t="s">
        <v>2548</v>
      </c>
    </row>
    <row r="7353" ht="12.75" customHeight="1">
      <c r="A7353" s="59" t="s">
        <v>2834</v>
      </c>
      <c r="B7353" s="60" t="s">
        <v>2549</v>
      </c>
    </row>
    <row r="7354" ht="12.75" customHeight="1">
      <c r="A7354" s="59" t="s">
        <v>2834</v>
      </c>
      <c r="B7354" s="60" t="s">
        <v>2550</v>
      </c>
    </row>
    <row r="7355" ht="12.75" customHeight="1">
      <c r="A7355" s="59" t="s">
        <v>2834</v>
      </c>
      <c r="B7355" s="60" t="s">
        <v>2551</v>
      </c>
    </row>
    <row r="7356" ht="12.75" customHeight="1">
      <c r="A7356" s="59" t="s">
        <v>2834</v>
      </c>
      <c r="B7356" s="60" t="s">
        <v>2552</v>
      </c>
    </row>
    <row r="7357" ht="12.75" customHeight="1">
      <c r="A7357" s="59" t="s">
        <v>2834</v>
      </c>
      <c r="B7357" s="60" t="s">
        <v>2553</v>
      </c>
    </row>
    <row r="7358" ht="12.75" customHeight="1">
      <c r="A7358" s="59" t="s">
        <v>2834</v>
      </c>
      <c r="B7358" s="60" t="s">
        <v>2554</v>
      </c>
    </row>
    <row r="7359" ht="12.75" customHeight="1">
      <c r="A7359" s="59" t="s">
        <v>2834</v>
      </c>
      <c r="B7359" s="60" t="s">
        <v>2555</v>
      </c>
    </row>
    <row r="7360" ht="12.75" customHeight="1">
      <c r="A7360" s="59" t="s">
        <v>2834</v>
      </c>
      <c r="B7360" s="60" t="s">
        <v>2556</v>
      </c>
    </row>
    <row r="7361" ht="12.75" customHeight="1">
      <c r="A7361" s="59" t="s">
        <v>2834</v>
      </c>
      <c r="B7361" s="60" t="s">
        <v>2557</v>
      </c>
    </row>
    <row r="7362" ht="12.75" customHeight="1">
      <c r="A7362" s="59" t="s">
        <v>2834</v>
      </c>
      <c r="B7362" s="60" t="s">
        <v>2558</v>
      </c>
    </row>
    <row r="7363" ht="12.75" customHeight="1">
      <c r="A7363" s="59" t="s">
        <v>2834</v>
      </c>
      <c r="B7363" s="60" t="s">
        <v>2559</v>
      </c>
    </row>
    <row r="7364" ht="12.75" customHeight="1">
      <c r="A7364" s="59" t="s">
        <v>2834</v>
      </c>
      <c r="B7364" s="60" t="s">
        <v>2560</v>
      </c>
    </row>
    <row r="7365" ht="12.75" customHeight="1">
      <c r="A7365" s="59" t="s">
        <v>2834</v>
      </c>
      <c r="B7365" s="60" t="s">
        <v>2561</v>
      </c>
    </row>
    <row r="7366" ht="12.75" customHeight="1">
      <c r="A7366" s="59" t="s">
        <v>2834</v>
      </c>
      <c r="B7366" s="60" t="s">
        <v>2562</v>
      </c>
    </row>
    <row r="7367" ht="12.75" customHeight="1">
      <c r="A7367" s="59" t="s">
        <v>2834</v>
      </c>
      <c r="B7367" s="60" t="s">
        <v>2563</v>
      </c>
    </row>
    <row r="7368" ht="12.75" customHeight="1">
      <c r="A7368" s="59" t="s">
        <v>2834</v>
      </c>
      <c r="B7368" s="60" t="s">
        <v>2564</v>
      </c>
    </row>
    <row r="7369" ht="12.75" customHeight="1">
      <c r="A7369" s="59" t="s">
        <v>2834</v>
      </c>
      <c r="B7369" s="60" t="s">
        <v>2565</v>
      </c>
    </row>
    <row r="7370" ht="12.75" customHeight="1">
      <c r="A7370" s="59" t="s">
        <v>2834</v>
      </c>
      <c r="B7370" s="60" t="s">
        <v>2566</v>
      </c>
    </row>
    <row r="7371" ht="12.75" customHeight="1">
      <c r="A7371" s="59" t="s">
        <v>2834</v>
      </c>
      <c r="B7371" s="60" t="s">
        <v>2567</v>
      </c>
    </row>
    <row r="7372" ht="12.75" customHeight="1">
      <c r="A7372" s="59" t="s">
        <v>2834</v>
      </c>
      <c r="B7372" s="60" t="s">
        <v>2568</v>
      </c>
    </row>
    <row r="7373" ht="12.75" customHeight="1">
      <c r="A7373" s="59" t="s">
        <v>2834</v>
      </c>
      <c r="B7373" s="60" t="s">
        <v>2569</v>
      </c>
    </row>
    <row r="7374" ht="12.75" customHeight="1">
      <c r="A7374" s="59" t="s">
        <v>2834</v>
      </c>
      <c r="B7374" s="60" t="s">
        <v>2570</v>
      </c>
    </row>
    <row r="7375" ht="12.75" customHeight="1">
      <c r="A7375" s="59" t="s">
        <v>2834</v>
      </c>
      <c r="B7375" s="60" t="s">
        <v>2571</v>
      </c>
    </row>
    <row r="7376" ht="12.75" customHeight="1">
      <c r="A7376" s="59" t="s">
        <v>2834</v>
      </c>
      <c r="B7376" s="60" t="s">
        <v>2572</v>
      </c>
    </row>
    <row r="7377" ht="12.75" customHeight="1">
      <c r="A7377" s="59" t="s">
        <v>2834</v>
      </c>
      <c r="B7377" s="60" t="s">
        <v>2573</v>
      </c>
    </row>
    <row r="7378" ht="12.75" customHeight="1">
      <c r="A7378" s="59" t="s">
        <v>2834</v>
      </c>
      <c r="B7378" s="60" t="s">
        <v>2574</v>
      </c>
    </row>
    <row r="7379" ht="12.75" customHeight="1">
      <c r="A7379" s="59" t="s">
        <v>2834</v>
      </c>
      <c r="B7379" s="60" t="s">
        <v>2575</v>
      </c>
    </row>
    <row r="7380" ht="12.75" customHeight="1">
      <c r="A7380" s="59" t="s">
        <v>2834</v>
      </c>
      <c r="B7380" s="60" t="s">
        <v>2576</v>
      </c>
    </row>
    <row r="7381" ht="12.75" customHeight="1">
      <c r="A7381" s="59" t="s">
        <v>2834</v>
      </c>
      <c r="B7381" s="60" t="s">
        <v>2577</v>
      </c>
    </row>
    <row r="7382" ht="12.75" customHeight="1">
      <c r="A7382" s="59" t="s">
        <v>2834</v>
      </c>
      <c r="B7382" s="60" t="s">
        <v>2578</v>
      </c>
    </row>
    <row r="7383" ht="12.75" customHeight="1">
      <c r="A7383" s="59" t="s">
        <v>2834</v>
      </c>
      <c r="B7383" s="60" t="s">
        <v>2579</v>
      </c>
    </row>
    <row r="7384" ht="12.75" customHeight="1">
      <c r="A7384" s="59" t="s">
        <v>2834</v>
      </c>
      <c r="B7384" s="60" t="s">
        <v>2580</v>
      </c>
    </row>
    <row r="7385" ht="12.75" customHeight="1">
      <c r="A7385" s="59" t="s">
        <v>2834</v>
      </c>
      <c r="B7385" s="60" t="s">
        <v>2581</v>
      </c>
    </row>
    <row r="7386" ht="12.75" customHeight="1">
      <c r="A7386" s="59" t="s">
        <v>2834</v>
      </c>
      <c r="B7386" s="60" t="s">
        <v>2582</v>
      </c>
    </row>
    <row r="7387" ht="12.75" customHeight="1">
      <c r="A7387" s="59" t="s">
        <v>2834</v>
      </c>
      <c r="B7387" s="60" t="s">
        <v>2583</v>
      </c>
    </row>
    <row r="7388" ht="12.75" customHeight="1">
      <c r="A7388" s="59" t="s">
        <v>2834</v>
      </c>
      <c r="B7388" s="60" t="s">
        <v>2584</v>
      </c>
    </row>
    <row r="7389" ht="12.75" customHeight="1">
      <c r="A7389" s="59" t="s">
        <v>2834</v>
      </c>
      <c r="B7389" s="60" t="s">
        <v>2585</v>
      </c>
    </row>
    <row r="7390" ht="12.75" customHeight="1">
      <c r="A7390" s="59" t="s">
        <v>2834</v>
      </c>
      <c r="B7390" s="60" t="s">
        <v>2586</v>
      </c>
    </row>
    <row r="7391" ht="12.75" customHeight="1">
      <c r="A7391" s="59" t="s">
        <v>2834</v>
      </c>
      <c r="B7391" s="60" t="s">
        <v>2587</v>
      </c>
    </row>
    <row r="7392" ht="12.75" customHeight="1">
      <c r="A7392" s="59" t="s">
        <v>2834</v>
      </c>
      <c r="B7392" s="60" t="s">
        <v>2588</v>
      </c>
    </row>
    <row r="7393" ht="12.75" customHeight="1">
      <c r="A7393" s="59" t="s">
        <v>2834</v>
      </c>
      <c r="B7393" s="60" t="s">
        <v>2589</v>
      </c>
    </row>
    <row r="7394" ht="12.75" customHeight="1">
      <c r="A7394" s="59" t="s">
        <v>2834</v>
      </c>
      <c r="B7394" s="60" t="s">
        <v>2590</v>
      </c>
    </row>
    <row r="7395" ht="12.75" customHeight="1">
      <c r="A7395" s="59" t="s">
        <v>2834</v>
      </c>
      <c r="B7395" s="60" t="s">
        <v>2591</v>
      </c>
    </row>
    <row r="7396" ht="12.75" customHeight="1">
      <c r="A7396" s="59" t="s">
        <v>2834</v>
      </c>
      <c r="B7396" s="60" t="s">
        <v>2592</v>
      </c>
    </row>
    <row r="7397" ht="12.75" customHeight="1">
      <c r="A7397" s="59" t="s">
        <v>2834</v>
      </c>
      <c r="B7397" s="60" t="s">
        <v>2593</v>
      </c>
    </row>
    <row r="7398" ht="12.75" customHeight="1">
      <c r="A7398" s="59" t="s">
        <v>2834</v>
      </c>
      <c r="B7398" s="60" t="s">
        <v>2594</v>
      </c>
    </row>
    <row r="7399" ht="12.75" customHeight="1">
      <c r="A7399" s="59" t="s">
        <v>2834</v>
      </c>
      <c r="B7399" s="60" t="s">
        <v>2595</v>
      </c>
    </row>
    <row r="7400" ht="12.75" customHeight="1">
      <c r="A7400" s="59" t="s">
        <v>2834</v>
      </c>
      <c r="B7400" s="60" t="s">
        <v>2596</v>
      </c>
    </row>
    <row r="7401" ht="12.75" customHeight="1">
      <c r="A7401" s="59" t="s">
        <v>2834</v>
      </c>
      <c r="B7401" s="60" t="s">
        <v>2597</v>
      </c>
    </row>
    <row r="7402" ht="12.75" customHeight="1">
      <c r="A7402" s="59" t="s">
        <v>2834</v>
      </c>
      <c r="B7402" s="60" t="s">
        <v>2598</v>
      </c>
    </row>
    <row r="7403" ht="12.75" customHeight="1">
      <c r="A7403" s="59" t="s">
        <v>2834</v>
      </c>
      <c r="B7403" s="60" t="s">
        <v>2599</v>
      </c>
    </row>
    <row r="7404" ht="12.75" customHeight="1">
      <c r="A7404" s="59" t="s">
        <v>2834</v>
      </c>
      <c r="B7404" s="60" t="s">
        <v>2600</v>
      </c>
    </row>
    <row r="7405" ht="12.75" customHeight="1">
      <c r="A7405" s="59" t="s">
        <v>2834</v>
      </c>
      <c r="B7405" s="60" t="s">
        <v>2601</v>
      </c>
    </row>
    <row r="7406" ht="12.75" customHeight="1">
      <c r="A7406" s="59" t="s">
        <v>2834</v>
      </c>
      <c r="B7406" s="60" t="s">
        <v>2602</v>
      </c>
    </row>
    <row r="7407" ht="12.75" customHeight="1">
      <c r="A7407" s="59" t="s">
        <v>2834</v>
      </c>
      <c r="B7407" s="60" t="s">
        <v>2603</v>
      </c>
    </row>
    <row r="7408" ht="12.75" customHeight="1">
      <c r="A7408" s="59" t="s">
        <v>2834</v>
      </c>
      <c r="B7408" s="60" t="s">
        <v>2604</v>
      </c>
    </row>
    <row r="7409" ht="12.75" customHeight="1">
      <c r="A7409" s="59" t="s">
        <v>2834</v>
      </c>
      <c r="B7409" s="60" t="s">
        <v>2605</v>
      </c>
    </row>
    <row r="7410" ht="12.75" customHeight="1">
      <c r="A7410" s="59" t="s">
        <v>2834</v>
      </c>
      <c r="B7410" s="60" t="s">
        <v>2606</v>
      </c>
    </row>
    <row r="7411" ht="12.75" customHeight="1">
      <c r="A7411" s="59" t="s">
        <v>2834</v>
      </c>
      <c r="B7411" s="60" t="s">
        <v>2607</v>
      </c>
    </row>
    <row r="7412" ht="12.75" customHeight="1">
      <c r="A7412" s="59" t="s">
        <v>2834</v>
      </c>
      <c r="B7412" s="60" t="s">
        <v>2608</v>
      </c>
    </row>
    <row r="7413" ht="12.75" customHeight="1">
      <c r="A7413" s="59" t="s">
        <v>2834</v>
      </c>
      <c r="B7413" s="60" t="s">
        <v>2609</v>
      </c>
    </row>
    <row r="7414" ht="12.75" customHeight="1">
      <c r="A7414" s="59" t="s">
        <v>2834</v>
      </c>
      <c r="B7414" s="60" t="s">
        <v>2610</v>
      </c>
    </row>
    <row r="7415" ht="12.75" customHeight="1">
      <c r="A7415" s="59" t="s">
        <v>2834</v>
      </c>
      <c r="B7415" s="60" t="s">
        <v>2611</v>
      </c>
    </row>
    <row r="7416" ht="12.75" customHeight="1">
      <c r="A7416" s="59" t="s">
        <v>2834</v>
      </c>
      <c r="B7416" s="60" t="s">
        <v>2612</v>
      </c>
    </row>
    <row r="7417" ht="12.75" customHeight="1">
      <c r="A7417" s="59" t="s">
        <v>2834</v>
      </c>
      <c r="B7417" s="60" t="s">
        <v>2613</v>
      </c>
    </row>
    <row r="7418" ht="12.75" customHeight="1">
      <c r="A7418" s="59" t="s">
        <v>2834</v>
      </c>
      <c r="B7418" s="60" t="s">
        <v>2614</v>
      </c>
    </row>
    <row r="7419" ht="12.75" customHeight="1">
      <c r="A7419" s="59" t="s">
        <v>2834</v>
      </c>
      <c r="B7419" s="60" t="s">
        <v>2615</v>
      </c>
    </row>
    <row r="7420" ht="12.75" customHeight="1">
      <c r="A7420" s="59" t="s">
        <v>2834</v>
      </c>
      <c r="B7420" s="60" t="s">
        <v>2616</v>
      </c>
    </row>
    <row r="7421" ht="12.75" customHeight="1">
      <c r="A7421" s="59" t="s">
        <v>2834</v>
      </c>
      <c r="B7421" s="60" t="s">
        <v>2617</v>
      </c>
    </row>
    <row r="7422" ht="12.75" customHeight="1">
      <c r="A7422" s="59" t="s">
        <v>2834</v>
      </c>
      <c r="B7422" s="60" t="s">
        <v>2618</v>
      </c>
    </row>
    <row r="7423" ht="12.75" customHeight="1">
      <c r="A7423" s="59" t="s">
        <v>2834</v>
      </c>
      <c r="B7423" s="60" t="s">
        <v>2619</v>
      </c>
    </row>
    <row r="7424" ht="12.75" customHeight="1">
      <c r="A7424" s="59" t="s">
        <v>2834</v>
      </c>
      <c r="B7424" s="60" t="s">
        <v>2620</v>
      </c>
    </row>
    <row r="7425" ht="12.75" customHeight="1">
      <c r="A7425" s="59" t="s">
        <v>2834</v>
      </c>
      <c r="B7425" s="60" t="s">
        <v>2621</v>
      </c>
    </row>
    <row r="7426" ht="12.75" customHeight="1">
      <c r="A7426" s="59" t="s">
        <v>2834</v>
      </c>
      <c r="B7426" s="60" t="s">
        <v>2622</v>
      </c>
    </row>
    <row r="7427" ht="12.75" customHeight="1">
      <c r="A7427" s="59" t="s">
        <v>2834</v>
      </c>
      <c r="B7427" s="60" t="s">
        <v>2623</v>
      </c>
    </row>
    <row r="7428" ht="12.75" customHeight="1">
      <c r="A7428" s="59" t="s">
        <v>2834</v>
      </c>
      <c r="B7428" s="60" t="s">
        <v>2624</v>
      </c>
    </row>
    <row r="7429" ht="12.75" customHeight="1">
      <c r="A7429" s="59" t="s">
        <v>2834</v>
      </c>
      <c r="B7429" s="60" t="s">
        <v>2625</v>
      </c>
    </row>
    <row r="7430" ht="12.75" customHeight="1">
      <c r="A7430" s="59" t="s">
        <v>2834</v>
      </c>
      <c r="B7430" s="60" t="s">
        <v>2626</v>
      </c>
    </row>
    <row r="7431" ht="12.75" customHeight="1">
      <c r="A7431" s="59" t="s">
        <v>2834</v>
      </c>
      <c r="B7431" s="60" t="s">
        <v>1415</v>
      </c>
    </row>
    <row r="7432" ht="12.75" customHeight="1">
      <c r="A7432" s="59" t="s">
        <v>2834</v>
      </c>
      <c r="B7432" s="60" t="s">
        <v>1418</v>
      </c>
    </row>
    <row r="7433" ht="12.75" customHeight="1">
      <c r="A7433" s="59" t="s">
        <v>2834</v>
      </c>
      <c r="B7433" s="60" t="s">
        <v>1427</v>
      </c>
    </row>
    <row r="7434" ht="12.75" customHeight="1">
      <c r="A7434" s="59" t="s">
        <v>2834</v>
      </c>
      <c r="B7434" s="60" t="s">
        <v>1436</v>
      </c>
    </row>
    <row r="7435" ht="12.75" customHeight="1">
      <c r="A7435" s="59" t="s">
        <v>2834</v>
      </c>
      <c r="B7435" s="60" t="s">
        <v>1563</v>
      </c>
    </row>
    <row r="7436" ht="12.75" customHeight="1">
      <c r="A7436" s="59" t="s">
        <v>2834</v>
      </c>
      <c r="B7436" s="60" t="s">
        <v>1571</v>
      </c>
    </row>
    <row r="7437" ht="12.75" customHeight="1">
      <c r="A7437" s="59" t="s">
        <v>2834</v>
      </c>
      <c r="B7437" s="60" t="s">
        <v>1578</v>
      </c>
    </row>
    <row r="7438" ht="12.75" customHeight="1">
      <c r="A7438" s="59" t="s">
        <v>2834</v>
      </c>
      <c r="B7438" s="60" t="s">
        <v>2627</v>
      </c>
    </row>
    <row r="7439" ht="12.75" customHeight="1">
      <c r="A7439" s="59" t="s">
        <v>2834</v>
      </c>
      <c r="B7439" s="60" t="s">
        <v>2628</v>
      </c>
    </row>
    <row r="7440" ht="12.75" customHeight="1">
      <c r="A7440" s="59" t="s">
        <v>2834</v>
      </c>
      <c r="B7440" s="60" t="s">
        <v>2629</v>
      </c>
    </row>
    <row r="7441" ht="12.75" customHeight="1">
      <c r="A7441" s="59" t="s">
        <v>2834</v>
      </c>
      <c r="B7441" s="60" t="s">
        <v>2630</v>
      </c>
    </row>
    <row r="7442" ht="12.75" customHeight="1">
      <c r="A7442" s="59" t="s">
        <v>2834</v>
      </c>
      <c r="B7442" s="60" t="s">
        <v>2631</v>
      </c>
    </row>
    <row r="7443" ht="12.75" customHeight="1">
      <c r="A7443" s="59" t="s">
        <v>2834</v>
      </c>
      <c r="B7443" s="60" t="s">
        <v>2632</v>
      </c>
    </row>
    <row r="7444" ht="12.75" customHeight="1">
      <c r="A7444" s="59" t="s">
        <v>2834</v>
      </c>
      <c r="B7444" s="60" t="s">
        <v>2633</v>
      </c>
    </row>
    <row r="7445" ht="12.75" customHeight="1">
      <c r="A7445" s="59" t="s">
        <v>2834</v>
      </c>
      <c r="B7445" s="60" t="s">
        <v>2634</v>
      </c>
    </row>
    <row r="7446" ht="12.75" customHeight="1">
      <c r="A7446" s="59" t="s">
        <v>2834</v>
      </c>
      <c r="B7446" s="60" t="s">
        <v>2635</v>
      </c>
    </row>
    <row r="7447" ht="12.75" customHeight="1">
      <c r="A7447" s="59" t="s">
        <v>2834</v>
      </c>
      <c r="B7447" s="60" t="s">
        <v>2636</v>
      </c>
    </row>
    <row r="7448" ht="12.75" customHeight="1">
      <c r="A7448" s="59" t="s">
        <v>2834</v>
      </c>
      <c r="B7448" s="60" t="s">
        <v>2637</v>
      </c>
    </row>
    <row r="7449" ht="12.75" customHeight="1">
      <c r="A7449" s="59" t="s">
        <v>2834</v>
      </c>
      <c r="B7449" s="60" t="s">
        <v>2638</v>
      </c>
    </row>
    <row r="7450" ht="12.75" customHeight="1">
      <c r="A7450" s="59" t="s">
        <v>2834</v>
      </c>
      <c r="B7450" s="60" t="s">
        <v>2639</v>
      </c>
    </row>
    <row r="7451" ht="12.75" customHeight="1">
      <c r="A7451" s="59" t="s">
        <v>2834</v>
      </c>
      <c r="B7451" s="60" t="s">
        <v>2640</v>
      </c>
    </row>
    <row r="7452" ht="12.75" customHeight="1">
      <c r="A7452" s="59" t="s">
        <v>2834</v>
      </c>
      <c r="B7452" s="60" t="s">
        <v>2641</v>
      </c>
    </row>
    <row r="7453" ht="12.75" customHeight="1">
      <c r="A7453" s="59" t="s">
        <v>2834</v>
      </c>
      <c r="B7453" s="60" t="s">
        <v>2642</v>
      </c>
    </row>
    <row r="7454" ht="12.75" customHeight="1">
      <c r="A7454" s="59" t="s">
        <v>2834</v>
      </c>
      <c r="B7454" s="60" t="s">
        <v>2643</v>
      </c>
    </row>
    <row r="7455" ht="12.75" customHeight="1">
      <c r="A7455" s="59" t="s">
        <v>2834</v>
      </c>
      <c r="B7455" s="60" t="s">
        <v>2644</v>
      </c>
    </row>
    <row r="7456" ht="12.75" customHeight="1">
      <c r="A7456" s="59" t="s">
        <v>2834</v>
      </c>
      <c r="B7456" s="60" t="s">
        <v>2645</v>
      </c>
    </row>
    <row r="7457" ht="12.75" customHeight="1">
      <c r="A7457" s="59" t="s">
        <v>2834</v>
      </c>
      <c r="B7457" s="60" t="s">
        <v>2646</v>
      </c>
    </row>
    <row r="7458" ht="12.75" customHeight="1">
      <c r="A7458" s="59" t="s">
        <v>2834</v>
      </c>
      <c r="B7458" s="60" t="s">
        <v>2647</v>
      </c>
    </row>
    <row r="7459" ht="12.75" customHeight="1">
      <c r="A7459" s="59" t="s">
        <v>2834</v>
      </c>
      <c r="B7459" s="60" t="s">
        <v>2648</v>
      </c>
    </row>
    <row r="7460" ht="12.75" customHeight="1">
      <c r="A7460" s="59" t="s">
        <v>2834</v>
      </c>
      <c r="B7460" s="60" t="s">
        <v>2649</v>
      </c>
    </row>
    <row r="7461" ht="12.75" customHeight="1">
      <c r="A7461" s="59" t="s">
        <v>2834</v>
      </c>
      <c r="B7461" s="60" t="s">
        <v>2650</v>
      </c>
    </row>
    <row r="7462" ht="12.75" customHeight="1">
      <c r="A7462" s="59" t="s">
        <v>246</v>
      </c>
      <c r="B7462" s="60" t="s">
        <v>2453</v>
      </c>
    </row>
    <row r="7463" ht="12.75" customHeight="1">
      <c r="A7463" s="59" t="s">
        <v>246</v>
      </c>
      <c r="B7463" s="60" t="s">
        <v>2505</v>
      </c>
    </row>
    <row r="7464" ht="12.75" customHeight="1">
      <c r="A7464" s="59" t="s">
        <v>246</v>
      </c>
      <c r="B7464" s="60" t="s">
        <v>2455</v>
      </c>
    </row>
    <row r="7465" ht="12.75" customHeight="1">
      <c r="A7465" s="59" t="s">
        <v>246</v>
      </c>
      <c r="B7465" s="60" t="s">
        <v>2456</v>
      </c>
    </row>
    <row r="7466" ht="12.75" customHeight="1">
      <c r="A7466" s="59" t="s">
        <v>246</v>
      </c>
      <c r="B7466" s="60" t="s">
        <v>2457</v>
      </c>
    </row>
    <row r="7467" ht="12.75" customHeight="1">
      <c r="A7467" s="59" t="s">
        <v>246</v>
      </c>
      <c r="B7467" s="60" t="s">
        <v>2458</v>
      </c>
    </row>
    <row r="7468" ht="12.75" customHeight="1">
      <c r="A7468" s="59" t="s">
        <v>246</v>
      </c>
      <c r="B7468" s="60" t="s">
        <v>2459</v>
      </c>
    </row>
    <row r="7469" ht="12.75" customHeight="1">
      <c r="A7469" s="59" t="s">
        <v>246</v>
      </c>
      <c r="B7469" s="60" t="s">
        <v>2460</v>
      </c>
    </row>
    <row r="7470" ht="12.75" customHeight="1">
      <c r="A7470" s="59" t="s">
        <v>246</v>
      </c>
      <c r="B7470" s="60" t="s">
        <v>2461</v>
      </c>
    </row>
    <row r="7471" ht="12.75" customHeight="1">
      <c r="A7471" s="59" t="s">
        <v>246</v>
      </c>
      <c r="B7471" s="60" t="s">
        <v>2462</v>
      </c>
    </row>
    <row r="7472" ht="12.75" customHeight="1">
      <c r="A7472" s="59" t="s">
        <v>246</v>
      </c>
      <c r="B7472" s="60" t="s">
        <v>2463</v>
      </c>
    </row>
    <row r="7473" ht="12.75" customHeight="1">
      <c r="A7473" s="59" t="s">
        <v>246</v>
      </c>
      <c r="B7473" s="60" t="s">
        <v>2464</v>
      </c>
    </row>
    <row r="7474" ht="12.75" customHeight="1">
      <c r="A7474" s="59" t="s">
        <v>246</v>
      </c>
      <c r="B7474" s="60" t="s">
        <v>2465</v>
      </c>
    </row>
    <row r="7475" ht="12.75" customHeight="1">
      <c r="A7475" s="59" t="s">
        <v>246</v>
      </c>
      <c r="B7475" s="60" t="s">
        <v>2466</v>
      </c>
    </row>
    <row r="7476" ht="12.75" customHeight="1">
      <c r="A7476" s="59" t="s">
        <v>246</v>
      </c>
      <c r="B7476" s="60" t="s">
        <v>2468</v>
      </c>
    </row>
    <row r="7477" ht="12.75" customHeight="1">
      <c r="A7477" s="59" t="s">
        <v>246</v>
      </c>
      <c r="B7477" s="60" t="s">
        <v>2469</v>
      </c>
    </row>
    <row r="7478" ht="12.75" customHeight="1">
      <c r="A7478" s="59" t="s">
        <v>246</v>
      </c>
      <c r="B7478" s="60" t="s">
        <v>2470</v>
      </c>
    </row>
    <row r="7479" ht="12.75" customHeight="1">
      <c r="A7479" s="59" t="s">
        <v>246</v>
      </c>
      <c r="B7479" s="60" t="s">
        <v>2471</v>
      </c>
    </row>
    <row r="7480" ht="12.75" customHeight="1">
      <c r="A7480" s="59" t="s">
        <v>246</v>
      </c>
      <c r="B7480" s="60" t="s">
        <v>2472</v>
      </c>
    </row>
    <row r="7481" ht="12.75" customHeight="1">
      <c r="A7481" s="59" t="s">
        <v>246</v>
      </c>
      <c r="B7481" s="60" t="s">
        <v>2473</v>
      </c>
    </row>
    <row r="7482" ht="12.75" customHeight="1">
      <c r="A7482" s="59" t="s">
        <v>246</v>
      </c>
      <c r="B7482" s="60" t="s">
        <v>2474</v>
      </c>
    </row>
    <row r="7483" ht="12.75" customHeight="1">
      <c r="A7483" s="59" t="s">
        <v>246</v>
      </c>
      <c r="B7483" s="60" t="s">
        <v>2475</v>
      </c>
    </row>
    <row r="7484" ht="12.75" customHeight="1">
      <c r="A7484" s="59" t="s">
        <v>246</v>
      </c>
      <c r="B7484" s="60" t="s">
        <v>2476</v>
      </c>
    </row>
    <row r="7485" ht="12.75" customHeight="1">
      <c r="A7485" s="59" t="s">
        <v>246</v>
      </c>
      <c r="B7485" s="60" t="s">
        <v>2477</v>
      </c>
    </row>
    <row r="7486" ht="12.75" customHeight="1">
      <c r="A7486" s="59" t="s">
        <v>246</v>
      </c>
      <c r="B7486" s="60" t="s">
        <v>2478</v>
      </c>
    </row>
    <row r="7487" ht="12.75" customHeight="1">
      <c r="A7487" s="59" t="s">
        <v>246</v>
      </c>
      <c r="B7487" s="60" t="s">
        <v>2479</v>
      </c>
    </row>
    <row r="7488" ht="12.75" customHeight="1">
      <c r="A7488" s="59" t="s">
        <v>246</v>
      </c>
      <c r="B7488" s="60" t="s">
        <v>2480</v>
      </c>
    </row>
    <row r="7489" ht="12.75" customHeight="1">
      <c r="A7489" s="59" t="s">
        <v>246</v>
      </c>
      <c r="B7489" s="60" t="s">
        <v>2481</v>
      </c>
    </row>
    <row r="7490" ht="12.75" customHeight="1">
      <c r="A7490" s="59" t="s">
        <v>246</v>
      </c>
      <c r="B7490" s="60" t="s">
        <v>2483</v>
      </c>
    </row>
    <row r="7491" ht="12.75" customHeight="1">
      <c r="A7491" s="59" t="s">
        <v>246</v>
      </c>
      <c r="B7491" s="60" t="s">
        <v>2484</v>
      </c>
    </row>
    <row r="7492" ht="12.75" customHeight="1">
      <c r="A7492" s="59" t="s">
        <v>246</v>
      </c>
      <c r="B7492" s="60" t="s">
        <v>2485</v>
      </c>
    </row>
    <row r="7493" ht="12.75" customHeight="1">
      <c r="A7493" s="59" t="s">
        <v>246</v>
      </c>
      <c r="B7493" s="60" t="s">
        <v>2486</v>
      </c>
    </row>
    <row r="7494" ht="12.75" customHeight="1">
      <c r="A7494" s="59" t="s">
        <v>246</v>
      </c>
      <c r="B7494" s="60" t="s">
        <v>2487</v>
      </c>
    </row>
    <row r="7495" ht="12.75" customHeight="1">
      <c r="A7495" s="59" t="s">
        <v>246</v>
      </c>
      <c r="B7495" s="60" t="s">
        <v>2488</v>
      </c>
    </row>
    <row r="7496" ht="12.75" customHeight="1">
      <c r="A7496" s="59" t="s">
        <v>246</v>
      </c>
      <c r="B7496" s="60" t="s">
        <v>2489</v>
      </c>
    </row>
    <row r="7497" ht="12.75" customHeight="1">
      <c r="A7497" s="59" t="s">
        <v>246</v>
      </c>
      <c r="B7497" s="60" t="s">
        <v>2491</v>
      </c>
    </row>
    <row r="7498" ht="12.75" customHeight="1">
      <c r="A7498" s="59" t="s">
        <v>246</v>
      </c>
      <c r="B7498" s="60" t="s">
        <v>2492</v>
      </c>
    </row>
    <row r="7499" ht="12.75" customHeight="1">
      <c r="A7499" s="59" t="s">
        <v>246</v>
      </c>
      <c r="B7499" s="60" t="s">
        <v>2493</v>
      </c>
    </row>
    <row r="7500" ht="12.75" customHeight="1">
      <c r="A7500" s="59" t="s">
        <v>246</v>
      </c>
      <c r="B7500" s="60" t="s">
        <v>2494</v>
      </c>
    </row>
    <row r="7501" ht="12.75" customHeight="1">
      <c r="A7501" s="59" t="s">
        <v>246</v>
      </c>
      <c r="B7501" s="60" t="s">
        <v>2495</v>
      </c>
    </row>
    <row r="7502" ht="12.75" customHeight="1">
      <c r="A7502" s="59" t="s">
        <v>246</v>
      </c>
      <c r="B7502" s="60" t="s">
        <v>2496</v>
      </c>
    </row>
    <row r="7503" ht="12.75" customHeight="1">
      <c r="A7503" s="59" t="s">
        <v>246</v>
      </c>
      <c r="B7503" s="60" t="s">
        <v>2497</v>
      </c>
    </row>
    <row r="7504" ht="12.75" customHeight="1">
      <c r="A7504" s="59" t="s">
        <v>246</v>
      </c>
      <c r="B7504" s="60" t="s">
        <v>2498</v>
      </c>
    </row>
    <row r="7505" ht="12.75" customHeight="1">
      <c r="A7505" s="59" t="s">
        <v>246</v>
      </c>
      <c r="B7505" s="60" t="s">
        <v>2499</v>
      </c>
    </row>
    <row r="7506" ht="12.75" customHeight="1">
      <c r="A7506" s="59" t="s">
        <v>246</v>
      </c>
      <c r="B7506" s="60" t="s">
        <v>2500</v>
      </c>
    </row>
    <row r="7507" ht="12.75" customHeight="1">
      <c r="A7507" s="59" t="s">
        <v>246</v>
      </c>
      <c r="B7507" s="60" t="s">
        <v>2501</v>
      </c>
    </row>
    <row r="7508" ht="12.75" customHeight="1">
      <c r="A7508" s="59" t="s">
        <v>246</v>
      </c>
      <c r="B7508" s="60" t="s">
        <v>2502</v>
      </c>
    </row>
    <row r="7509" ht="12.75" customHeight="1">
      <c r="A7509" s="59" t="s">
        <v>246</v>
      </c>
      <c r="B7509" s="60" t="s">
        <v>2503</v>
      </c>
    </row>
    <row r="7510" ht="12.75" customHeight="1">
      <c r="A7510" s="59" t="s">
        <v>246</v>
      </c>
      <c r="B7510" s="60" t="s">
        <v>2504</v>
      </c>
    </row>
    <row r="7511" ht="12.75" customHeight="1">
      <c r="A7511" s="59" t="s">
        <v>246</v>
      </c>
      <c r="B7511" s="60" t="s">
        <v>2506</v>
      </c>
    </row>
    <row r="7512" ht="12.75" customHeight="1">
      <c r="A7512" s="59" t="s">
        <v>246</v>
      </c>
      <c r="B7512" s="60" t="s">
        <v>2507</v>
      </c>
    </row>
    <row r="7513" ht="12.75" customHeight="1">
      <c r="A7513" s="59" t="s">
        <v>246</v>
      </c>
      <c r="B7513" s="60" t="s">
        <v>2508</v>
      </c>
    </row>
    <row r="7514" ht="12.75" customHeight="1">
      <c r="A7514" s="59" t="s">
        <v>246</v>
      </c>
      <c r="B7514" s="60" t="s">
        <v>2509</v>
      </c>
    </row>
    <row r="7515" ht="12.75" customHeight="1">
      <c r="A7515" s="59" t="s">
        <v>246</v>
      </c>
      <c r="B7515" s="60" t="s">
        <v>2510</v>
      </c>
    </row>
    <row r="7516" ht="12.75" customHeight="1">
      <c r="A7516" s="59" t="s">
        <v>246</v>
      </c>
      <c r="B7516" s="60" t="s">
        <v>2511</v>
      </c>
    </row>
    <row r="7517" ht="12.75" customHeight="1">
      <c r="A7517" s="59" t="s">
        <v>246</v>
      </c>
      <c r="B7517" s="60" t="s">
        <v>2512</v>
      </c>
    </row>
    <row r="7518" ht="12.75" customHeight="1">
      <c r="A7518" s="59" t="s">
        <v>246</v>
      </c>
      <c r="B7518" s="60" t="s">
        <v>2513</v>
      </c>
    </row>
    <row r="7519" ht="12.75" customHeight="1">
      <c r="A7519" s="59" t="s">
        <v>246</v>
      </c>
      <c r="B7519" s="60" t="s">
        <v>2514</v>
      </c>
    </row>
    <row r="7520" ht="12.75" customHeight="1">
      <c r="A7520" s="59" t="s">
        <v>246</v>
      </c>
      <c r="B7520" s="60" t="s">
        <v>2515</v>
      </c>
    </row>
    <row r="7521" ht="12.75" customHeight="1">
      <c r="A7521" s="59" t="s">
        <v>246</v>
      </c>
      <c r="B7521" s="60" t="s">
        <v>2516</v>
      </c>
    </row>
    <row r="7522" ht="12.75" customHeight="1">
      <c r="A7522" s="59" t="s">
        <v>246</v>
      </c>
      <c r="B7522" s="60" t="s">
        <v>2517</v>
      </c>
    </row>
    <row r="7523" ht="12.75" customHeight="1">
      <c r="A7523" s="59" t="s">
        <v>246</v>
      </c>
      <c r="B7523" s="60" t="s">
        <v>2518</v>
      </c>
    </row>
    <row r="7524" ht="12.75" customHeight="1">
      <c r="A7524" s="59" t="s">
        <v>246</v>
      </c>
      <c r="B7524" s="60" t="s">
        <v>2519</v>
      </c>
    </row>
    <row r="7525" ht="12.75" customHeight="1">
      <c r="A7525" s="59" t="s">
        <v>246</v>
      </c>
      <c r="B7525" s="60" t="s">
        <v>2520</v>
      </c>
    </row>
    <row r="7526" ht="12.75" customHeight="1">
      <c r="A7526" s="59" t="s">
        <v>246</v>
      </c>
      <c r="B7526" s="60" t="s">
        <v>2521</v>
      </c>
    </row>
    <row r="7527" ht="12.75" customHeight="1">
      <c r="A7527" s="59" t="s">
        <v>246</v>
      </c>
      <c r="B7527" s="60" t="s">
        <v>2522</v>
      </c>
    </row>
    <row r="7528" ht="12.75" customHeight="1">
      <c r="A7528" s="59" t="s">
        <v>246</v>
      </c>
      <c r="B7528" s="60" t="s">
        <v>2523</v>
      </c>
    </row>
    <row r="7529" ht="12.75" customHeight="1">
      <c r="A7529" s="59" t="s">
        <v>246</v>
      </c>
      <c r="B7529" s="60" t="s">
        <v>2524</v>
      </c>
    </row>
    <row r="7530" ht="12.75" customHeight="1">
      <c r="A7530" s="59" t="s">
        <v>246</v>
      </c>
      <c r="B7530" s="60" t="s">
        <v>2525</v>
      </c>
    </row>
    <row r="7531" ht="12.75" customHeight="1">
      <c r="A7531" s="59" t="s">
        <v>246</v>
      </c>
      <c r="B7531" s="60" t="s">
        <v>2526</v>
      </c>
    </row>
    <row r="7532" ht="12.75" customHeight="1">
      <c r="A7532" s="59" t="s">
        <v>246</v>
      </c>
      <c r="B7532" s="60" t="s">
        <v>2527</v>
      </c>
    </row>
    <row r="7533" ht="12.75" customHeight="1">
      <c r="A7533" s="59" t="s">
        <v>246</v>
      </c>
      <c r="B7533" s="60" t="s">
        <v>2528</v>
      </c>
    </row>
    <row r="7534" ht="12.75" customHeight="1">
      <c r="A7534" s="59" t="s">
        <v>246</v>
      </c>
      <c r="B7534" s="60" t="s">
        <v>2529</v>
      </c>
    </row>
    <row r="7535" ht="12.75" customHeight="1">
      <c r="A7535" s="59" t="s">
        <v>246</v>
      </c>
      <c r="B7535" s="60" t="s">
        <v>2530</v>
      </c>
    </row>
    <row r="7536" ht="12.75" customHeight="1">
      <c r="A7536" s="59" t="s">
        <v>246</v>
      </c>
      <c r="B7536" s="60" t="s">
        <v>2531</v>
      </c>
    </row>
    <row r="7537" ht="12.75" customHeight="1">
      <c r="A7537" s="59" t="s">
        <v>246</v>
      </c>
      <c r="B7537" s="60" t="s">
        <v>2532</v>
      </c>
    </row>
    <row r="7538" ht="12.75" customHeight="1">
      <c r="A7538" s="59" t="s">
        <v>246</v>
      </c>
      <c r="B7538" s="60" t="s">
        <v>2533</v>
      </c>
    </row>
    <row r="7539" ht="12.75" customHeight="1">
      <c r="A7539" s="59" t="s">
        <v>246</v>
      </c>
      <c r="B7539" s="60" t="s">
        <v>2534</v>
      </c>
    </row>
    <row r="7540" ht="12.75" customHeight="1">
      <c r="A7540" s="59" t="s">
        <v>246</v>
      </c>
      <c r="B7540" s="60" t="s">
        <v>2535</v>
      </c>
    </row>
    <row r="7541" ht="12.75" customHeight="1">
      <c r="A7541" s="59" t="s">
        <v>246</v>
      </c>
      <c r="B7541" s="60" t="s">
        <v>2536</v>
      </c>
    </row>
    <row r="7542" ht="12.75" customHeight="1">
      <c r="A7542" s="59" t="s">
        <v>246</v>
      </c>
      <c r="B7542" s="60" t="s">
        <v>2537</v>
      </c>
    </row>
    <row r="7543" ht="12.75" customHeight="1">
      <c r="A7543" s="59" t="s">
        <v>246</v>
      </c>
      <c r="B7543" s="60" t="s">
        <v>2538</v>
      </c>
    </row>
    <row r="7544" ht="12.75" customHeight="1">
      <c r="A7544" s="59" t="s">
        <v>246</v>
      </c>
      <c r="B7544" s="60" t="s">
        <v>2539</v>
      </c>
    </row>
    <row r="7545" ht="12.75" customHeight="1">
      <c r="A7545" s="59" t="s">
        <v>246</v>
      </c>
      <c r="B7545" s="60" t="s">
        <v>2540</v>
      </c>
    </row>
    <row r="7546" ht="12.75" customHeight="1">
      <c r="A7546" s="59" t="s">
        <v>246</v>
      </c>
      <c r="B7546" s="60" t="s">
        <v>2541</v>
      </c>
    </row>
    <row r="7547" ht="12.75" customHeight="1">
      <c r="A7547" s="59" t="s">
        <v>246</v>
      </c>
      <c r="B7547" s="60" t="s">
        <v>2542</v>
      </c>
    </row>
    <row r="7548" ht="12.75" customHeight="1">
      <c r="A7548" s="59" t="s">
        <v>246</v>
      </c>
      <c r="B7548" s="60" t="s">
        <v>2543</v>
      </c>
    </row>
    <row r="7549" ht="12.75" customHeight="1">
      <c r="A7549" s="59" t="s">
        <v>246</v>
      </c>
      <c r="B7549" s="60" t="s">
        <v>2544</v>
      </c>
    </row>
    <row r="7550" ht="12.75" customHeight="1">
      <c r="A7550" s="59" t="s">
        <v>246</v>
      </c>
      <c r="B7550" s="60" t="s">
        <v>2545</v>
      </c>
    </row>
    <row r="7551" ht="12.75" customHeight="1">
      <c r="A7551" s="59" t="s">
        <v>246</v>
      </c>
      <c r="B7551" s="60" t="s">
        <v>2546</v>
      </c>
    </row>
    <row r="7552" ht="12.75" customHeight="1">
      <c r="A7552" s="59" t="s">
        <v>246</v>
      </c>
      <c r="B7552" s="60" t="s">
        <v>2547</v>
      </c>
    </row>
    <row r="7553" ht="12.75" customHeight="1">
      <c r="A7553" s="59" t="s">
        <v>246</v>
      </c>
      <c r="B7553" s="60" t="s">
        <v>2548</v>
      </c>
    </row>
    <row r="7554" ht="12.75" customHeight="1">
      <c r="A7554" s="59" t="s">
        <v>246</v>
      </c>
      <c r="B7554" s="60" t="s">
        <v>2549</v>
      </c>
    </row>
    <row r="7555" ht="12.75" customHeight="1">
      <c r="A7555" s="59" t="s">
        <v>246</v>
      </c>
      <c r="B7555" s="60" t="s">
        <v>2550</v>
      </c>
    </row>
    <row r="7556" ht="12.75" customHeight="1">
      <c r="A7556" s="59" t="s">
        <v>246</v>
      </c>
      <c r="B7556" s="60" t="s">
        <v>2551</v>
      </c>
    </row>
    <row r="7557" ht="12.75" customHeight="1">
      <c r="A7557" s="59" t="s">
        <v>246</v>
      </c>
      <c r="B7557" s="60" t="s">
        <v>2552</v>
      </c>
    </row>
    <row r="7558" ht="12.75" customHeight="1">
      <c r="A7558" s="59" t="s">
        <v>246</v>
      </c>
      <c r="B7558" s="60" t="s">
        <v>2553</v>
      </c>
    </row>
    <row r="7559" ht="12.75" customHeight="1">
      <c r="A7559" s="59" t="s">
        <v>246</v>
      </c>
      <c r="B7559" s="60" t="s">
        <v>2554</v>
      </c>
    </row>
    <row r="7560" ht="12.75" customHeight="1">
      <c r="A7560" s="59" t="s">
        <v>246</v>
      </c>
      <c r="B7560" s="60" t="s">
        <v>2555</v>
      </c>
    </row>
    <row r="7561" ht="12.75" customHeight="1">
      <c r="A7561" s="59" t="s">
        <v>246</v>
      </c>
      <c r="B7561" s="60" t="s">
        <v>2556</v>
      </c>
    </row>
    <row r="7562" ht="12.75" customHeight="1">
      <c r="A7562" s="59" t="s">
        <v>246</v>
      </c>
      <c r="B7562" s="60" t="s">
        <v>2557</v>
      </c>
    </row>
    <row r="7563" ht="12.75" customHeight="1">
      <c r="A7563" s="59" t="s">
        <v>246</v>
      </c>
      <c r="B7563" s="60" t="s">
        <v>2558</v>
      </c>
    </row>
    <row r="7564" ht="12.75" customHeight="1">
      <c r="A7564" s="59" t="s">
        <v>246</v>
      </c>
      <c r="B7564" s="60" t="s">
        <v>2559</v>
      </c>
    </row>
    <row r="7565" ht="12.75" customHeight="1">
      <c r="A7565" s="59" t="s">
        <v>246</v>
      </c>
      <c r="B7565" s="60" t="s">
        <v>2560</v>
      </c>
    </row>
    <row r="7566" ht="12.75" customHeight="1">
      <c r="A7566" s="59" t="s">
        <v>246</v>
      </c>
      <c r="B7566" s="60" t="s">
        <v>2561</v>
      </c>
    </row>
    <row r="7567" ht="12.75" customHeight="1">
      <c r="A7567" s="59" t="s">
        <v>246</v>
      </c>
      <c r="B7567" s="60" t="s">
        <v>2562</v>
      </c>
    </row>
    <row r="7568" ht="12.75" customHeight="1">
      <c r="A7568" s="59" t="s">
        <v>246</v>
      </c>
      <c r="B7568" s="60" t="s">
        <v>2563</v>
      </c>
    </row>
    <row r="7569" ht="12.75" customHeight="1">
      <c r="A7569" s="59" t="s">
        <v>246</v>
      </c>
      <c r="B7569" s="60" t="s">
        <v>2564</v>
      </c>
    </row>
    <row r="7570" ht="12.75" customHeight="1">
      <c r="A7570" s="59" t="s">
        <v>246</v>
      </c>
      <c r="B7570" s="60" t="s">
        <v>2565</v>
      </c>
    </row>
    <row r="7571" ht="12.75" customHeight="1">
      <c r="A7571" s="59" t="s">
        <v>246</v>
      </c>
      <c r="B7571" s="60" t="s">
        <v>2566</v>
      </c>
    </row>
    <row r="7572" ht="12.75" customHeight="1">
      <c r="A7572" s="59" t="s">
        <v>246</v>
      </c>
      <c r="B7572" s="60" t="s">
        <v>2567</v>
      </c>
    </row>
    <row r="7573" ht="12.75" customHeight="1">
      <c r="A7573" s="59" t="s">
        <v>246</v>
      </c>
      <c r="B7573" s="60" t="s">
        <v>2568</v>
      </c>
    </row>
    <row r="7574" ht="12.75" customHeight="1">
      <c r="A7574" s="59" t="s">
        <v>246</v>
      </c>
      <c r="B7574" s="60" t="s">
        <v>2569</v>
      </c>
    </row>
    <row r="7575" ht="12.75" customHeight="1">
      <c r="A7575" s="59" t="s">
        <v>246</v>
      </c>
      <c r="B7575" s="60" t="s">
        <v>2570</v>
      </c>
    </row>
    <row r="7576" ht="12.75" customHeight="1">
      <c r="A7576" s="59" t="s">
        <v>246</v>
      </c>
      <c r="B7576" s="60" t="s">
        <v>2571</v>
      </c>
    </row>
    <row r="7577" ht="12.75" customHeight="1">
      <c r="A7577" s="59" t="s">
        <v>246</v>
      </c>
      <c r="B7577" s="60" t="s">
        <v>2572</v>
      </c>
    </row>
    <row r="7578" ht="12.75" customHeight="1">
      <c r="A7578" s="59" t="s">
        <v>246</v>
      </c>
      <c r="B7578" s="60" t="s">
        <v>2573</v>
      </c>
    </row>
    <row r="7579" ht="12.75" customHeight="1">
      <c r="A7579" s="59" t="s">
        <v>246</v>
      </c>
      <c r="B7579" s="60" t="s">
        <v>2574</v>
      </c>
    </row>
    <row r="7580" ht="12.75" customHeight="1">
      <c r="A7580" s="59" t="s">
        <v>246</v>
      </c>
      <c r="B7580" s="60" t="s">
        <v>2575</v>
      </c>
    </row>
    <row r="7581" ht="12.75" customHeight="1">
      <c r="A7581" s="59" t="s">
        <v>246</v>
      </c>
      <c r="B7581" s="60" t="s">
        <v>2576</v>
      </c>
    </row>
    <row r="7582" ht="12.75" customHeight="1">
      <c r="A7582" s="59" t="s">
        <v>246</v>
      </c>
      <c r="B7582" s="60" t="s">
        <v>2577</v>
      </c>
    </row>
    <row r="7583" ht="12.75" customHeight="1">
      <c r="A7583" s="59" t="s">
        <v>246</v>
      </c>
      <c r="B7583" s="60" t="s">
        <v>2578</v>
      </c>
    </row>
    <row r="7584" ht="12.75" customHeight="1">
      <c r="A7584" s="59" t="s">
        <v>246</v>
      </c>
      <c r="B7584" s="60" t="s">
        <v>2579</v>
      </c>
    </row>
    <row r="7585" ht="12.75" customHeight="1">
      <c r="A7585" s="59" t="s">
        <v>246</v>
      </c>
      <c r="B7585" s="60" t="s">
        <v>2580</v>
      </c>
    </row>
    <row r="7586" ht="12.75" customHeight="1">
      <c r="A7586" s="59" t="s">
        <v>246</v>
      </c>
      <c r="B7586" s="60" t="s">
        <v>2581</v>
      </c>
    </row>
    <row r="7587" ht="12.75" customHeight="1">
      <c r="A7587" s="59" t="s">
        <v>246</v>
      </c>
      <c r="B7587" s="60" t="s">
        <v>2582</v>
      </c>
    </row>
    <row r="7588" ht="12.75" customHeight="1">
      <c r="A7588" s="59" t="s">
        <v>246</v>
      </c>
      <c r="B7588" s="60" t="s">
        <v>2583</v>
      </c>
    </row>
    <row r="7589" ht="12.75" customHeight="1">
      <c r="A7589" s="59" t="s">
        <v>246</v>
      </c>
      <c r="B7589" s="60" t="s">
        <v>2584</v>
      </c>
    </row>
    <row r="7590" ht="12.75" customHeight="1">
      <c r="A7590" s="59" t="s">
        <v>246</v>
      </c>
      <c r="B7590" s="60" t="s">
        <v>2585</v>
      </c>
    </row>
    <row r="7591" ht="12.75" customHeight="1">
      <c r="A7591" s="59" t="s">
        <v>246</v>
      </c>
      <c r="B7591" s="60" t="s">
        <v>2586</v>
      </c>
    </row>
    <row r="7592" ht="12.75" customHeight="1">
      <c r="A7592" s="59" t="s">
        <v>246</v>
      </c>
      <c r="B7592" s="60" t="s">
        <v>2587</v>
      </c>
    </row>
    <row r="7593" ht="12.75" customHeight="1">
      <c r="A7593" s="59" t="s">
        <v>246</v>
      </c>
      <c r="B7593" s="60" t="s">
        <v>2588</v>
      </c>
    </row>
    <row r="7594" ht="12.75" customHeight="1">
      <c r="A7594" s="59" t="s">
        <v>246</v>
      </c>
      <c r="B7594" s="60" t="s">
        <v>2589</v>
      </c>
    </row>
    <row r="7595" ht="12.75" customHeight="1">
      <c r="A7595" s="59" t="s">
        <v>246</v>
      </c>
      <c r="B7595" s="60" t="s">
        <v>2590</v>
      </c>
    </row>
    <row r="7596" ht="12.75" customHeight="1">
      <c r="A7596" s="59" t="s">
        <v>246</v>
      </c>
      <c r="B7596" s="60" t="s">
        <v>2591</v>
      </c>
    </row>
    <row r="7597" ht="12.75" customHeight="1">
      <c r="A7597" s="59" t="s">
        <v>246</v>
      </c>
      <c r="B7597" s="60" t="s">
        <v>2592</v>
      </c>
    </row>
    <row r="7598" ht="12.75" customHeight="1">
      <c r="A7598" s="59" t="s">
        <v>246</v>
      </c>
      <c r="B7598" s="60" t="s">
        <v>2593</v>
      </c>
    </row>
    <row r="7599" ht="12.75" customHeight="1">
      <c r="A7599" s="59" t="s">
        <v>246</v>
      </c>
      <c r="B7599" s="60" t="s">
        <v>2594</v>
      </c>
    </row>
    <row r="7600" ht="12.75" customHeight="1">
      <c r="A7600" s="59" t="s">
        <v>246</v>
      </c>
      <c r="B7600" s="60" t="s">
        <v>2595</v>
      </c>
    </row>
    <row r="7601" ht="12.75" customHeight="1">
      <c r="A7601" s="59" t="s">
        <v>246</v>
      </c>
      <c r="B7601" s="60" t="s">
        <v>2596</v>
      </c>
    </row>
    <row r="7602" ht="12.75" customHeight="1">
      <c r="A7602" s="59" t="s">
        <v>246</v>
      </c>
      <c r="B7602" s="60" t="s">
        <v>2597</v>
      </c>
    </row>
    <row r="7603" ht="12.75" customHeight="1">
      <c r="A7603" s="59" t="s">
        <v>246</v>
      </c>
      <c r="B7603" s="60" t="s">
        <v>2598</v>
      </c>
    </row>
    <row r="7604" ht="12.75" customHeight="1">
      <c r="A7604" s="59" t="s">
        <v>246</v>
      </c>
      <c r="B7604" s="60" t="s">
        <v>2599</v>
      </c>
    </row>
    <row r="7605" ht="12.75" customHeight="1">
      <c r="A7605" s="59" t="s">
        <v>246</v>
      </c>
      <c r="B7605" s="60" t="s">
        <v>2600</v>
      </c>
    </row>
    <row r="7606" ht="12.75" customHeight="1">
      <c r="A7606" s="59" t="s">
        <v>246</v>
      </c>
      <c r="B7606" s="60" t="s">
        <v>2601</v>
      </c>
    </row>
    <row r="7607" ht="12.75" customHeight="1">
      <c r="A7607" s="59" t="s">
        <v>246</v>
      </c>
      <c r="B7607" s="60" t="s">
        <v>2602</v>
      </c>
    </row>
    <row r="7608" ht="12.75" customHeight="1">
      <c r="A7608" s="59" t="s">
        <v>246</v>
      </c>
      <c r="B7608" s="60" t="s">
        <v>2603</v>
      </c>
    </row>
    <row r="7609" ht="12.75" customHeight="1">
      <c r="A7609" s="59" t="s">
        <v>246</v>
      </c>
      <c r="B7609" s="60" t="s">
        <v>2604</v>
      </c>
    </row>
    <row r="7610" ht="12.75" customHeight="1">
      <c r="A7610" s="59" t="s">
        <v>246</v>
      </c>
      <c r="B7610" s="60" t="s">
        <v>2605</v>
      </c>
    </row>
    <row r="7611" ht="12.75" customHeight="1">
      <c r="A7611" s="59" t="s">
        <v>246</v>
      </c>
      <c r="B7611" s="60" t="s">
        <v>2606</v>
      </c>
    </row>
    <row r="7612" ht="12.75" customHeight="1">
      <c r="A7612" s="59" t="s">
        <v>246</v>
      </c>
      <c r="B7612" s="60" t="s">
        <v>2607</v>
      </c>
    </row>
    <row r="7613" ht="12.75" customHeight="1">
      <c r="A7613" s="59" t="s">
        <v>246</v>
      </c>
      <c r="B7613" s="60" t="s">
        <v>2608</v>
      </c>
    </row>
    <row r="7614" ht="12.75" customHeight="1">
      <c r="A7614" s="59" t="s">
        <v>246</v>
      </c>
      <c r="B7614" s="60" t="s">
        <v>2609</v>
      </c>
    </row>
    <row r="7615" ht="12.75" customHeight="1">
      <c r="A7615" s="59" t="s">
        <v>246</v>
      </c>
      <c r="B7615" s="60" t="s">
        <v>2610</v>
      </c>
    </row>
    <row r="7616" ht="12.75" customHeight="1">
      <c r="A7616" s="59" t="s">
        <v>246</v>
      </c>
      <c r="B7616" s="60" t="s">
        <v>2611</v>
      </c>
    </row>
    <row r="7617" ht="12.75" customHeight="1">
      <c r="A7617" s="59" t="s">
        <v>246</v>
      </c>
      <c r="B7617" s="60" t="s">
        <v>2612</v>
      </c>
    </row>
    <row r="7618" ht="12.75" customHeight="1">
      <c r="A7618" s="59" t="s">
        <v>246</v>
      </c>
      <c r="B7618" s="60" t="s">
        <v>2613</v>
      </c>
    </row>
    <row r="7619" ht="12.75" customHeight="1">
      <c r="A7619" s="59" t="s">
        <v>246</v>
      </c>
      <c r="B7619" s="60" t="s">
        <v>2614</v>
      </c>
    </row>
    <row r="7620" ht="12.75" customHeight="1">
      <c r="A7620" s="59" t="s">
        <v>246</v>
      </c>
      <c r="B7620" s="60" t="s">
        <v>2615</v>
      </c>
    </row>
    <row r="7621" ht="12.75" customHeight="1">
      <c r="A7621" s="59" t="s">
        <v>246</v>
      </c>
      <c r="B7621" s="60" t="s">
        <v>2616</v>
      </c>
    </row>
    <row r="7622" ht="12.75" customHeight="1">
      <c r="A7622" s="59" t="s">
        <v>246</v>
      </c>
      <c r="B7622" s="60" t="s">
        <v>2617</v>
      </c>
    </row>
    <row r="7623" ht="12.75" customHeight="1">
      <c r="A7623" s="59" t="s">
        <v>246</v>
      </c>
      <c r="B7623" s="60" t="s">
        <v>2618</v>
      </c>
    </row>
    <row r="7624" ht="12.75" customHeight="1">
      <c r="A7624" s="59" t="s">
        <v>246</v>
      </c>
      <c r="B7624" s="60" t="s">
        <v>2619</v>
      </c>
    </row>
    <row r="7625" ht="12.75" customHeight="1">
      <c r="A7625" s="59" t="s">
        <v>246</v>
      </c>
      <c r="B7625" s="60" t="s">
        <v>2620</v>
      </c>
    </row>
    <row r="7626" ht="12.75" customHeight="1">
      <c r="A7626" s="59" t="s">
        <v>246</v>
      </c>
      <c r="B7626" s="60" t="s">
        <v>2621</v>
      </c>
    </row>
    <row r="7627" ht="12.75" customHeight="1">
      <c r="A7627" s="59" t="s">
        <v>246</v>
      </c>
      <c r="B7627" s="60" t="s">
        <v>2622</v>
      </c>
    </row>
    <row r="7628" ht="12.75" customHeight="1">
      <c r="A7628" s="59" t="s">
        <v>246</v>
      </c>
      <c r="B7628" s="60" t="s">
        <v>2623</v>
      </c>
    </row>
    <row r="7629" ht="12.75" customHeight="1">
      <c r="A7629" s="59" t="s">
        <v>246</v>
      </c>
      <c r="B7629" s="60" t="s">
        <v>2624</v>
      </c>
    </row>
    <row r="7630" ht="12.75" customHeight="1">
      <c r="A7630" s="59" t="s">
        <v>246</v>
      </c>
      <c r="B7630" s="60" t="s">
        <v>2625</v>
      </c>
    </row>
    <row r="7631" ht="12.75" customHeight="1">
      <c r="A7631" s="59" t="s">
        <v>246</v>
      </c>
      <c r="B7631" s="60" t="s">
        <v>2626</v>
      </c>
    </row>
    <row r="7632" ht="12.75" customHeight="1">
      <c r="A7632" s="59" t="s">
        <v>246</v>
      </c>
      <c r="B7632" s="60" t="s">
        <v>1415</v>
      </c>
    </row>
    <row r="7633" ht="12.75" customHeight="1">
      <c r="A7633" s="59" t="s">
        <v>246</v>
      </c>
      <c r="B7633" s="60" t="s">
        <v>1418</v>
      </c>
    </row>
    <row r="7634" ht="12.75" customHeight="1">
      <c r="A7634" s="59" t="s">
        <v>246</v>
      </c>
      <c r="B7634" s="60" t="s">
        <v>1427</v>
      </c>
    </row>
    <row r="7635" ht="12.75" customHeight="1">
      <c r="A7635" s="59" t="s">
        <v>246</v>
      </c>
      <c r="B7635" s="60" t="s">
        <v>1436</v>
      </c>
    </row>
    <row r="7636" ht="12.75" customHeight="1">
      <c r="A7636" s="59" t="s">
        <v>246</v>
      </c>
      <c r="B7636" s="60" t="s">
        <v>1563</v>
      </c>
    </row>
    <row r="7637" ht="12.75" customHeight="1">
      <c r="A7637" s="59" t="s">
        <v>246</v>
      </c>
      <c r="B7637" s="60" t="s">
        <v>1571</v>
      </c>
    </row>
    <row r="7638" ht="12.75" customHeight="1">
      <c r="A7638" s="59" t="s">
        <v>246</v>
      </c>
      <c r="B7638" s="60" t="s">
        <v>1578</v>
      </c>
    </row>
    <row r="7639" ht="12.75" customHeight="1">
      <c r="A7639" s="59" t="s">
        <v>246</v>
      </c>
      <c r="B7639" s="60" t="s">
        <v>2627</v>
      </c>
    </row>
    <row r="7640" ht="12.75" customHeight="1">
      <c r="A7640" s="59" t="s">
        <v>246</v>
      </c>
      <c r="B7640" s="60" t="s">
        <v>2628</v>
      </c>
    </row>
    <row r="7641" ht="12.75" customHeight="1">
      <c r="A7641" s="59" t="s">
        <v>246</v>
      </c>
      <c r="B7641" s="60" t="s">
        <v>2629</v>
      </c>
    </row>
    <row r="7642" ht="12.75" customHeight="1">
      <c r="A7642" s="59" t="s">
        <v>246</v>
      </c>
      <c r="B7642" s="60" t="s">
        <v>2630</v>
      </c>
    </row>
    <row r="7643" ht="12.75" customHeight="1">
      <c r="A7643" s="59" t="s">
        <v>246</v>
      </c>
      <c r="B7643" s="60" t="s">
        <v>2631</v>
      </c>
    </row>
    <row r="7644" ht="12.75" customHeight="1">
      <c r="A7644" s="59" t="s">
        <v>246</v>
      </c>
      <c r="B7644" s="60" t="s">
        <v>2632</v>
      </c>
    </row>
    <row r="7645" ht="12.75" customHeight="1">
      <c r="A7645" s="59" t="s">
        <v>246</v>
      </c>
      <c r="B7645" s="60" t="s">
        <v>2633</v>
      </c>
    </row>
    <row r="7646" ht="12.75" customHeight="1">
      <c r="A7646" s="59" t="s">
        <v>246</v>
      </c>
      <c r="B7646" s="60" t="s">
        <v>2634</v>
      </c>
    </row>
    <row r="7647" ht="12.75" customHeight="1">
      <c r="A7647" s="59" t="s">
        <v>246</v>
      </c>
      <c r="B7647" s="60" t="s">
        <v>2635</v>
      </c>
    </row>
    <row r="7648" ht="12.75" customHeight="1">
      <c r="A7648" s="59" t="s">
        <v>246</v>
      </c>
      <c r="B7648" s="60" t="s">
        <v>2636</v>
      </c>
    </row>
    <row r="7649" ht="12.75" customHeight="1">
      <c r="A7649" s="59" t="s">
        <v>246</v>
      </c>
      <c r="B7649" s="60" t="s">
        <v>2637</v>
      </c>
    </row>
    <row r="7650" ht="12.75" customHeight="1">
      <c r="A7650" s="59" t="s">
        <v>246</v>
      </c>
      <c r="B7650" s="60" t="s">
        <v>2638</v>
      </c>
    </row>
    <row r="7651" ht="12.75" customHeight="1">
      <c r="A7651" s="59" t="s">
        <v>246</v>
      </c>
      <c r="B7651" s="60" t="s">
        <v>2639</v>
      </c>
    </row>
    <row r="7652" ht="12.75" customHeight="1">
      <c r="A7652" s="59" t="s">
        <v>246</v>
      </c>
      <c r="B7652" s="60" t="s">
        <v>2640</v>
      </c>
    </row>
    <row r="7653" ht="12.75" customHeight="1">
      <c r="A7653" s="59" t="s">
        <v>246</v>
      </c>
      <c r="B7653" s="60" t="s">
        <v>2641</v>
      </c>
    </row>
    <row r="7654" ht="12.75" customHeight="1">
      <c r="A7654" s="59" t="s">
        <v>246</v>
      </c>
      <c r="B7654" s="60" t="s">
        <v>2642</v>
      </c>
    </row>
    <row r="7655" ht="12.75" customHeight="1">
      <c r="A7655" s="59" t="s">
        <v>246</v>
      </c>
      <c r="B7655" s="60" t="s">
        <v>2643</v>
      </c>
    </row>
    <row r="7656" ht="12.75" customHeight="1">
      <c r="A7656" s="59" t="s">
        <v>246</v>
      </c>
      <c r="B7656" s="60" t="s">
        <v>2644</v>
      </c>
    </row>
    <row r="7657" ht="12.75" customHeight="1">
      <c r="A7657" s="59" t="s">
        <v>246</v>
      </c>
      <c r="B7657" s="60" t="s">
        <v>2645</v>
      </c>
    </row>
    <row r="7658" ht="12.75" customHeight="1">
      <c r="A7658" s="59" t="s">
        <v>246</v>
      </c>
      <c r="B7658" s="60" t="s">
        <v>2646</v>
      </c>
    </row>
    <row r="7659" ht="12.75" customHeight="1">
      <c r="A7659" s="59" t="s">
        <v>246</v>
      </c>
      <c r="B7659" s="60" t="s">
        <v>2647</v>
      </c>
    </row>
    <row r="7660" ht="12.75" customHeight="1">
      <c r="A7660" s="59" t="s">
        <v>246</v>
      </c>
      <c r="B7660" s="60" t="s">
        <v>2648</v>
      </c>
    </row>
    <row r="7661" ht="12.75" customHeight="1">
      <c r="A7661" s="59" t="s">
        <v>246</v>
      </c>
      <c r="B7661" s="60" t="s">
        <v>2649</v>
      </c>
    </row>
    <row r="7662" ht="12.75" customHeight="1">
      <c r="A7662" s="59" t="s">
        <v>246</v>
      </c>
      <c r="B7662" s="60" t="s">
        <v>2650</v>
      </c>
    </row>
    <row r="7663" ht="12.75" customHeight="1">
      <c r="A7663" s="59" t="s">
        <v>251</v>
      </c>
      <c r="B7663" s="60" t="s">
        <v>2453</v>
      </c>
    </row>
    <row r="7664" ht="12.75" customHeight="1">
      <c r="A7664" s="59" t="s">
        <v>251</v>
      </c>
      <c r="B7664" s="60" t="s">
        <v>2505</v>
      </c>
    </row>
    <row r="7665" ht="12.75" customHeight="1">
      <c r="A7665" s="59" t="s">
        <v>251</v>
      </c>
      <c r="B7665" s="60" t="s">
        <v>2455</v>
      </c>
    </row>
    <row r="7666" ht="12.75" customHeight="1">
      <c r="A7666" s="59" t="s">
        <v>251</v>
      </c>
      <c r="B7666" s="60" t="s">
        <v>2456</v>
      </c>
    </row>
    <row r="7667" ht="12.75" customHeight="1">
      <c r="A7667" s="59" t="s">
        <v>251</v>
      </c>
      <c r="B7667" s="60" t="s">
        <v>2457</v>
      </c>
    </row>
    <row r="7668" ht="12.75" customHeight="1">
      <c r="A7668" s="59" t="s">
        <v>251</v>
      </c>
      <c r="B7668" s="60" t="s">
        <v>2458</v>
      </c>
    </row>
    <row r="7669" ht="12.75" customHeight="1">
      <c r="A7669" s="59" t="s">
        <v>251</v>
      </c>
      <c r="B7669" s="60" t="s">
        <v>2459</v>
      </c>
    </row>
    <row r="7670" ht="12.75" customHeight="1">
      <c r="A7670" s="59" t="s">
        <v>251</v>
      </c>
      <c r="B7670" s="60" t="s">
        <v>2460</v>
      </c>
    </row>
    <row r="7671" ht="12.75" customHeight="1">
      <c r="A7671" s="59" t="s">
        <v>251</v>
      </c>
      <c r="B7671" s="60" t="s">
        <v>2461</v>
      </c>
    </row>
    <row r="7672" ht="12.75" customHeight="1">
      <c r="A7672" s="59" t="s">
        <v>251</v>
      </c>
      <c r="B7672" s="60" t="s">
        <v>2462</v>
      </c>
    </row>
    <row r="7673" ht="12.75" customHeight="1">
      <c r="A7673" s="59" t="s">
        <v>251</v>
      </c>
      <c r="B7673" s="60" t="s">
        <v>2463</v>
      </c>
    </row>
    <row r="7674" ht="12.75" customHeight="1">
      <c r="A7674" s="59" t="s">
        <v>251</v>
      </c>
      <c r="B7674" s="60" t="s">
        <v>2464</v>
      </c>
    </row>
    <row r="7675" ht="12.75" customHeight="1">
      <c r="A7675" s="59" t="s">
        <v>251</v>
      </c>
      <c r="B7675" s="60" t="s">
        <v>2465</v>
      </c>
    </row>
    <row r="7676" ht="12.75" customHeight="1">
      <c r="A7676" s="59" t="s">
        <v>251</v>
      </c>
      <c r="B7676" s="60" t="s">
        <v>2466</v>
      </c>
    </row>
    <row r="7677" ht="12.75" customHeight="1">
      <c r="A7677" s="59" t="s">
        <v>251</v>
      </c>
      <c r="B7677" s="60" t="s">
        <v>2468</v>
      </c>
    </row>
    <row r="7678" ht="12.75" customHeight="1">
      <c r="A7678" s="59" t="s">
        <v>251</v>
      </c>
      <c r="B7678" s="60" t="s">
        <v>2469</v>
      </c>
    </row>
    <row r="7679" ht="12.75" customHeight="1">
      <c r="A7679" s="59" t="s">
        <v>251</v>
      </c>
      <c r="B7679" s="60" t="s">
        <v>2470</v>
      </c>
    </row>
    <row r="7680" ht="12.75" customHeight="1">
      <c r="A7680" s="59" t="s">
        <v>251</v>
      </c>
      <c r="B7680" s="60" t="s">
        <v>2471</v>
      </c>
    </row>
    <row r="7681" ht="12.75" customHeight="1">
      <c r="A7681" s="59" t="s">
        <v>251</v>
      </c>
      <c r="B7681" s="60" t="s">
        <v>2472</v>
      </c>
    </row>
    <row r="7682" ht="12.75" customHeight="1">
      <c r="A7682" s="59" t="s">
        <v>251</v>
      </c>
      <c r="B7682" s="60" t="s">
        <v>2473</v>
      </c>
    </row>
    <row r="7683" ht="12.75" customHeight="1">
      <c r="A7683" s="59" t="s">
        <v>251</v>
      </c>
      <c r="B7683" s="60" t="s">
        <v>2474</v>
      </c>
    </row>
    <row r="7684" ht="12.75" customHeight="1">
      <c r="A7684" s="59" t="s">
        <v>251</v>
      </c>
      <c r="B7684" s="60" t="s">
        <v>2475</v>
      </c>
    </row>
    <row r="7685" ht="12.75" customHeight="1">
      <c r="A7685" s="59" t="s">
        <v>251</v>
      </c>
      <c r="B7685" s="60" t="s">
        <v>2476</v>
      </c>
    </row>
    <row r="7686" ht="12.75" customHeight="1">
      <c r="A7686" s="59" t="s">
        <v>251</v>
      </c>
      <c r="B7686" s="60" t="s">
        <v>2477</v>
      </c>
    </row>
    <row r="7687" ht="12.75" customHeight="1">
      <c r="A7687" s="59" t="s">
        <v>251</v>
      </c>
      <c r="B7687" s="60" t="s">
        <v>2478</v>
      </c>
    </row>
    <row r="7688" ht="12.75" customHeight="1">
      <c r="A7688" s="59" t="s">
        <v>251</v>
      </c>
      <c r="B7688" s="60" t="s">
        <v>2479</v>
      </c>
    </row>
    <row r="7689" ht="12.75" customHeight="1">
      <c r="A7689" s="59" t="s">
        <v>251</v>
      </c>
      <c r="B7689" s="60" t="s">
        <v>2480</v>
      </c>
    </row>
    <row r="7690" ht="12.75" customHeight="1">
      <c r="A7690" s="59" t="s">
        <v>251</v>
      </c>
      <c r="B7690" s="60" t="s">
        <v>2481</v>
      </c>
    </row>
    <row r="7691" ht="12.75" customHeight="1">
      <c r="A7691" s="59" t="s">
        <v>251</v>
      </c>
      <c r="B7691" s="60" t="s">
        <v>2483</v>
      </c>
    </row>
    <row r="7692" ht="12.75" customHeight="1">
      <c r="A7692" s="59" t="s">
        <v>251</v>
      </c>
      <c r="B7692" s="60" t="s">
        <v>2484</v>
      </c>
    </row>
    <row r="7693" ht="12.75" customHeight="1">
      <c r="A7693" s="59" t="s">
        <v>251</v>
      </c>
      <c r="B7693" s="60" t="s">
        <v>2485</v>
      </c>
    </row>
    <row r="7694" ht="12.75" customHeight="1">
      <c r="A7694" s="59" t="s">
        <v>251</v>
      </c>
      <c r="B7694" s="60" t="s">
        <v>2486</v>
      </c>
    </row>
    <row r="7695" ht="12.75" customHeight="1">
      <c r="A7695" s="59" t="s">
        <v>251</v>
      </c>
      <c r="B7695" s="60" t="s">
        <v>2487</v>
      </c>
    </row>
    <row r="7696" ht="12.75" customHeight="1">
      <c r="A7696" s="59" t="s">
        <v>251</v>
      </c>
      <c r="B7696" s="60" t="s">
        <v>2488</v>
      </c>
    </row>
    <row r="7697" ht="12.75" customHeight="1">
      <c r="A7697" s="59" t="s">
        <v>251</v>
      </c>
      <c r="B7697" s="60" t="s">
        <v>2489</v>
      </c>
    </row>
    <row r="7698" ht="12.75" customHeight="1">
      <c r="A7698" s="59" t="s">
        <v>251</v>
      </c>
      <c r="B7698" s="60" t="s">
        <v>2491</v>
      </c>
    </row>
    <row r="7699" ht="12.75" customHeight="1">
      <c r="A7699" s="59" t="s">
        <v>251</v>
      </c>
      <c r="B7699" s="60" t="s">
        <v>2492</v>
      </c>
    </row>
    <row r="7700" ht="12.75" customHeight="1">
      <c r="A7700" s="59" t="s">
        <v>251</v>
      </c>
      <c r="B7700" s="60" t="s">
        <v>2493</v>
      </c>
    </row>
    <row r="7701" ht="12.75" customHeight="1">
      <c r="A7701" s="59" t="s">
        <v>251</v>
      </c>
      <c r="B7701" s="60" t="s">
        <v>2494</v>
      </c>
    </row>
    <row r="7702" ht="12.75" customHeight="1">
      <c r="A7702" s="59" t="s">
        <v>251</v>
      </c>
      <c r="B7702" s="60" t="s">
        <v>2495</v>
      </c>
    </row>
    <row r="7703" ht="12.75" customHeight="1">
      <c r="A7703" s="59" t="s">
        <v>251</v>
      </c>
      <c r="B7703" s="60" t="s">
        <v>2496</v>
      </c>
    </row>
    <row r="7704" ht="12.75" customHeight="1">
      <c r="A7704" s="59" t="s">
        <v>251</v>
      </c>
      <c r="B7704" s="60" t="s">
        <v>2497</v>
      </c>
    </row>
    <row r="7705" ht="12.75" customHeight="1">
      <c r="A7705" s="59" t="s">
        <v>251</v>
      </c>
      <c r="B7705" s="60" t="s">
        <v>2498</v>
      </c>
    </row>
    <row r="7706" ht="12.75" customHeight="1">
      <c r="A7706" s="59" t="s">
        <v>251</v>
      </c>
      <c r="B7706" s="60" t="s">
        <v>2499</v>
      </c>
    </row>
    <row r="7707" ht="12.75" customHeight="1">
      <c r="A7707" s="59" t="s">
        <v>251</v>
      </c>
      <c r="B7707" s="60" t="s">
        <v>2500</v>
      </c>
    </row>
    <row r="7708" ht="12.75" customHeight="1">
      <c r="A7708" s="59" t="s">
        <v>251</v>
      </c>
      <c r="B7708" s="60" t="s">
        <v>2501</v>
      </c>
    </row>
    <row r="7709" ht="12.75" customHeight="1">
      <c r="A7709" s="59" t="s">
        <v>251</v>
      </c>
      <c r="B7709" s="60" t="s">
        <v>2502</v>
      </c>
    </row>
    <row r="7710" ht="12.75" customHeight="1">
      <c r="A7710" s="59" t="s">
        <v>251</v>
      </c>
      <c r="B7710" s="60" t="s">
        <v>2503</v>
      </c>
    </row>
    <row r="7711" ht="12.75" customHeight="1">
      <c r="A7711" s="59" t="s">
        <v>251</v>
      </c>
      <c r="B7711" s="60" t="s">
        <v>2504</v>
      </c>
    </row>
    <row r="7712" ht="12.75" customHeight="1">
      <c r="A7712" s="59" t="s">
        <v>251</v>
      </c>
      <c r="B7712" s="60" t="s">
        <v>2506</v>
      </c>
    </row>
    <row r="7713" ht="12.75" customHeight="1">
      <c r="A7713" s="59" t="s">
        <v>251</v>
      </c>
      <c r="B7713" s="60" t="s">
        <v>2507</v>
      </c>
    </row>
    <row r="7714" ht="12.75" customHeight="1">
      <c r="A7714" s="59" t="s">
        <v>251</v>
      </c>
      <c r="B7714" s="60" t="s">
        <v>2508</v>
      </c>
    </row>
    <row r="7715" ht="12.75" customHeight="1">
      <c r="A7715" s="59" t="s">
        <v>251</v>
      </c>
      <c r="B7715" s="60" t="s">
        <v>2509</v>
      </c>
    </row>
    <row r="7716" ht="12.75" customHeight="1">
      <c r="A7716" s="59" t="s">
        <v>251</v>
      </c>
      <c r="B7716" s="60" t="s">
        <v>2510</v>
      </c>
    </row>
    <row r="7717" ht="12.75" customHeight="1">
      <c r="A7717" s="59" t="s">
        <v>251</v>
      </c>
      <c r="B7717" s="60" t="s">
        <v>2511</v>
      </c>
    </row>
    <row r="7718" ht="12.75" customHeight="1">
      <c r="A7718" s="59" t="s">
        <v>251</v>
      </c>
      <c r="B7718" s="60" t="s">
        <v>2512</v>
      </c>
    </row>
    <row r="7719" ht="12.75" customHeight="1">
      <c r="A7719" s="59" t="s">
        <v>251</v>
      </c>
      <c r="B7719" s="60" t="s">
        <v>2513</v>
      </c>
    </row>
    <row r="7720" ht="12.75" customHeight="1">
      <c r="A7720" s="59" t="s">
        <v>251</v>
      </c>
      <c r="B7720" s="60" t="s">
        <v>2514</v>
      </c>
    </row>
    <row r="7721" ht="12.75" customHeight="1">
      <c r="A7721" s="59" t="s">
        <v>251</v>
      </c>
      <c r="B7721" s="60" t="s">
        <v>2515</v>
      </c>
    </row>
    <row r="7722" ht="12.75" customHeight="1">
      <c r="A7722" s="59" t="s">
        <v>251</v>
      </c>
      <c r="B7722" s="60" t="s">
        <v>2516</v>
      </c>
    </row>
    <row r="7723" ht="12.75" customHeight="1">
      <c r="A7723" s="59" t="s">
        <v>251</v>
      </c>
      <c r="B7723" s="60" t="s">
        <v>2517</v>
      </c>
    </row>
    <row r="7724" ht="12.75" customHeight="1">
      <c r="A7724" s="59" t="s">
        <v>251</v>
      </c>
      <c r="B7724" s="60" t="s">
        <v>2518</v>
      </c>
    </row>
    <row r="7725" ht="12.75" customHeight="1">
      <c r="A7725" s="59" t="s">
        <v>251</v>
      </c>
      <c r="B7725" s="60" t="s">
        <v>2519</v>
      </c>
    </row>
    <row r="7726" ht="12.75" customHeight="1">
      <c r="A7726" s="59" t="s">
        <v>251</v>
      </c>
      <c r="B7726" s="60" t="s">
        <v>2520</v>
      </c>
    </row>
    <row r="7727" ht="12.75" customHeight="1">
      <c r="A7727" s="59" t="s">
        <v>251</v>
      </c>
      <c r="B7727" s="60" t="s">
        <v>2521</v>
      </c>
    </row>
    <row r="7728" ht="12.75" customHeight="1">
      <c r="A7728" s="59" t="s">
        <v>251</v>
      </c>
      <c r="B7728" s="60" t="s">
        <v>2522</v>
      </c>
    </row>
    <row r="7729" ht="12.75" customHeight="1">
      <c r="A7729" s="59" t="s">
        <v>251</v>
      </c>
      <c r="B7729" s="60" t="s">
        <v>2523</v>
      </c>
    </row>
    <row r="7730" ht="12.75" customHeight="1">
      <c r="A7730" s="59" t="s">
        <v>251</v>
      </c>
      <c r="B7730" s="60" t="s">
        <v>2524</v>
      </c>
    </row>
    <row r="7731" ht="12.75" customHeight="1">
      <c r="A7731" s="59" t="s">
        <v>251</v>
      </c>
      <c r="B7731" s="60" t="s">
        <v>2525</v>
      </c>
    </row>
    <row r="7732" ht="12.75" customHeight="1">
      <c r="A7732" s="59" t="s">
        <v>251</v>
      </c>
      <c r="B7732" s="60" t="s">
        <v>2526</v>
      </c>
    </row>
    <row r="7733" ht="12.75" customHeight="1">
      <c r="A7733" s="59" t="s">
        <v>251</v>
      </c>
      <c r="B7733" s="60" t="s">
        <v>2527</v>
      </c>
    </row>
    <row r="7734" ht="12.75" customHeight="1">
      <c r="A7734" s="59" t="s">
        <v>251</v>
      </c>
      <c r="B7734" s="60" t="s">
        <v>2528</v>
      </c>
    </row>
    <row r="7735" ht="12.75" customHeight="1">
      <c r="A7735" s="59" t="s">
        <v>251</v>
      </c>
      <c r="B7735" s="60" t="s">
        <v>2529</v>
      </c>
    </row>
    <row r="7736" ht="12.75" customHeight="1">
      <c r="A7736" s="59" t="s">
        <v>251</v>
      </c>
      <c r="B7736" s="60" t="s">
        <v>2530</v>
      </c>
    </row>
    <row r="7737" ht="12.75" customHeight="1">
      <c r="A7737" s="59" t="s">
        <v>251</v>
      </c>
      <c r="B7737" s="60" t="s">
        <v>2531</v>
      </c>
    </row>
    <row r="7738" ht="12.75" customHeight="1">
      <c r="A7738" s="59" t="s">
        <v>251</v>
      </c>
      <c r="B7738" s="60" t="s">
        <v>2532</v>
      </c>
    </row>
    <row r="7739" ht="12.75" customHeight="1">
      <c r="A7739" s="59" t="s">
        <v>251</v>
      </c>
      <c r="B7739" s="60" t="s">
        <v>2533</v>
      </c>
    </row>
    <row r="7740" ht="12.75" customHeight="1">
      <c r="A7740" s="59" t="s">
        <v>251</v>
      </c>
      <c r="B7740" s="60" t="s">
        <v>2534</v>
      </c>
    </row>
    <row r="7741" ht="12.75" customHeight="1">
      <c r="A7741" s="59" t="s">
        <v>251</v>
      </c>
      <c r="B7741" s="60" t="s">
        <v>2535</v>
      </c>
    </row>
    <row r="7742" ht="12.75" customHeight="1">
      <c r="A7742" s="59" t="s">
        <v>251</v>
      </c>
      <c r="B7742" s="60" t="s">
        <v>2536</v>
      </c>
    </row>
    <row r="7743" ht="12.75" customHeight="1">
      <c r="A7743" s="59" t="s">
        <v>251</v>
      </c>
      <c r="B7743" s="60" t="s">
        <v>2537</v>
      </c>
    </row>
    <row r="7744" ht="12.75" customHeight="1">
      <c r="A7744" s="59" t="s">
        <v>251</v>
      </c>
      <c r="B7744" s="60" t="s">
        <v>2538</v>
      </c>
    </row>
    <row r="7745" ht="12.75" customHeight="1">
      <c r="A7745" s="59" t="s">
        <v>251</v>
      </c>
      <c r="B7745" s="60" t="s">
        <v>2539</v>
      </c>
    </row>
    <row r="7746" ht="12.75" customHeight="1">
      <c r="A7746" s="59" t="s">
        <v>251</v>
      </c>
      <c r="B7746" s="60" t="s">
        <v>2540</v>
      </c>
    </row>
    <row r="7747" ht="12.75" customHeight="1">
      <c r="A7747" s="59" t="s">
        <v>251</v>
      </c>
      <c r="B7747" s="60" t="s">
        <v>2541</v>
      </c>
    </row>
    <row r="7748" ht="12.75" customHeight="1">
      <c r="A7748" s="59" t="s">
        <v>251</v>
      </c>
      <c r="B7748" s="60" t="s">
        <v>2542</v>
      </c>
    </row>
    <row r="7749" ht="12.75" customHeight="1">
      <c r="A7749" s="59" t="s">
        <v>251</v>
      </c>
      <c r="B7749" s="60" t="s">
        <v>2543</v>
      </c>
    </row>
    <row r="7750" ht="12.75" customHeight="1">
      <c r="A7750" s="59" t="s">
        <v>251</v>
      </c>
      <c r="B7750" s="60" t="s">
        <v>2544</v>
      </c>
    </row>
    <row r="7751" ht="12.75" customHeight="1">
      <c r="A7751" s="59" t="s">
        <v>251</v>
      </c>
      <c r="B7751" s="60" t="s">
        <v>2545</v>
      </c>
    </row>
    <row r="7752" ht="12.75" customHeight="1">
      <c r="A7752" s="59" t="s">
        <v>251</v>
      </c>
      <c r="B7752" s="60" t="s">
        <v>2546</v>
      </c>
    </row>
    <row r="7753" ht="12.75" customHeight="1">
      <c r="A7753" s="59" t="s">
        <v>251</v>
      </c>
      <c r="B7753" s="60" t="s">
        <v>2547</v>
      </c>
    </row>
    <row r="7754" ht="12.75" customHeight="1">
      <c r="A7754" s="59" t="s">
        <v>251</v>
      </c>
      <c r="B7754" s="60" t="s">
        <v>2548</v>
      </c>
    </row>
    <row r="7755" ht="12.75" customHeight="1">
      <c r="A7755" s="59" t="s">
        <v>251</v>
      </c>
      <c r="B7755" s="60" t="s">
        <v>2549</v>
      </c>
    </row>
    <row r="7756" ht="12.75" customHeight="1">
      <c r="A7756" s="59" t="s">
        <v>251</v>
      </c>
      <c r="B7756" s="60" t="s">
        <v>2550</v>
      </c>
    </row>
    <row r="7757" ht="12.75" customHeight="1">
      <c r="A7757" s="59" t="s">
        <v>251</v>
      </c>
      <c r="B7757" s="60" t="s">
        <v>2551</v>
      </c>
    </row>
    <row r="7758" ht="12.75" customHeight="1">
      <c r="A7758" s="59" t="s">
        <v>251</v>
      </c>
      <c r="B7758" s="60" t="s">
        <v>2552</v>
      </c>
    </row>
    <row r="7759" ht="12.75" customHeight="1">
      <c r="A7759" s="59" t="s">
        <v>251</v>
      </c>
      <c r="B7759" s="60" t="s">
        <v>2553</v>
      </c>
    </row>
    <row r="7760" ht="12.75" customHeight="1">
      <c r="A7760" s="59" t="s">
        <v>251</v>
      </c>
      <c r="B7760" s="60" t="s">
        <v>2554</v>
      </c>
    </row>
    <row r="7761" ht="12.75" customHeight="1">
      <c r="A7761" s="59" t="s">
        <v>251</v>
      </c>
      <c r="B7761" s="60" t="s">
        <v>2555</v>
      </c>
    </row>
    <row r="7762" ht="12.75" customHeight="1">
      <c r="A7762" s="59" t="s">
        <v>251</v>
      </c>
      <c r="B7762" s="60" t="s">
        <v>2556</v>
      </c>
    </row>
    <row r="7763" ht="12.75" customHeight="1">
      <c r="A7763" s="59" t="s">
        <v>251</v>
      </c>
      <c r="B7763" s="60" t="s">
        <v>2557</v>
      </c>
    </row>
    <row r="7764" ht="12.75" customHeight="1">
      <c r="A7764" s="59" t="s">
        <v>251</v>
      </c>
      <c r="B7764" s="60" t="s">
        <v>2558</v>
      </c>
    </row>
    <row r="7765" ht="12.75" customHeight="1">
      <c r="A7765" s="59" t="s">
        <v>251</v>
      </c>
      <c r="B7765" s="60" t="s">
        <v>2559</v>
      </c>
    </row>
    <row r="7766" ht="12.75" customHeight="1">
      <c r="A7766" s="59" t="s">
        <v>251</v>
      </c>
      <c r="B7766" s="60" t="s">
        <v>2560</v>
      </c>
    </row>
    <row r="7767" ht="12.75" customHeight="1">
      <c r="A7767" s="59" t="s">
        <v>251</v>
      </c>
      <c r="B7767" s="60" t="s">
        <v>2561</v>
      </c>
    </row>
    <row r="7768" ht="12.75" customHeight="1">
      <c r="A7768" s="59" t="s">
        <v>251</v>
      </c>
      <c r="B7768" s="60" t="s">
        <v>2562</v>
      </c>
    </row>
    <row r="7769" ht="12.75" customHeight="1">
      <c r="A7769" s="59" t="s">
        <v>251</v>
      </c>
      <c r="B7769" s="60" t="s">
        <v>2563</v>
      </c>
    </row>
    <row r="7770" ht="12.75" customHeight="1">
      <c r="A7770" s="59" t="s">
        <v>251</v>
      </c>
      <c r="B7770" s="60" t="s">
        <v>2564</v>
      </c>
    </row>
    <row r="7771" ht="12.75" customHeight="1">
      <c r="A7771" s="59" t="s">
        <v>251</v>
      </c>
      <c r="B7771" s="60" t="s">
        <v>2565</v>
      </c>
    </row>
    <row r="7772" ht="12.75" customHeight="1">
      <c r="A7772" s="59" t="s">
        <v>251</v>
      </c>
      <c r="B7772" s="60" t="s">
        <v>2566</v>
      </c>
    </row>
    <row r="7773" ht="12.75" customHeight="1">
      <c r="A7773" s="59" t="s">
        <v>251</v>
      </c>
      <c r="B7773" s="60" t="s">
        <v>2567</v>
      </c>
    </row>
    <row r="7774" ht="12.75" customHeight="1">
      <c r="A7774" s="59" t="s">
        <v>251</v>
      </c>
      <c r="B7774" s="60" t="s">
        <v>2568</v>
      </c>
    </row>
    <row r="7775" ht="12.75" customHeight="1">
      <c r="A7775" s="59" t="s">
        <v>251</v>
      </c>
      <c r="B7775" s="60" t="s">
        <v>2569</v>
      </c>
    </row>
    <row r="7776" ht="12.75" customHeight="1">
      <c r="A7776" s="59" t="s">
        <v>251</v>
      </c>
      <c r="B7776" s="60" t="s">
        <v>2570</v>
      </c>
    </row>
    <row r="7777" ht="12.75" customHeight="1">
      <c r="A7777" s="59" t="s">
        <v>251</v>
      </c>
      <c r="B7777" s="60" t="s">
        <v>2571</v>
      </c>
    </row>
    <row r="7778" ht="12.75" customHeight="1">
      <c r="A7778" s="59" t="s">
        <v>251</v>
      </c>
      <c r="B7778" s="60" t="s">
        <v>2572</v>
      </c>
    </row>
    <row r="7779" ht="12.75" customHeight="1">
      <c r="A7779" s="59" t="s">
        <v>251</v>
      </c>
      <c r="B7779" s="60" t="s">
        <v>2573</v>
      </c>
    </row>
    <row r="7780" ht="12.75" customHeight="1">
      <c r="A7780" s="59" t="s">
        <v>251</v>
      </c>
      <c r="B7780" s="60" t="s">
        <v>2574</v>
      </c>
    </row>
    <row r="7781" ht="12.75" customHeight="1">
      <c r="A7781" s="59" t="s">
        <v>251</v>
      </c>
      <c r="B7781" s="60" t="s">
        <v>2575</v>
      </c>
    </row>
    <row r="7782" ht="12.75" customHeight="1">
      <c r="A7782" s="59" t="s">
        <v>251</v>
      </c>
      <c r="B7782" s="60" t="s">
        <v>2576</v>
      </c>
    </row>
    <row r="7783" ht="12.75" customHeight="1">
      <c r="A7783" s="59" t="s">
        <v>251</v>
      </c>
      <c r="B7783" s="60" t="s">
        <v>2577</v>
      </c>
    </row>
    <row r="7784" ht="12.75" customHeight="1">
      <c r="A7784" s="59" t="s">
        <v>251</v>
      </c>
      <c r="B7784" s="60" t="s">
        <v>2578</v>
      </c>
    </row>
    <row r="7785" ht="12.75" customHeight="1">
      <c r="A7785" s="59" t="s">
        <v>251</v>
      </c>
      <c r="B7785" s="60" t="s">
        <v>2579</v>
      </c>
    </row>
    <row r="7786" ht="12.75" customHeight="1">
      <c r="A7786" s="59" t="s">
        <v>251</v>
      </c>
      <c r="B7786" s="60" t="s">
        <v>2580</v>
      </c>
    </row>
    <row r="7787" ht="12.75" customHeight="1">
      <c r="A7787" s="59" t="s">
        <v>251</v>
      </c>
      <c r="B7787" s="60" t="s">
        <v>2581</v>
      </c>
    </row>
    <row r="7788" ht="12.75" customHeight="1">
      <c r="A7788" s="59" t="s">
        <v>251</v>
      </c>
      <c r="B7788" s="60" t="s">
        <v>2582</v>
      </c>
    </row>
    <row r="7789" ht="12.75" customHeight="1">
      <c r="A7789" s="59" t="s">
        <v>251</v>
      </c>
      <c r="B7789" s="60" t="s">
        <v>2583</v>
      </c>
    </row>
    <row r="7790" ht="12.75" customHeight="1">
      <c r="A7790" s="59" t="s">
        <v>251</v>
      </c>
      <c r="B7790" s="60" t="s">
        <v>2584</v>
      </c>
    </row>
    <row r="7791" ht="12.75" customHeight="1">
      <c r="A7791" s="59" t="s">
        <v>251</v>
      </c>
      <c r="B7791" s="60" t="s">
        <v>2585</v>
      </c>
    </row>
    <row r="7792" ht="12.75" customHeight="1">
      <c r="A7792" s="59" t="s">
        <v>251</v>
      </c>
      <c r="B7792" s="60" t="s">
        <v>2586</v>
      </c>
    </row>
    <row r="7793" ht="12.75" customHeight="1">
      <c r="A7793" s="59" t="s">
        <v>251</v>
      </c>
      <c r="B7793" s="60" t="s">
        <v>2587</v>
      </c>
    </row>
    <row r="7794" ht="12.75" customHeight="1">
      <c r="A7794" s="59" t="s">
        <v>251</v>
      </c>
      <c r="B7794" s="60" t="s">
        <v>2588</v>
      </c>
    </row>
    <row r="7795" ht="12.75" customHeight="1">
      <c r="A7795" s="59" t="s">
        <v>251</v>
      </c>
      <c r="B7795" s="60" t="s">
        <v>2589</v>
      </c>
    </row>
    <row r="7796" ht="12.75" customHeight="1">
      <c r="A7796" s="59" t="s">
        <v>251</v>
      </c>
      <c r="B7796" s="60" t="s">
        <v>2590</v>
      </c>
    </row>
    <row r="7797" ht="12.75" customHeight="1">
      <c r="A7797" s="59" t="s">
        <v>251</v>
      </c>
      <c r="B7797" s="60" t="s">
        <v>2591</v>
      </c>
    </row>
    <row r="7798" ht="12.75" customHeight="1">
      <c r="A7798" s="59" t="s">
        <v>251</v>
      </c>
      <c r="B7798" s="60" t="s">
        <v>2592</v>
      </c>
    </row>
    <row r="7799" ht="12.75" customHeight="1">
      <c r="A7799" s="59" t="s">
        <v>251</v>
      </c>
      <c r="B7799" s="60" t="s">
        <v>2593</v>
      </c>
    </row>
    <row r="7800" ht="12.75" customHeight="1">
      <c r="A7800" s="59" t="s">
        <v>251</v>
      </c>
      <c r="B7800" s="60" t="s">
        <v>2594</v>
      </c>
    </row>
    <row r="7801" ht="12.75" customHeight="1">
      <c r="A7801" s="59" t="s">
        <v>251</v>
      </c>
      <c r="B7801" s="60" t="s">
        <v>2595</v>
      </c>
    </row>
    <row r="7802" ht="12.75" customHeight="1">
      <c r="A7802" s="59" t="s">
        <v>251</v>
      </c>
      <c r="B7802" s="60" t="s">
        <v>2596</v>
      </c>
    </row>
    <row r="7803" ht="12.75" customHeight="1">
      <c r="A7803" s="59" t="s">
        <v>251</v>
      </c>
      <c r="B7803" s="60" t="s">
        <v>2597</v>
      </c>
    </row>
    <row r="7804" ht="12.75" customHeight="1">
      <c r="A7804" s="59" t="s">
        <v>251</v>
      </c>
      <c r="B7804" s="60" t="s">
        <v>2598</v>
      </c>
    </row>
    <row r="7805" ht="12.75" customHeight="1">
      <c r="A7805" s="59" t="s">
        <v>251</v>
      </c>
      <c r="B7805" s="60" t="s">
        <v>2599</v>
      </c>
    </row>
    <row r="7806" ht="12.75" customHeight="1">
      <c r="A7806" s="59" t="s">
        <v>251</v>
      </c>
      <c r="B7806" s="60" t="s">
        <v>2600</v>
      </c>
    </row>
    <row r="7807" ht="12.75" customHeight="1">
      <c r="A7807" s="59" t="s">
        <v>251</v>
      </c>
      <c r="B7807" s="60" t="s">
        <v>2601</v>
      </c>
    </row>
    <row r="7808" ht="12.75" customHeight="1">
      <c r="A7808" s="59" t="s">
        <v>251</v>
      </c>
      <c r="B7808" s="60" t="s">
        <v>2602</v>
      </c>
    </row>
    <row r="7809" ht="12.75" customHeight="1">
      <c r="A7809" s="59" t="s">
        <v>251</v>
      </c>
      <c r="B7809" s="60" t="s">
        <v>2603</v>
      </c>
    </row>
    <row r="7810" ht="12.75" customHeight="1">
      <c r="A7810" s="59" t="s">
        <v>251</v>
      </c>
      <c r="B7810" s="60" t="s">
        <v>2604</v>
      </c>
    </row>
    <row r="7811" ht="12.75" customHeight="1">
      <c r="A7811" s="59" t="s">
        <v>251</v>
      </c>
      <c r="B7811" s="60" t="s">
        <v>2605</v>
      </c>
    </row>
    <row r="7812" ht="12.75" customHeight="1">
      <c r="A7812" s="59" t="s">
        <v>251</v>
      </c>
      <c r="B7812" s="60" t="s">
        <v>2606</v>
      </c>
    </row>
    <row r="7813" ht="12.75" customHeight="1">
      <c r="A7813" s="59" t="s">
        <v>251</v>
      </c>
      <c r="B7813" s="60" t="s">
        <v>2607</v>
      </c>
    </row>
    <row r="7814" ht="12.75" customHeight="1">
      <c r="A7814" s="59" t="s">
        <v>251</v>
      </c>
      <c r="B7814" s="60" t="s">
        <v>2608</v>
      </c>
    </row>
    <row r="7815" ht="12.75" customHeight="1">
      <c r="A7815" s="59" t="s">
        <v>251</v>
      </c>
      <c r="B7815" s="60" t="s">
        <v>2609</v>
      </c>
    </row>
    <row r="7816" ht="12.75" customHeight="1">
      <c r="A7816" s="59" t="s">
        <v>251</v>
      </c>
      <c r="B7816" s="60" t="s">
        <v>2610</v>
      </c>
    </row>
    <row r="7817" ht="12.75" customHeight="1">
      <c r="A7817" s="59" t="s">
        <v>251</v>
      </c>
      <c r="B7817" s="60" t="s">
        <v>2611</v>
      </c>
    </row>
    <row r="7818" ht="12.75" customHeight="1">
      <c r="A7818" s="59" t="s">
        <v>251</v>
      </c>
      <c r="B7818" s="60" t="s">
        <v>2612</v>
      </c>
    </row>
    <row r="7819" ht="12.75" customHeight="1">
      <c r="A7819" s="59" t="s">
        <v>251</v>
      </c>
      <c r="B7819" s="60" t="s">
        <v>2613</v>
      </c>
    </row>
    <row r="7820" ht="12.75" customHeight="1">
      <c r="A7820" s="59" t="s">
        <v>251</v>
      </c>
      <c r="B7820" s="60" t="s">
        <v>2614</v>
      </c>
    </row>
    <row r="7821" ht="12.75" customHeight="1">
      <c r="A7821" s="59" t="s">
        <v>251</v>
      </c>
      <c r="B7821" s="60" t="s">
        <v>2615</v>
      </c>
    </row>
    <row r="7822" ht="12.75" customHeight="1">
      <c r="A7822" s="59" t="s">
        <v>251</v>
      </c>
      <c r="B7822" s="60" t="s">
        <v>2616</v>
      </c>
    </row>
    <row r="7823" ht="12.75" customHeight="1">
      <c r="A7823" s="59" t="s">
        <v>251</v>
      </c>
      <c r="B7823" s="60" t="s">
        <v>2617</v>
      </c>
    </row>
    <row r="7824" ht="12.75" customHeight="1">
      <c r="A7824" s="59" t="s">
        <v>251</v>
      </c>
      <c r="B7824" s="60" t="s">
        <v>2618</v>
      </c>
    </row>
    <row r="7825" ht="12.75" customHeight="1">
      <c r="A7825" s="59" t="s">
        <v>251</v>
      </c>
      <c r="B7825" s="60" t="s">
        <v>2619</v>
      </c>
    </row>
    <row r="7826" ht="12.75" customHeight="1">
      <c r="A7826" s="59" t="s">
        <v>251</v>
      </c>
      <c r="B7826" s="60" t="s">
        <v>2620</v>
      </c>
    </row>
    <row r="7827" ht="12.75" customHeight="1">
      <c r="A7827" s="59" t="s">
        <v>251</v>
      </c>
      <c r="B7827" s="60" t="s">
        <v>2621</v>
      </c>
    </row>
    <row r="7828" ht="12.75" customHeight="1">
      <c r="A7828" s="59" t="s">
        <v>251</v>
      </c>
      <c r="B7828" s="60" t="s">
        <v>2622</v>
      </c>
    </row>
    <row r="7829" ht="12.75" customHeight="1">
      <c r="A7829" s="59" t="s">
        <v>251</v>
      </c>
      <c r="B7829" s="60" t="s">
        <v>2623</v>
      </c>
    </row>
    <row r="7830" ht="12.75" customHeight="1">
      <c r="A7830" s="59" t="s">
        <v>251</v>
      </c>
      <c r="B7830" s="60" t="s">
        <v>2624</v>
      </c>
    </row>
    <row r="7831" ht="12.75" customHeight="1">
      <c r="A7831" s="59" t="s">
        <v>251</v>
      </c>
      <c r="B7831" s="60" t="s">
        <v>2625</v>
      </c>
    </row>
    <row r="7832" ht="12.75" customHeight="1">
      <c r="A7832" s="59" t="s">
        <v>251</v>
      </c>
      <c r="B7832" s="60" t="s">
        <v>2626</v>
      </c>
    </row>
    <row r="7833" ht="12.75" customHeight="1">
      <c r="A7833" s="59" t="s">
        <v>251</v>
      </c>
      <c r="B7833" s="60" t="s">
        <v>1415</v>
      </c>
    </row>
    <row r="7834" ht="12.75" customHeight="1">
      <c r="A7834" s="59" t="s">
        <v>251</v>
      </c>
      <c r="B7834" s="60" t="s">
        <v>1418</v>
      </c>
    </row>
    <row r="7835" ht="12.75" customHeight="1">
      <c r="A7835" s="59" t="s">
        <v>251</v>
      </c>
      <c r="B7835" s="60" t="s">
        <v>1427</v>
      </c>
    </row>
    <row r="7836" ht="12.75" customHeight="1">
      <c r="A7836" s="59" t="s">
        <v>251</v>
      </c>
      <c r="B7836" s="60" t="s">
        <v>1436</v>
      </c>
    </row>
    <row r="7837" ht="12.75" customHeight="1">
      <c r="A7837" s="59" t="s">
        <v>251</v>
      </c>
      <c r="B7837" s="60" t="s">
        <v>1563</v>
      </c>
    </row>
    <row r="7838" ht="12.75" customHeight="1">
      <c r="A7838" s="59" t="s">
        <v>251</v>
      </c>
      <c r="B7838" s="60" t="s">
        <v>1571</v>
      </c>
    </row>
    <row r="7839" ht="12.75" customHeight="1">
      <c r="A7839" s="59" t="s">
        <v>251</v>
      </c>
      <c r="B7839" s="60" t="s">
        <v>1578</v>
      </c>
    </row>
    <row r="7840" ht="12.75" customHeight="1">
      <c r="A7840" s="59" t="s">
        <v>251</v>
      </c>
      <c r="B7840" s="60" t="s">
        <v>2627</v>
      </c>
    </row>
    <row r="7841" ht="12.75" customHeight="1">
      <c r="A7841" s="59" t="s">
        <v>251</v>
      </c>
      <c r="B7841" s="60" t="s">
        <v>2628</v>
      </c>
    </row>
    <row r="7842" ht="12.75" customHeight="1">
      <c r="A7842" s="59" t="s">
        <v>251</v>
      </c>
      <c r="B7842" s="60" t="s">
        <v>2629</v>
      </c>
    </row>
    <row r="7843" ht="12.75" customHeight="1">
      <c r="A7843" s="59" t="s">
        <v>251</v>
      </c>
      <c r="B7843" s="60" t="s">
        <v>2630</v>
      </c>
    </row>
    <row r="7844" ht="12.75" customHeight="1">
      <c r="A7844" s="59" t="s">
        <v>251</v>
      </c>
      <c r="B7844" s="60" t="s">
        <v>2631</v>
      </c>
    </row>
    <row r="7845" ht="12.75" customHeight="1">
      <c r="A7845" s="59" t="s">
        <v>251</v>
      </c>
      <c r="B7845" s="60" t="s">
        <v>2632</v>
      </c>
    </row>
    <row r="7846" ht="12.75" customHeight="1">
      <c r="A7846" s="59" t="s">
        <v>251</v>
      </c>
      <c r="B7846" s="60" t="s">
        <v>2633</v>
      </c>
    </row>
    <row r="7847" ht="12.75" customHeight="1">
      <c r="A7847" s="59" t="s">
        <v>251</v>
      </c>
      <c r="B7847" s="60" t="s">
        <v>2634</v>
      </c>
    </row>
    <row r="7848" ht="12.75" customHeight="1">
      <c r="A7848" s="59" t="s">
        <v>251</v>
      </c>
      <c r="B7848" s="60" t="s">
        <v>2635</v>
      </c>
    </row>
    <row r="7849" ht="12.75" customHeight="1">
      <c r="A7849" s="59" t="s">
        <v>251</v>
      </c>
      <c r="B7849" s="60" t="s">
        <v>2636</v>
      </c>
    </row>
    <row r="7850" ht="12.75" customHeight="1">
      <c r="A7850" s="59" t="s">
        <v>251</v>
      </c>
      <c r="B7850" s="60" t="s">
        <v>2637</v>
      </c>
    </row>
    <row r="7851" ht="12.75" customHeight="1">
      <c r="A7851" s="59" t="s">
        <v>251</v>
      </c>
      <c r="B7851" s="60" t="s">
        <v>2638</v>
      </c>
    </row>
    <row r="7852" ht="12.75" customHeight="1">
      <c r="A7852" s="59" t="s">
        <v>251</v>
      </c>
      <c r="B7852" s="60" t="s">
        <v>2639</v>
      </c>
    </row>
    <row r="7853" ht="12.75" customHeight="1">
      <c r="A7853" s="59" t="s">
        <v>251</v>
      </c>
      <c r="B7853" s="60" t="s">
        <v>2640</v>
      </c>
    </row>
    <row r="7854" ht="12.75" customHeight="1">
      <c r="A7854" s="59" t="s">
        <v>251</v>
      </c>
      <c r="B7854" s="60" t="s">
        <v>2641</v>
      </c>
    </row>
    <row r="7855" ht="12.75" customHeight="1">
      <c r="A7855" s="59" t="s">
        <v>251</v>
      </c>
      <c r="B7855" s="60" t="s">
        <v>2642</v>
      </c>
    </row>
    <row r="7856" ht="12.75" customHeight="1">
      <c r="A7856" s="59" t="s">
        <v>251</v>
      </c>
      <c r="B7856" s="60" t="s">
        <v>2643</v>
      </c>
    </row>
    <row r="7857" ht="12.75" customHeight="1">
      <c r="A7857" s="59" t="s">
        <v>251</v>
      </c>
      <c r="B7857" s="60" t="s">
        <v>2644</v>
      </c>
    </row>
    <row r="7858" ht="12.75" customHeight="1">
      <c r="A7858" s="59" t="s">
        <v>251</v>
      </c>
      <c r="B7858" s="60" t="s">
        <v>2645</v>
      </c>
    </row>
    <row r="7859" ht="12.75" customHeight="1">
      <c r="A7859" s="59" t="s">
        <v>251</v>
      </c>
      <c r="B7859" s="60" t="s">
        <v>2646</v>
      </c>
    </row>
    <row r="7860" ht="12.75" customHeight="1">
      <c r="A7860" s="59" t="s">
        <v>251</v>
      </c>
      <c r="B7860" s="60" t="s">
        <v>2647</v>
      </c>
    </row>
    <row r="7861" ht="12.75" customHeight="1">
      <c r="A7861" s="59" t="s">
        <v>251</v>
      </c>
      <c r="B7861" s="60" t="s">
        <v>2648</v>
      </c>
    </row>
    <row r="7862" ht="12.75" customHeight="1">
      <c r="A7862" s="59" t="s">
        <v>251</v>
      </c>
      <c r="B7862" s="60" t="s">
        <v>2649</v>
      </c>
    </row>
    <row r="7863" ht="12.75" customHeight="1">
      <c r="A7863" s="59" t="s">
        <v>251</v>
      </c>
      <c r="B7863" s="60" t="s">
        <v>2650</v>
      </c>
    </row>
    <row r="7864" ht="12.75" customHeight="1">
      <c r="A7864" s="59" t="s">
        <v>456</v>
      </c>
      <c r="B7864" s="60" t="s">
        <v>2452</v>
      </c>
    </row>
    <row r="7865" ht="12.75" customHeight="1">
      <c r="A7865" s="59" t="s">
        <v>456</v>
      </c>
      <c r="B7865" s="60" t="s">
        <v>2467</v>
      </c>
    </row>
    <row r="7866" ht="12.75" customHeight="1">
      <c r="A7866" s="59" t="s">
        <v>456</v>
      </c>
      <c r="B7866" s="60" t="s">
        <v>2482</v>
      </c>
    </row>
    <row r="7867" ht="12.75" customHeight="1">
      <c r="A7867" s="59" t="s">
        <v>456</v>
      </c>
      <c r="B7867" s="60" t="s">
        <v>2490</v>
      </c>
    </row>
    <row r="7868" ht="12.75" customHeight="1">
      <c r="A7868" s="59" t="s">
        <v>456</v>
      </c>
      <c r="B7868" s="60" t="s">
        <v>2835</v>
      </c>
    </row>
    <row r="7869" ht="12.75" customHeight="1">
      <c r="A7869" s="59" t="s">
        <v>456</v>
      </c>
      <c r="B7869" s="60" t="s">
        <v>2836</v>
      </c>
    </row>
    <row r="7870" ht="12.75" customHeight="1">
      <c r="A7870" s="59" t="s">
        <v>456</v>
      </c>
      <c r="B7870" s="60" t="s">
        <v>2837</v>
      </c>
    </row>
    <row r="7871" ht="12.75" customHeight="1">
      <c r="A7871" s="59" t="s">
        <v>456</v>
      </c>
      <c r="B7871" s="60" t="s">
        <v>2838</v>
      </c>
    </row>
    <row r="7872" ht="12.75" customHeight="1">
      <c r="A7872" s="59" t="s">
        <v>456</v>
      </c>
      <c r="B7872" s="60" t="s">
        <v>2839</v>
      </c>
    </row>
    <row r="7873" ht="12.75" customHeight="1">
      <c r="A7873" s="59" t="s">
        <v>456</v>
      </c>
      <c r="B7873" s="60" t="s">
        <v>2840</v>
      </c>
    </row>
    <row r="7874" ht="12.75" customHeight="1">
      <c r="A7874" s="59" t="s">
        <v>456</v>
      </c>
      <c r="B7874" s="60" t="s">
        <v>2841</v>
      </c>
    </row>
    <row r="7875" ht="12.75" customHeight="1">
      <c r="A7875" s="59" t="s">
        <v>456</v>
      </c>
      <c r="B7875" s="60" t="s">
        <v>2842</v>
      </c>
    </row>
    <row r="7876" ht="12.75" customHeight="1">
      <c r="A7876" s="59" t="s">
        <v>294</v>
      </c>
      <c r="B7876" s="60" t="s">
        <v>2452</v>
      </c>
    </row>
    <row r="7877" ht="12.75" customHeight="1">
      <c r="A7877" s="59" t="s">
        <v>294</v>
      </c>
      <c r="B7877" s="60" t="s">
        <v>2467</v>
      </c>
    </row>
    <row r="7878" ht="12.75" customHeight="1">
      <c r="A7878" s="59" t="s">
        <v>294</v>
      </c>
      <c r="B7878" s="60" t="s">
        <v>2482</v>
      </c>
    </row>
    <row r="7879" ht="12.75" customHeight="1">
      <c r="A7879" s="59" t="s">
        <v>294</v>
      </c>
      <c r="B7879" s="60" t="s">
        <v>2490</v>
      </c>
    </row>
    <row r="7880" ht="12.75" customHeight="1">
      <c r="A7880" s="59" t="s">
        <v>294</v>
      </c>
      <c r="B7880" s="60" t="s">
        <v>2835</v>
      </c>
    </row>
    <row r="7881" ht="12.75" customHeight="1">
      <c r="A7881" s="59" t="s">
        <v>294</v>
      </c>
      <c r="B7881" s="60" t="s">
        <v>2836</v>
      </c>
    </row>
    <row r="7882" ht="12.75" customHeight="1">
      <c r="A7882" s="59" t="s">
        <v>294</v>
      </c>
      <c r="B7882" s="60" t="s">
        <v>2837</v>
      </c>
    </row>
    <row r="7883" ht="12.75" customHeight="1">
      <c r="A7883" s="59" t="s">
        <v>294</v>
      </c>
      <c r="B7883" s="60" t="s">
        <v>2838</v>
      </c>
    </row>
    <row r="7884" ht="12.75" customHeight="1">
      <c r="A7884" s="59" t="s">
        <v>294</v>
      </c>
      <c r="B7884" s="60" t="s">
        <v>2839</v>
      </c>
    </row>
    <row r="7885" ht="12.75" customHeight="1">
      <c r="A7885" s="59" t="s">
        <v>294</v>
      </c>
      <c r="B7885" s="60" t="s">
        <v>2840</v>
      </c>
    </row>
    <row r="7886" ht="12.75" customHeight="1">
      <c r="A7886" s="59" t="s">
        <v>294</v>
      </c>
      <c r="B7886" s="60" t="s">
        <v>2841</v>
      </c>
    </row>
    <row r="7887" ht="12.75" customHeight="1">
      <c r="A7887" s="59" t="s">
        <v>294</v>
      </c>
      <c r="B7887" s="60" t="s">
        <v>2842</v>
      </c>
    </row>
    <row r="7888" ht="12.75" customHeight="1">
      <c r="A7888" s="59" t="s">
        <v>749</v>
      </c>
      <c r="B7888" s="60" t="s">
        <v>2452</v>
      </c>
    </row>
    <row r="7889" ht="12.75" customHeight="1">
      <c r="A7889" s="59" t="s">
        <v>749</v>
      </c>
      <c r="B7889" s="60" t="s">
        <v>2467</v>
      </c>
    </row>
    <row r="7890" ht="12.75" customHeight="1">
      <c r="A7890" s="59" t="s">
        <v>749</v>
      </c>
      <c r="B7890" s="60" t="s">
        <v>2482</v>
      </c>
    </row>
    <row r="7891" ht="12.75" customHeight="1">
      <c r="A7891" s="59" t="s">
        <v>749</v>
      </c>
      <c r="B7891" s="60" t="s">
        <v>2490</v>
      </c>
    </row>
    <row r="7892" ht="12.75" customHeight="1">
      <c r="A7892" s="59" t="s">
        <v>749</v>
      </c>
      <c r="B7892" s="60" t="s">
        <v>2835</v>
      </c>
    </row>
    <row r="7893" ht="12.75" customHeight="1">
      <c r="A7893" s="59" t="s">
        <v>749</v>
      </c>
      <c r="B7893" s="60" t="s">
        <v>2836</v>
      </c>
    </row>
    <row r="7894" ht="12.75" customHeight="1">
      <c r="A7894" s="59" t="s">
        <v>749</v>
      </c>
      <c r="B7894" s="60" t="s">
        <v>2837</v>
      </c>
    </row>
    <row r="7895" ht="12.75" customHeight="1">
      <c r="A7895" s="59" t="s">
        <v>749</v>
      </c>
      <c r="B7895" s="60" t="s">
        <v>2838</v>
      </c>
    </row>
    <row r="7896" ht="12.75" customHeight="1">
      <c r="A7896" s="59" t="s">
        <v>749</v>
      </c>
      <c r="B7896" s="60" t="s">
        <v>2839</v>
      </c>
    </row>
    <row r="7897" ht="12.75" customHeight="1">
      <c r="A7897" s="59" t="s">
        <v>749</v>
      </c>
      <c r="B7897" s="60" t="s">
        <v>2840</v>
      </c>
    </row>
    <row r="7898" ht="12.75" customHeight="1">
      <c r="A7898" s="59" t="s">
        <v>749</v>
      </c>
      <c r="B7898" s="60" t="s">
        <v>2841</v>
      </c>
    </row>
    <row r="7899" ht="12.75" customHeight="1">
      <c r="A7899" s="59" t="s">
        <v>749</v>
      </c>
      <c r="B7899" s="60" t="s">
        <v>2842</v>
      </c>
    </row>
    <row r="7900" ht="12.75" customHeight="1">
      <c r="A7900" s="59" t="s">
        <v>462</v>
      </c>
      <c r="B7900" s="60" t="s">
        <v>2452</v>
      </c>
    </row>
    <row r="7901" ht="12.75" customHeight="1">
      <c r="A7901" s="59" t="s">
        <v>462</v>
      </c>
      <c r="B7901" s="60" t="s">
        <v>2467</v>
      </c>
    </row>
    <row r="7902" ht="12.75" customHeight="1">
      <c r="A7902" s="59" t="s">
        <v>462</v>
      </c>
      <c r="B7902" s="60" t="s">
        <v>2482</v>
      </c>
    </row>
    <row r="7903" ht="12.75" customHeight="1">
      <c r="A7903" s="59" t="s">
        <v>462</v>
      </c>
      <c r="B7903" s="60" t="s">
        <v>2490</v>
      </c>
    </row>
    <row r="7904" ht="12.75" customHeight="1">
      <c r="A7904" s="59" t="s">
        <v>462</v>
      </c>
      <c r="B7904" s="60" t="s">
        <v>2835</v>
      </c>
    </row>
    <row r="7905" ht="12.75" customHeight="1">
      <c r="A7905" s="59" t="s">
        <v>462</v>
      </c>
      <c r="B7905" s="60" t="s">
        <v>2836</v>
      </c>
    </row>
    <row r="7906" ht="12.75" customHeight="1">
      <c r="A7906" s="59" t="s">
        <v>462</v>
      </c>
      <c r="B7906" s="60" t="s">
        <v>2837</v>
      </c>
    </row>
    <row r="7907" ht="12.75" customHeight="1">
      <c r="A7907" s="59" t="s">
        <v>462</v>
      </c>
      <c r="B7907" s="60" t="s">
        <v>2838</v>
      </c>
    </row>
    <row r="7908" ht="12.75" customHeight="1">
      <c r="A7908" s="59" t="s">
        <v>462</v>
      </c>
      <c r="B7908" s="60" t="s">
        <v>2839</v>
      </c>
    </row>
    <row r="7909" ht="12.75" customHeight="1">
      <c r="A7909" s="59" t="s">
        <v>462</v>
      </c>
      <c r="B7909" s="60" t="s">
        <v>2840</v>
      </c>
    </row>
    <row r="7910" ht="12.75" customHeight="1">
      <c r="A7910" s="59" t="s">
        <v>462</v>
      </c>
      <c r="B7910" s="60" t="s">
        <v>2841</v>
      </c>
    </row>
    <row r="7911" ht="12.75" customHeight="1">
      <c r="A7911" s="59" t="s">
        <v>462</v>
      </c>
      <c r="B7911" s="60" t="s">
        <v>2842</v>
      </c>
    </row>
    <row r="7912" ht="12.75" customHeight="1">
      <c r="A7912" s="59" t="s">
        <v>463</v>
      </c>
      <c r="B7912" s="60" t="s">
        <v>2452</v>
      </c>
    </row>
    <row r="7913" ht="12.75" customHeight="1">
      <c r="A7913" s="59" t="s">
        <v>463</v>
      </c>
      <c r="B7913" s="60" t="s">
        <v>2467</v>
      </c>
    </row>
    <row r="7914" ht="12.75" customHeight="1">
      <c r="A7914" s="59" t="s">
        <v>463</v>
      </c>
      <c r="B7914" s="60" t="s">
        <v>2482</v>
      </c>
    </row>
    <row r="7915" ht="12.75" customHeight="1">
      <c r="A7915" s="59" t="s">
        <v>463</v>
      </c>
      <c r="B7915" s="60" t="s">
        <v>2490</v>
      </c>
    </row>
    <row r="7916" ht="12.75" customHeight="1">
      <c r="A7916" s="59" t="s">
        <v>463</v>
      </c>
      <c r="B7916" s="60" t="s">
        <v>2835</v>
      </c>
    </row>
    <row r="7917" ht="12.75" customHeight="1">
      <c r="A7917" s="59" t="s">
        <v>463</v>
      </c>
      <c r="B7917" s="60" t="s">
        <v>2836</v>
      </c>
    </row>
    <row r="7918" ht="12.75" customHeight="1">
      <c r="A7918" s="59" t="s">
        <v>463</v>
      </c>
      <c r="B7918" s="60" t="s">
        <v>2837</v>
      </c>
    </row>
    <row r="7919" ht="12.75" customHeight="1">
      <c r="A7919" s="59" t="s">
        <v>463</v>
      </c>
      <c r="B7919" s="60" t="s">
        <v>2838</v>
      </c>
    </row>
    <row r="7920" ht="12.75" customHeight="1">
      <c r="A7920" s="59" t="s">
        <v>463</v>
      </c>
      <c r="B7920" s="60" t="s">
        <v>2839</v>
      </c>
    </row>
    <row r="7921" ht="12.75" customHeight="1">
      <c r="A7921" s="59" t="s">
        <v>463</v>
      </c>
      <c r="B7921" s="60" t="s">
        <v>2840</v>
      </c>
    </row>
    <row r="7922" ht="12.75" customHeight="1">
      <c r="A7922" s="59" t="s">
        <v>463</v>
      </c>
      <c r="B7922" s="60" t="s">
        <v>2841</v>
      </c>
    </row>
    <row r="7923" ht="12.75" customHeight="1">
      <c r="A7923" s="59" t="s">
        <v>463</v>
      </c>
      <c r="B7923" s="60" t="s">
        <v>2842</v>
      </c>
    </row>
    <row r="7924" ht="12.75" customHeight="1">
      <c r="A7924" s="59" t="s">
        <v>473</v>
      </c>
      <c r="B7924" s="60" t="s">
        <v>745</v>
      </c>
    </row>
    <row r="7925" ht="12.75" customHeight="1">
      <c r="A7925" s="59" t="s">
        <v>473</v>
      </c>
      <c r="B7925" s="60" t="s">
        <v>746</v>
      </c>
    </row>
    <row r="7926" ht="12.75" customHeight="1">
      <c r="A7926" s="59" t="s">
        <v>473</v>
      </c>
      <c r="B7926" s="60" t="s">
        <v>747</v>
      </c>
    </row>
    <row r="7927" ht="12.75" customHeight="1">
      <c r="A7927" s="59" t="s">
        <v>473</v>
      </c>
      <c r="B7927" s="60" t="s">
        <v>748</v>
      </c>
    </row>
    <row r="7928" ht="12.75" customHeight="1">
      <c r="A7928" s="59" t="s">
        <v>486</v>
      </c>
      <c r="B7928" s="60" t="s">
        <v>745</v>
      </c>
    </row>
    <row r="7929" ht="12.75" customHeight="1">
      <c r="A7929" s="59" t="s">
        <v>486</v>
      </c>
      <c r="B7929" s="60" t="s">
        <v>746</v>
      </c>
    </row>
    <row r="7930" ht="12.75" customHeight="1">
      <c r="A7930" s="59" t="s">
        <v>486</v>
      </c>
      <c r="B7930" s="60" t="s">
        <v>747</v>
      </c>
    </row>
    <row r="7931" ht="12.75" customHeight="1">
      <c r="A7931" s="59" t="s">
        <v>486</v>
      </c>
      <c r="B7931" s="60" t="s">
        <v>748</v>
      </c>
    </row>
    <row r="7932" ht="12.75" customHeight="1">
      <c r="A7932" s="59" t="s">
        <v>497</v>
      </c>
      <c r="B7932" s="60" t="s">
        <v>745</v>
      </c>
    </row>
    <row r="7933" ht="12.75" customHeight="1">
      <c r="A7933" s="59" t="s">
        <v>497</v>
      </c>
      <c r="B7933" s="60" t="s">
        <v>746</v>
      </c>
    </row>
    <row r="7934" ht="12.75" customHeight="1">
      <c r="A7934" s="59" t="s">
        <v>497</v>
      </c>
      <c r="B7934" s="60" t="s">
        <v>747</v>
      </c>
    </row>
    <row r="7935" ht="12.75" customHeight="1">
      <c r="A7935" s="59" t="s">
        <v>497</v>
      </c>
      <c r="B7935" s="60" t="s">
        <v>748</v>
      </c>
    </row>
    <row r="7936" ht="12.75" customHeight="1">
      <c r="A7936" s="59" t="s">
        <v>508</v>
      </c>
      <c r="B7936" s="60" t="s">
        <v>745</v>
      </c>
    </row>
    <row r="7937" ht="12.75" customHeight="1">
      <c r="A7937" s="59" t="s">
        <v>508</v>
      </c>
      <c r="B7937" s="60" t="s">
        <v>2843</v>
      </c>
    </row>
    <row r="7938" ht="12.75" customHeight="1">
      <c r="A7938" s="59" t="s">
        <v>508</v>
      </c>
      <c r="B7938" s="60" t="s">
        <v>2844</v>
      </c>
    </row>
    <row r="7939" ht="12.75" customHeight="1">
      <c r="A7939" s="59" t="s">
        <v>508</v>
      </c>
      <c r="B7939" s="60" t="s">
        <v>2845</v>
      </c>
    </row>
    <row r="7940" ht="12.75" customHeight="1">
      <c r="A7940" s="59" t="s">
        <v>508</v>
      </c>
      <c r="B7940" s="60" t="s">
        <v>2846</v>
      </c>
    </row>
    <row r="7941" ht="12.75" customHeight="1">
      <c r="A7941" s="59" t="s">
        <v>508</v>
      </c>
      <c r="B7941" s="60" t="s">
        <v>2847</v>
      </c>
    </row>
    <row r="7942" ht="12.75" customHeight="1">
      <c r="A7942" s="59" t="s">
        <v>508</v>
      </c>
      <c r="B7942" s="60" t="s">
        <v>2848</v>
      </c>
    </row>
    <row r="7943" ht="12.75" customHeight="1">
      <c r="A7943" s="59" t="s">
        <v>508</v>
      </c>
      <c r="B7943" s="60" t="s">
        <v>746</v>
      </c>
    </row>
    <row r="7944" ht="12.75" customHeight="1">
      <c r="A7944" s="59" t="s">
        <v>508</v>
      </c>
      <c r="B7944" s="60" t="s">
        <v>2849</v>
      </c>
    </row>
    <row r="7945" ht="12.75" customHeight="1">
      <c r="A7945" s="59" t="s">
        <v>508</v>
      </c>
      <c r="B7945" s="60" t="s">
        <v>2850</v>
      </c>
    </row>
    <row r="7946" ht="12.75" customHeight="1">
      <c r="A7946" s="59" t="s">
        <v>508</v>
      </c>
      <c r="B7946" s="60" t="s">
        <v>2851</v>
      </c>
    </row>
    <row r="7947" ht="12.75" customHeight="1">
      <c r="A7947" s="59" t="s">
        <v>508</v>
      </c>
      <c r="B7947" s="60" t="s">
        <v>2852</v>
      </c>
    </row>
    <row r="7948" ht="12.75" customHeight="1">
      <c r="A7948" s="59" t="s">
        <v>508</v>
      </c>
      <c r="B7948" s="60" t="s">
        <v>2853</v>
      </c>
    </row>
    <row r="7949" ht="12.75" customHeight="1">
      <c r="A7949" s="59" t="s">
        <v>508</v>
      </c>
      <c r="B7949" s="60" t="s">
        <v>2854</v>
      </c>
    </row>
    <row r="7950" ht="12.75" customHeight="1">
      <c r="A7950" s="59" t="s">
        <v>508</v>
      </c>
      <c r="B7950" s="60" t="s">
        <v>747</v>
      </c>
    </row>
    <row r="7951" ht="12.75" customHeight="1">
      <c r="A7951" s="59" t="s">
        <v>508</v>
      </c>
      <c r="B7951" s="60" t="s">
        <v>2855</v>
      </c>
    </row>
    <row r="7952" ht="12.75" customHeight="1">
      <c r="A7952" s="59" t="s">
        <v>508</v>
      </c>
      <c r="B7952" s="60" t="s">
        <v>2856</v>
      </c>
    </row>
    <row r="7953" ht="12.75" customHeight="1">
      <c r="A7953" s="59" t="s">
        <v>508</v>
      </c>
      <c r="B7953" s="60" t="s">
        <v>2857</v>
      </c>
    </row>
    <row r="7954" ht="12.75" customHeight="1">
      <c r="A7954" s="59" t="s">
        <v>508</v>
      </c>
      <c r="B7954" s="60" t="s">
        <v>2858</v>
      </c>
    </row>
    <row r="7955" ht="12.75" customHeight="1">
      <c r="A7955" s="59" t="s">
        <v>508</v>
      </c>
      <c r="B7955" s="60" t="s">
        <v>2859</v>
      </c>
    </row>
    <row r="7956" ht="12.75" customHeight="1">
      <c r="A7956" s="59" t="s">
        <v>508</v>
      </c>
      <c r="B7956" s="60" t="s">
        <v>2860</v>
      </c>
    </row>
    <row r="7957" ht="12.75" customHeight="1">
      <c r="A7957" s="59" t="s">
        <v>508</v>
      </c>
      <c r="B7957" s="60" t="s">
        <v>748</v>
      </c>
    </row>
    <row r="7958" ht="12.75" customHeight="1">
      <c r="A7958" s="59" t="s">
        <v>508</v>
      </c>
      <c r="B7958" s="60" t="s">
        <v>2861</v>
      </c>
    </row>
    <row r="7959" ht="12.75" customHeight="1">
      <c r="A7959" s="59" t="s">
        <v>508</v>
      </c>
      <c r="B7959" s="60" t="s">
        <v>2862</v>
      </c>
    </row>
    <row r="7960" ht="12.75" customHeight="1">
      <c r="A7960" s="59" t="s">
        <v>508</v>
      </c>
      <c r="B7960" s="60" t="s">
        <v>2863</v>
      </c>
    </row>
    <row r="7961" ht="12.75" customHeight="1">
      <c r="A7961" s="59" t="s">
        <v>508</v>
      </c>
      <c r="B7961" s="60" t="s">
        <v>2864</v>
      </c>
    </row>
    <row r="7962" ht="12.75" customHeight="1">
      <c r="A7962" s="59" t="s">
        <v>508</v>
      </c>
      <c r="B7962" s="60" t="s">
        <v>2865</v>
      </c>
    </row>
    <row r="7963" ht="12.75" customHeight="1">
      <c r="A7963" s="59" t="s">
        <v>508</v>
      </c>
      <c r="B7963" s="60" t="s">
        <v>2866</v>
      </c>
    </row>
    <row r="7964" ht="12.75" customHeight="1">
      <c r="A7964" s="59" t="s">
        <v>516</v>
      </c>
      <c r="B7964" s="60" t="s">
        <v>745</v>
      </c>
    </row>
    <row r="7965" ht="12.75" customHeight="1">
      <c r="A7965" s="59" t="s">
        <v>516</v>
      </c>
      <c r="B7965" s="60" t="s">
        <v>746</v>
      </c>
    </row>
    <row r="7966" ht="12.75" customHeight="1">
      <c r="A7966" s="59" t="s">
        <v>516</v>
      </c>
      <c r="B7966" s="60" t="s">
        <v>747</v>
      </c>
    </row>
    <row r="7967" ht="12.75" customHeight="1">
      <c r="A7967" s="59" t="s">
        <v>516</v>
      </c>
      <c r="B7967" s="60" t="s">
        <v>748</v>
      </c>
    </row>
    <row r="7968" ht="12.75" customHeight="1">
      <c r="A7968" s="59" t="s">
        <v>523</v>
      </c>
      <c r="B7968" s="60" t="s">
        <v>745</v>
      </c>
    </row>
    <row r="7969" ht="12.75" customHeight="1">
      <c r="A7969" s="59" t="s">
        <v>523</v>
      </c>
      <c r="B7969" s="60" t="s">
        <v>746</v>
      </c>
    </row>
    <row r="7970" ht="12.75" customHeight="1">
      <c r="A7970" s="59" t="s">
        <v>523</v>
      </c>
      <c r="B7970" s="60" t="s">
        <v>747</v>
      </c>
    </row>
    <row r="7971" ht="12.75" customHeight="1">
      <c r="A7971" s="59" t="s">
        <v>523</v>
      </c>
      <c r="B7971" s="60" t="s">
        <v>748</v>
      </c>
    </row>
    <row r="7972" ht="12.75" customHeight="1">
      <c r="A7972" s="59" t="s">
        <v>533</v>
      </c>
      <c r="B7972" s="60" t="s">
        <v>745</v>
      </c>
    </row>
    <row r="7973" ht="12.75" customHeight="1">
      <c r="A7973" s="59" t="s">
        <v>533</v>
      </c>
      <c r="B7973" s="60" t="s">
        <v>746</v>
      </c>
    </row>
    <row r="7974" ht="12.75" customHeight="1">
      <c r="A7974" s="59" t="s">
        <v>533</v>
      </c>
      <c r="B7974" s="60" t="s">
        <v>747</v>
      </c>
    </row>
    <row r="7975" ht="12.75" customHeight="1">
      <c r="A7975" s="59" t="s">
        <v>533</v>
      </c>
      <c r="B7975" s="60" t="s">
        <v>748</v>
      </c>
    </row>
    <row r="7976" ht="12.75" customHeight="1">
      <c r="A7976" s="59" t="s">
        <v>538</v>
      </c>
      <c r="B7976" s="60" t="s">
        <v>745</v>
      </c>
    </row>
    <row r="7977" ht="12.75" customHeight="1">
      <c r="A7977" s="59" t="s">
        <v>538</v>
      </c>
      <c r="B7977" s="60" t="s">
        <v>746</v>
      </c>
    </row>
    <row r="7978" ht="12.75" customHeight="1">
      <c r="A7978" s="59" t="s">
        <v>538</v>
      </c>
      <c r="B7978" s="60" t="s">
        <v>747</v>
      </c>
    </row>
    <row r="7979" ht="12.75" customHeight="1">
      <c r="A7979" s="59" t="s">
        <v>538</v>
      </c>
      <c r="B7979" s="60" t="s">
        <v>748</v>
      </c>
    </row>
    <row r="7980" ht="12.75" customHeight="1">
      <c r="A7980" s="59" t="s">
        <v>546</v>
      </c>
      <c r="B7980" s="60" t="s">
        <v>745</v>
      </c>
    </row>
    <row r="7981" ht="12.75" customHeight="1">
      <c r="A7981" s="59" t="s">
        <v>546</v>
      </c>
      <c r="B7981" s="60" t="s">
        <v>746</v>
      </c>
    </row>
    <row r="7982" ht="12.75" customHeight="1">
      <c r="A7982" s="59" t="s">
        <v>546</v>
      </c>
      <c r="B7982" s="60" t="s">
        <v>747</v>
      </c>
    </row>
    <row r="7983" ht="12.75" customHeight="1">
      <c r="A7983" s="59" t="s">
        <v>546</v>
      </c>
      <c r="B7983" s="60" t="s">
        <v>748</v>
      </c>
    </row>
    <row r="7984" ht="12.75" customHeight="1">
      <c r="A7984" s="59" t="s">
        <v>557</v>
      </c>
      <c r="B7984" s="60" t="s">
        <v>745</v>
      </c>
    </row>
    <row r="7985" ht="12.75" customHeight="1">
      <c r="A7985" s="59" t="s">
        <v>557</v>
      </c>
      <c r="B7985" s="60" t="s">
        <v>746</v>
      </c>
    </row>
    <row r="7986" ht="12.75" customHeight="1">
      <c r="A7986" s="59" t="s">
        <v>557</v>
      </c>
      <c r="B7986" s="60" t="s">
        <v>747</v>
      </c>
    </row>
    <row r="7987" ht="12.75" customHeight="1">
      <c r="A7987" s="59" t="s">
        <v>557</v>
      </c>
      <c r="B7987" s="60" t="s">
        <v>748</v>
      </c>
    </row>
    <row r="7988" ht="12.75" customHeight="1">
      <c r="A7988" s="59" t="s">
        <v>566</v>
      </c>
      <c r="B7988" s="60" t="s">
        <v>745</v>
      </c>
    </row>
    <row r="7989" ht="12.75" customHeight="1">
      <c r="A7989" s="59" t="s">
        <v>566</v>
      </c>
      <c r="B7989" s="60" t="s">
        <v>746</v>
      </c>
    </row>
    <row r="7990" ht="12.75" customHeight="1">
      <c r="A7990" s="59" t="s">
        <v>566</v>
      </c>
      <c r="B7990" s="60" t="s">
        <v>747</v>
      </c>
    </row>
    <row r="7991" ht="12.75" customHeight="1">
      <c r="A7991" s="59" t="s">
        <v>566</v>
      </c>
      <c r="B7991" s="60" t="s">
        <v>748</v>
      </c>
    </row>
    <row r="7992" ht="12.75" customHeight="1">
      <c r="A7992" s="59" t="s">
        <v>575</v>
      </c>
      <c r="B7992" s="60" t="s">
        <v>745</v>
      </c>
    </row>
    <row r="7993" ht="12.75" customHeight="1">
      <c r="A7993" s="59" t="s">
        <v>575</v>
      </c>
      <c r="B7993" s="60" t="s">
        <v>746</v>
      </c>
    </row>
    <row r="7994" ht="12.75" customHeight="1">
      <c r="A7994" s="59" t="s">
        <v>575</v>
      </c>
      <c r="B7994" s="60" t="s">
        <v>747</v>
      </c>
    </row>
    <row r="7995" ht="12.75" customHeight="1">
      <c r="A7995" s="59" t="s">
        <v>575</v>
      </c>
      <c r="B7995" s="60" t="s">
        <v>748</v>
      </c>
    </row>
    <row r="7996" ht="12.75" customHeight="1">
      <c r="A7996" s="59" t="s">
        <v>582</v>
      </c>
      <c r="B7996" s="60" t="s">
        <v>745</v>
      </c>
    </row>
    <row r="7997" ht="12.75" customHeight="1">
      <c r="A7997" s="59" t="s">
        <v>582</v>
      </c>
      <c r="B7997" s="60" t="s">
        <v>746</v>
      </c>
    </row>
    <row r="7998" ht="12.75" customHeight="1">
      <c r="A7998" s="59" t="s">
        <v>582</v>
      </c>
      <c r="B7998" s="60" t="s">
        <v>747</v>
      </c>
    </row>
    <row r="7999" ht="12.75" customHeight="1">
      <c r="A7999" s="59" t="s">
        <v>582</v>
      </c>
      <c r="B7999" s="60" t="s">
        <v>748</v>
      </c>
    </row>
    <row r="8000" ht="12.75" customHeight="1">
      <c r="A8000" s="59" t="s">
        <v>749</v>
      </c>
      <c r="B8000" s="60" t="s">
        <v>745</v>
      </c>
    </row>
    <row r="8001" ht="12.75" customHeight="1">
      <c r="A8001" s="59" t="s">
        <v>749</v>
      </c>
      <c r="B8001" s="60" t="s">
        <v>746</v>
      </c>
    </row>
    <row r="8002" ht="12.75" customHeight="1">
      <c r="A8002" s="59" t="s">
        <v>749</v>
      </c>
      <c r="B8002" s="60" t="s">
        <v>747</v>
      </c>
    </row>
    <row r="8003" ht="12.75" customHeight="1">
      <c r="A8003" s="59" t="s">
        <v>749</v>
      </c>
      <c r="B8003" s="60" t="s">
        <v>748</v>
      </c>
    </row>
    <row r="8004" ht="12.75" customHeight="1">
      <c r="A8004" s="59" t="s">
        <v>591</v>
      </c>
      <c r="B8004" s="60" t="s">
        <v>745</v>
      </c>
    </row>
    <row r="8005" ht="12.75" customHeight="1">
      <c r="A8005" s="59" t="s">
        <v>591</v>
      </c>
      <c r="B8005" s="60" t="s">
        <v>746</v>
      </c>
    </row>
    <row r="8006" ht="12.75" customHeight="1">
      <c r="A8006" s="59" t="s">
        <v>591</v>
      </c>
      <c r="B8006" s="60" t="s">
        <v>747</v>
      </c>
    </row>
    <row r="8007" ht="12.75" customHeight="1">
      <c r="A8007" s="59" t="s">
        <v>591</v>
      </c>
      <c r="B8007" s="60" t="s">
        <v>748</v>
      </c>
    </row>
    <row r="8008" ht="12.75" customHeight="1">
      <c r="A8008" s="59" t="s">
        <v>598</v>
      </c>
      <c r="B8008" s="60" t="s">
        <v>745</v>
      </c>
    </row>
    <row r="8009" ht="12.75" customHeight="1">
      <c r="A8009" s="59" t="s">
        <v>598</v>
      </c>
      <c r="B8009" s="60" t="s">
        <v>746</v>
      </c>
    </row>
    <row r="8010" ht="12.75" customHeight="1">
      <c r="A8010" s="59" t="s">
        <v>598</v>
      </c>
      <c r="B8010" s="60" t="s">
        <v>747</v>
      </c>
    </row>
    <row r="8011" ht="12.75" customHeight="1">
      <c r="A8011" s="59" t="s">
        <v>598</v>
      </c>
      <c r="B8011" s="60" t="s">
        <v>748</v>
      </c>
    </row>
    <row r="8012" ht="12.75" customHeight="1">
      <c r="A8012" s="59" t="s">
        <v>602</v>
      </c>
      <c r="B8012" s="60" t="s">
        <v>745</v>
      </c>
    </row>
    <row r="8013" ht="12.75" customHeight="1">
      <c r="A8013" s="59" t="s">
        <v>602</v>
      </c>
      <c r="B8013" s="60" t="s">
        <v>746</v>
      </c>
    </row>
    <row r="8014" ht="12.75" customHeight="1">
      <c r="A8014" s="59" t="s">
        <v>602</v>
      </c>
      <c r="B8014" s="60" t="s">
        <v>747</v>
      </c>
    </row>
    <row r="8015" ht="12.75" customHeight="1">
      <c r="A8015" s="59" t="s">
        <v>602</v>
      </c>
      <c r="B8015" s="60" t="s">
        <v>748</v>
      </c>
    </row>
    <row r="8016" ht="12.75" customHeight="1">
      <c r="A8016" s="59" t="s">
        <v>606</v>
      </c>
      <c r="B8016" s="60" t="s">
        <v>745</v>
      </c>
    </row>
    <row r="8017" ht="12.75" customHeight="1">
      <c r="A8017" s="59" t="s">
        <v>606</v>
      </c>
      <c r="B8017" s="60" t="s">
        <v>746</v>
      </c>
    </row>
    <row r="8018" ht="12.75" customHeight="1">
      <c r="A8018" s="59" t="s">
        <v>606</v>
      </c>
      <c r="B8018" s="60" t="s">
        <v>747</v>
      </c>
    </row>
    <row r="8019" ht="12.75" customHeight="1">
      <c r="A8019" s="59" t="s">
        <v>606</v>
      </c>
      <c r="B8019" s="60" t="s">
        <v>748</v>
      </c>
    </row>
    <row r="8020" ht="12.75" customHeight="1">
      <c r="A8020" s="59" t="s">
        <v>610</v>
      </c>
      <c r="B8020" s="60" t="s">
        <v>745</v>
      </c>
    </row>
    <row r="8021" ht="12.75" customHeight="1">
      <c r="A8021" s="59" t="s">
        <v>610</v>
      </c>
      <c r="B8021" s="60" t="s">
        <v>746</v>
      </c>
    </row>
    <row r="8022" ht="12.75" customHeight="1">
      <c r="A8022" s="59" t="s">
        <v>610</v>
      </c>
      <c r="B8022" s="60" t="s">
        <v>747</v>
      </c>
    </row>
    <row r="8023" ht="12.75" customHeight="1">
      <c r="A8023" s="59" t="s">
        <v>610</v>
      </c>
      <c r="B8023" s="60" t="s">
        <v>748</v>
      </c>
    </row>
    <row r="8024" ht="12.75" customHeight="1">
      <c r="A8024" s="59" t="s">
        <v>614</v>
      </c>
      <c r="B8024" s="60" t="s">
        <v>745</v>
      </c>
    </row>
    <row r="8025" ht="12.75" customHeight="1">
      <c r="A8025" s="59" t="s">
        <v>614</v>
      </c>
      <c r="B8025" s="60" t="s">
        <v>746</v>
      </c>
    </row>
    <row r="8026" ht="12.75" customHeight="1">
      <c r="A8026" s="59" t="s">
        <v>614</v>
      </c>
      <c r="B8026" s="60" t="s">
        <v>747</v>
      </c>
    </row>
    <row r="8027" ht="12.75" customHeight="1">
      <c r="A8027" s="59" t="s">
        <v>614</v>
      </c>
      <c r="B8027" s="60" t="s">
        <v>748</v>
      </c>
    </row>
    <row r="8028" ht="12.75" customHeight="1">
      <c r="A8028" s="59" t="s">
        <v>749</v>
      </c>
      <c r="B8028" s="60" t="s">
        <v>745</v>
      </c>
    </row>
    <row r="8029" ht="12.75" customHeight="1">
      <c r="A8029" s="59" t="s">
        <v>749</v>
      </c>
      <c r="B8029" s="60" t="s">
        <v>746</v>
      </c>
    </row>
    <row r="8030" ht="12.75" customHeight="1">
      <c r="A8030" s="59" t="s">
        <v>749</v>
      </c>
      <c r="B8030" s="60" t="s">
        <v>747</v>
      </c>
    </row>
    <row r="8031" ht="12.75" customHeight="1">
      <c r="A8031" s="59" t="s">
        <v>749</v>
      </c>
      <c r="B8031" s="60" t="s">
        <v>748</v>
      </c>
    </row>
    <row r="8032" ht="12.75" customHeight="1">
      <c r="A8032" s="59" t="s">
        <v>2867</v>
      </c>
      <c r="B8032" s="60" t="s">
        <v>745</v>
      </c>
    </row>
    <row r="8033" ht="12.75" customHeight="1">
      <c r="A8033" s="59" t="s">
        <v>2867</v>
      </c>
      <c r="B8033" s="60" t="s">
        <v>746</v>
      </c>
    </row>
    <row r="8034" ht="12.75" customHeight="1">
      <c r="A8034" s="59" t="s">
        <v>2867</v>
      </c>
      <c r="B8034" s="60" t="s">
        <v>747</v>
      </c>
    </row>
    <row r="8035" ht="12.75" customHeight="1">
      <c r="A8035" s="59" t="s">
        <v>2867</v>
      </c>
      <c r="B8035" s="60" t="s">
        <v>748</v>
      </c>
    </row>
    <row r="8036" ht="12.75" customHeight="1">
      <c r="A8036" s="59" t="s">
        <v>2868</v>
      </c>
      <c r="B8036" s="60">
        <v>0.0</v>
      </c>
    </row>
    <row r="8037" ht="12.75" customHeight="1">
      <c r="A8037" s="59" t="s">
        <v>2868</v>
      </c>
      <c r="B8037" s="60">
        <v>0.0</v>
      </c>
    </row>
    <row r="8038" ht="12.75" customHeight="1">
      <c r="A8038" s="59" t="s">
        <v>2868</v>
      </c>
      <c r="B8038" s="60">
        <v>2.0</v>
      </c>
    </row>
    <row r="8039" ht="12.75" customHeight="1">
      <c r="A8039" s="59" t="s">
        <v>2868</v>
      </c>
      <c r="B8039" s="60">
        <v>4.0</v>
      </c>
    </row>
    <row r="8040" ht="12.75" customHeight="1">
      <c r="A8040" s="59" t="s">
        <v>2868</v>
      </c>
      <c r="B8040" s="60">
        <v>6.0</v>
      </c>
    </row>
    <row r="8041" ht="12.75" customHeight="1">
      <c r="A8041" s="59" t="s">
        <v>2868</v>
      </c>
      <c r="B8041" s="60">
        <v>8.0</v>
      </c>
    </row>
    <row r="8042" ht="12.75" customHeight="1">
      <c r="A8042" s="59" t="s">
        <v>2868</v>
      </c>
      <c r="B8042" s="60">
        <v>10.0</v>
      </c>
    </row>
    <row r="8043" ht="12.75" customHeight="1">
      <c r="A8043" s="59" t="s">
        <v>2868</v>
      </c>
      <c r="B8043" s="60">
        <v>12.0</v>
      </c>
    </row>
    <row r="8044" ht="12.75" customHeight="1">
      <c r="A8044" s="59" t="s">
        <v>2868</v>
      </c>
      <c r="B8044" s="60" t="s">
        <v>803</v>
      </c>
    </row>
    <row r="8045" ht="12.75" customHeight="1">
      <c r="A8045" s="59" t="s">
        <v>2868</v>
      </c>
      <c r="B8045" s="60" t="s">
        <v>804</v>
      </c>
    </row>
    <row r="8046" ht="12.75" customHeight="1">
      <c r="A8046" s="59" t="s">
        <v>2868</v>
      </c>
      <c r="B8046" s="60" t="s">
        <v>76</v>
      </c>
    </row>
    <row r="8047" ht="12.75" customHeight="1">
      <c r="A8047" s="59" t="s">
        <v>2868</v>
      </c>
      <c r="B8047" s="60" t="s">
        <v>80</v>
      </c>
    </row>
    <row r="8048" ht="12.75" customHeight="1">
      <c r="A8048" s="59" t="s">
        <v>2868</v>
      </c>
      <c r="B8048" s="60" t="s">
        <v>83</v>
      </c>
    </row>
    <row r="8049" ht="12.75" customHeight="1">
      <c r="A8049" s="59" t="s">
        <v>2868</v>
      </c>
      <c r="B8049" s="60" t="s">
        <v>85</v>
      </c>
    </row>
    <row r="8050" ht="12.75" customHeight="1">
      <c r="A8050" s="59" t="s">
        <v>2868</v>
      </c>
      <c r="B8050" s="60" t="s">
        <v>805</v>
      </c>
    </row>
    <row r="8051" ht="12.75" customHeight="1">
      <c r="A8051" s="59" t="s">
        <v>2868</v>
      </c>
      <c r="B8051" s="60" t="s">
        <v>806</v>
      </c>
    </row>
    <row r="8052" ht="12.75" customHeight="1">
      <c r="A8052" s="59" t="s">
        <v>2868</v>
      </c>
      <c r="B8052" s="60" t="s">
        <v>807</v>
      </c>
    </row>
    <row r="8053" ht="12.75" customHeight="1">
      <c r="A8053" s="59" t="s">
        <v>2868</v>
      </c>
      <c r="B8053" s="60" t="s">
        <v>753</v>
      </c>
    </row>
    <row r="8054" ht="12.75" customHeight="1">
      <c r="A8054" s="59" t="s">
        <v>2868</v>
      </c>
      <c r="B8054" s="60" t="s">
        <v>757</v>
      </c>
    </row>
    <row r="8055" ht="12.75" customHeight="1">
      <c r="A8055" s="59" t="s">
        <v>2868</v>
      </c>
      <c r="B8055" s="60" t="s">
        <v>761</v>
      </c>
    </row>
    <row r="8056" ht="12.75" customHeight="1">
      <c r="A8056" s="59" t="s">
        <v>2868</v>
      </c>
      <c r="B8056" s="60" t="s">
        <v>765</v>
      </c>
    </row>
    <row r="8057" ht="12.75" customHeight="1">
      <c r="A8057" s="59" t="s">
        <v>2868</v>
      </c>
      <c r="B8057" s="60" t="s">
        <v>808</v>
      </c>
    </row>
    <row r="8058" ht="12.75" customHeight="1">
      <c r="A8058" s="59" t="s">
        <v>2868</v>
      </c>
      <c r="B8058" s="60" t="s">
        <v>809</v>
      </c>
    </row>
    <row r="8059" ht="12.75" customHeight="1">
      <c r="A8059" s="59" t="s">
        <v>2868</v>
      </c>
      <c r="B8059" s="60" t="s">
        <v>810</v>
      </c>
    </row>
    <row r="8060" ht="12.75" customHeight="1">
      <c r="A8060" s="59" t="s">
        <v>2868</v>
      </c>
      <c r="B8060" s="60" t="s">
        <v>811</v>
      </c>
    </row>
    <row r="8061" ht="12.75" customHeight="1">
      <c r="A8061" s="59" t="s">
        <v>2868</v>
      </c>
      <c r="B8061" s="60" t="s">
        <v>812</v>
      </c>
    </row>
    <row r="8062" ht="12.75" customHeight="1">
      <c r="A8062" s="59" t="s">
        <v>2868</v>
      </c>
      <c r="B8062" s="60" t="s">
        <v>813</v>
      </c>
    </row>
    <row r="8063" ht="12.75" customHeight="1">
      <c r="A8063" s="59" t="s">
        <v>2868</v>
      </c>
      <c r="B8063" s="60" t="s">
        <v>814</v>
      </c>
    </row>
    <row r="8064" ht="12.75" customHeight="1">
      <c r="A8064" s="59" t="s">
        <v>2868</v>
      </c>
      <c r="B8064" s="60" t="s">
        <v>815</v>
      </c>
    </row>
    <row r="8065" ht="12.75" customHeight="1">
      <c r="A8065" s="59" t="s">
        <v>2868</v>
      </c>
      <c r="B8065" s="60" t="s">
        <v>816</v>
      </c>
    </row>
    <row r="8066" ht="12.75" customHeight="1">
      <c r="A8066" s="59" t="s">
        <v>2868</v>
      </c>
      <c r="B8066" s="60" t="s">
        <v>771</v>
      </c>
    </row>
    <row r="8067" ht="12.75" customHeight="1">
      <c r="A8067" s="59" t="s">
        <v>2868</v>
      </c>
      <c r="B8067" s="60" t="s">
        <v>775</v>
      </c>
    </row>
    <row r="8068" ht="12.75" customHeight="1">
      <c r="A8068" s="59" t="s">
        <v>2868</v>
      </c>
      <c r="B8068" s="60" t="s">
        <v>779</v>
      </c>
    </row>
    <row r="8069" ht="12.75" customHeight="1">
      <c r="A8069" s="59" t="s">
        <v>2868</v>
      </c>
      <c r="B8069" s="60" t="s">
        <v>783</v>
      </c>
    </row>
    <row r="8070" ht="12.75" customHeight="1">
      <c r="A8070" s="59" t="s">
        <v>2868</v>
      </c>
      <c r="B8070" s="60" t="s">
        <v>817</v>
      </c>
    </row>
    <row r="8071" ht="12.75" customHeight="1">
      <c r="A8071" s="59" t="s">
        <v>2868</v>
      </c>
      <c r="B8071" s="60" t="s">
        <v>818</v>
      </c>
    </row>
    <row r="8072" ht="12.75" customHeight="1">
      <c r="A8072" s="59" t="s">
        <v>2868</v>
      </c>
      <c r="B8072" s="60" t="s">
        <v>819</v>
      </c>
    </row>
    <row r="8073" ht="12.75" customHeight="1">
      <c r="A8073" s="59" t="s">
        <v>2868</v>
      </c>
      <c r="B8073" s="60" t="s">
        <v>820</v>
      </c>
    </row>
    <row r="8074" ht="12.75" customHeight="1">
      <c r="A8074" s="59" t="s">
        <v>2868</v>
      </c>
      <c r="B8074" s="60" t="s">
        <v>821</v>
      </c>
    </row>
    <row r="8075" ht="12.75" customHeight="1">
      <c r="A8075" s="59" t="s">
        <v>2868</v>
      </c>
      <c r="B8075" s="60" t="s">
        <v>822</v>
      </c>
    </row>
    <row r="8076" ht="12.75" customHeight="1">
      <c r="A8076" s="59" t="s">
        <v>2868</v>
      </c>
      <c r="B8076" s="60" t="s">
        <v>823</v>
      </c>
    </row>
    <row r="8077" ht="12.75" customHeight="1">
      <c r="A8077" s="59" t="s">
        <v>2868</v>
      </c>
      <c r="B8077" s="60" t="s">
        <v>824</v>
      </c>
    </row>
    <row r="8078" ht="12.75" customHeight="1">
      <c r="A8078" s="59" t="s">
        <v>2868</v>
      </c>
      <c r="B8078" s="60" t="s">
        <v>825</v>
      </c>
    </row>
    <row r="8079" ht="12.75" customHeight="1">
      <c r="A8079" s="59" t="s">
        <v>2868</v>
      </c>
      <c r="B8079" s="60" t="s">
        <v>788</v>
      </c>
    </row>
    <row r="8080" ht="12.75" customHeight="1">
      <c r="A8080" s="59" t="s">
        <v>2868</v>
      </c>
      <c r="B8080" s="60" t="s">
        <v>792</v>
      </c>
    </row>
    <row r="8081" ht="12.75" customHeight="1">
      <c r="A8081" s="59" t="s">
        <v>2868</v>
      </c>
      <c r="B8081" s="60" t="s">
        <v>796</v>
      </c>
    </row>
    <row r="8082" ht="12.75" customHeight="1">
      <c r="A8082" s="59" t="s">
        <v>2868</v>
      </c>
      <c r="B8082" s="60" t="s">
        <v>800</v>
      </c>
    </row>
    <row r="8083" ht="12.75" customHeight="1">
      <c r="A8083" s="59" t="s">
        <v>2868</v>
      </c>
      <c r="B8083" s="60" t="s">
        <v>826</v>
      </c>
    </row>
    <row r="8084" ht="12.75" customHeight="1">
      <c r="A8084" s="59" t="s">
        <v>2868</v>
      </c>
      <c r="B8084" s="60" t="s">
        <v>827</v>
      </c>
    </row>
    <row r="8085" ht="12.75" customHeight="1">
      <c r="A8085" s="59" t="s">
        <v>2868</v>
      </c>
      <c r="B8085" s="60" t="s">
        <v>828</v>
      </c>
    </row>
    <row r="8086" ht="12.75" customHeight="1">
      <c r="A8086" s="59" t="s">
        <v>2868</v>
      </c>
      <c r="B8086" s="60" t="s">
        <v>829</v>
      </c>
    </row>
    <row r="8087" ht="12.75" customHeight="1">
      <c r="A8087" s="59" t="s">
        <v>2868</v>
      </c>
      <c r="B8087" s="60" t="s">
        <v>830</v>
      </c>
    </row>
    <row r="8088" ht="12.75" customHeight="1">
      <c r="A8088" s="59" t="s">
        <v>2868</v>
      </c>
      <c r="B8088" s="60" t="s">
        <v>831</v>
      </c>
    </row>
    <row r="8089" ht="12.75" customHeight="1">
      <c r="A8089" s="59" t="s">
        <v>2868</v>
      </c>
      <c r="B8089" s="60" t="s">
        <v>832</v>
      </c>
    </row>
    <row r="8090" ht="12.75" customHeight="1">
      <c r="A8090" s="59" t="s">
        <v>2868</v>
      </c>
      <c r="B8090" s="60" t="s">
        <v>833</v>
      </c>
    </row>
    <row r="8091" ht="12.75" customHeight="1">
      <c r="A8091" s="59" t="s">
        <v>2868</v>
      </c>
      <c r="B8091" s="60" t="s">
        <v>834</v>
      </c>
    </row>
    <row r="8092" ht="12.75" customHeight="1">
      <c r="A8092" s="59" t="s">
        <v>2868</v>
      </c>
      <c r="B8092" s="60">
        <v>14.0</v>
      </c>
    </row>
    <row r="8093" ht="12.75" customHeight="1">
      <c r="A8093" s="59" t="s">
        <v>2868</v>
      </c>
      <c r="B8093" s="60" t="s">
        <v>835</v>
      </c>
    </row>
    <row r="8094" ht="12.75" customHeight="1">
      <c r="A8094" s="59" t="s">
        <v>2868</v>
      </c>
      <c r="B8094" s="60">
        <v>16.0</v>
      </c>
    </row>
    <row r="8095" ht="12.75" customHeight="1">
      <c r="A8095" s="59" t="s">
        <v>2868</v>
      </c>
      <c r="B8095" s="60" t="s">
        <v>836</v>
      </c>
    </row>
    <row r="8096" ht="12.75" customHeight="1">
      <c r="A8096" s="59" t="s">
        <v>2868</v>
      </c>
      <c r="B8096" s="60">
        <v>18.0</v>
      </c>
    </row>
    <row r="8097" ht="12.75" customHeight="1">
      <c r="A8097" s="59" t="s">
        <v>2868</v>
      </c>
      <c r="B8097" s="60" t="s">
        <v>837</v>
      </c>
    </row>
    <row r="8098" ht="12.75" customHeight="1">
      <c r="A8098" s="59" t="s">
        <v>2868</v>
      </c>
      <c r="B8098" s="60">
        <v>20.0</v>
      </c>
    </row>
    <row r="8099" ht="12.75" customHeight="1">
      <c r="A8099" s="59" t="s">
        <v>2868</v>
      </c>
      <c r="B8099" s="60" t="s">
        <v>838</v>
      </c>
    </row>
    <row r="8100" ht="12.75" customHeight="1">
      <c r="A8100" s="59" t="s">
        <v>2868</v>
      </c>
      <c r="B8100" s="60">
        <v>22.0</v>
      </c>
    </row>
    <row r="8101" ht="12.75" customHeight="1">
      <c r="A8101" s="59" t="s">
        <v>2868</v>
      </c>
      <c r="B8101" s="60" t="s">
        <v>839</v>
      </c>
    </row>
    <row r="8102" ht="12.75" customHeight="1">
      <c r="A8102" s="59" t="s">
        <v>2868</v>
      </c>
      <c r="B8102" s="60">
        <v>24.0</v>
      </c>
    </row>
    <row r="8103" ht="12.75" customHeight="1">
      <c r="A8103" s="59" t="s">
        <v>2868</v>
      </c>
      <c r="B8103" s="60" t="s">
        <v>840</v>
      </c>
    </row>
    <row r="8104" ht="12.75" customHeight="1">
      <c r="A8104" s="59" t="s">
        <v>2868</v>
      </c>
      <c r="B8104" s="60">
        <v>26.0</v>
      </c>
    </row>
    <row r="8105" ht="12.75" customHeight="1">
      <c r="A8105" s="59" t="s">
        <v>2868</v>
      </c>
      <c r="B8105" s="60" t="s">
        <v>841</v>
      </c>
    </row>
    <row r="8106" ht="12.75" customHeight="1">
      <c r="A8106" s="59" t="s">
        <v>2868</v>
      </c>
      <c r="B8106" s="60">
        <v>28.0</v>
      </c>
    </row>
    <row r="8107" ht="12.75" customHeight="1">
      <c r="A8107" s="59" t="s">
        <v>2868</v>
      </c>
      <c r="B8107" s="60" t="s">
        <v>842</v>
      </c>
    </row>
    <row r="8108" ht="12.75" customHeight="1">
      <c r="A8108" s="59" t="s">
        <v>2868</v>
      </c>
      <c r="B8108" s="60">
        <v>30.0</v>
      </c>
    </row>
    <row r="8109" ht="12.75" customHeight="1">
      <c r="A8109" s="59" t="s">
        <v>2868</v>
      </c>
      <c r="B8109" s="60" t="s">
        <v>843</v>
      </c>
    </row>
    <row r="8110" ht="12.75" customHeight="1">
      <c r="A8110" s="59" t="s">
        <v>2868</v>
      </c>
      <c r="B8110" s="60">
        <v>32.0</v>
      </c>
    </row>
    <row r="8111" ht="12.75" customHeight="1">
      <c r="A8111" s="59" t="s">
        <v>2868</v>
      </c>
      <c r="B8111" s="60" t="s">
        <v>844</v>
      </c>
    </row>
    <row r="8112" ht="12.75" customHeight="1">
      <c r="A8112" s="59" t="s">
        <v>2868</v>
      </c>
      <c r="B8112" s="60" t="s">
        <v>845</v>
      </c>
    </row>
    <row r="8113" ht="12.75" customHeight="1">
      <c r="A8113" s="59" t="s">
        <v>2868</v>
      </c>
      <c r="B8113" s="60" t="s">
        <v>846</v>
      </c>
    </row>
    <row r="8114" ht="12.75" customHeight="1">
      <c r="A8114" s="59" t="s">
        <v>2868</v>
      </c>
      <c r="B8114" s="60" t="s">
        <v>847</v>
      </c>
    </row>
    <row r="8115" ht="12.75" customHeight="1">
      <c r="A8115" s="59" t="s">
        <v>2868</v>
      </c>
      <c r="B8115" s="60" t="s">
        <v>848</v>
      </c>
    </row>
    <row r="8116" ht="12.75" customHeight="1">
      <c r="A8116" s="59" t="s">
        <v>2868</v>
      </c>
      <c r="B8116" s="60" t="s">
        <v>849</v>
      </c>
    </row>
    <row r="8117" ht="12.75" customHeight="1">
      <c r="A8117" s="59" t="s">
        <v>2868</v>
      </c>
      <c r="B8117" s="60" t="s">
        <v>850</v>
      </c>
    </row>
    <row r="8118" ht="12.75" customHeight="1">
      <c r="A8118" s="59" t="s">
        <v>2868</v>
      </c>
      <c r="B8118" s="60" t="s">
        <v>851</v>
      </c>
    </row>
    <row r="8119" ht="12.75" customHeight="1">
      <c r="A8119" s="59" t="s">
        <v>2868</v>
      </c>
      <c r="B8119" s="60" t="s">
        <v>852</v>
      </c>
    </row>
    <row r="8120" ht="12.75" customHeight="1">
      <c r="A8120" s="59" t="s">
        <v>2868</v>
      </c>
      <c r="B8120" s="60" t="s">
        <v>853</v>
      </c>
    </row>
    <row r="8121" ht="12.75" customHeight="1">
      <c r="A8121" s="59" t="s">
        <v>2868</v>
      </c>
      <c r="B8121" s="60" t="s">
        <v>854</v>
      </c>
    </row>
    <row r="8122" ht="12.75" customHeight="1">
      <c r="A8122" s="59" t="s">
        <v>2868</v>
      </c>
      <c r="B8122" s="60" t="s">
        <v>855</v>
      </c>
    </row>
    <row r="8123" ht="12.75" customHeight="1">
      <c r="A8123" s="59" t="s">
        <v>2868</v>
      </c>
      <c r="B8123" s="60" t="s">
        <v>856</v>
      </c>
    </row>
    <row r="8124" ht="12.75" customHeight="1">
      <c r="A8124" s="59" t="s">
        <v>2868</v>
      </c>
      <c r="B8124" s="60" t="s">
        <v>857</v>
      </c>
    </row>
    <row r="8125" ht="12.75" customHeight="1">
      <c r="A8125" s="59" t="s">
        <v>2868</v>
      </c>
      <c r="B8125" s="60" t="s">
        <v>858</v>
      </c>
    </row>
    <row r="8126" ht="12.75" customHeight="1">
      <c r="A8126" s="59" t="s">
        <v>2868</v>
      </c>
      <c r="B8126" s="60" t="s">
        <v>859</v>
      </c>
    </row>
    <row r="8127" ht="12.75" customHeight="1">
      <c r="A8127" s="59" t="s">
        <v>2868</v>
      </c>
      <c r="B8127" s="60" t="s">
        <v>860</v>
      </c>
    </row>
    <row r="8128" ht="12.75" customHeight="1">
      <c r="A8128" s="59" t="s">
        <v>2868</v>
      </c>
      <c r="B8128" s="60" t="s">
        <v>861</v>
      </c>
    </row>
    <row r="8129" ht="12.75" customHeight="1">
      <c r="A8129" s="59" t="s">
        <v>2868</v>
      </c>
      <c r="B8129" s="60" t="s">
        <v>862</v>
      </c>
    </row>
    <row r="8130" ht="12.75" customHeight="1">
      <c r="A8130" s="59" t="s">
        <v>2868</v>
      </c>
      <c r="B8130" s="60" t="s">
        <v>863</v>
      </c>
    </row>
    <row r="8131" ht="12.75" customHeight="1">
      <c r="A8131" s="59" t="s">
        <v>2868</v>
      </c>
      <c r="B8131" s="60" t="s">
        <v>864</v>
      </c>
    </row>
    <row r="8132" ht="12.75" customHeight="1">
      <c r="A8132" s="59" t="s">
        <v>2868</v>
      </c>
      <c r="B8132" s="60" t="s">
        <v>865</v>
      </c>
    </row>
    <row r="8133" ht="12.75" customHeight="1">
      <c r="A8133" s="59" t="s">
        <v>2868</v>
      </c>
      <c r="B8133" s="60" t="s">
        <v>866</v>
      </c>
    </row>
    <row r="8134" ht="12.75" customHeight="1">
      <c r="A8134" s="59" t="s">
        <v>2868</v>
      </c>
      <c r="B8134" s="60" t="s">
        <v>867</v>
      </c>
    </row>
    <row r="8135" ht="12.75" customHeight="1">
      <c r="A8135" s="59" t="s">
        <v>2868</v>
      </c>
      <c r="B8135" s="60" t="s">
        <v>868</v>
      </c>
    </row>
    <row r="8136" ht="12.75" customHeight="1">
      <c r="A8136" s="59" t="s">
        <v>2868</v>
      </c>
      <c r="B8136" s="60" t="s">
        <v>869</v>
      </c>
    </row>
    <row r="8137" ht="12.75" customHeight="1">
      <c r="A8137" s="59" t="s">
        <v>2868</v>
      </c>
      <c r="B8137" s="60" t="s">
        <v>870</v>
      </c>
    </row>
    <row r="8138" ht="12.75" customHeight="1">
      <c r="A8138" s="59" t="s">
        <v>2868</v>
      </c>
      <c r="B8138" s="60" t="s">
        <v>871</v>
      </c>
    </row>
    <row r="8139" ht="12.75" customHeight="1">
      <c r="A8139" s="59" t="s">
        <v>2868</v>
      </c>
      <c r="B8139" s="60" t="s">
        <v>872</v>
      </c>
    </row>
    <row r="8140" ht="12.75" customHeight="1">
      <c r="A8140" s="59" t="s">
        <v>2868</v>
      </c>
      <c r="B8140" s="60" t="s">
        <v>873</v>
      </c>
    </row>
    <row r="8141" ht="12.75" customHeight="1">
      <c r="A8141" s="59" t="s">
        <v>2868</v>
      </c>
      <c r="B8141" s="60" t="s">
        <v>874</v>
      </c>
    </row>
    <row r="8142" ht="12.75" customHeight="1">
      <c r="A8142" s="59" t="s">
        <v>2868</v>
      </c>
      <c r="B8142" s="60" t="s">
        <v>875</v>
      </c>
    </row>
    <row r="8143" ht="12.75" customHeight="1">
      <c r="A8143" s="59" t="s">
        <v>2868</v>
      </c>
      <c r="B8143" s="60" t="s">
        <v>876</v>
      </c>
    </row>
    <row r="8144" ht="12.75" customHeight="1">
      <c r="A8144" s="59" t="s">
        <v>2868</v>
      </c>
      <c r="B8144" s="60" t="s">
        <v>877</v>
      </c>
    </row>
    <row r="8145" ht="12.75" customHeight="1">
      <c r="A8145" s="59" t="s">
        <v>2868</v>
      </c>
      <c r="B8145" s="60" t="s">
        <v>878</v>
      </c>
    </row>
    <row r="8146" ht="12.75" customHeight="1">
      <c r="A8146" s="59" t="s">
        <v>2868</v>
      </c>
      <c r="B8146" s="60" t="s">
        <v>879</v>
      </c>
    </row>
    <row r="8147" ht="12.75" customHeight="1">
      <c r="A8147" s="59" t="s">
        <v>2868</v>
      </c>
      <c r="B8147" s="60" t="s">
        <v>880</v>
      </c>
    </row>
    <row r="8148" ht="12.75" customHeight="1">
      <c r="A8148" s="59" t="s">
        <v>2868</v>
      </c>
      <c r="B8148" s="60" t="s">
        <v>881</v>
      </c>
    </row>
    <row r="8149" ht="12.75" customHeight="1">
      <c r="A8149" s="59" t="s">
        <v>2868</v>
      </c>
      <c r="B8149" s="60" t="s">
        <v>882</v>
      </c>
    </row>
    <row r="8150" ht="12.75" customHeight="1">
      <c r="A8150" s="59" t="s">
        <v>2868</v>
      </c>
      <c r="B8150" s="60" t="s">
        <v>883</v>
      </c>
    </row>
    <row r="8151" ht="12.75" customHeight="1">
      <c r="A8151" s="59" t="s">
        <v>2868</v>
      </c>
      <c r="B8151" s="60" t="s">
        <v>884</v>
      </c>
    </row>
    <row r="8152" ht="12.75" customHeight="1">
      <c r="A8152" s="59" t="s">
        <v>2868</v>
      </c>
      <c r="B8152" s="60" t="s">
        <v>885</v>
      </c>
    </row>
    <row r="8153" ht="12.75" customHeight="1">
      <c r="A8153" s="59" t="s">
        <v>2868</v>
      </c>
      <c r="B8153" s="60" t="s">
        <v>886</v>
      </c>
    </row>
    <row r="8154" ht="12.75" customHeight="1">
      <c r="A8154" s="59" t="s">
        <v>2868</v>
      </c>
      <c r="B8154" s="60" t="s">
        <v>887</v>
      </c>
    </row>
    <row r="8155" ht="12.75" customHeight="1">
      <c r="A8155" s="59" t="s">
        <v>2868</v>
      </c>
      <c r="B8155" s="60" t="s">
        <v>888</v>
      </c>
    </row>
    <row r="8156" ht="12.75" customHeight="1">
      <c r="A8156" s="59" t="s">
        <v>2868</v>
      </c>
      <c r="B8156" s="60" t="s">
        <v>889</v>
      </c>
    </row>
    <row r="8157" ht="12.75" customHeight="1">
      <c r="A8157" s="59" t="s">
        <v>2868</v>
      </c>
      <c r="B8157" s="60" t="s">
        <v>890</v>
      </c>
    </row>
    <row r="8158" ht="12.75" customHeight="1">
      <c r="A8158" s="59" t="s">
        <v>2868</v>
      </c>
      <c r="B8158" s="60" t="s">
        <v>891</v>
      </c>
    </row>
    <row r="8159" ht="12.75" customHeight="1">
      <c r="A8159" s="59" t="s">
        <v>2868</v>
      </c>
      <c r="B8159" s="60" t="s">
        <v>892</v>
      </c>
    </row>
    <row r="8160" ht="12.75" customHeight="1">
      <c r="A8160" s="59" t="s">
        <v>2868</v>
      </c>
      <c r="B8160" s="60" t="s">
        <v>893</v>
      </c>
    </row>
    <row r="8161" ht="12.75" customHeight="1">
      <c r="A8161" s="59" t="s">
        <v>2868</v>
      </c>
      <c r="B8161" s="60" t="s">
        <v>894</v>
      </c>
    </row>
    <row r="8162" ht="12.75" customHeight="1">
      <c r="A8162" s="59" t="s">
        <v>2868</v>
      </c>
      <c r="B8162" s="60" t="s">
        <v>895</v>
      </c>
    </row>
    <row r="8163" ht="12.75" customHeight="1">
      <c r="A8163" s="59" t="s">
        <v>2868</v>
      </c>
      <c r="B8163" s="60" t="s">
        <v>896</v>
      </c>
    </row>
    <row r="8164" ht="12.75" customHeight="1">
      <c r="A8164" s="59" t="s">
        <v>2868</v>
      </c>
      <c r="B8164" s="60" t="s">
        <v>897</v>
      </c>
    </row>
    <row r="8165" ht="12.75" customHeight="1">
      <c r="A8165" s="59" t="s">
        <v>2868</v>
      </c>
      <c r="B8165" s="60" t="s">
        <v>898</v>
      </c>
    </row>
    <row r="8166" ht="12.75" customHeight="1">
      <c r="A8166" s="59" t="s">
        <v>2868</v>
      </c>
      <c r="B8166" s="60" t="s">
        <v>899</v>
      </c>
    </row>
    <row r="8167" ht="12.75" customHeight="1">
      <c r="A8167" s="59" t="s">
        <v>2868</v>
      </c>
      <c r="B8167" s="60" t="s">
        <v>900</v>
      </c>
    </row>
    <row r="8168" ht="12.75" customHeight="1">
      <c r="A8168" s="59" t="s">
        <v>2868</v>
      </c>
      <c r="B8168" s="60" t="s">
        <v>901</v>
      </c>
    </row>
    <row r="8169" ht="12.75" customHeight="1">
      <c r="A8169" s="59" t="s">
        <v>2868</v>
      </c>
      <c r="B8169" s="60" t="s">
        <v>902</v>
      </c>
    </row>
    <row r="8170" ht="12.75" customHeight="1">
      <c r="A8170" s="59" t="s">
        <v>2868</v>
      </c>
      <c r="B8170" s="60" t="s">
        <v>903</v>
      </c>
    </row>
    <row r="8171" ht="12.75" customHeight="1">
      <c r="A8171" s="59" t="s">
        <v>2868</v>
      </c>
      <c r="B8171" s="60" t="s">
        <v>904</v>
      </c>
    </row>
    <row r="8172" ht="12.75" customHeight="1">
      <c r="A8172" s="59" t="s">
        <v>2868</v>
      </c>
      <c r="B8172" s="60" t="s">
        <v>905</v>
      </c>
    </row>
    <row r="8173" ht="12.75" customHeight="1">
      <c r="A8173" s="59" t="s">
        <v>2868</v>
      </c>
      <c r="B8173" s="60" t="s">
        <v>906</v>
      </c>
    </row>
    <row r="8174" ht="12.75" customHeight="1">
      <c r="A8174" s="59" t="s">
        <v>2868</v>
      </c>
      <c r="B8174" s="60" t="s">
        <v>907</v>
      </c>
    </row>
    <row r="8175" ht="12.75" customHeight="1">
      <c r="A8175" s="59" t="s">
        <v>2868</v>
      </c>
      <c r="B8175" s="60" t="s">
        <v>908</v>
      </c>
    </row>
    <row r="8176" ht="12.75" customHeight="1">
      <c r="A8176" s="59" t="s">
        <v>2868</v>
      </c>
      <c r="B8176" s="60" t="s">
        <v>909</v>
      </c>
    </row>
    <row r="8177" ht="12.75" customHeight="1">
      <c r="A8177" s="59" t="s">
        <v>2868</v>
      </c>
      <c r="B8177" s="60" t="s">
        <v>910</v>
      </c>
    </row>
    <row r="8178" ht="12.75" customHeight="1">
      <c r="A8178" s="59" t="s">
        <v>2868</v>
      </c>
      <c r="B8178" s="60" t="s">
        <v>911</v>
      </c>
    </row>
    <row r="8179" ht="12.75" customHeight="1">
      <c r="A8179" s="59" t="s">
        <v>2868</v>
      </c>
      <c r="B8179" s="60" t="s">
        <v>912</v>
      </c>
    </row>
    <row r="8180" ht="12.75" customHeight="1">
      <c r="A8180" s="59" t="s">
        <v>2868</v>
      </c>
      <c r="B8180" s="60" t="s">
        <v>913</v>
      </c>
    </row>
    <row r="8181" ht="12.75" customHeight="1">
      <c r="A8181" s="59" t="s">
        <v>2868</v>
      </c>
      <c r="B8181" s="60" t="s">
        <v>914</v>
      </c>
    </row>
    <row r="8182" ht="12.75" customHeight="1">
      <c r="A8182" s="59" t="s">
        <v>2868</v>
      </c>
      <c r="B8182" s="60" t="s">
        <v>915</v>
      </c>
    </row>
    <row r="8183" ht="12.75" customHeight="1">
      <c r="A8183" s="59" t="s">
        <v>2868</v>
      </c>
      <c r="B8183" s="60" t="s">
        <v>916</v>
      </c>
    </row>
    <row r="8184" ht="12.75" customHeight="1">
      <c r="A8184" s="59" t="s">
        <v>2868</v>
      </c>
      <c r="B8184" s="60" t="s">
        <v>917</v>
      </c>
    </row>
    <row r="8185" ht="12.75" customHeight="1">
      <c r="A8185" s="59" t="s">
        <v>2868</v>
      </c>
      <c r="B8185" s="60" t="s">
        <v>918</v>
      </c>
    </row>
    <row r="8186" ht="12.75" customHeight="1">
      <c r="A8186" s="59" t="s">
        <v>2868</v>
      </c>
      <c r="B8186" s="60" t="s">
        <v>919</v>
      </c>
    </row>
    <row r="8187" ht="12.75" customHeight="1">
      <c r="A8187" s="59" t="s">
        <v>2868</v>
      </c>
      <c r="B8187" s="60" t="s">
        <v>920</v>
      </c>
    </row>
    <row r="8188" ht="12.75" customHeight="1">
      <c r="A8188" s="59" t="s">
        <v>2868</v>
      </c>
      <c r="B8188" s="60" t="s">
        <v>921</v>
      </c>
    </row>
    <row r="8189" ht="12.75" customHeight="1">
      <c r="A8189" s="59" t="s">
        <v>2868</v>
      </c>
      <c r="B8189" s="60" t="s">
        <v>922</v>
      </c>
    </row>
    <row r="8190" ht="12.75" customHeight="1">
      <c r="A8190" s="59" t="s">
        <v>2868</v>
      </c>
      <c r="B8190" s="60" t="s">
        <v>923</v>
      </c>
    </row>
    <row r="8191" ht="12.75" customHeight="1">
      <c r="A8191" s="59" t="s">
        <v>2868</v>
      </c>
      <c r="B8191" s="60" t="s">
        <v>924</v>
      </c>
    </row>
    <row r="8192" ht="12.75" customHeight="1">
      <c r="A8192" s="59" t="s">
        <v>2868</v>
      </c>
      <c r="B8192" s="60" t="s">
        <v>925</v>
      </c>
    </row>
    <row r="8193" ht="12.75" customHeight="1">
      <c r="A8193" s="59" t="s">
        <v>2868</v>
      </c>
      <c r="B8193" s="60" t="s">
        <v>926</v>
      </c>
    </row>
    <row r="8194" ht="12.75" customHeight="1">
      <c r="A8194" s="59" t="s">
        <v>2868</v>
      </c>
      <c r="B8194" s="60" t="s">
        <v>927</v>
      </c>
    </row>
    <row r="8195" ht="12.75" customHeight="1">
      <c r="A8195" s="59" t="s">
        <v>2868</v>
      </c>
      <c r="B8195" s="60" t="s">
        <v>928</v>
      </c>
    </row>
    <row r="8196" ht="12.75" customHeight="1">
      <c r="A8196" s="59" t="s">
        <v>2868</v>
      </c>
      <c r="B8196" s="60" t="s">
        <v>929</v>
      </c>
    </row>
    <row r="8197" ht="12.75" customHeight="1">
      <c r="A8197" s="59" t="s">
        <v>2868</v>
      </c>
      <c r="B8197" s="60" t="s">
        <v>930</v>
      </c>
    </row>
    <row r="8198" ht="12.75" customHeight="1">
      <c r="A8198" s="59" t="s">
        <v>2868</v>
      </c>
      <c r="B8198" s="60" t="s">
        <v>931</v>
      </c>
    </row>
    <row r="8199" ht="12.75" customHeight="1">
      <c r="A8199" s="59" t="s">
        <v>2868</v>
      </c>
      <c r="B8199" s="60" t="s">
        <v>932</v>
      </c>
    </row>
    <row r="8200" ht="12.75" customHeight="1">
      <c r="A8200" s="59" t="s">
        <v>2868</v>
      </c>
      <c r="B8200" s="60" t="s">
        <v>933</v>
      </c>
    </row>
    <row r="8201" ht="12.75" customHeight="1">
      <c r="A8201" s="59" t="s">
        <v>2868</v>
      </c>
      <c r="B8201" s="60" t="s">
        <v>934</v>
      </c>
    </row>
    <row r="8202" ht="12.75" customHeight="1">
      <c r="A8202" s="59" t="s">
        <v>2868</v>
      </c>
      <c r="B8202" s="60" t="s">
        <v>935</v>
      </c>
    </row>
    <row r="8203" ht="12.75" customHeight="1">
      <c r="A8203" s="59" t="s">
        <v>2868</v>
      </c>
      <c r="B8203" s="60" t="s">
        <v>936</v>
      </c>
    </row>
    <row r="8204" ht="12.75" customHeight="1">
      <c r="A8204" s="59" t="s">
        <v>2868</v>
      </c>
      <c r="B8204" s="60" t="s">
        <v>937</v>
      </c>
    </row>
    <row r="8205" ht="12.75" customHeight="1">
      <c r="A8205" s="59" t="s">
        <v>2868</v>
      </c>
      <c r="B8205" s="60" t="s">
        <v>938</v>
      </c>
    </row>
    <row r="8206" ht="12.75" customHeight="1">
      <c r="A8206" s="59" t="s">
        <v>2868</v>
      </c>
      <c r="B8206" s="60" t="s">
        <v>939</v>
      </c>
    </row>
    <row r="8207" ht="12.75" customHeight="1">
      <c r="A8207" s="59" t="s">
        <v>2868</v>
      </c>
      <c r="B8207" s="60" t="s">
        <v>940</v>
      </c>
    </row>
    <row r="8208" ht="12.75" customHeight="1">
      <c r="A8208" s="59" t="s">
        <v>2868</v>
      </c>
      <c r="B8208" s="60" t="s">
        <v>941</v>
      </c>
    </row>
    <row r="8209" ht="12.75" customHeight="1">
      <c r="A8209" s="59" t="s">
        <v>2868</v>
      </c>
      <c r="B8209" s="60" t="s">
        <v>942</v>
      </c>
    </row>
    <row r="8210" ht="12.75" customHeight="1">
      <c r="A8210" s="59" t="s">
        <v>2868</v>
      </c>
      <c r="B8210" s="60" t="s">
        <v>943</v>
      </c>
    </row>
    <row r="8211" ht="12.75" customHeight="1">
      <c r="A8211" s="59" t="s">
        <v>2868</v>
      </c>
      <c r="B8211" s="60" t="s">
        <v>944</v>
      </c>
    </row>
    <row r="8212" ht="12.75" customHeight="1">
      <c r="A8212" s="59" t="s">
        <v>2868</v>
      </c>
      <c r="B8212" s="60" t="s">
        <v>945</v>
      </c>
    </row>
    <row r="8213" ht="12.75" customHeight="1">
      <c r="A8213" s="59" t="s">
        <v>2868</v>
      </c>
      <c r="B8213" s="60" t="s">
        <v>946</v>
      </c>
    </row>
    <row r="8214" ht="12.75" customHeight="1">
      <c r="A8214" s="59" t="s">
        <v>2868</v>
      </c>
      <c r="B8214" s="60" t="s">
        <v>947</v>
      </c>
    </row>
    <row r="8215" ht="12.75" customHeight="1">
      <c r="A8215" s="59" t="s">
        <v>2868</v>
      </c>
      <c r="B8215" s="60" t="s">
        <v>948</v>
      </c>
    </row>
    <row r="8216" ht="12.75" customHeight="1">
      <c r="A8216" s="59" t="s">
        <v>2868</v>
      </c>
      <c r="B8216" s="60" t="s">
        <v>949</v>
      </c>
    </row>
    <row r="8217" ht="12.75" customHeight="1">
      <c r="A8217" s="59" t="s">
        <v>2868</v>
      </c>
      <c r="B8217" s="60" t="s">
        <v>950</v>
      </c>
    </row>
    <row r="8218" ht="12.75" customHeight="1">
      <c r="A8218" s="59" t="s">
        <v>2868</v>
      </c>
      <c r="B8218" s="60" t="s">
        <v>951</v>
      </c>
    </row>
    <row r="8219" ht="12.75" customHeight="1">
      <c r="A8219" s="59" t="s">
        <v>2868</v>
      </c>
      <c r="B8219" s="60" t="s">
        <v>952</v>
      </c>
    </row>
    <row r="8220" ht="12.75" customHeight="1">
      <c r="A8220" s="59" t="s">
        <v>2868</v>
      </c>
      <c r="B8220" s="60" t="s">
        <v>953</v>
      </c>
    </row>
    <row r="8221" ht="12.75" customHeight="1">
      <c r="A8221" s="59" t="s">
        <v>2868</v>
      </c>
      <c r="B8221" s="60" t="s">
        <v>954</v>
      </c>
    </row>
    <row r="8222" ht="12.75" customHeight="1">
      <c r="A8222" s="59" t="s">
        <v>2868</v>
      </c>
      <c r="B8222" s="60" t="s">
        <v>955</v>
      </c>
    </row>
    <row r="8223" ht="12.75" customHeight="1">
      <c r="A8223" s="59" t="s">
        <v>2868</v>
      </c>
      <c r="B8223" s="60" t="s">
        <v>956</v>
      </c>
    </row>
    <row r="8224" ht="12.75" customHeight="1">
      <c r="A8224" s="59" t="s">
        <v>2868</v>
      </c>
      <c r="B8224" s="60" t="s">
        <v>957</v>
      </c>
    </row>
    <row r="8225" ht="12.75" customHeight="1">
      <c r="A8225" s="59" t="s">
        <v>2868</v>
      </c>
      <c r="B8225" s="60" t="s">
        <v>958</v>
      </c>
    </row>
    <row r="8226" ht="12.75" customHeight="1">
      <c r="A8226" s="59" t="s">
        <v>2868</v>
      </c>
      <c r="B8226" s="60" t="s">
        <v>959</v>
      </c>
    </row>
    <row r="8227" ht="12.75" customHeight="1">
      <c r="A8227" s="59" t="s">
        <v>2868</v>
      </c>
      <c r="B8227" s="60" t="s">
        <v>960</v>
      </c>
    </row>
    <row r="8228" ht="12.75" customHeight="1">
      <c r="A8228" s="59" t="s">
        <v>2868</v>
      </c>
      <c r="B8228" s="60" t="s">
        <v>961</v>
      </c>
    </row>
    <row r="8229" ht="12.75" customHeight="1">
      <c r="A8229" s="59" t="s">
        <v>2868</v>
      </c>
      <c r="B8229" s="60" t="s">
        <v>962</v>
      </c>
    </row>
    <row r="8230" ht="12.75" customHeight="1">
      <c r="A8230" s="59" t="s">
        <v>2868</v>
      </c>
      <c r="B8230" s="60" t="s">
        <v>963</v>
      </c>
    </row>
    <row r="8231" ht="12.75" customHeight="1">
      <c r="A8231" s="59" t="s">
        <v>2868</v>
      </c>
      <c r="B8231" s="60" t="s">
        <v>964</v>
      </c>
    </row>
    <row r="8232" ht="12.75" customHeight="1">
      <c r="A8232" s="59" t="s">
        <v>2868</v>
      </c>
      <c r="B8232" s="60" t="s">
        <v>965</v>
      </c>
    </row>
    <row r="8233" ht="12.75" customHeight="1">
      <c r="A8233" s="59" t="s">
        <v>2868</v>
      </c>
      <c r="B8233" s="60" t="s">
        <v>966</v>
      </c>
    </row>
    <row r="8234" ht="12.75" customHeight="1">
      <c r="A8234" s="59" t="s">
        <v>2868</v>
      </c>
      <c r="B8234" s="60" t="s">
        <v>967</v>
      </c>
    </row>
    <row r="8235" ht="12.75" customHeight="1">
      <c r="A8235" s="59" t="s">
        <v>2868</v>
      </c>
      <c r="B8235" s="60" t="s">
        <v>968</v>
      </c>
    </row>
    <row r="8236" ht="12.75" customHeight="1">
      <c r="A8236" s="59" t="s">
        <v>2868</v>
      </c>
      <c r="B8236" s="60" t="s">
        <v>969</v>
      </c>
    </row>
    <row r="8237" ht="12.75" customHeight="1">
      <c r="A8237" s="59" t="s">
        <v>2868</v>
      </c>
      <c r="B8237" s="60" t="s">
        <v>970</v>
      </c>
    </row>
    <row r="8238" ht="12.75" customHeight="1">
      <c r="A8238" s="59" t="s">
        <v>2868</v>
      </c>
      <c r="B8238" s="60" t="s">
        <v>971</v>
      </c>
    </row>
    <row r="8239" ht="12.75" customHeight="1">
      <c r="A8239" s="59" t="s">
        <v>2868</v>
      </c>
      <c r="B8239" s="60" t="s">
        <v>972</v>
      </c>
    </row>
    <row r="8240" ht="12.75" customHeight="1">
      <c r="A8240" s="59" t="s">
        <v>2868</v>
      </c>
      <c r="B8240" s="60" t="s">
        <v>973</v>
      </c>
    </row>
    <row r="8241" ht="12.75" customHeight="1">
      <c r="A8241" s="59" t="s">
        <v>2868</v>
      </c>
      <c r="B8241" s="60" t="s">
        <v>974</v>
      </c>
    </row>
    <row r="8242" ht="12.75" customHeight="1">
      <c r="A8242" s="59" t="s">
        <v>2868</v>
      </c>
      <c r="B8242" s="60" t="s">
        <v>975</v>
      </c>
    </row>
    <row r="8243" ht="12.75" customHeight="1">
      <c r="A8243" s="59" t="s">
        <v>2868</v>
      </c>
      <c r="B8243" s="60" t="s">
        <v>976</v>
      </c>
    </row>
    <row r="8244" ht="12.75" customHeight="1">
      <c r="A8244" s="59" t="s">
        <v>2868</v>
      </c>
      <c r="B8244" s="60" t="s">
        <v>977</v>
      </c>
    </row>
    <row r="8245" ht="12.75" customHeight="1">
      <c r="A8245" s="59" t="s">
        <v>2868</v>
      </c>
      <c r="B8245" s="60" t="s">
        <v>978</v>
      </c>
    </row>
    <row r="8246" ht="12.75" customHeight="1">
      <c r="A8246" s="59" t="s">
        <v>2868</v>
      </c>
      <c r="B8246" s="60" t="s">
        <v>979</v>
      </c>
    </row>
    <row r="8247" ht="12.75" customHeight="1">
      <c r="A8247" s="59" t="s">
        <v>2868</v>
      </c>
      <c r="B8247" s="60" t="s">
        <v>980</v>
      </c>
    </row>
    <row r="8248" ht="12.75" customHeight="1">
      <c r="A8248" s="59" t="s">
        <v>2868</v>
      </c>
      <c r="B8248" s="60" t="s">
        <v>981</v>
      </c>
    </row>
    <row r="8249" ht="12.75" customHeight="1">
      <c r="A8249" s="59" t="s">
        <v>2868</v>
      </c>
      <c r="B8249" s="60" t="s">
        <v>982</v>
      </c>
    </row>
    <row r="8250" ht="12.75" customHeight="1">
      <c r="A8250" s="59" t="s">
        <v>2868</v>
      </c>
      <c r="B8250" s="60" t="s">
        <v>983</v>
      </c>
    </row>
    <row r="8251" ht="12.75" customHeight="1">
      <c r="A8251" s="59" t="s">
        <v>2868</v>
      </c>
      <c r="B8251" s="60" t="s">
        <v>984</v>
      </c>
    </row>
    <row r="8252" ht="12.75" customHeight="1">
      <c r="A8252" s="59" t="s">
        <v>2868</v>
      </c>
      <c r="B8252" s="60" t="s">
        <v>985</v>
      </c>
    </row>
    <row r="8253" ht="12.75" customHeight="1">
      <c r="A8253" s="59" t="s">
        <v>2868</v>
      </c>
      <c r="B8253" s="60" t="s">
        <v>986</v>
      </c>
    </row>
    <row r="8254" ht="12.75" customHeight="1">
      <c r="A8254" s="59" t="s">
        <v>2868</v>
      </c>
      <c r="B8254" s="60" t="s">
        <v>987</v>
      </c>
    </row>
    <row r="8255" ht="12.75" customHeight="1">
      <c r="A8255" s="59" t="s">
        <v>2868</v>
      </c>
      <c r="B8255" s="60" t="s">
        <v>988</v>
      </c>
    </row>
    <row r="8256" ht="12.75" customHeight="1">
      <c r="A8256" s="59" t="s">
        <v>2868</v>
      </c>
      <c r="B8256" s="60" t="s">
        <v>989</v>
      </c>
    </row>
    <row r="8257" ht="12.75" customHeight="1">
      <c r="A8257" s="59" t="s">
        <v>2868</v>
      </c>
      <c r="B8257" s="60" t="s">
        <v>990</v>
      </c>
    </row>
    <row r="8258" ht="12.75" customHeight="1">
      <c r="A8258" s="59" t="s">
        <v>2868</v>
      </c>
      <c r="B8258" s="60" t="s">
        <v>991</v>
      </c>
    </row>
    <row r="8259" ht="12.75" customHeight="1">
      <c r="A8259" s="59" t="s">
        <v>2868</v>
      </c>
      <c r="B8259" s="60" t="s">
        <v>992</v>
      </c>
    </row>
    <row r="8260" ht="12.75" customHeight="1">
      <c r="A8260" s="59" t="s">
        <v>2868</v>
      </c>
      <c r="B8260" s="60" t="s">
        <v>993</v>
      </c>
    </row>
    <row r="8261" ht="12.75" customHeight="1">
      <c r="A8261" s="59" t="s">
        <v>2868</v>
      </c>
      <c r="B8261" s="60" t="s">
        <v>994</v>
      </c>
    </row>
    <row r="8262" ht="12.75" customHeight="1">
      <c r="A8262" s="59" t="s">
        <v>2868</v>
      </c>
      <c r="B8262" s="60" t="s">
        <v>995</v>
      </c>
    </row>
    <row r="8263" ht="12.75" customHeight="1">
      <c r="A8263" s="59" t="s">
        <v>2868</v>
      </c>
      <c r="B8263" s="60" t="s">
        <v>996</v>
      </c>
    </row>
    <row r="8264" ht="12.75" customHeight="1">
      <c r="A8264" s="59" t="s">
        <v>2868</v>
      </c>
      <c r="B8264" s="60" t="s">
        <v>997</v>
      </c>
    </row>
    <row r="8265" ht="12.75" customHeight="1">
      <c r="A8265" s="59" t="s">
        <v>2868</v>
      </c>
      <c r="B8265" s="60" t="s">
        <v>998</v>
      </c>
    </row>
    <row r="8266" ht="12.75" customHeight="1">
      <c r="A8266" s="59" t="s">
        <v>2868</v>
      </c>
      <c r="B8266" s="60" t="s">
        <v>999</v>
      </c>
    </row>
    <row r="8267" ht="12.75" customHeight="1">
      <c r="A8267" s="59" t="s">
        <v>2868</v>
      </c>
      <c r="B8267" s="60" t="s">
        <v>1000</v>
      </c>
    </row>
    <row r="8268" ht="12.75" customHeight="1">
      <c r="A8268" s="59" t="s">
        <v>2868</v>
      </c>
      <c r="B8268" s="60" t="s">
        <v>1001</v>
      </c>
    </row>
    <row r="8269" ht="12.75" customHeight="1">
      <c r="A8269" s="59" t="s">
        <v>2868</v>
      </c>
      <c r="B8269" s="60" t="s">
        <v>1002</v>
      </c>
    </row>
    <row r="8270" ht="12.75" customHeight="1">
      <c r="A8270" s="59" t="s">
        <v>2868</v>
      </c>
      <c r="B8270" s="60" t="s">
        <v>1003</v>
      </c>
    </row>
    <row r="8271" ht="12.75" customHeight="1">
      <c r="A8271" s="59" t="s">
        <v>2868</v>
      </c>
      <c r="B8271" s="60" t="s">
        <v>1004</v>
      </c>
    </row>
    <row r="8272" ht="12.75" customHeight="1">
      <c r="A8272" s="59" t="s">
        <v>2868</v>
      </c>
      <c r="B8272" s="60" t="s">
        <v>1005</v>
      </c>
    </row>
    <row r="8273" ht="12.75" customHeight="1">
      <c r="A8273" s="59" t="s">
        <v>2868</v>
      </c>
      <c r="B8273" s="60" t="s">
        <v>1006</v>
      </c>
    </row>
    <row r="8274" ht="12.75" customHeight="1">
      <c r="A8274" s="59" t="s">
        <v>2868</v>
      </c>
      <c r="B8274" s="60" t="s">
        <v>1007</v>
      </c>
    </row>
    <row r="8275" ht="12.75" customHeight="1">
      <c r="A8275" s="59" t="s">
        <v>2868</v>
      </c>
      <c r="B8275" s="60" t="s">
        <v>1008</v>
      </c>
    </row>
    <row r="8276" ht="12.75" customHeight="1">
      <c r="A8276" s="59" t="s">
        <v>2868</v>
      </c>
      <c r="B8276" s="60" t="s">
        <v>1009</v>
      </c>
    </row>
    <row r="8277" ht="12.75" customHeight="1">
      <c r="A8277" s="59" t="s">
        <v>2868</v>
      </c>
      <c r="B8277" s="60" t="s">
        <v>1010</v>
      </c>
    </row>
    <row r="8278" ht="12.75" customHeight="1">
      <c r="A8278" s="59" t="s">
        <v>2868</v>
      </c>
      <c r="B8278" s="60" t="s">
        <v>1011</v>
      </c>
    </row>
    <row r="8279" ht="12.75" customHeight="1">
      <c r="A8279" s="59" t="s">
        <v>2868</v>
      </c>
      <c r="B8279" s="60" t="s">
        <v>1012</v>
      </c>
    </row>
    <row r="8280" ht="12.75" customHeight="1">
      <c r="A8280" s="59" t="s">
        <v>2868</v>
      </c>
      <c r="B8280" s="60" t="s">
        <v>1013</v>
      </c>
    </row>
    <row r="8281" ht="12.75" customHeight="1">
      <c r="A8281" s="59" t="s">
        <v>2868</v>
      </c>
      <c r="B8281" s="60" t="s">
        <v>1014</v>
      </c>
    </row>
    <row r="8282" ht="12.75" customHeight="1">
      <c r="A8282" s="59" t="s">
        <v>2868</v>
      </c>
      <c r="B8282" s="60" t="s">
        <v>1015</v>
      </c>
    </row>
    <row r="8283" ht="12.75" customHeight="1">
      <c r="A8283" s="59" t="s">
        <v>2868</v>
      </c>
      <c r="B8283" s="60" t="s">
        <v>1016</v>
      </c>
    </row>
    <row r="8284" ht="12.75" customHeight="1">
      <c r="A8284" s="59" t="s">
        <v>2868</v>
      </c>
      <c r="B8284" s="60" t="s">
        <v>1017</v>
      </c>
    </row>
    <row r="8285" ht="12.75" customHeight="1">
      <c r="A8285" s="59" t="s">
        <v>2868</v>
      </c>
      <c r="B8285" s="60" t="s">
        <v>1018</v>
      </c>
    </row>
    <row r="8286" ht="12.75" customHeight="1">
      <c r="A8286" s="59" t="s">
        <v>2868</v>
      </c>
      <c r="B8286" s="60" t="s">
        <v>1019</v>
      </c>
    </row>
    <row r="8287" ht="12.75" customHeight="1">
      <c r="A8287" s="59" t="s">
        <v>2868</v>
      </c>
      <c r="B8287" s="60" t="s">
        <v>1020</v>
      </c>
    </row>
    <row r="8288" ht="12.75" customHeight="1">
      <c r="A8288" s="59" t="s">
        <v>2868</v>
      </c>
      <c r="B8288" s="60" t="s">
        <v>1021</v>
      </c>
    </row>
    <row r="8289" ht="12.75" customHeight="1">
      <c r="A8289" s="59" t="s">
        <v>2868</v>
      </c>
      <c r="B8289" s="60" t="s">
        <v>1022</v>
      </c>
    </row>
    <row r="8290" ht="12.75" customHeight="1">
      <c r="A8290" s="59" t="s">
        <v>2868</v>
      </c>
      <c r="B8290" s="60" t="s">
        <v>1023</v>
      </c>
    </row>
    <row r="8291" ht="12.75" customHeight="1">
      <c r="A8291" s="59" t="s">
        <v>2868</v>
      </c>
      <c r="B8291" s="60" t="s">
        <v>1024</v>
      </c>
    </row>
    <row r="8292" ht="12.75" customHeight="1">
      <c r="A8292" s="59" t="s">
        <v>2868</v>
      </c>
      <c r="B8292" s="60" t="s">
        <v>1025</v>
      </c>
    </row>
    <row r="8293" ht="12.75" customHeight="1">
      <c r="A8293" s="59" t="s">
        <v>2868</v>
      </c>
      <c r="B8293" s="60" t="s">
        <v>1026</v>
      </c>
    </row>
    <row r="8294" ht="12.75" customHeight="1">
      <c r="A8294" s="59" t="s">
        <v>2868</v>
      </c>
      <c r="B8294" s="60" t="s">
        <v>1027</v>
      </c>
    </row>
    <row r="8295" ht="12.75" customHeight="1">
      <c r="A8295" s="59" t="s">
        <v>2868</v>
      </c>
      <c r="B8295" s="60" t="s">
        <v>1028</v>
      </c>
    </row>
    <row r="8296" ht="12.75" customHeight="1">
      <c r="A8296" s="59" t="s">
        <v>2868</v>
      </c>
      <c r="B8296" s="60" t="s">
        <v>1029</v>
      </c>
    </row>
    <row r="8297" ht="12.75" customHeight="1">
      <c r="A8297" s="59" t="s">
        <v>2868</v>
      </c>
      <c r="B8297" s="60" t="s">
        <v>1030</v>
      </c>
    </row>
    <row r="8298" ht="12.75" customHeight="1">
      <c r="A8298" s="59" t="s">
        <v>2868</v>
      </c>
      <c r="B8298" s="60" t="s">
        <v>1031</v>
      </c>
    </row>
    <row r="8299" ht="12.75" customHeight="1">
      <c r="A8299" s="59" t="s">
        <v>2868</v>
      </c>
      <c r="B8299" s="60" t="s">
        <v>1032</v>
      </c>
    </row>
    <row r="8300" ht="12.75" customHeight="1">
      <c r="A8300" s="59" t="s">
        <v>2868</v>
      </c>
      <c r="B8300" s="60" t="s">
        <v>1033</v>
      </c>
    </row>
    <row r="8301" ht="12.75" customHeight="1">
      <c r="A8301" s="59" t="s">
        <v>2868</v>
      </c>
      <c r="B8301" s="60" t="s">
        <v>1034</v>
      </c>
    </row>
    <row r="8302" ht="12.75" customHeight="1">
      <c r="A8302" s="59" t="s">
        <v>2868</v>
      </c>
      <c r="B8302" s="60" t="s">
        <v>1035</v>
      </c>
    </row>
    <row r="8303" ht="12.75" customHeight="1">
      <c r="A8303" s="59" t="s">
        <v>2868</v>
      </c>
      <c r="B8303" s="60" t="s">
        <v>1036</v>
      </c>
    </row>
    <row r="8304" ht="12.75" customHeight="1">
      <c r="A8304" s="59" t="s">
        <v>2868</v>
      </c>
      <c r="B8304" s="60" t="s">
        <v>1037</v>
      </c>
    </row>
    <row r="8305" ht="12.75" customHeight="1">
      <c r="A8305" s="59" t="s">
        <v>2868</v>
      </c>
      <c r="B8305" s="60" t="s">
        <v>1038</v>
      </c>
    </row>
    <row r="8306" ht="12.75" customHeight="1">
      <c r="A8306" s="59" t="s">
        <v>2868</v>
      </c>
      <c r="B8306" s="60" t="s">
        <v>1039</v>
      </c>
    </row>
    <row r="8307" ht="12.75" customHeight="1">
      <c r="A8307" s="59" t="s">
        <v>2868</v>
      </c>
      <c r="B8307" s="60" t="s">
        <v>1040</v>
      </c>
    </row>
    <row r="8308" ht="12.75" customHeight="1">
      <c r="A8308" s="59" t="s">
        <v>2868</v>
      </c>
      <c r="B8308" s="60" t="s">
        <v>1041</v>
      </c>
    </row>
    <row r="8309" ht="12.75" customHeight="1">
      <c r="A8309" s="59" t="s">
        <v>2868</v>
      </c>
      <c r="B8309" s="60" t="s">
        <v>1042</v>
      </c>
    </row>
    <row r="8310" ht="12.75" customHeight="1">
      <c r="A8310" s="59" t="s">
        <v>2868</v>
      </c>
      <c r="B8310" s="60" t="s">
        <v>1043</v>
      </c>
    </row>
    <row r="8311" ht="12.75" customHeight="1">
      <c r="A8311" s="59" t="s">
        <v>2868</v>
      </c>
      <c r="B8311" s="60" t="s">
        <v>1044</v>
      </c>
    </row>
    <row r="8312" ht="12.75" customHeight="1">
      <c r="A8312" s="59" t="s">
        <v>2868</v>
      </c>
      <c r="B8312" s="60" t="s">
        <v>1045</v>
      </c>
    </row>
    <row r="8313" ht="12.75" customHeight="1">
      <c r="A8313" s="59" t="s">
        <v>2868</v>
      </c>
      <c r="B8313" s="60" t="s">
        <v>1046</v>
      </c>
    </row>
    <row r="8314" ht="12.75" customHeight="1">
      <c r="A8314" s="59" t="s">
        <v>2868</v>
      </c>
      <c r="B8314" s="60" t="s">
        <v>1047</v>
      </c>
    </row>
    <row r="8315" ht="12.75" customHeight="1">
      <c r="A8315" s="59" t="s">
        <v>2868</v>
      </c>
      <c r="B8315" s="60" t="s">
        <v>1048</v>
      </c>
    </row>
    <row r="8316" ht="12.75" customHeight="1">
      <c r="A8316" s="59" t="s">
        <v>2868</v>
      </c>
      <c r="B8316" s="60" t="s">
        <v>1049</v>
      </c>
    </row>
    <row r="8317" ht="12.75" customHeight="1">
      <c r="A8317" s="59" t="s">
        <v>2868</v>
      </c>
      <c r="B8317" s="60" t="s">
        <v>1050</v>
      </c>
    </row>
    <row r="8318" ht="12.75" customHeight="1">
      <c r="A8318" s="59" t="s">
        <v>2868</v>
      </c>
      <c r="B8318" s="60" t="s">
        <v>1051</v>
      </c>
    </row>
    <row r="8319" ht="12.75" customHeight="1">
      <c r="A8319" s="59" t="s">
        <v>2868</v>
      </c>
      <c r="B8319" s="60" t="s">
        <v>1052</v>
      </c>
    </row>
    <row r="8320" ht="12.75" customHeight="1">
      <c r="A8320" s="59" t="s">
        <v>2868</v>
      </c>
      <c r="B8320" s="60" t="s">
        <v>1053</v>
      </c>
    </row>
    <row r="8321" ht="12.75" customHeight="1">
      <c r="A8321" s="59" t="s">
        <v>2868</v>
      </c>
      <c r="B8321" s="60" t="s">
        <v>1054</v>
      </c>
    </row>
    <row r="8322" ht="12.75" customHeight="1">
      <c r="A8322" s="59" t="s">
        <v>2868</v>
      </c>
      <c r="B8322" s="60" t="s">
        <v>1055</v>
      </c>
    </row>
    <row r="8323" ht="12.75" customHeight="1">
      <c r="A8323" s="59" t="s">
        <v>2868</v>
      </c>
      <c r="B8323" s="60" t="s">
        <v>1056</v>
      </c>
    </row>
    <row r="8324" ht="12.75" customHeight="1">
      <c r="A8324" s="59" t="s">
        <v>2868</v>
      </c>
      <c r="B8324" s="60" t="s">
        <v>1057</v>
      </c>
    </row>
    <row r="8325" ht="12.75" customHeight="1">
      <c r="A8325" s="59" t="s">
        <v>2868</v>
      </c>
      <c r="B8325" s="60" t="s">
        <v>1058</v>
      </c>
    </row>
    <row r="8326" ht="12.75" customHeight="1">
      <c r="A8326" s="59" t="s">
        <v>2868</v>
      </c>
      <c r="B8326" s="60" t="s">
        <v>1059</v>
      </c>
    </row>
    <row r="8327" ht="12.75" customHeight="1">
      <c r="A8327" s="59" t="s">
        <v>2868</v>
      </c>
      <c r="B8327" s="60" t="s">
        <v>1060</v>
      </c>
    </row>
    <row r="8328" ht="12.75" customHeight="1">
      <c r="A8328" s="59" t="s">
        <v>2868</v>
      </c>
      <c r="B8328" s="60" t="s">
        <v>1061</v>
      </c>
    </row>
    <row r="8329" ht="12.75" customHeight="1">
      <c r="A8329" s="59" t="s">
        <v>2868</v>
      </c>
      <c r="B8329" s="60" t="s">
        <v>1062</v>
      </c>
    </row>
    <row r="8330" ht="12.75" customHeight="1">
      <c r="A8330" s="59" t="s">
        <v>2868</v>
      </c>
      <c r="B8330" s="60" t="s">
        <v>1063</v>
      </c>
    </row>
    <row r="8331" ht="12.75" customHeight="1">
      <c r="A8331" s="59" t="s">
        <v>2868</v>
      </c>
      <c r="B8331" s="60" t="s">
        <v>1064</v>
      </c>
    </row>
    <row r="8332" ht="12.75" customHeight="1">
      <c r="A8332" s="59" t="s">
        <v>2868</v>
      </c>
      <c r="B8332" s="60" t="s">
        <v>1065</v>
      </c>
    </row>
    <row r="8333" ht="12.75" customHeight="1">
      <c r="A8333" s="59" t="s">
        <v>2868</v>
      </c>
      <c r="B8333" s="60" t="s">
        <v>1066</v>
      </c>
    </row>
    <row r="8334" ht="12.75" customHeight="1">
      <c r="A8334" s="59" t="s">
        <v>2868</v>
      </c>
      <c r="B8334" s="60" t="s">
        <v>1067</v>
      </c>
    </row>
    <row r="8335" ht="12.75" customHeight="1">
      <c r="A8335" s="59" t="s">
        <v>2868</v>
      </c>
      <c r="B8335" s="60" t="s">
        <v>1068</v>
      </c>
    </row>
    <row r="8336" ht="12.75" customHeight="1">
      <c r="A8336" s="59" t="s">
        <v>2868</v>
      </c>
      <c r="B8336" s="60" t="s">
        <v>1069</v>
      </c>
    </row>
    <row r="8337" ht="12.75" customHeight="1">
      <c r="A8337" s="59" t="s">
        <v>2868</v>
      </c>
      <c r="B8337" s="60" t="s">
        <v>1070</v>
      </c>
    </row>
    <row r="8338" ht="12.75" customHeight="1">
      <c r="A8338" s="59" t="s">
        <v>2868</v>
      </c>
      <c r="B8338" s="60" t="s">
        <v>1071</v>
      </c>
    </row>
    <row r="8339" ht="12.75" customHeight="1">
      <c r="A8339" s="59" t="s">
        <v>2868</v>
      </c>
      <c r="B8339" s="60" t="s">
        <v>1072</v>
      </c>
    </row>
    <row r="8340" ht="12.75" customHeight="1">
      <c r="A8340" s="59" t="s">
        <v>2868</v>
      </c>
      <c r="B8340" s="60" t="s">
        <v>1073</v>
      </c>
    </row>
    <row r="8341" ht="12.75" customHeight="1">
      <c r="A8341" s="59" t="s">
        <v>2868</v>
      </c>
      <c r="B8341" s="60" t="s">
        <v>1074</v>
      </c>
    </row>
    <row r="8342" ht="12.75" customHeight="1">
      <c r="A8342" s="59" t="s">
        <v>2868</v>
      </c>
      <c r="B8342" s="60" t="s">
        <v>1075</v>
      </c>
    </row>
    <row r="8343" ht="12.75" customHeight="1">
      <c r="A8343" s="59" t="s">
        <v>2868</v>
      </c>
      <c r="B8343" s="60" t="s">
        <v>1076</v>
      </c>
    </row>
    <row r="8344" ht="12.75" customHeight="1">
      <c r="A8344" s="59" t="s">
        <v>2868</v>
      </c>
      <c r="B8344" s="60" t="s">
        <v>1077</v>
      </c>
    </row>
    <row r="8345" ht="12.75" customHeight="1">
      <c r="A8345" s="59" t="s">
        <v>2868</v>
      </c>
      <c r="B8345" s="60" t="s">
        <v>1078</v>
      </c>
    </row>
    <row r="8346" ht="12.75" customHeight="1">
      <c r="A8346" s="59" t="s">
        <v>2868</v>
      </c>
      <c r="B8346" s="60" t="s">
        <v>1079</v>
      </c>
    </row>
    <row r="8347" ht="12.75" customHeight="1">
      <c r="A8347" s="59" t="s">
        <v>2868</v>
      </c>
      <c r="B8347" s="60" t="s">
        <v>1080</v>
      </c>
    </row>
    <row r="8348" ht="12.75" customHeight="1">
      <c r="A8348" s="59" t="s">
        <v>2868</v>
      </c>
      <c r="B8348" s="60" t="s">
        <v>1081</v>
      </c>
    </row>
    <row r="8349" ht="12.75" customHeight="1">
      <c r="A8349" s="59" t="s">
        <v>2868</v>
      </c>
      <c r="B8349" s="60" t="s">
        <v>1082</v>
      </c>
    </row>
    <row r="8350" ht="12.75" customHeight="1">
      <c r="A8350" s="59" t="s">
        <v>2868</v>
      </c>
      <c r="B8350" s="60" t="s">
        <v>1083</v>
      </c>
    </row>
    <row r="8351" ht="12.75" customHeight="1">
      <c r="A8351" s="59" t="s">
        <v>2868</v>
      </c>
      <c r="B8351" s="60" t="s">
        <v>1084</v>
      </c>
    </row>
    <row r="8352" ht="12.75" customHeight="1">
      <c r="A8352" s="59" t="s">
        <v>2868</v>
      </c>
      <c r="B8352" s="60" t="s">
        <v>1085</v>
      </c>
    </row>
    <row r="8353" ht="12.75" customHeight="1">
      <c r="A8353" s="59" t="s">
        <v>2868</v>
      </c>
      <c r="B8353" s="60" t="s">
        <v>1086</v>
      </c>
    </row>
    <row r="8354" ht="12.75" customHeight="1">
      <c r="A8354" s="59" t="s">
        <v>2868</v>
      </c>
      <c r="B8354" s="60" t="s">
        <v>1087</v>
      </c>
    </row>
    <row r="8355" ht="12.75" customHeight="1">
      <c r="A8355" s="59" t="s">
        <v>2868</v>
      </c>
      <c r="B8355" s="60" t="s">
        <v>1088</v>
      </c>
    </row>
    <row r="8356" ht="12.75" customHeight="1">
      <c r="A8356" s="59" t="s">
        <v>2868</v>
      </c>
      <c r="B8356" s="60" t="s">
        <v>1089</v>
      </c>
    </row>
    <row r="8357" ht="12.75" customHeight="1">
      <c r="A8357" s="59" t="s">
        <v>2868</v>
      </c>
      <c r="B8357" s="60" t="s">
        <v>1090</v>
      </c>
    </row>
    <row r="8358" ht="12.75" customHeight="1">
      <c r="A8358" s="59" t="s">
        <v>2868</v>
      </c>
      <c r="B8358" s="60" t="s">
        <v>1091</v>
      </c>
    </row>
    <row r="8359" ht="12.75" customHeight="1">
      <c r="A8359" s="59" t="s">
        <v>2868</v>
      </c>
      <c r="B8359" s="60" t="s">
        <v>1092</v>
      </c>
    </row>
    <row r="8360" ht="12.75" customHeight="1">
      <c r="A8360" s="59" t="s">
        <v>2868</v>
      </c>
      <c r="B8360" s="60" t="s">
        <v>1093</v>
      </c>
    </row>
    <row r="8361" ht="12.75" customHeight="1">
      <c r="A8361" s="59" t="s">
        <v>2868</v>
      </c>
      <c r="B8361" s="60" t="s">
        <v>1094</v>
      </c>
    </row>
    <row r="8362" ht="12.75" customHeight="1">
      <c r="A8362" s="59" t="s">
        <v>2868</v>
      </c>
      <c r="B8362" s="60" t="s">
        <v>1095</v>
      </c>
    </row>
    <row r="8363" ht="12.75" customHeight="1">
      <c r="A8363" s="59" t="s">
        <v>2868</v>
      </c>
      <c r="B8363" s="60" t="s">
        <v>1096</v>
      </c>
    </row>
    <row r="8364" ht="12.75" customHeight="1">
      <c r="A8364" s="59" t="s">
        <v>2868</v>
      </c>
      <c r="B8364" s="60" t="s">
        <v>1097</v>
      </c>
    </row>
    <row r="8365" ht="12.75" customHeight="1">
      <c r="A8365" s="59" t="s">
        <v>2868</v>
      </c>
      <c r="B8365" s="60" t="s">
        <v>1098</v>
      </c>
    </row>
    <row r="8366" ht="12.75" customHeight="1">
      <c r="A8366" s="59" t="s">
        <v>2868</v>
      </c>
      <c r="B8366" s="60" t="s">
        <v>1099</v>
      </c>
    </row>
    <row r="8367" ht="12.75" customHeight="1">
      <c r="A8367" s="59" t="s">
        <v>2868</v>
      </c>
      <c r="B8367" s="60" t="s">
        <v>1100</v>
      </c>
    </row>
    <row r="8368" ht="12.75" customHeight="1">
      <c r="A8368" s="59" t="s">
        <v>2868</v>
      </c>
      <c r="B8368" s="60" t="s">
        <v>1101</v>
      </c>
    </row>
    <row r="8369" ht="12.75" customHeight="1">
      <c r="A8369" s="59" t="s">
        <v>2868</v>
      </c>
      <c r="B8369" s="60" t="s">
        <v>1102</v>
      </c>
    </row>
    <row r="8370" ht="12.75" customHeight="1">
      <c r="A8370" s="59" t="s">
        <v>2868</v>
      </c>
      <c r="B8370" s="60" t="s">
        <v>1103</v>
      </c>
    </row>
    <row r="8371" ht="12.75" customHeight="1">
      <c r="A8371" s="59" t="s">
        <v>2868</v>
      </c>
      <c r="B8371" s="60" t="s">
        <v>1104</v>
      </c>
    </row>
    <row r="8372" ht="12.75" customHeight="1">
      <c r="A8372" s="59" t="s">
        <v>2868</v>
      </c>
      <c r="B8372" s="60" t="s">
        <v>1105</v>
      </c>
    </row>
    <row r="8373" ht="12.75" customHeight="1">
      <c r="A8373" s="59" t="s">
        <v>2868</v>
      </c>
      <c r="B8373" s="60" t="s">
        <v>1106</v>
      </c>
    </row>
    <row r="8374" ht="12.75" customHeight="1">
      <c r="A8374" s="59" t="s">
        <v>2868</v>
      </c>
      <c r="B8374" s="60" t="s">
        <v>1107</v>
      </c>
    </row>
    <row r="8375" ht="12.75" customHeight="1">
      <c r="A8375" s="59" t="s">
        <v>2868</v>
      </c>
      <c r="B8375" s="60" t="s">
        <v>1108</v>
      </c>
    </row>
    <row r="8376" ht="12.75" customHeight="1">
      <c r="A8376" s="59" t="s">
        <v>2868</v>
      </c>
      <c r="B8376" s="60" t="s">
        <v>1109</v>
      </c>
    </row>
    <row r="8377" ht="12.75" customHeight="1">
      <c r="A8377" s="59" t="s">
        <v>2868</v>
      </c>
      <c r="B8377" s="60" t="s">
        <v>1110</v>
      </c>
    </row>
    <row r="8378" ht="12.75" customHeight="1">
      <c r="A8378" s="59" t="s">
        <v>2868</v>
      </c>
      <c r="B8378" s="60" t="s">
        <v>1111</v>
      </c>
    </row>
    <row r="8379" ht="12.75" customHeight="1">
      <c r="A8379" s="59" t="s">
        <v>2868</v>
      </c>
      <c r="B8379" s="60" t="s">
        <v>1112</v>
      </c>
    </row>
    <row r="8380" ht="12.75" customHeight="1">
      <c r="A8380" s="59" t="s">
        <v>2868</v>
      </c>
      <c r="B8380" s="60" t="s">
        <v>1113</v>
      </c>
    </row>
    <row r="8381" ht="12.75" customHeight="1">
      <c r="A8381" s="59" t="s">
        <v>2868</v>
      </c>
      <c r="B8381" s="60" t="s">
        <v>1114</v>
      </c>
    </row>
    <row r="8382" ht="12.75" customHeight="1">
      <c r="A8382" s="59" t="s">
        <v>2868</v>
      </c>
      <c r="B8382" s="60" t="s">
        <v>1115</v>
      </c>
    </row>
    <row r="8383" ht="12.75" customHeight="1">
      <c r="A8383" s="59" t="s">
        <v>2868</v>
      </c>
      <c r="B8383" s="60" t="s">
        <v>1116</v>
      </c>
    </row>
    <row r="8384" ht="12.75" customHeight="1">
      <c r="A8384" s="59" t="s">
        <v>2868</v>
      </c>
      <c r="B8384" s="60" t="s">
        <v>1117</v>
      </c>
    </row>
    <row r="8385" ht="12.75" customHeight="1">
      <c r="A8385" s="59" t="s">
        <v>2868</v>
      </c>
      <c r="B8385" s="60" t="s">
        <v>1118</v>
      </c>
    </row>
    <row r="8386" ht="12.75" customHeight="1">
      <c r="A8386" s="59" t="s">
        <v>2868</v>
      </c>
      <c r="B8386" s="60" t="s">
        <v>1119</v>
      </c>
    </row>
    <row r="8387" ht="12.75" customHeight="1">
      <c r="A8387" s="59" t="s">
        <v>2868</v>
      </c>
      <c r="B8387" s="60" t="s">
        <v>1120</v>
      </c>
    </row>
    <row r="8388" ht="12.75" customHeight="1">
      <c r="A8388" s="59" t="s">
        <v>2868</v>
      </c>
      <c r="B8388" s="60" t="s">
        <v>1121</v>
      </c>
    </row>
    <row r="8389" ht="12.75" customHeight="1">
      <c r="A8389" s="59" t="s">
        <v>2868</v>
      </c>
      <c r="B8389" s="60" t="s">
        <v>1122</v>
      </c>
    </row>
    <row r="8390" ht="12.75" customHeight="1">
      <c r="A8390" s="59" t="s">
        <v>2868</v>
      </c>
      <c r="B8390" s="60" t="s">
        <v>1123</v>
      </c>
    </row>
    <row r="8391" ht="12.75" customHeight="1">
      <c r="A8391" s="59" t="s">
        <v>2868</v>
      </c>
      <c r="B8391" s="60" t="s">
        <v>1124</v>
      </c>
    </row>
    <row r="8392" ht="12.75" customHeight="1">
      <c r="A8392" s="59" t="s">
        <v>2868</v>
      </c>
      <c r="B8392" s="60" t="s">
        <v>1125</v>
      </c>
    </row>
    <row r="8393" ht="12.75" customHeight="1">
      <c r="A8393" s="59" t="s">
        <v>2868</v>
      </c>
      <c r="B8393" s="60" t="s">
        <v>1126</v>
      </c>
    </row>
    <row r="8394" ht="12.75" customHeight="1">
      <c r="A8394" s="59" t="s">
        <v>2868</v>
      </c>
      <c r="B8394" s="60" t="s">
        <v>1127</v>
      </c>
    </row>
    <row r="8395" ht="12.75" customHeight="1">
      <c r="A8395" s="59" t="s">
        <v>2868</v>
      </c>
      <c r="B8395" s="60" t="s">
        <v>1128</v>
      </c>
    </row>
    <row r="8396" ht="12.75" customHeight="1">
      <c r="A8396" s="59" t="s">
        <v>2868</v>
      </c>
      <c r="B8396" s="60" t="s">
        <v>1129</v>
      </c>
    </row>
    <row r="8397" ht="12.75" customHeight="1">
      <c r="A8397" s="59" t="s">
        <v>2868</v>
      </c>
      <c r="B8397" s="60" t="s">
        <v>1130</v>
      </c>
    </row>
    <row r="8398" ht="12.75" customHeight="1">
      <c r="A8398" s="59" t="s">
        <v>2868</v>
      </c>
      <c r="B8398" s="60" t="s">
        <v>1131</v>
      </c>
    </row>
    <row r="8399" ht="12.75" customHeight="1">
      <c r="A8399" s="59" t="s">
        <v>2868</v>
      </c>
      <c r="B8399" s="60" t="s">
        <v>1132</v>
      </c>
    </row>
    <row r="8400" ht="12.75" customHeight="1">
      <c r="A8400" s="59" t="s">
        <v>2868</v>
      </c>
      <c r="B8400" s="60" t="s">
        <v>1133</v>
      </c>
    </row>
    <row r="8401" ht="12.75" customHeight="1">
      <c r="A8401" s="59" t="s">
        <v>2868</v>
      </c>
      <c r="B8401" s="60" t="s">
        <v>1134</v>
      </c>
    </row>
    <row r="8402" ht="12.75" customHeight="1">
      <c r="A8402" s="59" t="s">
        <v>2868</v>
      </c>
      <c r="B8402" s="60" t="s">
        <v>1135</v>
      </c>
    </row>
    <row r="8403" ht="12.75" customHeight="1">
      <c r="A8403" s="59" t="s">
        <v>2868</v>
      </c>
      <c r="B8403" s="60" t="s">
        <v>1136</v>
      </c>
    </row>
    <row r="8404" ht="12.75" customHeight="1">
      <c r="A8404" s="59" t="s">
        <v>2868</v>
      </c>
      <c r="B8404" s="60" t="s">
        <v>1137</v>
      </c>
    </row>
    <row r="8405" ht="12.75" customHeight="1">
      <c r="A8405" s="59" t="s">
        <v>2868</v>
      </c>
      <c r="B8405" s="60" t="s">
        <v>1138</v>
      </c>
    </row>
    <row r="8406" ht="12.75" customHeight="1">
      <c r="A8406" s="59" t="s">
        <v>2868</v>
      </c>
      <c r="B8406" s="60" t="s">
        <v>1139</v>
      </c>
    </row>
    <row r="8407" ht="12.75" customHeight="1">
      <c r="A8407" s="59" t="s">
        <v>2868</v>
      </c>
      <c r="B8407" s="60" t="s">
        <v>1140</v>
      </c>
    </row>
    <row r="8408" ht="12.75" customHeight="1">
      <c r="A8408" s="59" t="s">
        <v>2868</v>
      </c>
      <c r="B8408" s="60" t="s">
        <v>1141</v>
      </c>
    </row>
    <row r="8409" ht="12.75" customHeight="1">
      <c r="A8409" s="59" t="s">
        <v>2868</v>
      </c>
      <c r="B8409" s="60" t="s">
        <v>1142</v>
      </c>
    </row>
    <row r="8410" ht="12.75" customHeight="1">
      <c r="A8410" s="59" t="s">
        <v>2868</v>
      </c>
      <c r="B8410" s="60" t="s">
        <v>1143</v>
      </c>
    </row>
    <row r="8411" ht="12.75" customHeight="1">
      <c r="A8411" s="59" t="s">
        <v>2868</v>
      </c>
      <c r="B8411" s="60" t="s">
        <v>1144</v>
      </c>
    </row>
    <row r="8412" ht="12.75" customHeight="1">
      <c r="A8412" s="59" t="s">
        <v>2868</v>
      </c>
      <c r="B8412" s="60" t="s">
        <v>1145</v>
      </c>
    </row>
    <row r="8413" ht="12.75" customHeight="1">
      <c r="A8413" s="59" t="s">
        <v>2868</v>
      </c>
      <c r="B8413" s="60" t="s">
        <v>1146</v>
      </c>
    </row>
    <row r="8414" ht="12.75" customHeight="1">
      <c r="A8414" s="59" t="s">
        <v>2868</v>
      </c>
      <c r="B8414" s="60" t="s">
        <v>1147</v>
      </c>
    </row>
    <row r="8415" ht="12.75" customHeight="1">
      <c r="A8415" s="59" t="s">
        <v>2868</v>
      </c>
      <c r="B8415" s="60" t="s">
        <v>1148</v>
      </c>
    </row>
    <row r="8416" ht="12.75" customHeight="1">
      <c r="A8416" s="59" t="s">
        <v>2868</v>
      </c>
      <c r="B8416" s="60" t="s">
        <v>1149</v>
      </c>
    </row>
    <row r="8417" ht="12.75" customHeight="1">
      <c r="A8417" s="59" t="s">
        <v>2868</v>
      </c>
      <c r="B8417" s="60" t="s">
        <v>1150</v>
      </c>
    </row>
    <row r="8418" ht="12.75" customHeight="1">
      <c r="A8418" s="59" t="s">
        <v>2868</v>
      </c>
      <c r="B8418" s="60" t="s">
        <v>1151</v>
      </c>
    </row>
    <row r="8419" ht="12.75" customHeight="1">
      <c r="A8419" s="59" t="s">
        <v>2868</v>
      </c>
      <c r="B8419" s="60" t="s">
        <v>1152</v>
      </c>
    </row>
    <row r="8420" ht="12.75" customHeight="1">
      <c r="A8420" s="59" t="s">
        <v>2868</v>
      </c>
      <c r="B8420" s="60" t="s">
        <v>1153</v>
      </c>
    </row>
    <row r="8421" ht="12.75" customHeight="1">
      <c r="A8421" s="59" t="s">
        <v>2868</v>
      </c>
      <c r="B8421" s="60" t="s">
        <v>1154</v>
      </c>
    </row>
    <row r="8422" ht="12.75" customHeight="1">
      <c r="A8422" s="59" t="s">
        <v>2868</v>
      </c>
      <c r="B8422" s="60" t="s">
        <v>1155</v>
      </c>
    </row>
    <row r="8423" ht="12.75" customHeight="1">
      <c r="A8423" s="59" t="s">
        <v>2868</v>
      </c>
      <c r="B8423" s="60" t="s">
        <v>1156</v>
      </c>
    </row>
    <row r="8424" ht="12.75" customHeight="1">
      <c r="A8424" s="59" t="s">
        <v>2868</v>
      </c>
      <c r="B8424" s="60" t="s">
        <v>1157</v>
      </c>
    </row>
    <row r="8425" ht="12.75" customHeight="1">
      <c r="A8425" s="59" t="s">
        <v>2868</v>
      </c>
      <c r="B8425" s="60" t="s">
        <v>1158</v>
      </c>
    </row>
    <row r="8426" ht="12.75" customHeight="1">
      <c r="A8426" s="59" t="s">
        <v>2868</v>
      </c>
      <c r="B8426" s="60" t="s">
        <v>1159</v>
      </c>
    </row>
    <row r="8427" ht="12.75" customHeight="1">
      <c r="A8427" s="59" t="s">
        <v>2868</v>
      </c>
      <c r="B8427" s="60" t="s">
        <v>1160</v>
      </c>
    </row>
    <row r="8428" ht="12.75" customHeight="1">
      <c r="A8428" s="59" t="s">
        <v>2868</v>
      </c>
      <c r="B8428" s="60" t="s">
        <v>1161</v>
      </c>
    </row>
    <row r="8429" ht="12.75" customHeight="1">
      <c r="A8429" s="59" t="s">
        <v>2868</v>
      </c>
      <c r="B8429" s="60" t="s">
        <v>1162</v>
      </c>
    </row>
    <row r="8430" ht="12.75" customHeight="1">
      <c r="A8430" s="59" t="s">
        <v>2868</v>
      </c>
      <c r="B8430" s="60" t="s">
        <v>1163</v>
      </c>
    </row>
    <row r="8431" ht="12.75" customHeight="1">
      <c r="A8431" s="59" t="s">
        <v>2868</v>
      </c>
      <c r="B8431" s="60" t="s">
        <v>1164</v>
      </c>
    </row>
    <row r="8432" ht="12.75" customHeight="1">
      <c r="A8432" s="59" t="s">
        <v>2868</v>
      </c>
      <c r="B8432" s="60" t="s">
        <v>1165</v>
      </c>
    </row>
    <row r="8433" ht="12.75" customHeight="1">
      <c r="A8433" s="59" t="s">
        <v>2868</v>
      </c>
      <c r="B8433" s="60" t="s">
        <v>1166</v>
      </c>
    </row>
    <row r="8434" ht="12.75" customHeight="1">
      <c r="A8434" s="59" t="s">
        <v>2868</v>
      </c>
      <c r="B8434" s="60" t="s">
        <v>1167</v>
      </c>
    </row>
    <row r="8435" ht="12.75" customHeight="1">
      <c r="A8435" s="59" t="s">
        <v>2868</v>
      </c>
      <c r="B8435" s="60" t="s">
        <v>1168</v>
      </c>
    </row>
    <row r="8436" ht="12.75" customHeight="1">
      <c r="A8436" s="59" t="s">
        <v>2868</v>
      </c>
      <c r="B8436" s="60" t="s">
        <v>1169</v>
      </c>
    </row>
    <row r="8437" ht="12.75" customHeight="1">
      <c r="A8437" s="59" t="s">
        <v>2868</v>
      </c>
      <c r="B8437" s="60" t="s">
        <v>1170</v>
      </c>
    </row>
    <row r="8438" ht="12.75" customHeight="1">
      <c r="A8438" s="59" t="s">
        <v>2868</v>
      </c>
      <c r="B8438" s="60" t="s">
        <v>1171</v>
      </c>
    </row>
    <row r="8439" ht="12.75" customHeight="1">
      <c r="A8439" s="59" t="s">
        <v>2868</v>
      </c>
      <c r="B8439" s="60" t="s">
        <v>1172</v>
      </c>
    </row>
    <row r="8440" ht="12.75" customHeight="1">
      <c r="A8440" s="59" t="s">
        <v>2868</v>
      </c>
      <c r="B8440" s="60" t="s">
        <v>1173</v>
      </c>
    </row>
    <row r="8441" ht="12.75" customHeight="1">
      <c r="A8441" s="59" t="s">
        <v>2868</v>
      </c>
      <c r="B8441" s="60" t="s">
        <v>1174</v>
      </c>
    </row>
    <row r="8442" ht="12.75" customHeight="1">
      <c r="A8442" s="59" t="s">
        <v>2868</v>
      </c>
      <c r="B8442" s="60" t="s">
        <v>1175</v>
      </c>
    </row>
    <row r="8443" ht="12.75" customHeight="1">
      <c r="A8443" s="59" t="s">
        <v>2868</v>
      </c>
      <c r="B8443" s="60" t="s">
        <v>1176</v>
      </c>
    </row>
    <row r="8444" ht="12.75" customHeight="1">
      <c r="A8444" s="59" t="s">
        <v>2868</v>
      </c>
      <c r="B8444" s="60" t="s">
        <v>1177</v>
      </c>
    </row>
    <row r="8445" ht="12.75" customHeight="1">
      <c r="A8445" s="59" t="s">
        <v>2868</v>
      </c>
      <c r="B8445" s="60" t="s">
        <v>1178</v>
      </c>
    </row>
    <row r="8446" ht="12.75" customHeight="1">
      <c r="A8446" s="59" t="s">
        <v>2868</v>
      </c>
      <c r="B8446" s="60" t="s">
        <v>1179</v>
      </c>
    </row>
    <row r="8447" ht="12.75" customHeight="1">
      <c r="A8447" s="59" t="s">
        <v>2868</v>
      </c>
      <c r="B8447" s="60" t="s">
        <v>1180</v>
      </c>
    </row>
    <row r="8448" ht="12.75" customHeight="1">
      <c r="A8448" s="59" t="s">
        <v>2868</v>
      </c>
      <c r="B8448" s="60" t="s">
        <v>1181</v>
      </c>
    </row>
    <row r="8449" ht="12.75" customHeight="1">
      <c r="A8449" s="59" t="s">
        <v>2868</v>
      </c>
      <c r="B8449" s="60" t="s">
        <v>1182</v>
      </c>
    </row>
    <row r="8450" ht="12.75" customHeight="1">
      <c r="A8450" s="59" t="s">
        <v>2868</v>
      </c>
      <c r="B8450" s="60" t="s">
        <v>1183</v>
      </c>
    </row>
    <row r="8451" ht="12.75" customHeight="1">
      <c r="A8451" s="59" t="s">
        <v>2868</v>
      </c>
      <c r="B8451" s="60" t="s">
        <v>1184</v>
      </c>
    </row>
    <row r="8452" ht="12.75" customHeight="1">
      <c r="A8452" s="59" t="s">
        <v>2868</v>
      </c>
      <c r="B8452" s="60" t="s">
        <v>1185</v>
      </c>
    </row>
    <row r="8453" ht="12.75" customHeight="1">
      <c r="A8453" s="59" t="s">
        <v>2868</v>
      </c>
      <c r="B8453" s="60" t="s">
        <v>1186</v>
      </c>
    </row>
    <row r="8454" ht="12.75" customHeight="1">
      <c r="A8454" s="59" t="s">
        <v>2868</v>
      </c>
      <c r="B8454" s="60" t="s">
        <v>1187</v>
      </c>
    </row>
    <row r="8455" ht="12.75" customHeight="1">
      <c r="A8455" s="59" t="s">
        <v>2868</v>
      </c>
      <c r="B8455" s="60" t="s">
        <v>1188</v>
      </c>
    </row>
    <row r="8456" ht="12.75" customHeight="1">
      <c r="A8456" s="59" t="s">
        <v>2868</v>
      </c>
      <c r="B8456" s="60" t="s">
        <v>1189</v>
      </c>
    </row>
    <row r="8457" ht="12.75" customHeight="1">
      <c r="A8457" s="59" t="s">
        <v>2868</v>
      </c>
      <c r="B8457" s="60" t="s">
        <v>1190</v>
      </c>
    </row>
    <row r="8458" ht="12.75" customHeight="1">
      <c r="A8458" s="59" t="s">
        <v>2868</v>
      </c>
      <c r="B8458" s="60" t="s">
        <v>1191</v>
      </c>
    </row>
    <row r="8459" ht="12.75" customHeight="1">
      <c r="A8459" s="59" t="s">
        <v>2868</v>
      </c>
      <c r="B8459" s="60" t="s">
        <v>1192</v>
      </c>
    </row>
    <row r="8460" ht="12.75" customHeight="1">
      <c r="A8460" s="59" t="s">
        <v>2869</v>
      </c>
      <c r="B8460" s="60">
        <v>0.0</v>
      </c>
    </row>
    <row r="8461" ht="12.75" customHeight="1">
      <c r="A8461" s="59" t="s">
        <v>2869</v>
      </c>
      <c r="B8461" s="60">
        <v>0.0</v>
      </c>
    </row>
    <row r="8462" ht="12.75" customHeight="1">
      <c r="A8462" s="59" t="s">
        <v>2869</v>
      </c>
      <c r="B8462" s="60">
        <v>2.0</v>
      </c>
    </row>
    <row r="8463" ht="12.75" customHeight="1">
      <c r="A8463" s="59" t="s">
        <v>2869</v>
      </c>
      <c r="B8463" s="60">
        <v>4.0</v>
      </c>
    </row>
    <row r="8464" ht="12.75" customHeight="1">
      <c r="A8464" s="59" t="s">
        <v>2869</v>
      </c>
      <c r="B8464" s="60">
        <v>6.0</v>
      </c>
    </row>
    <row r="8465" ht="12.75" customHeight="1">
      <c r="A8465" s="59" t="s">
        <v>2869</v>
      </c>
      <c r="B8465" s="60">
        <v>8.0</v>
      </c>
    </row>
    <row r="8466" ht="12.75" customHeight="1">
      <c r="A8466" s="59" t="s">
        <v>2869</v>
      </c>
      <c r="B8466" s="60">
        <v>10.0</v>
      </c>
    </row>
    <row r="8467" ht="12.75" customHeight="1">
      <c r="A8467" s="59" t="s">
        <v>2869</v>
      </c>
      <c r="B8467" s="60">
        <v>12.0</v>
      </c>
    </row>
    <row r="8468" ht="12.75" customHeight="1">
      <c r="A8468" s="59" t="s">
        <v>2869</v>
      </c>
      <c r="B8468" s="60" t="s">
        <v>803</v>
      </c>
    </row>
    <row r="8469" ht="12.75" customHeight="1">
      <c r="A8469" s="59" t="s">
        <v>2869</v>
      </c>
      <c r="B8469" s="60" t="s">
        <v>804</v>
      </c>
    </row>
    <row r="8470" ht="12.75" customHeight="1">
      <c r="A8470" s="59" t="s">
        <v>2869</v>
      </c>
      <c r="B8470" s="60" t="s">
        <v>76</v>
      </c>
    </row>
    <row r="8471" ht="12.75" customHeight="1">
      <c r="A8471" s="59" t="s">
        <v>2869</v>
      </c>
      <c r="B8471" s="60" t="s">
        <v>80</v>
      </c>
    </row>
    <row r="8472" ht="12.75" customHeight="1">
      <c r="A8472" s="59" t="s">
        <v>2869</v>
      </c>
      <c r="B8472" s="60" t="s">
        <v>83</v>
      </c>
    </row>
    <row r="8473" ht="12.75" customHeight="1">
      <c r="A8473" s="59" t="s">
        <v>2869</v>
      </c>
      <c r="B8473" s="60" t="s">
        <v>85</v>
      </c>
    </row>
    <row r="8474" ht="12.75" customHeight="1">
      <c r="A8474" s="59" t="s">
        <v>2869</v>
      </c>
      <c r="B8474" s="60" t="s">
        <v>805</v>
      </c>
    </row>
    <row r="8475" ht="12.75" customHeight="1">
      <c r="A8475" s="59" t="s">
        <v>2869</v>
      </c>
      <c r="B8475" s="60" t="s">
        <v>806</v>
      </c>
    </row>
    <row r="8476" ht="12.75" customHeight="1">
      <c r="A8476" s="59" t="s">
        <v>2869</v>
      </c>
      <c r="B8476" s="60" t="s">
        <v>807</v>
      </c>
    </row>
    <row r="8477" ht="12.75" customHeight="1">
      <c r="A8477" s="59" t="s">
        <v>2869</v>
      </c>
      <c r="B8477" s="60" t="s">
        <v>753</v>
      </c>
    </row>
    <row r="8478" ht="12.75" customHeight="1">
      <c r="A8478" s="59" t="s">
        <v>2869</v>
      </c>
      <c r="B8478" s="60" t="s">
        <v>757</v>
      </c>
    </row>
    <row r="8479" ht="12.75" customHeight="1">
      <c r="A8479" s="59" t="s">
        <v>2869</v>
      </c>
      <c r="B8479" s="60" t="s">
        <v>761</v>
      </c>
    </row>
    <row r="8480" ht="12.75" customHeight="1">
      <c r="A8480" s="59" t="s">
        <v>2869</v>
      </c>
      <c r="B8480" s="60" t="s">
        <v>765</v>
      </c>
    </row>
    <row r="8481" ht="12.75" customHeight="1">
      <c r="A8481" s="59" t="s">
        <v>2869</v>
      </c>
      <c r="B8481" s="60" t="s">
        <v>808</v>
      </c>
    </row>
    <row r="8482" ht="12.75" customHeight="1">
      <c r="A8482" s="59" t="s">
        <v>2869</v>
      </c>
      <c r="B8482" s="60" t="s">
        <v>809</v>
      </c>
    </row>
    <row r="8483" ht="12.75" customHeight="1">
      <c r="A8483" s="59" t="s">
        <v>2869</v>
      </c>
      <c r="B8483" s="60" t="s">
        <v>810</v>
      </c>
    </row>
    <row r="8484" ht="12.75" customHeight="1">
      <c r="A8484" s="59" t="s">
        <v>2869</v>
      </c>
      <c r="B8484" s="60" t="s">
        <v>811</v>
      </c>
    </row>
    <row r="8485" ht="12.75" customHeight="1">
      <c r="A8485" s="59" t="s">
        <v>2869</v>
      </c>
      <c r="B8485" s="60" t="s">
        <v>812</v>
      </c>
    </row>
    <row r="8486" ht="12.75" customHeight="1">
      <c r="A8486" s="59" t="s">
        <v>2869</v>
      </c>
      <c r="B8486" s="60" t="s">
        <v>813</v>
      </c>
    </row>
    <row r="8487" ht="12.75" customHeight="1">
      <c r="A8487" s="59" t="s">
        <v>2869</v>
      </c>
      <c r="B8487" s="60" t="s">
        <v>814</v>
      </c>
    </row>
    <row r="8488" ht="12.75" customHeight="1">
      <c r="A8488" s="59" t="s">
        <v>2869</v>
      </c>
      <c r="B8488" s="60" t="s">
        <v>815</v>
      </c>
    </row>
    <row r="8489" ht="12.75" customHeight="1">
      <c r="A8489" s="59" t="s">
        <v>2869</v>
      </c>
      <c r="B8489" s="60" t="s">
        <v>816</v>
      </c>
    </row>
    <row r="8490" ht="12.75" customHeight="1">
      <c r="A8490" s="59" t="s">
        <v>2869</v>
      </c>
      <c r="B8490" s="60" t="s">
        <v>771</v>
      </c>
    </row>
    <row r="8491" ht="12.75" customHeight="1">
      <c r="A8491" s="59" t="s">
        <v>2869</v>
      </c>
      <c r="B8491" s="60" t="s">
        <v>775</v>
      </c>
    </row>
    <row r="8492" ht="12.75" customHeight="1">
      <c r="A8492" s="59" t="s">
        <v>2869</v>
      </c>
      <c r="B8492" s="60" t="s">
        <v>779</v>
      </c>
    </row>
    <row r="8493" ht="12.75" customHeight="1">
      <c r="A8493" s="59" t="s">
        <v>2869</v>
      </c>
      <c r="B8493" s="60" t="s">
        <v>783</v>
      </c>
    </row>
    <row r="8494" ht="12.75" customHeight="1">
      <c r="A8494" s="59" t="s">
        <v>2869</v>
      </c>
      <c r="B8494" s="60" t="s">
        <v>817</v>
      </c>
    </row>
    <row r="8495" ht="12.75" customHeight="1">
      <c r="A8495" s="59" t="s">
        <v>2869</v>
      </c>
      <c r="B8495" s="60" t="s">
        <v>818</v>
      </c>
    </row>
    <row r="8496" ht="12.75" customHeight="1">
      <c r="A8496" s="59" t="s">
        <v>2869</v>
      </c>
      <c r="B8496" s="60" t="s">
        <v>819</v>
      </c>
    </row>
    <row r="8497" ht="12.75" customHeight="1">
      <c r="A8497" s="59" t="s">
        <v>2869</v>
      </c>
      <c r="B8497" s="60" t="s">
        <v>820</v>
      </c>
    </row>
    <row r="8498" ht="12.75" customHeight="1">
      <c r="A8498" s="59" t="s">
        <v>2869</v>
      </c>
      <c r="B8498" s="60" t="s">
        <v>821</v>
      </c>
    </row>
    <row r="8499" ht="12.75" customHeight="1">
      <c r="A8499" s="59" t="s">
        <v>2869</v>
      </c>
      <c r="B8499" s="60" t="s">
        <v>822</v>
      </c>
    </row>
    <row r="8500" ht="12.75" customHeight="1">
      <c r="A8500" s="59" t="s">
        <v>2869</v>
      </c>
      <c r="B8500" s="60" t="s">
        <v>823</v>
      </c>
    </row>
    <row r="8501" ht="12.75" customHeight="1">
      <c r="A8501" s="59" t="s">
        <v>2869</v>
      </c>
      <c r="B8501" s="60" t="s">
        <v>824</v>
      </c>
    </row>
    <row r="8502" ht="12.75" customHeight="1">
      <c r="A8502" s="59" t="s">
        <v>2869</v>
      </c>
      <c r="B8502" s="60" t="s">
        <v>825</v>
      </c>
    </row>
    <row r="8503" ht="12.75" customHeight="1">
      <c r="A8503" s="59" t="s">
        <v>2869</v>
      </c>
      <c r="B8503" s="60" t="s">
        <v>788</v>
      </c>
    </row>
    <row r="8504" ht="12.75" customHeight="1">
      <c r="A8504" s="59" t="s">
        <v>2869</v>
      </c>
      <c r="B8504" s="60" t="s">
        <v>792</v>
      </c>
    </row>
    <row r="8505" ht="12.75" customHeight="1">
      <c r="A8505" s="59" t="s">
        <v>2869</v>
      </c>
      <c r="B8505" s="60" t="s">
        <v>796</v>
      </c>
    </row>
    <row r="8506" ht="12.75" customHeight="1">
      <c r="A8506" s="59" t="s">
        <v>2869</v>
      </c>
      <c r="B8506" s="60" t="s">
        <v>800</v>
      </c>
    </row>
    <row r="8507" ht="12.75" customHeight="1">
      <c r="A8507" s="59" t="s">
        <v>2869</v>
      </c>
      <c r="B8507" s="60" t="s">
        <v>826</v>
      </c>
    </row>
    <row r="8508" ht="12.75" customHeight="1">
      <c r="A8508" s="59" t="s">
        <v>2869</v>
      </c>
      <c r="B8508" s="60" t="s">
        <v>827</v>
      </c>
    </row>
    <row r="8509" ht="12.75" customHeight="1">
      <c r="A8509" s="59" t="s">
        <v>2869</v>
      </c>
      <c r="B8509" s="60" t="s">
        <v>828</v>
      </c>
    </row>
    <row r="8510" ht="12.75" customHeight="1">
      <c r="A8510" s="59" t="s">
        <v>2869</v>
      </c>
      <c r="B8510" s="60" t="s">
        <v>829</v>
      </c>
    </row>
    <row r="8511" ht="12.75" customHeight="1">
      <c r="A8511" s="59" t="s">
        <v>2869</v>
      </c>
      <c r="B8511" s="60" t="s">
        <v>830</v>
      </c>
    </row>
    <row r="8512" ht="12.75" customHeight="1">
      <c r="A8512" s="59" t="s">
        <v>2869</v>
      </c>
      <c r="B8512" s="60" t="s">
        <v>831</v>
      </c>
    </row>
    <row r="8513" ht="12.75" customHeight="1">
      <c r="A8513" s="59" t="s">
        <v>2869</v>
      </c>
      <c r="B8513" s="60" t="s">
        <v>832</v>
      </c>
    </row>
    <row r="8514" ht="12.75" customHeight="1">
      <c r="A8514" s="59" t="s">
        <v>2869</v>
      </c>
      <c r="B8514" s="60" t="s">
        <v>833</v>
      </c>
    </row>
    <row r="8515" ht="12.75" customHeight="1">
      <c r="A8515" s="59" t="s">
        <v>2869</v>
      </c>
      <c r="B8515" s="60" t="s">
        <v>834</v>
      </c>
    </row>
    <row r="8516" ht="12.75" customHeight="1">
      <c r="A8516" s="59" t="s">
        <v>2869</v>
      </c>
      <c r="B8516" s="60">
        <v>14.0</v>
      </c>
    </row>
    <row r="8517" ht="12.75" customHeight="1">
      <c r="A8517" s="59" t="s">
        <v>2869</v>
      </c>
      <c r="B8517" s="60" t="s">
        <v>835</v>
      </c>
    </row>
    <row r="8518" ht="12.75" customHeight="1">
      <c r="A8518" s="59" t="s">
        <v>2869</v>
      </c>
      <c r="B8518" s="60">
        <v>16.0</v>
      </c>
    </row>
    <row r="8519" ht="12.75" customHeight="1">
      <c r="A8519" s="59" t="s">
        <v>2869</v>
      </c>
      <c r="B8519" s="60" t="s">
        <v>836</v>
      </c>
    </row>
    <row r="8520" ht="12.75" customHeight="1">
      <c r="A8520" s="59" t="s">
        <v>2869</v>
      </c>
      <c r="B8520" s="60">
        <v>18.0</v>
      </c>
    </row>
    <row r="8521" ht="12.75" customHeight="1">
      <c r="A8521" s="59" t="s">
        <v>2869</v>
      </c>
      <c r="B8521" s="60" t="s">
        <v>837</v>
      </c>
    </row>
    <row r="8522" ht="12.75" customHeight="1">
      <c r="A8522" s="59" t="s">
        <v>2869</v>
      </c>
      <c r="B8522" s="60">
        <v>20.0</v>
      </c>
    </row>
    <row r="8523" ht="12.75" customHeight="1">
      <c r="A8523" s="59" t="s">
        <v>2869</v>
      </c>
      <c r="B8523" s="60" t="s">
        <v>838</v>
      </c>
    </row>
    <row r="8524" ht="12.75" customHeight="1">
      <c r="A8524" s="59" t="s">
        <v>2869</v>
      </c>
      <c r="B8524" s="60">
        <v>22.0</v>
      </c>
    </row>
    <row r="8525" ht="12.75" customHeight="1">
      <c r="A8525" s="59" t="s">
        <v>2869</v>
      </c>
      <c r="B8525" s="60" t="s">
        <v>839</v>
      </c>
    </row>
    <row r="8526" ht="12.75" customHeight="1">
      <c r="A8526" s="59" t="s">
        <v>2869</v>
      </c>
      <c r="B8526" s="60">
        <v>24.0</v>
      </c>
    </row>
    <row r="8527" ht="12.75" customHeight="1">
      <c r="A8527" s="59" t="s">
        <v>2869</v>
      </c>
      <c r="B8527" s="60" t="s">
        <v>840</v>
      </c>
    </row>
    <row r="8528" ht="12.75" customHeight="1">
      <c r="A8528" s="59" t="s">
        <v>2869</v>
      </c>
      <c r="B8528" s="60">
        <v>26.0</v>
      </c>
    </row>
    <row r="8529" ht="12.75" customHeight="1">
      <c r="A8529" s="59" t="s">
        <v>2869</v>
      </c>
      <c r="B8529" s="60" t="s">
        <v>841</v>
      </c>
    </row>
    <row r="8530" ht="12.75" customHeight="1">
      <c r="A8530" s="59" t="s">
        <v>2869</v>
      </c>
      <c r="B8530" s="60">
        <v>28.0</v>
      </c>
    </row>
    <row r="8531" ht="12.75" customHeight="1">
      <c r="A8531" s="59" t="s">
        <v>2869</v>
      </c>
      <c r="B8531" s="60" t="s">
        <v>842</v>
      </c>
    </row>
    <row r="8532" ht="12.75" customHeight="1">
      <c r="A8532" s="59" t="s">
        <v>2869</v>
      </c>
      <c r="B8532" s="60">
        <v>30.0</v>
      </c>
    </row>
    <row r="8533" ht="12.75" customHeight="1">
      <c r="A8533" s="59" t="s">
        <v>2869</v>
      </c>
      <c r="B8533" s="60" t="s">
        <v>843</v>
      </c>
    </row>
    <row r="8534" ht="12.75" customHeight="1">
      <c r="A8534" s="59" t="s">
        <v>2869</v>
      </c>
      <c r="B8534" s="60">
        <v>32.0</v>
      </c>
    </row>
    <row r="8535" ht="12.75" customHeight="1">
      <c r="A8535" s="59" t="s">
        <v>2869</v>
      </c>
      <c r="B8535" s="60" t="s">
        <v>844</v>
      </c>
    </row>
    <row r="8536" ht="12.75" customHeight="1">
      <c r="A8536" s="59" t="s">
        <v>2869</v>
      </c>
      <c r="B8536" s="60" t="s">
        <v>845</v>
      </c>
    </row>
    <row r="8537" ht="12.75" customHeight="1">
      <c r="A8537" s="59" t="s">
        <v>2869</v>
      </c>
      <c r="B8537" s="60" t="s">
        <v>846</v>
      </c>
    </row>
    <row r="8538" ht="12.75" customHeight="1">
      <c r="A8538" s="59" t="s">
        <v>2869</v>
      </c>
      <c r="B8538" s="60" t="s">
        <v>847</v>
      </c>
    </row>
    <row r="8539" ht="12.75" customHeight="1">
      <c r="A8539" s="59" t="s">
        <v>2869</v>
      </c>
      <c r="B8539" s="60" t="s">
        <v>848</v>
      </c>
    </row>
    <row r="8540" ht="12.75" customHeight="1">
      <c r="A8540" s="59" t="s">
        <v>2869</v>
      </c>
      <c r="B8540" s="60" t="s">
        <v>849</v>
      </c>
    </row>
    <row r="8541" ht="12.75" customHeight="1">
      <c r="A8541" s="59" t="s">
        <v>2869</v>
      </c>
      <c r="B8541" s="60" t="s">
        <v>850</v>
      </c>
    </row>
    <row r="8542" ht="12.75" customHeight="1">
      <c r="A8542" s="59" t="s">
        <v>2869</v>
      </c>
      <c r="B8542" s="60" t="s">
        <v>851</v>
      </c>
    </row>
    <row r="8543" ht="12.75" customHeight="1">
      <c r="A8543" s="59" t="s">
        <v>2869</v>
      </c>
      <c r="B8543" s="60" t="s">
        <v>852</v>
      </c>
    </row>
    <row r="8544" ht="12.75" customHeight="1">
      <c r="A8544" s="59" t="s">
        <v>2869</v>
      </c>
      <c r="B8544" s="60" t="s">
        <v>853</v>
      </c>
    </row>
    <row r="8545" ht="12.75" customHeight="1">
      <c r="A8545" s="59" t="s">
        <v>2869</v>
      </c>
      <c r="B8545" s="60" t="s">
        <v>854</v>
      </c>
    </row>
    <row r="8546" ht="12.75" customHeight="1">
      <c r="A8546" s="59" t="s">
        <v>2869</v>
      </c>
      <c r="B8546" s="60" t="s">
        <v>855</v>
      </c>
    </row>
    <row r="8547" ht="12.75" customHeight="1">
      <c r="A8547" s="59" t="s">
        <v>2869</v>
      </c>
      <c r="B8547" s="60" t="s">
        <v>856</v>
      </c>
    </row>
    <row r="8548" ht="12.75" customHeight="1">
      <c r="A8548" s="59" t="s">
        <v>2869</v>
      </c>
      <c r="B8548" s="60" t="s">
        <v>857</v>
      </c>
    </row>
    <row r="8549" ht="12.75" customHeight="1">
      <c r="A8549" s="59" t="s">
        <v>2869</v>
      </c>
      <c r="B8549" s="60" t="s">
        <v>858</v>
      </c>
    </row>
    <row r="8550" ht="12.75" customHeight="1">
      <c r="A8550" s="59" t="s">
        <v>2869</v>
      </c>
      <c r="B8550" s="60" t="s">
        <v>859</v>
      </c>
    </row>
    <row r="8551" ht="12.75" customHeight="1">
      <c r="A8551" s="59" t="s">
        <v>2869</v>
      </c>
      <c r="B8551" s="60" t="s">
        <v>860</v>
      </c>
    </row>
    <row r="8552" ht="12.75" customHeight="1">
      <c r="A8552" s="59" t="s">
        <v>2869</v>
      </c>
      <c r="B8552" s="60" t="s">
        <v>861</v>
      </c>
    </row>
    <row r="8553" ht="12.75" customHeight="1">
      <c r="A8553" s="59" t="s">
        <v>2869</v>
      </c>
      <c r="B8553" s="60" t="s">
        <v>862</v>
      </c>
    </row>
    <row r="8554" ht="12.75" customHeight="1">
      <c r="A8554" s="59" t="s">
        <v>2869</v>
      </c>
      <c r="B8554" s="60" t="s">
        <v>863</v>
      </c>
    </row>
    <row r="8555" ht="12.75" customHeight="1">
      <c r="A8555" s="59" t="s">
        <v>2869</v>
      </c>
      <c r="B8555" s="60" t="s">
        <v>864</v>
      </c>
    </row>
    <row r="8556" ht="12.75" customHeight="1">
      <c r="A8556" s="59" t="s">
        <v>2869</v>
      </c>
      <c r="B8556" s="60" t="s">
        <v>865</v>
      </c>
    </row>
    <row r="8557" ht="12.75" customHeight="1">
      <c r="A8557" s="59" t="s">
        <v>2869</v>
      </c>
      <c r="B8557" s="60" t="s">
        <v>866</v>
      </c>
    </row>
    <row r="8558" ht="12.75" customHeight="1">
      <c r="A8558" s="59" t="s">
        <v>2869</v>
      </c>
      <c r="B8558" s="60" t="s">
        <v>867</v>
      </c>
    </row>
    <row r="8559" ht="12.75" customHeight="1">
      <c r="A8559" s="59" t="s">
        <v>2869</v>
      </c>
      <c r="B8559" s="60" t="s">
        <v>868</v>
      </c>
    </row>
    <row r="8560" ht="12.75" customHeight="1">
      <c r="A8560" s="59" t="s">
        <v>2869</v>
      </c>
      <c r="B8560" s="60" t="s">
        <v>869</v>
      </c>
    </row>
    <row r="8561" ht="12.75" customHeight="1">
      <c r="A8561" s="59" t="s">
        <v>2869</v>
      </c>
      <c r="B8561" s="60" t="s">
        <v>870</v>
      </c>
    </row>
    <row r="8562" ht="12.75" customHeight="1">
      <c r="A8562" s="59" t="s">
        <v>2869</v>
      </c>
      <c r="B8562" s="60" t="s">
        <v>871</v>
      </c>
    </row>
    <row r="8563" ht="12.75" customHeight="1">
      <c r="A8563" s="59" t="s">
        <v>2869</v>
      </c>
      <c r="B8563" s="60" t="s">
        <v>872</v>
      </c>
    </row>
    <row r="8564" ht="12.75" customHeight="1">
      <c r="A8564" s="59" t="s">
        <v>2869</v>
      </c>
      <c r="B8564" s="60" t="s">
        <v>873</v>
      </c>
    </row>
    <row r="8565" ht="12.75" customHeight="1">
      <c r="A8565" s="59" t="s">
        <v>2869</v>
      </c>
      <c r="B8565" s="60" t="s">
        <v>874</v>
      </c>
    </row>
    <row r="8566" ht="12.75" customHeight="1">
      <c r="A8566" s="59" t="s">
        <v>2869</v>
      </c>
      <c r="B8566" s="60" t="s">
        <v>875</v>
      </c>
    </row>
    <row r="8567" ht="12.75" customHeight="1">
      <c r="A8567" s="59" t="s">
        <v>2869</v>
      </c>
      <c r="B8567" s="60" t="s">
        <v>876</v>
      </c>
    </row>
    <row r="8568" ht="12.75" customHeight="1">
      <c r="A8568" s="59" t="s">
        <v>2869</v>
      </c>
      <c r="B8568" s="60" t="s">
        <v>877</v>
      </c>
    </row>
    <row r="8569" ht="12.75" customHeight="1">
      <c r="A8569" s="59" t="s">
        <v>2869</v>
      </c>
      <c r="B8569" s="60" t="s">
        <v>878</v>
      </c>
    </row>
    <row r="8570" ht="12.75" customHeight="1">
      <c r="A8570" s="59" t="s">
        <v>2869</v>
      </c>
      <c r="B8570" s="60" t="s">
        <v>879</v>
      </c>
    </row>
    <row r="8571" ht="12.75" customHeight="1">
      <c r="A8571" s="59" t="s">
        <v>2869</v>
      </c>
      <c r="B8571" s="60" t="s">
        <v>880</v>
      </c>
    </row>
    <row r="8572" ht="12.75" customHeight="1">
      <c r="A8572" s="59" t="s">
        <v>2869</v>
      </c>
      <c r="B8572" s="60" t="s">
        <v>881</v>
      </c>
    </row>
    <row r="8573" ht="12.75" customHeight="1">
      <c r="A8573" s="59" t="s">
        <v>2869</v>
      </c>
      <c r="B8573" s="60" t="s">
        <v>882</v>
      </c>
    </row>
    <row r="8574" ht="12.75" customHeight="1">
      <c r="A8574" s="59" t="s">
        <v>2869</v>
      </c>
      <c r="B8574" s="60" t="s">
        <v>883</v>
      </c>
    </row>
    <row r="8575" ht="12.75" customHeight="1">
      <c r="A8575" s="59" t="s">
        <v>2869</v>
      </c>
      <c r="B8575" s="60" t="s">
        <v>884</v>
      </c>
    </row>
    <row r="8576" ht="12.75" customHeight="1">
      <c r="A8576" s="59" t="s">
        <v>2869</v>
      </c>
      <c r="B8576" s="60" t="s">
        <v>885</v>
      </c>
    </row>
    <row r="8577" ht="12.75" customHeight="1">
      <c r="A8577" s="59" t="s">
        <v>2869</v>
      </c>
      <c r="B8577" s="60" t="s">
        <v>886</v>
      </c>
    </row>
    <row r="8578" ht="12.75" customHeight="1">
      <c r="A8578" s="59" t="s">
        <v>2869</v>
      </c>
      <c r="B8578" s="60" t="s">
        <v>887</v>
      </c>
    </row>
    <row r="8579" ht="12.75" customHeight="1">
      <c r="A8579" s="59" t="s">
        <v>2869</v>
      </c>
      <c r="B8579" s="60" t="s">
        <v>888</v>
      </c>
    </row>
    <row r="8580" ht="12.75" customHeight="1">
      <c r="A8580" s="59" t="s">
        <v>2869</v>
      </c>
      <c r="B8580" s="60" t="s">
        <v>889</v>
      </c>
    </row>
    <row r="8581" ht="12.75" customHeight="1">
      <c r="A8581" s="59" t="s">
        <v>2869</v>
      </c>
      <c r="B8581" s="60" t="s">
        <v>890</v>
      </c>
    </row>
    <row r="8582" ht="12.75" customHeight="1">
      <c r="A8582" s="59" t="s">
        <v>2869</v>
      </c>
      <c r="B8582" s="60" t="s">
        <v>891</v>
      </c>
    </row>
    <row r="8583" ht="12.75" customHeight="1">
      <c r="A8583" s="59" t="s">
        <v>2869</v>
      </c>
      <c r="B8583" s="60" t="s">
        <v>892</v>
      </c>
    </row>
    <row r="8584" ht="12.75" customHeight="1">
      <c r="A8584" s="59" t="s">
        <v>2869</v>
      </c>
      <c r="B8584" s="60" t="s">
        <v>893</v>
      </c>
    </row>
    <row r="8585" ht="12.75" customHeight="1">
      <c r="A8585" s="59" t="s">
        <v>2869</v>
      </c>
      <c r="B8585" s="60" t="s">
        <v>894</v>
      </c>
    </row>
    <row r="8586" ht="12.75" customHeight="1">
      <c r="A8586" s="59" t="s">
        <v>2869</v>
      </c>
      <c r="B8586" s="60" t="s">
        <v>895</v>
      </c>
    </row>
    <row r="8587" ht="12.75" customHeight="1">
      <c r="A8587" s="59" t="s">
        <v>2869</v>
      </c>
      <c r="B8587" s="60" t="s">
        <v>896</v>
      </c>
    </row>
    <row r="8588" ht="12.75" customHeight="1">
      <c r="A8588" s="59" t="s">
        <v>2869</v>
      </c>
      <c r="B8588" s="60" t="s">
        <v>897</v>
      </c>
    </row>
    <row r="8589" ht="12.75" customHeight="1">
      <c r="A8589" s="59" t="s">
        <v>2869</v>
      </c>
      <c r="B8589" s="60" t="s">
        <v>898</v>
      </c>
    </row>
    <row r="8590" ht="12.75" customHeight="1">
      <c r="A8590" s="59" t="s">
        <v>2869</v>
      </c>
      <c r="B8590" s="60" t="s">
        <v>899</v>
      </c>
    </row>
    <row r="8591" ht="12.75" customHeight="1">
      <c r="A8591" s="59" t="s">
        <v>2869</v>
      </c>
      <c r="B8591" s="60" t="s">
        <v>900</v>
      </c>
    </row>
    <row r="8592" ht="12.75" customHeight="1">
      <c r="A8592" s="59" t="s">
        <v>2869</v>
      </c>
      <c r="B8592" s="60" t="s">
        <v>901</v>
      </c>
    </row>
    <row r="8593" ht="12.75" customHeight="1">
      <c r="A8593" s="59" t="s">
        <v>2869</v>
      </c>
      <c r="B8593" s="60" t="s">
        <v>902</v>
      </c>
    </row>
    <row r="8594" ht="12.75" customHeight="1">
      <c r="A8594" s="59" t="s">
        <v>2869</v>
      </c>
      <c r="B8594" s="60" t="s">
        <v>903</v>
      </c>
    </row>
    <row r="8595" ht="12.75" customHeight="1">
      <c r="A8595" s="59" t="s">
        <v>2869</v>
      </c>
      <c r="B8595" s="60" t="s">
        <v>904</v>
      </c>
    </row>
    <row r="8596" ht="12.75" customHeight="1">
      <c r="A8596" s="59" t="s">
        <v>2869</v>
      </c>
      <c r="B8596" s="60" t="s">
        <v>905</v>
      </c>
    </row>
    <row r="8597" ht="12.75" customHeight="1">
      <c r="A8597" s="59" t="s">
        <v>2869</v>
      </c>
      <c r="B8597" s="60" t="s">
        <v>906</v>
      </c>
    </row>
    <row r="8598" ht="12.75" customHeight="1">
      <c r="A8598" s="59" t="s">
        <v>2869</v>
      </c>
      <c r="B8598" s="60" t="s">
        <v>907</v>
      </c>
    </row>
    <row r="8599" ht="12.75" customHeight="1">
      <c r="A8599" s="59" t="s">
        <v>2869</v>
      </c>
      <c r="B8599" s="60" t="s">
        <v>908</v>
      </c>
    </row>
    <row r="8600" ht="12.75" customHeight="1">
      <c r="A8600" s="59" t="s">
        <v>2869</v>
      </c>
      <c r="B8600" s="60" t="s">
        <v>909</v>
      </c>
    </row>
    <row r="8601" ht="12.75" customHeight="1">
      <c r="A8601" s="59" t="s">
        <v>2869</v>
      </c>
      <c r="B8601" s="60" t="s">
        <v>910</v>
      </c>
    </row>
    <row r="8602" ht="12.75" customHeight="1">
      <c r="A8602" s="59" t="s">
        <v>2869</v>
      </c>
      <c r="B8602" s="60" t="s">
        <v>911</v>
      </c>
    </row>
    <row r="8603" ht="12.75" customHeight="1">
      <c r="A8603" s="59" t="s">
        <v>2869</v>
      </c>
      <c r="B8603" s="60" t="s">
        <v>912</v>
      </c>
    </row>
    <row r="8604" ht="12.75" customHeight="1">
      <c r="A8604" s="59" t="s">
        <v>2869</v>
      </c>
      <c r="B8604" s="60" t="s">
        <v>913</v>
      </c>
    </row>
    <row r="8605" ht="12.75" customHeight="1">
      <c r="A8605" s="59" t="s">
        <v>2869</v>
      </c>
      <c r="B8605" s="60" t="s">
        <v>914</v>
      </c>
    </row>
    <row r="8606" ht="12.75" customHeight="1">
      <c r="A8606" s="59" t="s">
        <v>2869</v>
      </c>
      <c r="B8606" s="60" t="s">
        <v>915</v>
      </c>
    </row>
    <row r="8607" ht="12.75" customHeight="1">
      <c r="A8607" s="59" t="s">
        <v>2869</v>
      </c>
      <c r="B8607" s="60" t="s">
        <v>916</v>
      </c>
    </row>
    <row r="8608" ht="12.75" customHeight="1">
      <c r="A8608" s="59" t="s">
        <v>2869</v>
      </c>
      <c r="B8608" s="60" t="s">
        <v>917</v>
      </c>
    </row>
    <row r="8609" ht="12.75" customHeight="1">
      <c r="A8609" s="59" t="s">
        <v>2869</v>
      </c>
      <c r="B8609" s="60" t="s">
        <v>918</v>
      </c>
    </row>
    <row r="8610" ht="12.75" customHeight="1">
      <c r="A8610" s="59" t="s">
        <v>2869</v>
      </c>
      <c r="B8610" s="60" t="s">
        <v>919</v>
      </c>
    </row>
    <row r="8611" ht="12.75" customHeight="1">
      <c r="A8611" s="59" t="s">
        <v>2869</v>
      </c>
      <c r="B8611" s="60" t="s">
        <v>920</v>
      </c>
    </row>
    <row r="8612" ht="12.75" customHeight="1">
      <c r="A8612" s="59" t="s">
        <v>2869</v>
      </c>
      <c r="B8612" s="60" t="s">
        <v>921</v>
      </c>
    </row>
    <row r="8613" ht="12.75" customHeight="1">
      <c r="A8613" s="59" t="s">
        <v>2869</v>
      </c>
      <c r="B8613" s="60" t="s">
        <v>922</v>
      </c>
    </row>
    <row r="8614" ht="12.75" customHeight="1">
      <c r="A8614" s="59" t="s">
        <v>2869</v>
      </c>
      <c r="B8614" s="60" t="s">
        <v>923</v>
      </c>
    </row>
    <row r="8615" ht="12.75" customHeight="1">
      <c r="A8615" s="59" t="s">
        <v>2869</v>
      </c>
      <c r="B8615" s="60" t="s">
        <v>924</v>
      </c>
    </row>
    <row r="8616" ht="12.75" customHeight="1">
      <c r="A8616" s="59" t="s">
        <v>2869</v>
      </c>
      <c r="B8616" s="60" t="s">
        <v>925</v>
      </c>
    </row>
    <row r="8617" ht="12.75" customHeight="1">
      <c r="A8617" s="59" t="s">
        <v>2869</v>
      </c>
      <c r="B8617" s="60" t="s">
        <v>926</v>
      </c>
    </row>
    <row r="8618" ht="12.75" customHeight="1">
      <c r="A8618" s="59" t="s">
        <v>2869</v>
      </c>
      <c r="B8618" s="60" t="s">
        <v>927</v>
      </c>
    </row>
    <row r="8619" ht="12.75" customHeight="1">
      <c r="A8619" s="59" t="s">
        <v>2869</v>
      </c>
      <c r="B8619" s="60" t="s">
        <v>928</v>
      </c>
    </row>
    <row r="8620" ht="12.75" customHeight="1">
      <c r="A8620" s="59" t="s">
        <v>2869</v>
      </c>
      <c r="B8620" s="60" t="s">
        <v>929</v>
      </c>
    </row>
    <row r="8621" ht="12.75" customHeight="1">
      <c r="A8621" s="59" t="s">
        <v>2869</v>
      </c>
      <c r="B8621" s="60" t="s">
        <v>930</v>
      </c>
    </row>
    <row r="8622" ht="12.75" customHeight="1">
      <c r="A8622" s="59" t="s">
        <v>2869</v>
      </c>
      <c r="B8622" s="60" t="s">
        <v>931</v>
      </c>
    </row>
    <row r="8623" ht="12.75" customHeight="1">
      <c r="A8623" s="59" t="s">
        <v>2869</v>
      </c>
      <c r="B8623" s="60" t="s">
        <v>932</v>
      </c>
    </row>
    <row r="8624" ht="12.75" customHeight="1">
      <c r="A8624" s="59" t="s">
        <v>2869</v>
      </c>
      <c r="B8624" s="60" t="s">
        <v>933</v>
      </c>
    </row>
    <row r="8625" ht="12.75" customHeight="1">
      <c r="A8625" s="59" t="s">
        <v>2869</v>
      </c>
      <c r="B8625" s="60" t="s">
        <v>934</v>
      </c>
    </row>
    <row r="8626" ht="12.75" customHeight="1">
      <c r="A8626" s="59" t="s">
        <v>2869</v>
      </c>
      <c r="B8626" s="60" t="s">
        <v>935</v>
      </c>
    </row>
    <row r="8627" ht="12.75" customHeight="1">
      <c r="A8627" s="59" t="s">
        <v>2869</v>
      </c>
      <c r="B8627" s="60" t="s">
        <v>936</v>
      </c>
    </row>
    <row r="8628" ht="12.75" customHeight="1">
      <c r="A8628" s="59" t="s">
        <v>2869</v>
      </c>
      <c r="B8628" s="60" t="s">
        <v>937</v>
      </c>
    </row>
    <row r="8629" ht="12.75" customHeight="1">
      <c r="A8629" s="59" t="s">
        <v>2869</v>
      </c>
      <c r="B8629" s="60" t="s">
        <v>938</v>
      </c>
    </row>
    <row r="8630" ht="12.75" customHeight="1">
      <c r="A8630" s="59" t="s">
        <v>2869</v>
      </c>
      <c r="B8630" s="60" t="s">
        <v>939</v>
      </c>
    </row>
    <row r="8631" ht="12.75" customHeight="1">
      <c r="A8631" s="59" t="s">
        <v>2869</v>
      </c>
      <c r="B8631" s="60" t="s">
        <v>940</v>
      </c>
    </row>
    <row r="8632" ht="12.75" customHeight="1">
      <c r="A8632" s="59" t="s">
        <v>2869</v>
      </c>
      <c r="B8632" s="60" t="s">
        <v>941</v>
      </c>
    </row>
    <row r="8633" ht="12.75" customHeight="1">
      <c r="A8633" s="59" t="s">
        <v>2869</v>
      </c>
      <c r="B8633" s="60" t="s">
        <v>942</v>
      </c>
    </row>
    <row r="8634" ht="12.75" customHeight="1">
      <c r="A8634" s="59" t="s">
        <v>2869</v>
      </c>
      <c r="B8634" s="60" t="s">
        <v>943</v>
      </c>
    </row>
    <row r="8635" ht="12.75" customHeight="1">
      <c r="A8635" s="59" t="s">
        <v>2869</v>
      </c>
      <c r="B8635" s="60" t="s">
        <v>944</v>
      </c>
    </row>
    <row r="8636" ht="12.75" customHeight="1">
      <c r="A8636" s="59" t="s">
        <v>2869</v>
      </c>
      <c r="B8636" s="60" t="s">
        <v>945</v>
      </c>
    </row>
    <row r="8637" ht="12.75" customHeight="1">
      <c r="A8637" s="59" t="s">
        <v>2869</v>
      </c>
      <c r="B8637" s="60" t="s">
        <v>946</v>
      </c>
    </row>
    <row r="8638" ht="12.75" customHeight="1">
      <c r="A8638" s="59" t="s">
        <v>2869</v>
      </c>
      <c r="B8638" s="60" t="s">
        <v>947</v>
      </c>
    </row>
    <row r="8639" ht="12.75" customHeight="1">
      <c r="A8639" s="59" t="s">
        <v>2869</v>
      </c>
      <c r="B8639" s="60" t="s">
        <v>948</v>
      </c>
    </row>
    <row r="8640" ht="12.75" customHeight="1">
      <c r="A8640" s="59" t="s">
        <v>2869</v>
      </c>
      <c r="B8640" s="60" t="s">
        <v>949</v>
      </c>
    </row>
    <row r="8641" ht="12.75" customHeight="1">
      <c r="A8641" s="59" t="s">
        <v>2869</v>
      </c>
      <c r="B8641" s="60" t="s">
        <v>950</v>
      </c>
    </row>
    <row r="8642" ht="12.75" customHeight="1">
      <c r="A8642" s="59" t="s">
        <v>2869</v>
      </c>
      <c r="B8642" s="60" t="s">
        <v>951</v>
      </c>
    </row>
    <row r="8643" ht="12.75" customHeight="1">
      <c r="A8643" s="59" t="s">
        <v>2869</v>
      </c>
      <c r="B8643" s="60" t="s">
        <v>952</v>
      </c>
    </row>
    <row r="8644" ht="12.75" customHeight="1">
      <c r="A8644" s="59" t="s">
        <v>2869</v>
      </c>
      <c r="B8644" s="60" t="s">
        <v>953</v>
      </c>
    </row>
    <row r="8645" ht="12.75" customHeight="1">
      <c r="A8645" s="59" t="s">
        <v>2869</v>
      </c>
      <c r="B8645" s="60" t="s">
        <v>954</v>
      </c>
    </row>
    <row r="8646" ht="12.75" customHeight="1">
      <c r="A8646" s="59" t="s">
        <v>2869</v>
      </c>
      <c r="B8646" s="60" t="s">
        <v>955</v>
      </c>
    </row>
    <row r="8647" ht="12.75" customHeight="1">
      <c r="A8647" s="59" t="s">
        <v>2869</v>
      </c>
      <c r="B8647" s="60" t="s">
        <v>956</v>
      </c>
    </row>
    <row r="8648" ht="12.75" customHeight="1">
      <c r="A8648" s="59" t="s">
        <v>2869</v>
      </c>
      <c r="B8648" s="60" t="s">
        <v>957</v>
      </c>
    </row>
    <row r="8649" ht="12.75" customHeight="1">
      <c r="A8649" s="59" t="s">
        <v>2869</v>
      </c>
      <c r="B8649" s="60" t="s">
        <v>958</v>
      </c>
    </row>
    <row r="8650" ht="12.75" customHeight="1">
      <c r="A8650" s="59" t="s">
        <v>2869</v>
      </c>
      <c r="B8650" s="60" t="s">
        <v>959</v>
      </c>
    </row>
    <row r="8651" ht="12.75" customHeight="1">
      <c r="A8651" s="59" t="s">
        <v>2869</v>
      </c>
      <c r="B8651" s="60" t="s">
        <v>960</v>
      </c>
    </row>
    <row r="8652" ht="12.75" customHeight="1">
      <c r="A8652" s="59" t="s">
        <v>2869</v>
      </c>
      <c r="B8652" s="60" t="s">
        <v>961</v>
      </c>
    </row>
    <row r="8653" ht="12.75" customHeight="1">
      <c r="A8653" s="59" t="s">
        <v>2869</v>
      </c>
      <c r="B8653" s="60" t="s">
        <v>962</v>
      </c>
    </row>
    <row r="8654" ht="12.75" customHeight="1">
      <c r="A8654" s="59" t="s">
        <v>2869</v>
      </c>
      <c r="B8654" s="60" t="s">
        <v>963</v>
      </c>
    </row>
    <row r="8655" ht="12.75" customHeight="1">
      <c r="A8655" s="59" t="s">
        <v>2869</v>
      </c>
      <c r="B8655" s="60" t="s">
        <v>964</v>
      </c>
    </row>
    <row r="8656" ht="12.75" customHeight="1">
      <c r="A8656" s="59" t="s">
        <v>2869</v>
      </c>
      <c r="B8656" s="60" t="s">
        <v>965</v>
      </c>
    </row>
    <row r="8657" ht="12.75" customHeight="1">
      <c r="A8657" s="59" t="s">
        <v>2869</v>
      </c>
      <c r="B8657" s="60" t="s">
        <v>966</v>
      </c>
    </row>
    <row r="8658" ht="12.75" customHeight="1">
      <c r="A8658" s="59" t="s">
        <v>2869</v>
      </c>
      <c r="B8658" s="60" t="s">
        <v>967</v>
      </c>
    </row>
    <row r="8659" ht="12.75" customHeight="1">
      <c r="A8659" s="59" t="s">
        <v>2869</v>
      </c>
      <c r="B8659" s="60" t="s">
        <v>968</v>
      </c>
    </row>
    <row r="8660" ht="12.75" customHeight="1">
      <c r="A8660" s="59" t="s">
        <v>2869</v>
      </c>
      <c r="B8660" s="60" t="s">
        <v>969</v>
      </c>
    </row>
    <row r="8661" ht="12.75" customHeight="1">
      <c r="A8661" s="59" t="s">
        <v>2869</v>
      </c>
      <c r="B8661" s="60" t="s">
        <v>970</v>
      </c>
    </row>
    <row r="8662" ht="12.75" customHeight="1">
      <c r="A8662" s="59" t="s">
        <v>2869</v>
      </c>
      <c r="B8662" s="60" t="s">
        <v>971</v>
      </c>
    </row>
    <row r="8663" ht="12.75" customHeight="1">
      <c r="A8663" s="59" t="s">
        <v>2869</v>
      </c>
      <c r="B8663" s="60" t="s">
        <v>972</v>
      </c>
    </row>
    <row r="8664" ht="12.75" customHeight="1">
      <c r="A8664" s="59" t="s">
        <v>2869</v>
      </c>
      <c r="B8664" s="60" t="s">
        <v>973</v>
      </c>
    </row>
    <row r="8665" ht="12.75" customHeight="1">
      <c r="A8665" s="59" t="s">
        <v>2869</v>
      </c>
      <c r="B8665" s="60" t="s">
        <v>974</v>
      </c>
    </row>
    <row r="8666" ht="12.75" customHeight="1">
      <c r="A8666" s="59" t="s">
        <v>2869</v>
      </c>
      <c r="B8666" s="60" t="s">
        <v>975</v>
      </c>
    </row>
    <row r="8667" ht="12.75" customHeight="1">
      <c r="A8667" s="59" t="s">
        <v>2869</v>
      </c>
      <c r="B8667" s="60" t="s">
        <v>976</v>
      </c>
    </row>
    <row r="8668" ht="12.75" customHeight="1">
      <c r="A8668" s="59" t="s">
        <v>2869</v>
      </c>
      <c r="B8668" s="60" t="s">
        <v>977</v>
      </c>
    </row>
    <row r="8669" ht="12.75" customHeight="1">
      <c r="A8669" s="59" t="s">
        <v>2869</v>
      </c>
      <c r="B8669" s="60" t="s">
        <v>978</v>
      </c>
    </row>
    <row r="8670" ht="12.75" customHeight="1">
      <c r="A8670" s="59" t="s">
        <v>2869</v>
      </c>
      <c r="B8670" s="60" t="s">
        <v>979</v>
      </c>
    </row>
    <row r="8671" ht="12.75" customHeight="1">
      <c r="A8671" s="59" t="s">
        <v>2869</v>
      </c>
      <c r="B8671" s="60" t="s">
        <v>980</v>
      </c>
    </row>
    <row r="8672" ht="12.75" customHeight="1">
      <c r="A8672" s="59" t="s">
        <v>2869</v>
      </c>
      <c r="B8672" s="60" t="s">
        <v>981</v>
      </c>
    </row>
    <row r="8673" ht="12.75" customHeight="1">
      <c r="A8673" s="59" t="s">
        <v>2869</v>
      </c>
      <c r="B8673" s="60" t="s">
        <v>982</v>
      </c>
    </row>
    <row r="8674" ht="12.75" customHeight="1">
      <c r="A8674" s="59" t="s">
        <v>2869</v>
      </c>
      <c r="B8674" s="60" t="s">
        <v>983</v>
      </c>
    </row>
    <row r="8675" ht="12.75" customHeight="1">
      <c r="A8675" s="59" t="s">
        <v>2869</v>
      </c>
      <c r="B8675" s="60" t="s">
        <v>984</v>
      </c>
    </row>
    <row r="8676" ht="12.75" customHeight="1">
      <c r="A8676" s="59" t="s">
        <v>2869</v>
      </c>
      <c r="B8676" s="60" t="s">
        <v>985</v>
      </c>
    </row>
    <row r="8677" ht="12.75" customHeight="1">
      <c r="A8677" s="59" t="s">
        <v>2869</v>
      </c>
      <c r="B8677" s="60" t="s">
        <v>986</v>
      </c>
    </row>
    <row r="8678" ht="12.75" customHeight="1">
      <c r="A8678" s="59" t="s">
        <v>2869</v>
      </c>
      <c r="B8678" s="60" t="s">
        <v>987</v>
      </c>
    </row>
    <row r="8679" ht="12.75" customHeight="1">
      <c r="A8679" s="59" t="s">
        <v>2869</v>
      </c>
      <c r="B8679" s="60" t="s">
        <v>988</v>
      </c>
    </row>
    <row r="8680" ht="12.75" customHeight="1">
      <c r="A8680" s="59" t="s">
        <v>2869</v>
      </c>
      <c r="B8680" s="60" t="s">
        <v>989</v>
      </c>
    </row>
    <row r="8681" ht="12.75" customHeight="1">
      <c r="A8681" s="59" t="s">
        <v>2869</v>
      </c>
      <c r="B8681" s="60" t="s">
        <v>990</v>
      </c>
    </row>
    <row r="8682" ht="12.75" customHeight="1">
      <c r="A8682" s="59" t="s">
        <v>2869</v>
      </c>
      <c r="B8682" s="60" t="s">
        <v>991</v>
      </c>
    </row>
    <row r="8683" ht="12.75" customHeight="1">
      <c r="A8683" s="59" t="s">
        <v>2869</v>
      </c>
      <c r="B8683" s="60" t="s">
        <v>992</v>
      </c>
    </row>
    <row r="8684" ht="12.75" customHeight="1">
      <c r="A8684" s="59" t="s">
        <v>2869</v>
      </c>
      <c r="B8684" s="60" t="s">
        <v>993</v>
      </c>
    </row>
    <row r="8685" ht="12.75" customHeight="1">
      <c r="A8685" s="59" t="s">
        <v>2869</v>
      </c>
      <c r="B8685" s="60" t="s">
        <v>994</v>
      </c>
    </row>
    <row r="8686" ht="12.75" customHeight="1">
      <c r="A8686" s="59" t="s">
        <v>2869</v>
      </c>
      <c r="B8686" s="60" t="s">
        <v>995</v>
      </c>
    </row>
    <row r="8687" ht="12.75" customHeight="1">
      <c r="A8687" s="59" t="s">
        <v>2869</v>
      </c>
      <c r="B8687" s="60" t="s">
        <v>996</v>
      </c>
    </row>
    <row r="8688" ht="12.75" customHeight="1">
      <c r="A8688" s="59" t="s">
        <v>2869</v>
      </c>
      <c r="B8688" s="60" t="s">
        <v>997</v>
      </c>
    </row>
    <row r="8689" ht="12.75" customHeight="1">
      <c r="A8689" s="59" t="s">
        <v>2869</v>
      </c>
      <c r="B8689" s="60" t="s">
        <v>998</v>
      </c>
    </row>
    <row r="8690" ht="12.75" customHeight="1">
      <c r="A8690" s="59" t="s">
        <v>2869</v>
      </c>
      <c r="B8690" s="60" t="s">
        <v>999</v>
      </c>
    </row>
    <row r="8691" ht="12.75" customHeight="1">
      <c r="A8691" s="59" t="s">
        <v>2869</v>
      </c>
      <c r="B8691" s="60" t="s">
        <v>1000</v>
      </c>
    </row>
    <row r="8692" ht="12.75" customHeight="1">
      <c r="A8692" s="59" t="s">
        <v>2869</v>
      </c>
      <c r="B8692" s="60" t="s">
        <v>1001</v>
      </c>
    </row>
    <row r="8693" ht="12.75" customHeight="1">
      <c r="A8693" s="59" t="s">
        <v>2869</v>
      </c>
      <c r="B8693" s="60" t="s">
        <v>1002</v>
      </c>
    </row>
    <row r="8694" ht="12.75" customHeight="1">
      <c r="A8694" s="59" t="s">
        <v>2869</v>
      </c>
      <c r="B8694" s="60" t="s">
        <v>1003</v>
      </c>
    </row>
    <row r="8695" ht="12.75" customHeight="1">
      <c r="A8695" s="59" t="s">
        <v>2869</v>
      </c>
      <c r="B8695" s="60" t="s">
        <v>1004</v>
      </c>
    </row>
    <row r="8696" ht="12.75" customHeight="1">
      <c r="A8696" s="59" t="s">
        <v>2869</v>
      </c>
      <c r="B8696" s="60" t="s">
        <v>1005</v>
      </c>
    </row>
    <row r="8697" ht="12.75" customHeight="1">
      <c r="A8697" s="59" t="s">
        <v>2869</v>
      </c>
      <c r="B8697" s="60" t="s">
        <v>1006</v>
      </c>
    </row>
    <row r="8698" ht="12.75" customHeight="1">
      <c r="A8698" s="59" t="s">
        <v>2869</v>
      </c>
      <c r="B8698" s="60" t="s">
        <v>1007</v>
      </c>
    </row>
    <row r="8699" ht="12.75" customHeight="1">
      <c r="A8699" s="59" t="s">
        <v>2869</v>
      </c>
      <c r="B8699" s="60" t="s">
        <v>1008</v>
      </c>
    </row>
    <row r="8700" ht="12.75" customHeight="1">
      <c r="A8700" s="59" t="s">
        <v>2869</v>
      </c>
      <c r="B8700" s="60" t="s">
        <v>1009</v>
      </c>
    </row>
    <row r="8701" ht="12.75" customHeight="1">
      <c r="A8701" s="59" t="s">
        <v>2869</v>
      </c>
      <c r="B8701" s="60" t="s">
        <v>1010</v>
      </c>
    </row>
    <row r="8702" ht="12.75" customHeight="1">
      <c r="A8702" s="59" t="s">
        <v>2869</v>
      </c>
      <c r="B8702" s="60" t="s">
        <v>1011</v>
      </c>
    </row>
    <row r="8703" ht="12.75" customHeight="1">
      <c r="A8703" s="59" t="s">
        <v>2869</v>
      </c>
      <c r="B8703" s="60" t="s">
        <v>1012</v>
      </c>
    </row>
    <row r="8704" ht="12.75" customHeight="1">
      <c r="A8704" s="59" t="s">
        <v>2869</v>
      </c>
      <c r="B8704" s="60" t="s">
        <v>1013</v>
      </c>
    </row>
    <row r="8705" ht="12.75" customHeight="1">
      <c r="A8705" s="59" t="s">
        <v>2869</v>
      </c>
      <c r="B8705" s="60" t="s">
        <v>1014</v>
      </c>
    </row>
    <row r="8706" ht="12.75" customHeight="1">
      <c r="A8706" s="59" t="s">
        <v>2869</v>
      </c>
      <c r="B8706" s="60" t="s">
        <v>1015</v>
      </c>
    </row>
    <row r="8707" ht="12.75" customHeight="1">
      <c r="A8707" s="59" t="s">
        <v>2869</v>
      </c>
      <c r="B8707" s="60" t="s">
        <v>1016</v>
      </c>
    </row>
    <row r="8708" ht="12.75" customHeight="1">
      <c r="A8708" s="59" t="s">
        <v>2869</v>
      </c>
      <c r="B8708" s="60" t="s">
        <v>1017</v>
      </c>
    </row>
    <row r="8709" ht="12.75" customHeight="1">
      <c r="A8709" s="59" t="s">
        <v>2869</v>
      </c>
      <c r="B8709" s="60" t="s">
        <v>1018</v>
      </c>
    </row>
    <row r="8710" ht="12.75" customHeight="1">
      <c r="A8710" s="59" t="s">
        <v>2869</v>
      </c>
      <c r="B8710" s="60" t="s">
        <v>1019</v>
      </c>
    </row>
    <row r="8711" ht="12.75" customHeight="1">
      <c r="A8711" s="59" t="s">
        <v>2869</v>
      </c>
      <c r="B8711" s="60" t="s">
        <v>1020</v>
      </c>
    </row>
    <row r="8712" ht="12.75" customHeight="1">
      <c r="A8712" s="59" t="s">
        <v>2869</v>
      </c>
      <c r="B8712" s="60" t="s">
        <v>1021</v>
      </c>
    </row>
    <row r="8713" ht="12.75" customHeight="1">
      <c r="A8713" s="59" t="s">
        <v>2869</v>
      </c>
      <c r="B8713" s="60" t="s">
        <v>1022</v>
      </c>
    </row>
    <row r="8714" ht="12.75" customHeight="1">
      <c r="A8714" s="59" t="s">
        <v>2869</v>
      </c>
      <c r="B8714" s="60" t="s">
        <v>1023</v>
      </c>
    </row>
    <row r="8715" ht="12.75" customHeight="1">
      <c r="A8715" s="59" t="s">
        <v>2869</v>
      </c>
      <c r="B8715" s="60" t="s">
        <v>1024</v>
      </c>
    </row>
    <row r="8716" ht="12.75" customHeight="1">
      <c r="A8716" s="59" t="s">
        <v>2869</v>
      </c>
      <c r="B8716" s="60" t="s">
        <v>1025</v>
      </c>
    </row>
    <row r="8717" ht="12.75" customHeight="1">
      <c r="A8717" s="59" t="s">
        <v>2869</v>
      </c>
      <c r="B8717" s="60" t="s">
        <v>1026</v>
      </c>
    </row>
    <row r="8718" ht="12.75" customHeight="1">
      <c r="A8718" s="59" t="s">
        <v>2869</v>
      </c>
      <c r="B8718" s="60" t="s">
        <v>1027</v>
      </c>
    </row>
    <row r="8719" ht="12.75" customHeight="1">
      <c r="A8719" s="59" t="s">
        <v>2869</v>
      </c>
      <c r="B8719" s="60" t="s">
        <v>1028</v>
      </c>
    </row>
    <row r="8720" ht="12.75" customHeight="1">
      <c r="A8720" s="59" t="s">
        <v>2869</v>
      </c>
      <c r="B8720" s="60" t="s">
        <v>1029</v>
      </c>
    </row>
    <row r="8721" ht="12.75" customHeight="1">
      <c r="A8721" s="59" t="s">
        <v>2869</v>
      </c>
      <c r="B8721" s="60" t="s">
        <v>1030</v>
      </c>
    </row>
    <row r="8722" ht="12.75" customHeight="1">
      <c r="A8722" s="59" t="s">
        <v>2869</v>
      </c>
      <c r="B8722" s="60" t="s">
        <v>1031</v>
      </c>
    </row>
    <row r="8723" ht="12.75" customHeight="1">
      <c r="A8723" s="59" t="s">
        <v>2869</v>
      </c>
      <c r="B8723" s="60" t="s">
        <v>1032</v>
      </c>
    </row>
    <row r="8724" ht="12.75" customHeight="1">
      <c r="A8724" s="59" t="s">
        <v>2869</v>
      </c>
      <c r="B8724" s="60" t="s">
        <v>1033</v>
      </c>
    </row>
    <row r="8725" ht="12.75" customHeight="1">
      <c r="A8725" s="59" t="s">
        <v>2869</v>
      </c>
      <c r="B8725" s="60" t="s">
        <v>1034</v>
      </c>
    </row>
    <row r="8726" ht="12.75" customHeight="1">
      <c r="A8726" s="59" t="s">
        <v>2869</v>
      </c>
      <c r="B8726" s="60" t="s">
        <v>1035</v>
      </c>
    </row>
    <row r="8727" ht="12.75" customHeight="1">
      <c r="A8727" s="59" t="s">
        <v>2869</v>
      </c>
      <c r="B8727" s="60" t="s">
        <v>1036</v>
      </c>
    </row>
    <row r="8728" ht="12.75" customHeight="1">
      <c r="A8728" s="59" t="s">
        <v>2869</v>
      </c>
      <c r="B8728" s="60" t="s">
        <v>1037</v>
      </c>
    </row>
    <row r="8729" ht="12.75" customHeight="1">
      <c r="A8729" s="59" t="s">
        <v>2869</v>
      </c>
      <c r="B8729" s="60" t="s">
        <v>1038</v>
      </c>
    </row>
    <row r="8730" ht="12.75" customHeight="1">
      <c r="A8730" s="59" t="s">
        <v>2869</v>
      </c>
      <c r="B8730" s="60" t="s">
        <v>1039</v>
      </c>
    </row>
    <row r="8731" ht="12.75" customHeight="1">
      <c r="A8731" s="59" t="s">
        <v>2869</v>
      </c>
      <c r="B8731" s="60" t="s">
        <v>1040</v>
      </c>
    </row>
    <row r="8732" ht="12.75" customHeight="1">
      <c r="A8732" s="59" t="s">
        <v>2869</v>
      </c>
      <c r="B8732" s="60" t="s">
        <v>1041</v>
      </c>
    </row>
    <row r="8733" ht="12.75" customHeight="1">
      <c r="A8733" s="59" t="s">
        <v>2869</v>
      </c>
      <c r="B8733" s="60" t="s">
        <v>1042</v>
      </c>
    </row>
    <row r="8734" ht="12.75" customHeight="1">
      <c r="A8734" s="59" t="s">
        <v>2869</v>
      </c>
      <c r="B8734" s="60" t="s">
        <v>1043</v>
      </c>
    </row>
    <row r="8735" ht="12.75" customHeight="1">
      <c r="A8735" s="59" t="s">
        <v>2869</v>
      </c>
      <c r="B8735" s="60" t="s">
        <v>1044</v>
      </c>
    </row>
    <row r="8736" ht="12.75" customHeight="1">
      <c r="A8736" s="59" t="s">
        <v>2869</v>
      </c>
      <c r="B8736" s="60" t="s">
        <v>1045</v>
      </c>
    </row>
    <row r="8737" ht="12.75" customHeight="1">
      <c r="A8737" s="59" t="s">
        <v>2869</v>
      </c>
      <c r="B8737" s="60" t="s">
        <v>1046</v>
      </c>
    </row>
    <row r="8738" ht="12.75" customHeight="1">
      <c r="A8738" s="59" t="s">
        <v>2869</v>
      </c>
      <c r="B8738" s="60" t="s">
        <v>1047</v>
      </c>
    </row>
    <row r="8739" ht="12.75" customHeight="1">
      <c r="A8739" s="59" t="s">
        <v>2869</v>
      </c>
      <c r="B8739" s="60" t="s">
        <v>1048</v>
      </c>
    </row>
    <row r="8740" ht="12.75" customHeight="1">
      <c r="A8740" s="59" t="s">
        <v>2869</v>
      </c>
      <c r="B8740" s="60" t="s">
        <v>1049</v>
      </c>
    </row>
    <row r="8741" ht="12.75" customHeight="1">
      <c r="A8741" s="59" t="s">
        <v>2869</v>
      </c>
      <c r="B8741" s="60" t="s">
        <v>1050</v>
      </c>
    </row>
    <row r="8742" ht="12.75" customHeight="1">
      <c r="A8742" s="59" t="s">
        <v>2869</v>
      </c>
      <c r="B8742" s="60" t="s">
        <v>1051</v>
      </c>
    </row>
    <row r="8743" ht="12.75" customHeight="1">
      <c r="A8743" s="59" t="s">
        <v>2869</v>
      </c>
      <c r="B8743" s="60" t="s">
        <v>1052</v>
      </c>
    </row>
    <row r="8744" ht="12.75" customHeight="1">
      <c r="A8744" s="59" t="s">
        <v>2869</v>
      </c>
      <c r="B8744" s="60" t="s">
        <v>1053</v>
      </c>
    </row>
    <row r="8745" ht="12.75" customHeight="1">
      <c r="A8745" s="59" t="s">
        <v>2869</v>
      </c>
      <c r="B8745" s="60" t="s">
        <v>1054</v>
      </c>
    </row>
    <row r="8746" ht="12.75" customHeight="1">
      <c r="A8746" s="59" t="s">
        <v>2869</v>
      </c>
      <c r="B8746" s="60" t="s">
        <v>1055</v>
      </c>
    </row>
    <row r="8747" ht="12.75" customHeight="1">
      <c r="A8747" s="59" t="s">
        <v>2869</v>
      </c>
      <c r="B8747" s="60" t="s">
        <v>1056</v>
      </c>
    </row>
    <row r="8748" ht="12.75" customHeight="1">
      <c r="A8748" s="59" t="s">
        <v>2869</v>
      </c>
      <c r="B8748" s="60" t="s">
        <v>1057</v>
      </c>
    </row>
    <row r="8749" ht="12.75" customHeight="1">
      <c r="A8749" s="59" t="s">
        <v>2869</v>
      </c>
      <c r="B8749" s="60" t="s">
        <v>1058</v>
      </c>
    </row>
    <row r="8750" ht="12.75" customHeight="1">
      <c r="A8750" s="59" t="s">
        <v>2869</v>
      </c>
      <c r="B8750" s="60" t="s">
        <v>1059</v>
      </c>
    </row>
    <row r="8751" ht="12.75" customHeight="1">
      <c r="A8751" s="59" t="s">
        <v>2869</v>
      </c>
      <c r="B8751" s="60" t="s">
        <v>1060</v>
      </c>
    </row>
    <row r="8752" ht="12.75" customHeight="1">
      <c r="A8752" s="59" t="s">
        <v>2869</v>
      </c>
      <c r="B8752" s="60" t="s">
        <v>1061</v>
      </c>
    </row>
    <row r="8753" ht="12.75" customHeight="1">
      <c r="A8753" s="59" t="s">
        <v>2869</v>
      </c>
      <c r="B8753" s="60" t="s">
        <v>1062</v>
      </c>
    </row>
    <row r="8754" ht="12.75" customHeight="1">
      <c r="A8754" s="59" t="s">
        <v>2869</v>
      </c>
      <c r="B8754" s="60" t="s">
        <v>1063</v>
      </c>
    </row>
    <row r="8755" ht="12.75" customHeight="1">
      <c r="A8755" s="59" t="s">
        <v>2869</v>
      </c>
      <c r="B8755" s="60" t="s">
        <v>1064</v>
      </c>
    </row>
    <row r="8756" ht="12.75" customHeight="1">
      <c r="A8756" s="59" t="s">
        <v>2869</v>
      </c>
      <c r="B8756" s="60" t="s">
        <v>1065</v>
      </c>
    </row>
    <row r="8757" ht="12.75" customHeight="1">
      <c r="A8757" s="59" t="s">
        <v>2869</v>
      </c>
      <c r="B8757" s="60" t="s">
        <v>1066</v>
      </c>
    </row>
    <row r="8758" ht="12.75" customHeight="1">
      <c r="A8758" s="59" t="s">
        <v>2869</v>
      </c>
      <c r="B8758" s="60" t="s">
        <v>1067</v>
      </c>
    </row>
    <row r="8759" ht="12.75" customHeight="1">
      <c r="A8759" s="59" t="s">
        <v>2869</v>
      </c>
      <c r="B8759" s="60" t="s">
        <v>1068</v>
      </c>
    </row>
    <row r="8760" ht="12.75" customHeight="1">
      <c r="A8760" s="59" t="s">
        <v>2869</v>
      </c>
      <c r="B8760" s="60" t="s">
        <v>1069</v>
      </c>
    </row>
    <row r="8761" ht="12.75" customHeight="1">
      <c r="A8761" s="59" t="s">
        <v>2869</v>
      </c>
      <c r="B8761" s="60" t="s">
        <v>1070</v>
      </c>
    </row>
    <row r="8762" ht="12.75" customHeight="1">
      <c r="A8762" s="59" t="s">
        <v>2869</v>
      </c>
      <c r="B8762" s="60" t="s">
        <v>1071</v>
      </c>
    </row>
    <row r="8763" ht="12.75" customHeight="1">
      <c r="A8763" s="59" t="s">
        <v>2869</v>
      </c>
      <c r="B8763" s="60" t="s">
        <v>1072</v>
      </c>
    </row>
    <row r="8764" ht="12.75" customHeight="1">
      <c r="A8764" s="59" t="s">
        <v>2869</v>
      </c>
      <c r="B8764" s="60" t="s">
        <v>1073</v>
      </c>
    </row>
    <row r="8765" ht="12.75" customHeight="1">
      <c r="A8765" s="59" t="s">
        <v>2869</v>
      </c>
      <c r="B8765" s="60" t="s">
        <v>1074</v>
      </c>
    </row>
    <row r="8766" ht="12.75" customHeight="1">
      <c r="A8766" s="59" t="s">
        <v>2869</v>
      </c>
      <c r="B8766" s="60" t="s">
        <v>1075</v>
      </c>
    </row>
    <row r="8767" ht="12.75" customHeight="1">
      <c r="A8767" s="59" t="s">
        <v>2869</v>
      </c>
      <c r="B8767" s="60" t="s">
        <v>1076</v>
      </c>
    </row>
    <row r="8768" ht="12.75" customHeight="1">
      <c r="A8768" s="59" t="s">
        <v>2869</v>
      </c>
      <c r="B8768" s="60" t="s">
        <v>1077</v>
      </c>
    </row>
    <row r="8769" ht="12.75" customHeight="1">
      <c r="A8769" s="59" t="s">
        <v>2869</v>
      </c>
      <c r="B8769" s="60" t="s">
        <v>1078</v>
      </c>
    </row>
    <row r="8770" ht="12.75" customHeight="1">
      <c r="A8770" s="59" t="s">
        <v>2869</v>
      </c>
      <c r="B8770" s="60" t="s">
        <v>1079</v>
      </c>
    </row>
    <row r="8771" ht="12.75" customHeight="1">
      <c r="A8771" s="59" t="s">
        <v>2869</v>
      </c>
      <c r="B8771" s="60" t="s">
        <v>1080</v>
      </c>
    </row>
    <row r="8772" ht="12.75" customHeight="1">
      <c r="A8772" s="59" t="s">
        <v>2869</v>
      </c>
      <c r="B8772" s="60" t="s">
        <v>1081</v>
      </c>
    </row>
    <row r="8773" ht="12.75" customHeight="1">
      <c r="A8773" s="59" t="s">
        <v>2869</v>
      </c>
      <c r="B8773" s="60" t="s">
        <v>1082</v>
      </c>
    </row>
    <row r="8774" ht="12.75" customHeight="1">
      <c r="A8774" s="59" t="s">
        <v>2869</v>
      </c>
      <c r="B8774" s="60" t="s">
        <v>1083</v>
      </c>
    </row>
    <row r="8775" ht="12.75" customHeight="1">
      <c r="A8775" s="59" t="s">
        <v>2869</v>
      </c>
      <c r="B8775" s="60" t="s">
        <v>1084</v>
      </c>
    </row>
    <row r="8776" ht="12.75" customHeight="1">
      <c r="A8776" s="59" t="s">
        <v>2869</v>
      </c>
      <c r="B8776" s="60" t="s">
        <v>1085</v>
      </c>
    </row>
    <row r="8777" ht="12.75" customHeight="1">
      <c r="A8777" s="59" t="s">
        <v>2869</v>
      </c>
      <c r="B8777" s="60" t="s">
        <v>1086</v>
      </c>
    </row>
    <row r="8778" ht="12.75" customHeight="1">
      <c r="A8778" s="59" t="s">
        <v>2869</v>
      </c>
      <c r="B8778" s="60" t="s">
        <v>1087</v>
      </c>
    </row>
    <row r="8779" ht="12.75" customHeight="1">
      <c r="A8779" s="59" t="s">
        <v>2869</v>
      </c>
      <c r="B8779" s="60" t="s">
        <v>1088</v>
      </c>
    </row>
    <row r="8780" ht="12.75" customHeight="1">
      <c r="A8780" s="59" t="s">
        <v>2869</v>
      </c>
      <c r="B8780" s="60" t="s">
        <v>1089</v>
      </c>
    </row>
    <row r="8781" ht="12.75" customHeight="1">
      <c r="A8781" s="59" t="s">
        <v>2869</v>
      </c>
      <c r="B8781" s="60" t="s">
        <v>1090</v>
      </c>
    </row>
    <row r="8782" ht="12.75" customHeight="1">
      <c r="A8782" s="59" t="s">
        <v>2869</v>
      </c>
      <c r="B8782" s="60" t="s">
        <v>1091</v>
      </c>
    </row>
    <row r="8783" ht="12.75" customHeight="1">
      <c r="A8783" s="59" t="s">
        <v>2869</v>
      </c>
      <c r="B8783" s="60" t="s">
        <v>1092</v>
      </c>
    </row>
    <row r="8784" ht="12.75" customHeight="1">
      <c r="A8784" s="59" t="s">
        <v>2869</v>
      </c>
      <c r="B8784" s="60" t="s">
        <v>1093</v>
      </c>
    </row>
    <row r="8785" ht="12.75" customHeight="1">
      <c r="A8785" s="59" t="s">
        <v>2869</v>
      </c>
      <c r="B8785" s="60" t="s">
        <v>1094</v>
      </c>
    </row>
    <row r="8786" ht="12.75" customHeight="1">
      <c r="A8786" s="59" t="s">
        <v>2869</v>
      </c>
      <c r="B8786" s="60" t="s">
        <v>1095</v>
      </c>
    </row>
    <row r="8787" ht="12.75" customHeight="1">
      <c r="A8787" s="59" t="s">
        <v>2869</v>
      </c>
      <c r="B8787" s="60" t="s">
        <v>1096</v>
      </c>
    </row>
    <row r="8788" ht="12.75" customHeight="1">
      <c r="A8788" s="59" t="s">
        <v>2869</v>
      </c>
      <c r="B8788" s="60" t="s">
        <v>1097</v>
      </c>
    </row>
    <row r="8789" ht="12.75" customHeight="1">
      <c r="A8789" s="59" t="s">
        <v>2869</v>
      </c>
      <c r="B8789" s="60" t="s">
        <v>1098</v>
      </c>
    </row>
    <row r="8790" ht="12.75" customHeight="1">
      <c r="A8790" s="59" t="s">
        <v>2869</v>
      </c>
      <c r="B8790" s="60" t="s">
        <v>1099</v>
      </c>
    </row>
    <row r="8791" ht="12.75" customHeight="1">
      <c r="A8791" s="59" t="s">
        <v>2869</v>
      </c>
      <c r="B8791" s="60" t="s">
        <v>1100</v>
      </c>
    </row>
    <row r="8792" ht="12.75" customHeight="1">
      <c r="A8792" s="59" t="s">
        <v>2869</v>
      </c>
      <c r="B8792" s="60" t="s">
        <v>1101</v>
      </c>
    </row>
    <row r="8793" ht="12.75" customHeight="1">
      <c r="A8793" s="59" t="s">
        <v>2869</v>
      </c>
      <c r="B8793" s="60" t="s">
        <v>1102</v>
      </c>
    </row>
    <row r="8794" ht="12.75" customHeight="1">
      <c r="A8794" s="59" t="s">
        <v>2869</v>
      </c>
      <c r="B8794" s="60" t="s">
        <v>1103</v>
      </c>
    </row>
    <row r="8795" ht="12.75" customHeight="1">
      <c r="A8795" s="59" t="s">
        <v>2869</v>
      </c>
      <c r="B8795" s="60" t="s">
        <v>1104</v>
      </c>
    </row>
    <row r="8796" ht="12.75" customHeight="1">
      <c r="A8796" s="59" t="s">
        <v>2869</v>
      </c>
      <c r="B8796" s="60" t="s">
        <v>1105</v>
      </c>
    </row>
    <row r="8797" ht="12.75" customHeight="1">
      <c r="A8797" s="59" t="s">
        <v>2869</v>
      </c>
      <c r="B8797" s="60" t="s">
        <v>1106</v>
      </c>
    </row>
    <row r="8798" ht="12.75" customHeight="1">
      <c r="A8798" s="59" t="s">
        <v>2869</v>
      </c>
      <c r="B8798" s="60" t="s">
        <v>1107</v>
      </c>
    </row>
    <row r="8799" ht="12.75" customHeight="1">
      <c r="A8799" s="59" t="s">
        <v>2869</v>
      </c>
      <c r="B8799" s="60" t="s">
        <v>1108</v>
      </c>
    </row>
    <row r="8800" ht="12.75" customHeight="1">
      <c r="A8800" s="59" t="s">
        <v>2869</v>
      </c>
      <c r="B8800" s="60" t="s">
        <v>1109</v>
      </c>
    </row>
    <row r="8801" ht="12.75" customHeight="1">
      <c r="A8801" s="59" t="s">
        <v>2869</v>
      </c>
      <c r="B8801" s="60" t="s">
        <v>1110</v>
      </c>
    </row>
    <row r="8802" ht="12.75" customHeight="1">
      <c r="A8802" s="59" t="s">
        <v>2869</v>
      </c>
      <c r="B8802" s="60" t="s">
        <v>1111</v>
      </c>
    </row>
    <row r="8803" ht="12.75" customHeight="1">
      <c r="A8803" s="59" t="s">
        <v>2869</v>
      </c>
      <c r="B8803" s="60" t="s">
        <v>1112</v>
      </c>
    </row>
    <row r="8804" ht="12.75" customHeight="1">
      <c r="A8804" s="59" t="s">
        <v>2869</v>
      </c>
      <c r="B8804" s="60" t="s">
        <v>1113</v>
      </c>
    </row>
    <row r="8805" ht="12.75" customHeight="1">
      <c r="A8805" s="59" t="s">
        <v>2869</v>
      </c>
      <c r="B8805" s="60" t="s">
        <v>1114</v>
      </c>
    </row>
    <row r="8806" ht="12.75" customHeight="1">
      <c r="A8806" s="59" t="s">
        <v>2869</v>
      </c>
      <c r="B8806" s="60" t="s">
        <v>1115</v>
      </c>
    </row>
    <row r="8807" ht="12.75" customHeight="1">
      <c r="A8807" s="59" t="s">
        <v>2869</v>
      </c>
      <c r="B8807" s="60" t="s">
        <v>1116</v>
      </c>
    </row>
    <row r="8808" ht="12.75" customHeight="1">
      <c r="A8808" s="59" t="s">
        <v>2869</v>
      </c>
      <c r="B8808" s="60" t="s">
        <v>1117</v>
      </c>
    </row>
    <row r="8809" ht="12.75" customHeight="1">
      <c r="A8809" s="59" t="s">
        <v>2869</v>
      </c>
      <c r="B8809" s="60" t="s">
        <v>1118</v>
      </c>
    </row>
    <row r="8810" ht="12.75" customHeight="1">
      <c r="A8810" s="59" t="s">
        <v>2869</v>
      </c>
      <c r="B8810" s="60" t="s">
        <v>1119</v>
      </c>
    </row>
    <row r="8811" ht="12.75" customHeight="1">
      <c r="A8811" s="59" t="s">
        <v>2869</v>
      </c>
      <c r="B8811" s="60" t="s">
        <v>1120</v>
      </c>
    </row>
    <row r="8812" ht="12.75" customHeight="1">
      <c r="A8812" s="59" t="s">
        <v>2869</v>
      </c>
      <c r="B8812" s="60" t="s">
        <v>1121</v>
      </c>
    </row>
    <row r="8813" ht="12.75" customHeight="1">
      <c r="A8813" s="59" t="s">
        <v>2869</v>
      </c>
      <c r="B8813" s="60" t="s">
        <v>1122</v>
      </c>
    </row>
    <row r="8814" ht="12.75" customHeight="1">
      <c r="A8814" s="59" t="s">
        <v>2869</v>
      </c>
      <c r="B8814" s="60" t="s">
        <v>1123</v>
      </c>
    </row>
    <row r="8815" ht="12.75" customHeight="1">
      <c r="A8815" s="59" t="s">
        <v>2869</v>
      </c>
      <c r="B8815" s="60" t="s">
        <v>1124</v>
      </c>
    </row>
    <row r="8816" ht="12.75" customHeight="1">
      <c r="A8816" s="59" t="s">
        <v>2869</v>
      </c>
      <c r="B8816" s="60" t="s">
        <v>1125</v>
      </c>
    </row>
    <row r="8817" ht="12.75" customHeight="1">
      <c r="A8817" s="59" t="s">
        <v>2869</v>
      </c>
      <c r="B8817" s="60" t="s">
        <v>1126</v>
      </c>
    </row>
    <row r="8818" ht="12.75" customHeight="1">
      <c r="A8818" s="59" t="s">
        <v>2869</v>
      </c>
      <c r="B8818" s="60" t="s">
        <v>1127</v>
      </c>
    </row>
    <row r="8819" ht="12.75" customHeight="1">
      <c r="A8819" s="59" t="s">
        <v>2869</v>
      </c>
      <c r="B8819" s="60" t="s">
        <v>1128</v>
      </c>
    </row>
    <row r="8820" ht="12.75" customHeight="1">
      <c r="A8820" s="59" t="s">
        <v>2869</v>
      </c>
      <c r="B8820" s="60" t="s">
        <v>1129</v>
      </c>
    </row>
    <row r="8821" ht="12.75" customHeight="1">
      <c r="A8821" s="59" t="s">
        <v>2869</v>
      </c>
      <c r="B8821" s="60" t="s">
        <v>1130</v>
      </c>
    </row>
    <row r="8822" ht="12.75" customHeight="1">
      <c r="A8822" s="59" t="s">
        <v>2869</v>
      </c>
      <c r="B8822" s="60" t="s">
        <v>1131</v>
      </c>
    </row>
    <row r="8823" ht="12.75" customHeight="1">
      <c r="A8823" s="59" t="s">
        <v>2869</v>
      </c>
      <c r="B8823" s="60" t="s">
        <v>1132</v>
      </c>
    </row>
    <row r="8824" ht="12.75" customHeight="1">
      <c r="A8824" s="59" t="s">
        <v>2869</v>
      </c>
      <c r="B8824" s="60" t="s">
        <v>1133</v>
      </c>
    </row>
    <row r="8825" ht="12.75" customHeight="1">
      <c r="A8825" s="59" t="s">
        <v>2869</v>
      </c>
      <c r="B8825" s="60" t="s">
        <v>1134</v>
      </c>
    </row>
    <row r="8826" ht="12.75" customHeight="1">
      <c r="A8826" s="59" t="s">
        <v>2869</v>
      </c>
      <c r="B8826" s="60" t="s">
        <v>1135</v>
      </c>
    </row>
    <row r="8827" ht="12.75" customHeight="1">
      <c r="A8827" s="59" t="s">
        <v>2869</v>
      </c>
      <c r="B8827" s="60" t="s">
        <v>1136</v>
      </c>
    </row>
    <row r="8828" ht="12.75" customHeight="1">
      <c r="A8828" s="59" t="s">
        <v>2869</v>
      </c>
      <c r="B8828" s="60" t="s">
        <v>1137</v>
      </c>
    </row>
    <row r="8829" ht="12.75" customHeight="1">
      <c r="A8829" s="59" t="s">
        <v>2869</v>
      </c>
      <c r="B8829" s="60" t="s">
        <v>1138</v>
      </c>
    </row>
    <row r="8830" ht="12.75" customHeight="1">
      <c r="A8830" s="59" t="s">
        <v>2869</v>
      </c>
      <c r="B8830" s="60" t="s">
        <v>1139</v>
      </c>
    </row>
    <row r="8831" ht="12.75" customHeight="1">
      <c r="A8831" s="59" t="s">
        <v>2869</v>
      </c>
      <c r="B8831" s="60" t="s">
        <v>1140</v>
      </c>
    </row>
    <row r="8832" ht="12.75" customHeight="1">
      <c r="A8832" s="59" t="s">
        <v>2869</v>
      </c>
      <c r="B8832" s="60" t="s">
        <v>1141</v>
      </c>
    </row>
    <row r="8833" ht="12.75" customHeight="1">
      <c r="A8833" s="59" t="s">
        <v>2869</v>
      </c>
      <c r="B8833" s="60" t="s">
        <v>1142</v>
      </c>
    </row>
    <row r="8834" ht="12.75" customHeight="1">
      <c r="A8834" s="59" t="s">
        <v>2869</v>
      </c>
      <c r="B8834" s="60" t="s">
        <v>1143</v>
      </c>
    </row>
    <row r="8835" ht="12.75" customHeight="1">
      <c r="A8835" s="59" t="s">
        <v>2869</v>
      </c>
      <c r="B8835" s="60" t="s">
        <v>1144</v>
      </c>
    </row>
    <row r="8836" ht="12.75" customHeight="1">
      <c r="A8836" s="59" t="s">
        <v>2869</v>
      </c>
      <c r="B8836" s="60" t="s">
        <v>1145</v>
      </c>
    </row>
    <row r="8837" ht="12.75" customHeight="1">
      <c r="A8837" s="59" t="s">
        <v>2869</v>
      </c>
      <c r="B8837" s="60" t="s">
        <v>1146</v>
      </c>
    </row>
    <row r="8838" ht="12.75" customHeight="1">
      <c r="A8838" s="59" t="s">
        <v>2869</v>
      </c>
      <c r="B8838" s="60" t="s">
        <v>1147</v>
      </c>
    </row>
    <row r="8839" ht="12.75" customHeight="1">
      <c r="A8839" s="59" t="s">
        <v>2869</v>
      </c>
      <c r="B8839" s="60" t="s">
        <v>1148</v>
      </c>
    </row>
    <row r="8840" ht="12.75" customHeight="1">
      <c r="A8840" s="59" t="s">
        <v>2869</v>
      </c>
      <c r="B8840" s="60" t="s">
        <v>1149</v>
      </c>
    </row>
    <row r="8841" ht="12.75" customHeight="1">
      <c r="A8841" s="59" t="s">
        <v>2869</v>
      </c>
      <c r="B8841" s="60" t="s">
        <v>1150</v>
      </c>
    </row>
    <row r="8842" ht="12.75" customHeight="1">
      <c r="A8842" s="59" t="s">
        <v>2869</v>
      </c>
      <c r="B8842" s="60" t="s">
        <v>1151</v>
      </c>
    </row>
    <row r="8843" ht="12.75" customHeight="1">
      <c r="A8843" s="59" t="s">
        <v>2869</v>
      </c>
      <c r="B8843" s="60" t="s">
        <v>1152</v>
      </c>
    </row>
    <row r="8844" ht="12.75" customHeight="1">
      <c r="A8844" s="59" t="s">
        <v>2869</v>
      </c>
      <c r="B8844" s="60" t="s">
        <v>1153</v>
      </c>
    </row>
    <row r="8845" ht="12.75" customHeight="1">
      <c r="A8845" s="59" t="s">
        <v>2869</v>
      </c>
      <c r="B8845" s="60" t="s">
        <v>1154</v>
      </c>
    </row>
    <row r="8846" ht="12.75" customHeight="1">
      <c r="A8846" s="59" t="s">
        <v>2869</v>
      </c>
      <c r="B8846" s="60" t="s">
        <v>1155</v>
      </c>
    </row>
    <row r="8847" ht="12.75" customHeight="1">
      <c r="A8847" s="59" t="s">
        <v>2869</v>
      </c>
      <c r="B8847" s="60" t="s">
        <v>1156</v>
      </c>
    </row>
    <row r="8848" ht="12.75" customHeight="1">
      <c r="A8848" s="59" t="s">
        <v>2869</v>
      </c>
      <c r="B8848" s="60" t="s">
        <v>1157</v>
      </c>
    </row>
    <row r="8849" ht="12.75" customHeight="1">
      <c r="A8849" s="59" t="s">
        <v>2869</v>
      </c>
      <c r="B8849" s="60" t="s">
        <v>1158</v>
      </c>
    </row>
    <row r="8850" ht="12.75" customHeight="1">
      <c r="A8850" s="59" t="s">
        <v>2869</v>
      </c>
      <c r="B8850" s="60" t="s">
        <v>1159</v>
      </c>
    </row>
    <row r="8851" ht="12.75" customHeight="1">
      <c r="A8851" s="59" t="s">
        <v>2869</v>
      </c>
      <c r="B8851" s="60" t="s">
        <v>1160</v>
      </c>
    </row>
    <row r="8852" ht="12.75" customHeight="1">
      <c r="A8852" s="59" t="s">
        <v>2869</v>
      </c>
      <c r="B8852" s="60" t="s">
        <v>1161</v>
      </c>
    </row>
    <row r="8853" ht="12.75" customHeight="1">
      <c r="A8853" s="59" t="s">
        <v>2869</v>
      </c>
      <c r="B8853" s="60" t="s">
        <v>1162</v>
      </c>
    </row>
    <row r="8854" ht="12.75" customHeight="1">
      <c r="A8854" s="59" t="s">
        <v>2869</v>
      </c>
      <c r="B8854" s="60" t="s">
        <v>1163</v>
      </c>
    </row>
    <row r="8855" ht="12.75" customHeight="1">
      <c r="A8855" s="59" t="s">
        <v>2869</v>
      </c>
      <c r="B8855" s="60" t="s">
        <v>1164</v>
      </c>
    </row>
    <row r="8856" ht="12.75" customHeight="1">
      <c r="A8856" s="59" t="s">
        <v>2869</v>
      </c>
      <c r="B8856" s="60" t="s">
        <v>1165</v>
      </c>
    </row>
    <row r="8857" ht="12.75" customHeight="1">
      <c r="A8857" s="59" t="s">
        <v>2869</v>
      </c>
      <c r="B8857" s="60" t="s">
        <v>1166</v>
      </c>
    </row>
    <row r="8858" ht="12.75" customHeight="1">
      <c r="A8858" s="59" t="s">
        <v>2869</v>
      </c>
      <c r="B8858" s="60" t="s">
        <v>1167</v>
      </c>
    </row>
    <row r="8859" ht="12.75" customHeight="1">
      <c r="A8859" s="59" t="s">
        <v>2869</v>
      </c>
      <c r="B8859" s="60" t="s">
        <v>1168</v>
      </c>
    </row>
    <row r="8860" ht="12.75" customHeight="1">
      <c r="A8860" s="59" t="s">
        <v>2869</v>
      </c>
      <c r="B8860" s="60" t="s">
        <v>1169</v>
      </c>
    </row>
    <row r="8861" ht="12.75" customHeight="1">
      <c r="A8861" s="59" t="s">
        <v>2869</v>
      </c>
      <c r="B8861" s="60" t="s">
        <v>1170</v>
      </c>
    </row>
    <row r="8862" ht="12.75" customHeight="1">
      <c r="A8862" s="59" t="s">
        <v>2869</v>
      </c>
      <c r="B8862" s="60" t="s">
        <v>1171</v>
      </c>
    </row>
    <row r="8863" ht="12.75" customHeight="1">
      <c r="A8863" s="59" t="s">
        <v>2869</v>
      </c>
      <c r="B8863" s="60" t="s">
        <v>1172</v>
      </c>
    </row>
    <row r="8864" ht="12.75" customHeight="1">
      <c r="A8864" s="59" t="s">
        <v>2869</v>
      </c>
      <c r="B8864" s="60" t="s">
        <v>1173</v>
      </c>
    </row>
    <row r="8865" ht="12.75" customHeight="1">
      <c r="A8865" s="59" t="s">
        <v>2869</v>
      </c>
      <c r="B8865" s="60" t="s">
        <v>1174</v>
      </c>
    </row>
    <row r="8866" ht="12.75" customHeight="1">
      <c r="A8866" s="59" t="s">
        <v>2869</v>
      </c>
      <c r="B8866" s="60" t="s">
        <v>1175</v>
      </c>
    </row>
    <row r="8867" ht="12.75" customHeight="1">
      <c r="A8867" s="59" t="s">
        <v>2869</v>
      </c>
      <c r="B8867" s="60" t="s">
        <v>1176</v>
      </c>
    </row>
    <row r="8868" ht="12.75" customHeight="1">
      <c r="A8868" s="59" t="s">
        <v>2869</v>
      </c>
      <c r="B8868" s="60" t="s">
        <v>1177</v>
      </c>
    </row>
    <row r="8869" ht="12.75" customHeight="1">
      <c r="A8869" s="59" t="s">
        <v>2869</v>
      </c>
      <c r="B8869" s="60" t="s">
        <v>1178</v>
      </c>
    </row>
    <row r="8870" ht="12.75" customHeight="1">
      <c r="A8870" s="59" t="s">
        <v>2869</v>
      </c>
      <c r="B8870" s="60" t="s">
        <v>1179</v>
      </c>
    </row>
    <row r="8871" ht="12.75" customHeight="1">
      <c r="A8871" s="59" t="s">
        <v>2869</v>
      </c>
      <c r="B8871" s="60" t="s">
        <v>1180</v>
      </c>
    </row>
    <row r="8872" ht="12.75" customHeight="1">
      <c r="A8872" s="59" t="s">
        <v>2869</v>
      </c>
      <c r="B8872" s="60" t="s">
        <v>1181</v>
      </c>
    </row>
    <row r="8873" ht="12.75" customHeight="1">
      <c r="A8873" s="59" t="s">
        <v>2869</v>
      </c>
      <c r="B8873" s="60" t="s">
        <v>1182</v>
      </c>
    </row>
    <row r="8874" ht="12.75" customHeight="1">
      <c r="A8874" s="59" t="s">
        <v>2869</v>
      </c>
      <c r="B8874" s="60" t="s">
        <v>1183</v>
      </c>
    </row>
    <row r="8875" ht="12.75" customHeight="1">
      <c r="A8875" s="59" t="s">
        <v>2869</v>
      </c>
      <c r="B8875" s="60" t="s">
        <v>1184</v>
      </c>
    </row>
    <row r="8876" ht="12.75" customHeight="1">
      <c r="A8876" s="59" t="s">
        <v>2869</v>
      </c>
      <c r="B8876" s="60" t="s">
        <v>1185</v>
      </c>
    </row>
    <row r="8877" ht="12.75" customHeight="1">
      <c r="A8877" s="59" t="s">
        <v>2869</v>
      </c>
      <c r="B8877" s="60" t="s">
        <v>1186</v>
      </c>
    </row>
    <row r="8878" ht="12.75" customHeight="1">
      <c r="A8878" s="59" t="s">
        <v>2869</v>
      </c>
      <c r="B8878" s="60" t="s">
        <v>1187</v>
      </c>
    </row>
    <row r="8879" ht="12.75" customHeight="1">
      <c r="A8879" s="59" t="s">
        <v>2869</v>
      </c>
      <c r="B8879" s="60" t="s">
        <v>1188</v>
      </c>
    </row>
    <row r="8880" ht="12.75" customHeight="1">
      <c r="A8880" s="59" t="s">
        <v>2869</v>
      </c>
      <c r="B8880" s="60" t="s">
        <v>1189</v>
      </c>
    </row>
    <row r="8881" ht="12.75" customHeight="1">
      <c r="A8881" s="59" t="s">
        <v>2869</v>
      </c>
      <c r="B8881" s="60" t="s">
        <v>1190</v>
      </c>
    </row>
    <row r="8882" ht="12.75" customHeight="1">
      <c r="A8882" s="59" t="s">
        <v>2869</v>
      </c>
      <c r="B8882" s="60" t="s">
        <v>1191</v>
      </c>
    </row>
    <row r="8883" ht="12.75" customHeight="1">
      <c r="A8883" s="59" t="s">
        <v>2869</v>
      </c>
      <c r="B8883" s="60" t="s">
        <v>1192</v>
      </c>
    </row>
    <row r="8884" ht="12.75" customHeight="1">
      <c r="A8884" s="59" t="s">
        <v>2870</v>
      </c>
      <c r="B8884" s="60">
        <v>0.0</v>
      </c>
    </row>
    <row r="8885" ht="12.75" customHeight="1">
      <c r="A8885" s="59" t="s">
        <v>2870</v>
      </c>
      <c r="B8885" s="60">
        <v>0.0</v>
      </c>
    </row>
    <row r="8886" ht="12.75" customHeight="1">
      <c r="A8886" s="59" t="s">
        <v>2870</v>
      </c>
      <c r="B8886" s="60">
        <v>2.0</v>
      </c>
    </row>
    <row r="8887" ht="12.75" customHeight="1">
      <c r="A8887" s="59" t="s">
        <v>2870</v>
      </c>
      <c r="B8887" s="60">
        <v>4.0</v>
      </c>
    </row>
    <row r="8888" ht="12.75" customHeight="1">
      <c r="A8888" s="59" t="s">
        <v>2870</v>
      </c>
      <c r="B8888" s="60">
        <v>6.0</v>
      </c>
    </row>
    <row r="8889" ht="12.75" customHeight="1">
      <c r="A8889" s="59" t="s">
        <v>2870</v>
      </c>
      <c r="B8889" s="60">
        <v>8.0</v>
      </c>
    </row>
    <row r="8890" ht="12.75" customHeight="1">
      <c r="A8890" s="59" t="s">
        <v>2870</v>
      </c>
      <c r="B8890" s="60">
        <v>10.0</v>
      </c>
    </row>
    <row r="8891" ht="12.75" customHeight="1">
      <c r="A8891" s="59" t="s">
        <v>2870</v>
      </c>
      <c r="B8891" s="60">
        <v>12.0</v>
      </c>
    </row>
    <row r="8892" ht="12.75" customHeight="1">
      <c r="A8892" s="59" t="s">
        <v>2870</v>
      </c>
      <c r="B8892" s="60" t="s">
        <v>803</v>
      </c>
    </row>
    <row r="8893" ht="12.75" customHeight="1">
      <c r="A8893" s="59" t="s">
        <v>2870</v>
      </c>
      <c r="B8893" s="60" t="s">
        <v>804</v>
      </c>
    </row>
    <row r="8894" ht="12.75" customHeight="1">
      <c r="A8894" s="59" t="s">
        <v>2870</v>
      </c>
      <c r="B8894" s="60" t="s">
        <v>76</v>
      </c>
    </row>
    <row r="8895" ht="12.75" customHeight="1">
      <c r="A8895" s="59" t="s">
        <v>2870</v>
      </c>
      <c r="B8895" s="60" t="s">
        <v>80</v>
      </c>
    </row>
    <row r="8896" ht="12.75" customHeight="1">
      <c r="A8896" s="59" t="s">
        <v>2870</v>
      </c>
      <c r="B8896" s="60" t="s">
        <v>83</v>
      </c>
    </row>
    <row r="8897" ht="12.75" customHeight="1">
      <c r="A8897" s="59" t="s">
        <v>2870</v>
      </c>
      <c r="B8897" s="60" t="s">
        <v>85</v>
      </c>
    </row>
    <row r="8898" ht="12.75" customHeight="1">
      <c r="A8898" s="59" t="s">
        <v>2870</v>
      </c>
      <c r="B8898" s="60" t="s">
        <v>805</v>
      </c>
    </row>
    <row r="8899" ht="12.75" customHeight="1">
      <c r="A8899" s="59" t="s">
        <v>2870</v>
      </c>
      <c r="B8899" s="60" t="s">
        <v>806</v>
      </c>
    </row>
    <row r="8900" ht="12.75" customHeight="1">
      <c r="A8900" s="59" t="s">
        <v>2870</v>
      </c>
      <c r="B8900" s="60" t="s">
        <v>807</v>
      </c>
    </row>
    <row r="8901" ht="12.75" customHeight="1">
      <c r="A8901" s="59" t="s">
        <v>2870</v>
      </c>
      <c r="B8901" s="60" t="s">
        <v>753</v>
      </c>
    </row>
    <row r="8902" ht="12.75" customHeight="1">
      <c r="A8902" s="59" t="s">
        <v>2870</v>
      </c>
      <c r="B8902" s="60" t="s">
        <v>757</v>
      </c>
    </row>
    <row r="8903" ht="12.75" customHeight="1">
      <c r="A8903" s="59" t="s">
        <v>2870</v>
      </c>
      <c r="B8903" s="60" t="s">
        <v>761</v>
      </c>
    </row>
    <row r="8904" ht="12.75" customHeight="1">
      <c r="A8904" s="59" t="s">
        <v>2870</v>
      </c>
      <c r="B8904" s="60" t="s">
        <v>765</v>
      </c>
    </row>
    <row r="8905" ht="12.75" customHeight="1">
      <c r="A8905" s="59" t="s">
        <v>2870</v>
      </c>
      <c r="B8905" s="60" t="s">
        <v>808</v>
      </c>
    </row>
    <row r="8906" ht="12.75" customHeight="1">
      <c r="A8906" s="59" t="s">
        <v>2870</v>
      </c>
      <c r="B8906" s="60" t="s">
        <v>809</v>
      </c>
    </row>
    <row r="8907" ht="12.75" customHeight="1">
      <c r="A8907" s="59" t="s">
        <v>2870</v>
      </c>
      <c r="B8907" s="60" t="s">
        <v>810</v>
      </c>
    </row>
    <row r="8908" ht="12.75" customHeight="1">
      <c r="A8908" s="59" t="s">
        <v>2870</v>
      </c>
      <c r="B8908" s="60" t="s">
        <v>811</v>
      </c>
    </row>
    <row r="8909" ht="12.75" customHeight="1">
      <c r="A8909" s="59" t="s">
        <v>2870</v>
      </c>
      <c r="B8909" s="60" t="s">
        <v>812</v>
      </c>
    </row>
    <row r="8910" ht="12.75" customHeight="1">
      <c r="A8910" s="59" t="s">
        <v>2870</v>
      </c>
      <c r="B8910" s="60" t="s">
        <v>813</v>
      </c>
    </row>
    <row r="8911" ht="12.75" customHeight="1">
      <c r="A8911" s="59" t="s">
        <v>2870</v>
      </c>
      <c r="B8911" s="60" t="s">
        <v>814</v>
      </c>
    </row>
    <row r="8912" ht="12.75" customHeight="1">
      <c r="A8912" s="59" t="s">
        <v>2870</v>
      </c>
      <c r="B8912" s="60" t="s">
        <v>815</v>
      </c>
    </row>
    <row r="8913" ht="12.75" customHeight="1">
      <c r="A8913" s="59" t="s">
        <v>2870</v>
      </c>
      <c r="B8913" s="60" t="s">
        <v>816</v>
      </c>
    </row>
    <row r="8914" ht="12.75" customHeight="1">
      <c r="A8914" s="59" t="s">
        <v>2870</v>
      </c>
      <c r="B8914" s="60" t="s">
        <v>771</v>
      </c>
    </row>
    <row r="8915" ht="12.75" customHeight="1">
      <c r="A8915" s="59" t="s">
        <v>2870</v>
      </c>
      <c r="B8915" s="60" t="s">
        <v>775</v>
      </c>
    </row>
    <row r="8916" ht="12.75" customHeight="1">
      <c r="A8916" s="59" t="s">
        <v>2870</v>
      </c>
      <c r="B8916" s="60" t="s">
        <v>779</v>
      </c>
    </row>
    <row r="8917" ht="12.75" customHeight="1">
      <c r="A8917" s="59" t="s">
        <v>2870</v>
      </c>
      <c r="B8917" s="60" t="s">
        <v>783</v>
      </c>
    </row>
    <row r="8918" ht="12.75" customHeight="1">
      <c r="A8918" s="59" t="s">
        <v>2870</v>
      </c>
      <c r="B8918" s="60" t="s">
        <v>817</v>
      </c>
    </row>
    <row r="8919" ht="12.75" customHeight="1">
      <c r="A8919" s="59" t="s">
        <v>2870</v>
      </c>
      <c r="B8919" s="60" t="s">
        <v>818</v>
      </c>
    </row>
    <row r="8920" ht="12.75" customHeight="1">
      <c r="A8920" s="59" t="s">
        <v>2870</v>
      </c>
      <c r="B8920" s="60" t="s">
        <v>819</v>
      </c>
    </row>
    <row r="8921" ht="12.75" customHeight="1">
      <c r="A8921" s="59" t="s">
        <v>2870</v>
      </c>
      <c r="B8921" s="60" t="s">
        <v>820</v>
      </c>
    </row>
    <row r="8922" ht="12.75" customHeight="1">
      <c r="A8922" s="59" t="s">
        <v>2870</v>
      </c>
      <c r="B8922" s="60" t="s">
        <v>821</v>
      </c>
    </row>
    <row r="8923" ht="12.75" customHeight="1">
      <c r="A8923" s="59" t="s">
        <v>2870</v>
      </c>
      <c r="B8923" s="60" t="s">
        <v>822</v>
      </c>
    </row>
    <row r="8924" ht="12.75" customHeight="1">
      <c r="A8924" s="59" t="s">
        <v>2870</v>
      </c>
      <c r="B8924" s="60" t="s">
        <v>823</v>
      </c>
    </row>
    <row r="8925" ht="12.75" customHeight="1">
      <c r="A8925" s="59" t="s">
        <v>2870</v>
      </c>
      <c r="B8925" s="60" t="s">
        <v>824</v>
      </c>
    </row>
    <row r="8926" ht="12.75" customHeight="1">
      <c r="A8926" s="59" t="s">
        <v>2870</v>
      </c>
      <c r="B8926" s="60" t="s">
        <v>825</v>
      </c>
    </row>
    <row r="8927" ht="12.75" customHeight="1">
      <c r="A8927" s="59" t="s">
        <v>2870</v>
      </c>
      <c r="B8927" s="60" t="s">
        <v>788</v>
      </c>
    </row>
    <row r="8928" ht="12.75" customHeight="1">
      <c r="A8928" s="59" t="s">
        <v>2870</v>
      </c>
      <c r="B8928" s="60" t="s">
        <v>792</v>
      </c>
    </row>
    <row r="8929" ht="12.75" customHeight="1">
      <c r="A8929" s="59" t="s">
        <v>2870</v>
      </c>
      <c r="B8929" s="60" t="s">
        <v>796</v>
      </c>
    </row>
    <row r="8930" ht="12.75" customHeight="1">
      <c r="A8930" s="59" t="s">
        <v>2870</v>
      </c>
      <c r="B8930" s="60" t="s">
        <v>800</v>
      </c>
    </row>
    <row r="8931" ht="12.75" customHeight="1">
      <c r="A8931" s="59" t="s">
        <v>2870</v>
      </c>
      <c r="B8931" s="60" t="s">
        <v>826</v>
      </c>
    </row>
    <row r="8932" ht="12.75" customHeight="1">
      <c r="A8932" s="59" t="s">
        <v>2870</v>
      </c>
      <c r="B8932" s="60" t="s">
        <v>827</v>
      </c>
    </row>
    <row r="8933" ht="12.75" customHeight="1">
      <c r="A8933" s="59" t="s">
        <v>2870</v>
      </c>
      <c r="B8933" s="60" t="s">
        <v>828</v>
      </c>
    </row>
    <row r="8934" ht="12.75" customHeight="1">
      <c r="A8934" s="59" t="s">
        <v>2870</v>
      </c>
      <c r="B8934" s="60" t="s">
        <v>829</v>
      </c>
    </row>
    <row r="8935" ht="12.75" customHeight="1">
      <c r="A8935" s="59" t="s">
        <v>2870</v>
      </c>
      <c r="B8935" s="60" t="s">
        <v>830</v>
      </c>
    </row>
    <row r="8936" ht="12.75" customHeight="1">
      <c r="A8936" s="59" t="s">
        <v>2870</v>
      </c>
      <c r="B8936" s="60" t="s">
        <v>831</v>
      </c>
    </row>
    <row r="8937" ht="12.75" customHeight="1">
      <c r="A8937" s="59" t="s">
        <v>2870</v>
      </c>
      <c r="B8937" s="60" t="s">
        <v>832</v>
      </c>
    </row>
    <row r="8938" ht="12.75" customHeight="1">
      <c r="A8938" s="59" t="s">
        <v>2870</v>
      </c>
      <c r="B8938" s="60" t="s">
        <v>833</v>
      </c>
    </row>
    <row r="8939" ht="12.75" customHeight="1">
      <c r="A8939" s="59" t="s">
        <v>2870</v>
      </c>
      <c r="B8939" s="60" t="s">
        <v>834</v>
      </c>
    </row>
    <row r="8940" ht="12.75" customHeight="1">
      <c r="A8940" s="59" t="s">
        <v>2870</v>
      </c>
      <c r="B8940" s="60">
        <v>14.0</v>
      </c>
    </row>
    <row r="8941" ht="12.75" customHeight="1">
      <c r="A8941" s="59" t="s">
        <v>2870</v>
      </c>
      <c r="B8941" s="60" t="s">
        <v>835</v>
      </c>
    </row>
    <row r="8942" ht="12.75" customHeight="1">
      <c r="A8942" s="59" t="s">
        <v>2870</v>
      </c>
      <c r="B8942" s="60">
        <v>16.0</v>
      </c>
    </row>
    <row r="8943" ht="12.75" customHeight="1">
      <c r="A8943" s="59" t="s">
        <v>2870</v>
      </c>
      <c r="B8943" s="60" t="s">
        <v>836</v>
      </c>
    </row>
    <row r="8944" ht="12.75" customHeight="1">
      <c r="A8944" s="59" t="s">
        <v>2870</v>
      </c>
      <c r="B8944" s="60">
        <v>18.0</v>
      </c>
    </row>
    <row r="8945" ht="12.75" customHeight="1">
      <c r="A8945" s="59" t="s">
        <v>2870</v>
      </c>
      <c r="B8945" s="60" t="s">
        <v>837</v>
      </c>
    </row>
    <row r="8946" ht="12.75" customHeight="1">
      <c r="A8946" s="59" t="s">
        <v>2870</v>
      </c>
      <c r="B8946" s="60">
        <v>20.0</v>
      </c>
    </row>
    <row r="8947" ht="12.75" customHeight="1">
      <c r="A8947" s="59" t="s">
        <v>2870</v>
      </c>
      <c r="B8947" s="60" t="s">
        <v>838</v>
      </c>
    </row>
    <row r="8948" ht="12.75" customHeight="1">
      <c r="A8948" s="59" t="s">
        <v>2870</v>
      </c>
      <c r="B8948" s="60">
        <v>22.0</v>
      </c>
    </row>
    <row r="8949" ht="12.75" customHeight="1">
      <c r="A8949" s="59" t="s">
        <v>2870</v>
      </c>
      <c r="B8949" s="60" t="s">
        <v>839</v>
      </c>
    </row>
    <row r="8950" ht="12.75" customHeight="1">
      <c r="A8950" s="59" t="s">
        <v>2870</v>
      </c>
      <c r="B8950" s="60">
        <v>24.0</v>
      </c>
    </row>
    <row r="8951" ht="12.75" customHeight="1">
      <c r="A8951" s="59" t="s">
        <v>2870</v>
      </c>
      <c r="B8951" s="60" t="s">
        <v>840</v>
      </c>
    </row>
    <row r="8952" ht="12.75" customHeight="1">
      <c r="A8952" s="59" t="s">
        <v>2870</v>
      </c>
      <c r="B8952" s="60">
        <v>26.0</v>
      </c>
    </row>
    <row r="8953" ht="12.75" customHeight="1">
      <c r="A8953" s="59" t="s">
        <v>2870</v>
      </c>
      <c r="B8953" s="60" t="s">
        <v>841</v>
      </c>
    </row>
    <row r="8954" ht="12.75" customHeight="1">
      <c r="A8954" s="59" t="s">
        <v>2870</v>
      </c>
      <c r="B8954" s="60">
        <v>28.0</v>
      </c>
    </row>
    <row r="8955" ht="12.75" customHeight="1">
      <c r="A8955" s="59" t="s">
        <v>2870</v>
      </c>
      <c r="B8955" s="60" t="s">
        <v>842</v>
      </c>
    </row>
    <row r="8956" ht="12.75" customHeight="1">
      <c r="A8956" s="59" t="s">
        <v>2870</v>
      </c>
      <c r="B8956" s="60">
        <v>30.0</v>
      </c>
    </row>
    <row r="8957" ht="12.75" customHeight="1">
      <c r="A8957" s="59" t="s">
        <v>2870</v>
      </c>
      <c r="B8957" s="60" t="s">
        <v>843</v>
      </c>
    </row>
    <row r="8958" ht="12.75" customHeight="1">
      <c r="A8958" s="59" t="s">
        <v>2870</v>
      </c>
      <c r="B8958" s="60">
        <v>32.0</v>
      </c>
    </row>
    <row r="8959" ht="12.75" customHeight="1">
      <c r="A8959" s="59" t="s">
        <v>2870</v>
      </c>
      <c r="B8959" s="60" t="s">
        <v>844</v>
      </c>
    </row>
    <row r="8960" ht="12.75" customHeight="1">
      <c r="A8960" s="59" t="s">
        <v>2870</v>
      </c>
      <c r="B8960" s="60" t="s">
        <v>845</v>
      </c>
    </row>
    <row r="8961" ht="12.75" customHeight="1">
      <c r="A8961" s="59" t="s">
        <v>2870</v>
      </c>
      <c r="B8961" s="60" t="s">
        <v>846</v>
      </c>
    </row>
    <row r="8962" ht="12.75" customHeight="1">
      <c r="A8962" s="59" t="s">
        <v>2870</v>
      </c>
      <c r="B8962" s="60" t="s">
        <v>847</v>
      </c>
    </row>
    <row r="8963" ht="12.75" customHeight="1">
      <c r="A8963" s="59" t="s">
        <v>2870</v>
      </c>
      <c r="B8963" s="60" t="s">
        <v>848</v>
      </c>
    </row>
    <row r="8964" ht="12.75" customHeight="1">
      <c r="A8964" s="59" t="s">
        <v>2870</v>
      </c>
      <c r="B8964" s="60" t="s">
        <v>849</v>
      </c>
    </row>
    <row r="8965" ht="12.75" customHeight="1">
      <c r="A8965" s="59" t="s">
        <v>2870</v>
      </c>
      <c r="B8965" s="60" t="s">
        <v>850</v>
      </c>
    </row>
    <row r="8966" ht="12.75" customHeight="1">
      <c r="A8966" s="59" t="s">
        <v>2870</v>
      </c>
      <c r="B8966" s="60" t="s">
        <v>851</v>
      </c>
    </row>
    <row r="8967" ht="12.75" customHeight="1">
      <c r="A8967" s="59" t="s">
        <v>2870</v>
      </c>
      <c r="B8967" s="60" t="s">
        <v>852</v>
      </c>
    </row>
    <row r="8968" ht="12.75" customHeight="1">
      <c r="A8968" s="59" t="s">
        <v>2870</v>
      </c>
      <c r="B8968" s="60" t="s">
        <v>853</v>
      </c>
    </row>
    <row r="8969" ht="12.75" customHeight="1">
      <c r="A8969" s="59" t="s">
        <v>2870</v>
      </c>
      <c r="B8969" s="60" t="s">
        <v>854</v>
      </c>
    </row>
    <row r="8970" ht="12.75" customHeight="1">
      <c r="A8970" s="59" t="s">
        <v>2870</v>
      </c>
      <c r="B8970" s="60" t="s">
        <v>855</v>
      </c>
    </row>
    <row r="8971" ht="12.75" customHeight="1">
      <c r="A8971" s="59" t="s">
        <v>2870</v>
      </c>
      <c r="B8971" s="60" t="s">
        <v>856</v>
      </c>
    </row>
    <row r="8972" ht="12.75" customHeight="1">
      <c r="A8972" s="59" t="s">
        <v>2870</v>
      </c>
      <c r="B8972" s="60" t="s">
        <v>857</v>
      </c>
    </row>
    <row r="8973" ht="12.75" customHeight="1">
      <c r="A8973" s="59" t="s">
        <v>2870</v>
      </c>
      <c r="B8973" s="60" t="s">
        <v>858</v>
      </c>
    </row>
    <row r="8974" ht="12.75" customHeight="1">
      <c r="A8974" s="59" t="s">
        <v>2870</v>
      </c>
      <c r="B8974" s="60" t="s">
        <v>859</v>
      </c>
    </row>
    <row r="8975" ht="12.75" customHeight="1">
      <c r="A8975" s="59" t="s">
        <v>2870</v>
      </c>
      <c r="B8975" s="60" t="s">
        <v>860</v>
      </c>
    </row>
    <row r="8976" ht="12.75" customHeight="1">
      <c r="A8976" s="59" t="s">
        <v>2870</v>
      </c>
      <c r="B8976" s="60" t="s">
        <v>861</v>
      </c>
    </row>
    <row r="8977" ht="12.75" customHeight="1">
      <c r="A8977" s="59" t="s">
        <v>2870</v>
      </c>
      <c r="B8977" s="60" t="s">
        <v>862</v>
      </c>
    </row>
    <row r="8978" ht="12.75" customHeight="1">
      <c r="A8978" s="59" t="s">
        <v>2870</v>
      </c>
      <c r="B8978" s="60" t="s">
        <v>863</v>
      </c>
    </row>
    <row r="8979" ht="12.75" customHeight="1">
      <c r="A8979" s="59" t="s">
        <v>2870</v>
      </c>
      <c r="B8979" s="60" t="s">
        <v>864</v>
      </c>
    </row>
    <row r="8980" ht="12.75" customHeight="1">
      <c r="A8980" s="59" t="s">
        <v>2870</v>
      </c>
      <c r="B8980" s="60" t="s">
        <v>865</v>
      </c>
    </row>
    <row r="8981" ht="12.75" customHeight="1">
      <c r="A8981" s="59" t="s">
        <v>2870</v>
      </c>
      <c r="B8981" s="60" t="s">
        <v>866</v>
      </c>
    </row>
    <row r="8982" ht="12.75" customHeight="1">
      <c r="A8982" s="59" t="s">
        <v>2870</v>
      </c>
      <c r="B8982" s="60" t="s">
        <v>867</v>
      </c>
    </row>
    <row r="8983" ht="12.75" customHeight="1">
      <c r="A8983" s="59" t="s">
        <v>2870</v>
      </c>
      <c r="B8983" s="60" t="s">
        <v>868</v>
      </c>
    </row>
    <row r="8984" ht="12.75" customHeight="1">
      <c r="A8984" s="59" t="s">
        <v>2870</v>
      </c>
      <c r="B8984" s="60" t="s">
        <v>869</v>
      </c>
    </row>
    <row r="8985" ht="12.75" customHeight="1">
      <c r="A8985" s="59" t="s">
        <v>2870</v>
      </c>
      <c r="B8985" s="60" t="s">
        <v>870</v>
      </c>
    </row>
    <row r="8986" ht="12.75" customHeight="1">
      <c r="A8986" s="59" t="s">
        <v>2870</v>
      </c>
      <c r="B8986" s="60" t="s">
        <v>871</v>
      </c>
    </row>
    <row r="8987" ht="12.75" customHeight="1">
      <c r="A8987" s="59" t="s">
        <v>2870</v>
      </c>
      <c r="B8987" s="60" t="s">
        <v>872</v>
      </c>
    </row>
    <row r="8988" ht="12.75" customHeight="1">
      <c r="A8988" s="59" t="s">
        <v>2870</v>
      </c>
      <c r="B8988" s="60" t="s">
        <v>873</v>
      </c>
    </row>
    <row r="8989" ht="12.75" customHeight="1">
      <c r="A8989" s="59" t="s">
        <v>2870</v>
      </c>
      <c r="B8989" s="60" t="s">
        <v>874</v>
      </c>
    </row>
    <row r="8990" ht="12.75" customHeight="1">
      <c r="A8990" s="59" t="s">
        <v>2870</v>
      </c>
      <c r="B8990" s="60" t="s">
        <v>875</v>
      </c>
    </row>
    <row r="8991" ht="12.75" customHeight="1">
      <c r="A8991" s="59" t="s">
        <v>2870</v>
      </c>
      <c r="B8991" s="60" t="s">
        <v>876</v>
      </c>
    </row>
    <row r="8992" ht="12.75" customHeight="1">
      <c r="A8992" s="59" t="s">
        <v>2870</v>
      </c>
      <c r="B8992" s="60" t="s">
        <v>877</v>
      </c>
    </row>
    <row r="8993" ht="12.75" customHeight="1">
      <c r="A8993" s="59" t="s">
        <v>2870</v>
      </c>
      <c r="B8993" s="60" t="s">
        <v>878</v>
      </c>
    </row>
    <row r="8994" ht="12.75" customHeight="1">
      <c r="A8994" s="59" t="s">
        <v>2870</v>
      </c>
      <c r="B8994" s="60" t="s">
        <v>879</v>
      </c>
    </row>
    <row r="8995" ht="12.75" customHeight="1">
      <c r="A8995" s="59" t="s">
        <v>2870</v>
      </c>
      <c r="B8995" s="60" t="s">
        <v>880</v>
      </c>
    </row>
    <row r="8996" ht="12.75" customHeight="1">
      <c r="A8996" s="59" t="s">
        <v>2870</v>
      </c>
      <c r="B8996" s="60" t="s">
        <v>881</v>
      </c>
    </row>
    <row r="8997" ht="12.75" customHeight="1">
      <c r="A8997" s="59" t="s">
        <v>2870</v>
      </c>
      <c r="B8997" s="60" t="s">
        <v>882</v>
      </c>
    </row>
    <row r="8998" ht="12.75" customHeight="1">
      <c r="A8998" s="59" t="s">
        <v>2870</v>
      </c>
      <c r="B8998" s="60" t="s">
        <v>883</v>
      </c>
    </row>
    <row r="8999" ht="12.75" customHeight="1">
      <c r="A8999" s="59" t="s">
        <v>2870</v>
      </c>
      <c r="B8999" s="60" t="s">
        <v>884</v>
      </c>
    </row>
    <row r="9000" ht="12.75" customHeight="1">
      <c r="A9000" s="59" t="s">
        <v>2870</v>
      </c>
      <c r="B9000" s="60" t="s">
        <v>885</v>
      </c>
    </row>
    <row r="9001" ht="12.75" customHeight="1">
      <c r="A9001" s="59" t="s">
        <v>2870</v>
      </c>
      <c r="B9001" s="60" t="s">
        <v>886</v>
      </c>
    </row>
    <row r="9002" ht="12.75" customHeight="1">
      <c r="A9002" s="59" t="s">
        <v>2870</v>
      </c>
      <c r="B9002" s="60" t="s">
        <v>887</v>
      </c>
    </row>
    <row r="9003" ht="12.75" customHeight="1">
      <c r="A9003" s="59" t="s">
        <v>2870</v>
      </c>
      <c r="B9003" s="60" t="s">
        <v>888</v>
      </c>
    </row>
    <row r="9004" ht="12.75" customHeight="1">
      <c r="A9004" s="59" t="s">
        <v>2870</v>
      </c>
      <c r="B9004" s="60" t="s">
        <v>889</v>
      </c>
    </row>
    <row r="9005" ht="12.75" customHeight="1">
      <c r="A9005" s="59" t="s">
        <v>2870</v>
      </c>
      <c r="B9005" s="60" t="s">
        <v>890</v>
      </c>
    </row>
    <row r="9006" ht="12.75" customHeight="1">
      <c r="A9006" s="59" t="s">
        <v>2870</v>
      </c>
      <c r="B9006" s="60" t="s">
        <v>891</v>
      </c>
    </row>
    <row r="9007" ht="12.75" customHeight="1">
      <c r="A9007" s="59" t="s">
        <v>2870</v>
      </c>
      <c r="B9007" s="60" t="s">
        <v>892</v>
      </c>
    </row>
    <row r="9008" ht="12.75" customHeight="1">
      <c r="A9008" s="59" t="s">
        <v>2870</v>
      </c>
      <c r="B9008" s="60" t="s">
        <v>893</v>
      </c>
    </row>
    <row r="9009" ht="12.75" customHeight="1">
      <c r="A9009" s="59" t="s">
        <v>2870</v>
      </c>
      <c r="B9009" s="60" t="s">
        <v>894</v>
      </c>
    </row>
    <row r="9010" ht="12.75" customHeight="1">
      <c r="A9010" s="59" t="s">
        <v>2870</v>
      </c>
      <c r="B9010" s="60" t="s">
        <v>895</v>
      </c>
    </row>
    <row r="9011" ht="12.75" customHeight="1">
      <c r="A9011" s="59" t="s">
        <v>2870</v>
      </c>
      <c r="B9011" s="60" t="s">
        <v>896</v>
      </c>
    </row>
    <row r="9012" ht="12.75" customHeight="1">
      <c r="A9012" s="59" t="s">
        <v>2870</v>
      </c>
      <c r="B9012" s="60" t="s">
        <v>897</v>
      </c>
    </row>
    <row r="9013" ht="12.75" customHeight="1">
      <c r="A9013" s="59" t="s">
        <v>2870</v>
      </c>
      <c r="B9013" s="60" t="s">
        <v>898</v>
      </c>
    </row>
    <row r="9014" ht="12.75" customHeight="1">
      <c r="A9014" s="59" t="s">
        <v>2870</v>
      </c>
      <c r="B9014" s="60" t="s">
        <v>899</v>
      </c>
    </row>
    <row r="9015" ht="12.75" customHeight="1">
      <c r="A9015" s="59" t="s">
        <v>2870</v>
      </c>
      <c r="B9015" s="60" t="s">
        <v>900</v>
      </c>
    </row>
    <row r="9016" ht="12.75" customHeight="1">
      <c r="A9016" s="59" t="s">
        <v>2870</v>
      </c>
      <c r="B9016" s="60" t="s">
        <v>901</v>
      </c>
    </row>
    <row r="9017" ht="12.75" customHeight="1">
      <c r="A9017" s="59" t="s">
        <v>2870</v>
      </c>
      <c r="B9017" s="60" t="s">
        <v>902</v>
      </c>
    </row>
    <row r="9018" ht="12.75" customHeight="1">
      <c r="A9018" s="59" t="s">
        <v>2870</v>
      </c>
      <c r="B9018" s="60" t="s">
        <v>903</v>
      </c>
    </row>
    <row r="9019" ht="12.75" customHeight="1">
      <c r="A9019" s="59" t="s">
        <v>2870</v>
      </c>
      <c r="B9019" s="60" t="s">
        <v>904</v>
      </c>
    </row>
    <row r="9020" ht="12.75" customHeight="1">
      <c r="A9020" s="59" t="s">
        <v>2870</v>
      </c>
      <c r="B9020" s="60" t="s">
        <v>905</v>
      </c>
    </row>
    <row r="9021" ht="12.75" customHeight="1">
      <c r="A9021" s="59" t="s">
        <v>2870</v>
      </c>
      <c r="B9021" s="60" t="s">
        <v>906</v>
      </c>
    </row>
    <row r="9022" ht="12.75" customHeight="1">
      <c r="A9022" s="59" t="s">
        <v>2870</v>
      </c>
      <c r="B9022" s="60" t="s">
        <v>907</v>
      </c>
    </row>
    <row r="9023" ht="12.75" customHeight="1">
      <c r="A9023" s="59" t="s">
        <v>2870</v>
      </c>
      <c r="B9023" s="60" t="s">
        <v>908</v>
      </c>
    </row>
    <row r="9024" ht="12.75" customHeight="1">
      <c r="A9024" s="59" t="s">
        <v>2870</v>
      </c>
      <c r="B9024" s="60" t="s">
        <v>909</v>
      </c>
    </row>
    <row r="9025" ht="12.75" customHeight="1">
      <c r="A9025" s="59" t="s">
        <v>2870</v>
      </c>
      <c r="B9025" s="60" t="s">
        <v>910</v>
      </c>
    </row>
    <row r="9026" ht="12.75" customHeight="1">
      <c r="A9026" s="59" t="s">
        <v>2870</v>
      </c>
      <c r="B9026" s="60" t="s">
        <v>911</v>
      </c>
    </row>
    <row r="9027" ht="12.75" customHeight="1">
      <c r="A9027" s="59" t="s">
        <v>2870</v>
      </c>
      <c r="B9027" s="60" t="s">
        <v>912</v>
      </c>
    </row>
    <row r="9028" ht="12.75" customHeight="1">
      <c r="A9028" s="59" t="s">
        <v>2870</v>
      </c>
      <c r="B9028" s="60" t="s">
        <v>913</v>
      </c>
    </row>
    <row r="9029" ht="12.75" customHeight="1">
      <c r="A9029" s="59" t="s">
        <v>2870</v>
      </c>
      <c r="B9029" s="60" t="s">
        <v>914</v>
      </c>
    </row>
    <row r="9030" ht="12.75" customHeight="1">
      <c r="A9030" s="59" t="s">
        <v>2870</v>
      </c>
      <c r="B9030" s="60" t="s">
        <v>915</v>
      </c>
    </row>
    <row r="9031" ht="12.75" customHeight="1">
      <c r="A9031" s="59" t="s">
        <v>2870</v>
      </c>
      <c r="B9031" s="60" t="s">
        <v>916</v>
      </c>
    </row>
    <row r="9032" ht="12.75" customHeight="1">
      <c r="A9032" s="59" t="s">
        <v>2870</v>
      </c>
      <c r="B9032" s="60" t="s">
        <v>917</v>
      </c>
    </row>
    <row r="9033" ht="12.75" customHeight="1">
      <c r="A9033" s="59" t="s">
        <v>2870</v>
      </c>
      <c r="B9033" s="60" t="s">
        <v>918</v>
      </c>
    </row>
    <row r="9034" ht="12.75" customHeight="1">
      <c r="A9034" s="59" t="s">
        <v>2870</v>
      </c>
      <c r="B9034" s="60" t="s">
        <v>919</v>
      </c>
    </row>
    <row r="9035" ht="12.75" customHeight="1">
      <c r="A9035" s="59" t="s">
        <v>2870</v>
      </c>
      <c r="B9035" s="60" t="s">
        <v>920</v>
      </c>
    </row>
    <row r="9036" ht="12.75" customHeight="1">
      <c r="A9036" s="59" t="s">
        <v>2870</v>
      </c>
      <c r="B9036" s="60" t="s">
        <v>921</v>
      </c>
    </row>
    <row r="9037" ht="12.75" customHeight="1">
      <c r="A9037" s="59" t="s">
        <v>2870</v>
      </c>
      <c r="B9037" s="60" t="s">
        <v>922</v>
      </c>
    </row>
    <row r="9038" ht="12.75" customHeight="1">
      <c r="A9038" s="59" t="s">
        <v>2870</v>
      </c>
      <c r="B9038" s="60" t="s">
        <v>923</v>
      </c>
    </row>
    <row r="9039" ht="12.75" customHeight="1">
      <c r="A9039" s="59" t="s">
        <v>2870</v>
      </c>
      <c r="B9039" s="60" t="s">
        <v>924</v>
      </c>
    </row>
    <row r="9040" ht="12.75" customHeight="1">
      <c r="A9040" s="59" t="s">
        <v>2870</v>
      </c>
      <c r="B9040" s="60" t="s">
        <v>925</v>
      </c>
    </row>
    <row r="9041" ht="12.75" customHeight="1">
      <c r="A9041" s="59" t="s">
        <v>2870</v>
      </c>
      <c r="B9041" s="60" t="s">
        <v>926</v>
      </c>
    </row>
    <row r="9042" ht="12.75" customHeight="1">
      <c r="A9042" s="59" t="s">
        <v>2870</v>
      </c>
      <c r="B9042" s="60" t="s">
        <v>927</v>
      </c>
    </row>
    <row r="9043" ht="12.75" customHeight="1">
      <c r="A9043" s="59" t="s">
        <v>2870</v>
      </c>
      <c r="B9043" s="60" t="s">
        <v>928</v>
      </c>
    </row>
    <row r="9044" ht="12.75" customHeight="1">
      <c r="A9044" s="59" t="s">
        <v>2870</v>
      </c>
      <c r="B9044" s="60" t="s">
        <v>929</v>
      </c>
    </row>
    <row r="9045" ht="12.75" customHeight="1">
      <c r="A9045" s="59" t="s">
        <v>2870</v>
      </c>
      <c r="B9045" s="60" t="s">
        <v>930</v>
      </c>
    </row>
    <row r="9046" ht="12.75" customHeight="1">
      <c r="A9046" s="59" t="s">
        <v>2870</v>
      </c>
      <c r="B9046" s="60" t="s">
        <v>931</v>
      </c>
    </row>
    <row r="9047" ht="12.75" customHeight="1">
      <c r="A9047" s="59" t="s">
        <v>2870</v>
      </c>
      <c r="B9047" s="60" t="s">
        <v>932</v>
      </c>
    </row>
    <row r="9048" ht="12.75" customHeight="1">
      <c r="A9048" s="59" t="s">
        <v>2870</v>
      </c>
      <c r="B9048" s="60" t="s">
        <v>933</v>
      </c>
    </row>
    <row r="9049" ht="12.75" customHeight="1">
      <c r="A9049" s="59" t="s">
        <v>2870</v>
      </c>
      <c r="B9049" s="60" t="s">
        <v>934</v>
      </c>
    </row>
    <row r="9050" ht="12.75" customHeight="1">
      <c r="A9050" s="59" t="s">
        <v>2870</v>
      </c>
      <c r="B9050" s="60" t="s">
        <v>935</v>
      </c>
    </row>
    <row r="9051" ht="12.75" customHeight="1">
      <c r="A9051" s="59" t="s">
        <v>2870</v>
      </c>
      <c r="B9051" s="60" t="s">
        <v>936</v>
      </c>
    </row>
    <row r="9052" ht="12.75" customHeight="1">
      <c r="A9052" s="59" t="s">
        <v>2870</v>
      </c>
      <c r="B9052" s="60" t="s">
        <v>937</v>
      </c>
    </row>
    <row r="9053" ht="12.75" customHeight="1">
      <c r="A9053" s="59" t="s">
        <v>2870</v>
      </c>
      <c r="B9053" s="60" t="s">
        <v>938</v>
      </c>
    </row>
    <row r="9054" ht="12.75" customHeight="1">
      <c r="A9054" s="59" t="s">
        <v>2870</v>
      </c>
      <c r="B9054" s="60" t="s">
        <v>939</v>
      </c>
    </row>
    <row r="9055" ht="12.75" customHeight="1">
      <c r="A9055" s="59" t="s">
        <v>2870</v>
      </c>
      <c r="B9055" s="60" t="s">
        <v>940</v>
      </c>
    </row>
    <row r="9056" ht="12.75" customHeight="1">
      <c r="A9056" s="59" t="s">
        <v>2870</v>
      </c>
      <c r="B9056" s="60" t="s">
        <v>941</v>
      </c>
    </row>
    <row r="9057" ht="12.75" customHeight="1">
      <c r="A9057" s="59" t="s">
        <v>2870</v>
      </c>
      <c r="B9057" s="60" t="s">
        <v>942</v>
      </c>
    </row>
    <row r="9058" ht="12.75" customHeight="1">
      <c r="A9058" s="59" t="s">
        <v>2870</v>
      </c>
      <c r="B9058" s="60" t="s">
        <v>943</v>
      </c>
    </row>
    <row r="9059" ht="12.75" customHeight="1">
      <c r="A9059" s="59" t="s">
        <v>2870</v>
      </c>
      <c r="B9059" s="60" t="s">
        <v>944</v>
      </c>
    </row>
    <row r="9060" ht="12.75" customHeight="1">
      <c r="A9060" s="59" t="s">
        <v>2870</v>
      </c>
      <c r="B9060" s="60" t="s">
        <v>945</v>
      </c>
    </row>
    <row r="9061" ht="12.75" customHeight="1">
      <c r="A9061" s="59" t="s">
        <v>2870</v>
      </c>
      <c r="B9061" s="60" t="s">
        <v>946</v>
      </c>
    </row>
    <row r="9062" ht="12.75" customHeight="1">
      <c r="A9062" s="59" t="s">
        <v>2870</v>
      </c>
      <c r="B9062" s="60" t="s">
        <v>947</v>
      </c>
    </row>
    <row r="9063" ht="12.75" customHeight="1">
      <c r="A9063" s="59" t="s">
        <v>2870</v>
      </c>
      <c r="B9063" s="60" t="s">
        <v>948</v>
      </c>
    </row>
    <row r="9064" ht="12.75" customHeight="1">
      <c r="A9064" s="59" t="s">
        <v>2870</v>
      </c>
      <c r="B9064" s="60" t="s">
        <v>949</v>
      </c>
    </row>
    <row r="9065" ht="12.75" customHeight="1">
      <c r="A9065" s="59" t="s">
        <v>2870</v>
      </c>
      <c r="B9065" s="60" t="s">
        <v>950</v>
      </c>
    </row>
    <row r="9066" ht="12.75" customHeight="1">
      <c r="A9066" s="59" t="s">
        <v>2870</v>
      </c>
      <c r="B9066" s="60" t="s">
        <v>951</v>
      </c>
    </row>
    <row r="9067" ht="12.75" customHeight="1">
      <c r="A9067" s="59" t="s">
        <v>2870</v>
      </c>
      <c r="B9067" s="60" t="s">
        <v>952</v>
      </c>
    </row>
    <row r="9068" ht="12.75" customHeight="1">
      <c r="A9068" s="59" t="s">
        <v>2870</v>
      </c>
      <c r="B9068" s="60" t="s">
        <v>953</v>
      </c>
    </row>
    <row r="9069" ht="12.75" customHeight="1">
      <c r="A9069" s="59" t="s">
        <v>2870</v>
      </c>
      <c r="B9069" s="60" t="s">
        <v>954</v>
      </c>
    </row>
    <row r="9070" ht="12.75" customHeight="1">
      <c r="A9070" s="59" t="s">
        <v>2870</v>
      </c>
      <c r="B9070" s="60" t="s">
        <v>955</v>
      </c>
    </row>
    <row r="9071" ht="12.75" customHeight="1">
      <c r="A9071" s="59" t="s">
        <v>2870</v>
      </c>
      <c r="B9071" s="60" t="s">
        <v>956</v>
      </c>
    </row>
    <row r="9072" ht="12.75" customHeight="1">
      <c r="A9072" s="59" t="s">
        <v>2870</v>
      </c>
      <c r="B9072" s="60" t="s">
        <v>957</v>
      </c>
    </row>
    <row r="9073" ht="12.75" customHeight="1">
      <c r="A9073" s="59" t="s">
        <v>2870</v>
      </c>
      <c r="B9073" s="60" t="s">
        <v>958</v>
      </c>
    </row>
    <row r="9074" ht="12.75" customHeight="1">
      <c r="A9074" s="59" t="s">
        <v>2870</v>
      </c>
      <c r="B9074" s="60" t="s">
        <v>959</v>
      </c>
    </row>
    <row r="9075" ht="12.75" customHeight="1">
      <c r="A9075" s="59" t="s">
        <v>2870</v>
      </c>
      <c r="B9075" s="60" t="s">
        <v>960</v>
      </c>
    </row>
    <row r="9076" ht="12.75" customHeight="1">
      <c r="A9076" s="59" t="s">
        <v>2870</v>
      </c>
      <c r="B9076" s="60" t="s">
        <v>961</v>
      </c>
    </row>
    <row r="9077" ht="12.75" customHeight="1">
      <c r="A9077" s="59" t="s">
        <v>2870</v>
      </c>
      <c r="B9077" s="60" t="s">
        <v>962</v>
      </c>
    </row>
    <row r="9078" ht="12.75" customHeight="1">
      <c r="A9078" s="59" t="s">
        <v>2870</v>
      </c>
      <c r="B9078" s="60" t="s">
        <v>963</v>
      </c>
    </row>
    <row r="9079" ht="12.75" customHeight="1">
      <c r="A9079" s="59" t="s">
        <v>2870</v>
      </c>
      <c r="B9079" s="60" t="s">
        <v>964</v>
      </c>
    </row>
    <row r="9080" ht="12.75" customHeight="1">
      <c r="A9080" s="59" t="s">
        <v>2870</v>
      </c>
      <c r="B9080" s="60" t="s">
        <v>965</v>
      </c>
    </row>
    <row r="9081" ht="12.75" customHeight="1">
      <c r="A9081" s="59" t="s">
        <v>2870</v>
      </c>
      <c r="B9081" s="60" t="s">
        <v>966</v>
      </c>
    </row>
    <row r="9082" ht="12.75" customHeight="1">
      <c r="A9082" s="59" t="s">
        <v>2870</v>
      </c>
      <c r="B9082" s="60" t="s">
        <v>967</v>
      </c>
    </row>
    <row r="9083" ht="12.75" customHeight="1">
      <c r="A9083" s="59" t="s">
        <v>2870</v>
      </c>
      <c r="B9083" s="60" t="s">
        <v>968</v>
      </c>
    </row>
    <row r="9084" ht="12.75" customHeight="1">
      <c r="A9084" s="59" t="s">
        <v>2870</v>
      </c>
      <c r="B9084" s="60" t="s">
        <v>969</v>
      </c>
    </row>
    <row r="9085" ht="12.75" customHeight="1">
      <c r="A9085" s="59" t="s">
        <v>2870</v>
      </c>
      <c r="B9085" s="60" t="s">
        <v>970</v>
      </c>
    </row>
    <row r="9086" ht="12.75" customHeight="1">
      <c r="A9086" s="59" t="s">
        <v>2870</v>
      </c>
      <c r="B9086" s="60" t="s">
        <v>971</v>
      </c>
    </row>
    <row r="9087" ht="12.75" customHeight="1">
      <c r="A9087" s="59" t="s">
        <v>2870</v>
      </c>
      <c r="B9087" s="60" t="s">
        <v>972</v>
      </c>
    </row>
    <row r="9088" ht="12.75" customHeight="1">
      <c r="A9088" s="59" t="s">
        <v>2870</v>
      </c>
      <c r="B9088" s="60" t="s">
        <v>973</v>
      </c>
    </row>
    <row r="9089" ht="12.75" customHeight="1">
      <c r="A9089" s="59" t="s">
        <v>2870</v>
      </c>
      <c r="B9089" s="60" t="s">
        <v>974</v>
      </c>
    </row>
    <row r="9090" ht="12.75" customHeight="1">
      <c r="A9090" s="59" t="s">
        <v>2870</v>
      </c>
      <c r="B9090" s="60" t="s">
        <v>975</v>
      </c>
    </row>
    <row r="9091" ht="12.75" customHeight="1">
      <c r="A9091" s="59" t="s">
        <v>2870</v>
      </c>
      <c r="B9091" s="60" t="s">
        <v>976</v>
      </c>
    </row>
    <row r="9092" ht="12.75" customHeight="1">
      <c r="A9092" s="59" t="s">
        <v>2870</v>
      </c>
      <c r="B9092" s="60" t="s">
        <v>977</v>
      </c>
    </row>
    <row r="9093" ht="12.75" customHeight="1">
      <c r="A9093" s="59" t="s">
        <v>2870</v>
      </c>
      <c r="B9093" s="60" t="s">
        <v>978</v>
      </c>
    </row>
    <row r="9094" ht="12.75" customHeight="1">
      <c r="A9094" s="59" t="s">
        <v>2870</v>
      </c>
      <c r="B9094" s="60" t="s">
        <v>979</v>
      </c>
    </row>
    <row r="9095" ht="12.75" customHeight="1">
      <c r="A9095" s="59" t="s">
        <v>2870</v>
      </c>
      <c r="B9095" s="60" t="s">
        <v>980</v>
      </c>
    </row>
    <row r="9096" ht="12.75" customHeight="1">
      <c r="A9096" s="59" t="s">
        <v>2870</v>
      </c>
      <c r="B9096" s="60" t="s">
        <v>981</v>
      </c>
    </row>
    <row r="9097" ht="12.75" customHeight="1">
      <c r="A9097" s="59" t="s">
        <v>2870</v>
      </c>
      <c r="B9097" s="60" t="s">
        <v>982</v>
      </c>
    </row>
    <row r="9098" ht="12.75" customHeight="1">
      <c r="A9098" s="59" t="s">
        <v>2870</v>
      </c>
      <c r="B9098" s="60" t="s">
        <v>983</v>
      </c>
    </row>
    <row r="9099" ht="12.75" customHeight="1">
      <c r="A9099" s="59" t="s">
        <v>2870</v>
      </c>
      <c r="B9099" s="60" t="s">
        <v>984</v>
      </c>
    </row>
    <row r="9100" ht="12.75" customHeight="1">
      <c r="A9100" s="59" t="s">
        <v>2870</v>
      </c>
      <c r="B9100" s="60" t="s">
        <v>985</v>
      </c>
    </row>
    <row r="9101" ht="12.75" customHeight="1">
      <c r="A9101" s="59" t="s">
        <v>2870</v>
      </c>
      <c r="B9101" s="60" t="s">
        <v>986</v>
      </c>
    </row>
    <row r="9102" ht="12.75" customHeight="1">
      <c r="A9102" s="59" t="s">
        <v>2870</v>
      </c>
      <c r="B9102" s="60" t="s">
        <v>987</v>
      </c>
    </row>
    <row r="9103" ht="12.75" customHeight="1">
      <c r="A9103" s="59" t="s">
        <v>2870</v>
      </c>
      <c r="B9103" s="60" t="s">
        <v>988</v>
      </c>
    </row>
    <row r="9104" ht="12.75" customHeight="1">
      <c r="A9104" s="59" t="s">
        <v>2870</v>
      </c>
      <c r="B9104" s="60" t="s">
        <v>989</v>
      </c>
    </row>
    <row r="9105" ht="12.75" customHeight="1">
      <c r="A9105" s="59" t="s">
        <v>2870</v>
      </c>
      <c r="B9105" s="60" t="s">
        <v>990</v>
      </c>
    </row>
    <row r="9106" ht="12.75" customHeight="1">
      <c r="A9106" s="59" t="s">
        <v>2870</v>
      </c>
      <c r="B9106" s="60" t="s">
        <v>991</v>
      </c>
    </row>
    <row r="9107" ht="12.75" customHeight="1">
      <c r="A9107" s="59" t="s">
        <v>2870</v>
      </c>
      <c r="B9107" s="60" t="s">
        <v>992</v>
      </c>
    </row>
    <row r="9108" ht="12.75" customHeight="1">
      <c r="A9108" s="59" t="s">
        <v>2870</v>
      </c>
      <c r="B9108" s="60" t="s">
        <v>993</v>
      </c>
    </row>
    <row r="9109" ht="12.75" customHeight="1">
      <c r="A9109" s="59" t="s">
        <v>2870</v>
      </c>
      <c r="B9109" s="60" t="s">
        <v>994</v>
      </c>
    </row>
    <row r="9110" ht="12.75" customHeight="1">
      <c r="A9110" s="59" t="s">
        <v>2870</v>
      </c>
      <c r="B9110" s="60" t="s">
        <v>995</v>
      </c>
    </row>
    <row r="9111" ht="12.75" customHeight="1">
      <c r="A9111" s="59" t="s">
        <v>2870</v>
      </c>
      <c r="B9111" s="60" t="s">
        <v>996</v>
      </c>
    </row>
    <row r="9112" ht="12.75" customHeight="1">
      <c r="A9112" s="59" t="s">
        <v>2870</v>
      </c>
      <c r="B9112" s="60" t="s">
        <v>997</v>
      </c>
    </row>
    <row r="9113" ht="12.75" customHeight="1">
      <c r="A9113" s="59" t="s">
        <v>2870</v>
      </c>
      <c r="B9113" s="60" t="s">
        <v>998</v>
      </c>
    </row>
    <row r="9114" ht="12.75" customHeight="1">
      <c r="A9114" s="59" t="s">
        <v>2870</v>
      </c>
      <c r="B9114" s="60" t="s">
        <v>999</v>
      </c>
    </row>
    <row r="9115" ht="12.75" customHeight="1">
      <c r="A9115" s="59" t="s">
        <v>2870</v>
      </c>
      <c r="B9115" s="60" t="s">
        <v>1000</v>
      </c>
    </row>
    <row r="9116" ht="12.75" customHeight="1">
      <c r="A9116" s="59" t="s">
        <v>2870</v>
      </c>
      <c r="B9116" s="60" t="s">
        <v>1001</v>
      </c>
    </row>
    <row r="9117" ht="12.75" customHeight="1">
      <c r="A9117" s="59" t="s">
        <v>2870</v>
      </c>
      <c r="B9117" s="60" t="s">
        <v>1002</v>
      </c>
    </row>
    <row r="9118" ht="12.75" customHeight="1">
      <c r="A9118" s="59" t="s">
        <v>2870</v>
      </c>
      <c r="B9118" s="60" t="s">
        <v>1003</v>
      </c>
    </row>
    <row r="9119" ht="12.75" customHeight="1">
      <c r="A9119" s="59" t="s">
        <v>2870</v>
      </c>
      <c r="B9119" s="60" t="s">
        <v>1004</v>
      </c>
    </row>
    <row r="9120" ht="12.75" customHeight="1">
      <c r="A9120" s="59" t="s">
        <v>2870</v>
      </c>
      <c r="B9120" s="60" t="s">
        <v>1005</v>
      </c>
    </row>
    <row r="9121" ht="12.75" customHeight="1">
      <c r="A9121" s="59" t="s">
        <v>2870</v>
      </c>
      <c r="B9121" s="60" t="s">
        <v>1006</v>
      </c>
    </row>
    <row r="9122" ht="12.75" customHeight="1">
      <c r="A9122" s="59" t="s">
        <v>2870</v>
      </c>
      <c r="B9122" s="60" t="s">
        <v>1007</v>
      </c>
    </row>
    <row r="9123" ht="12.75" customHeight="1">
      <c r="A9123" s="59" t="s">
        <v>2870</v>
      </c>
      <c r="B9123" s="60" t="s">
        <v>1008</v>
      </c>
    </row>
    <row r="9124" ht="12.75" customHeight="1">
      <c r="A9124" s="59" t="s">
        <v>2870</v>
      </c>
      <c r="B9124" s="60" t="s">
        <v>1009</v>
      </c>
    </row>
    <row r="9125" ht="12.75" customHeight="1">
      <c r="A9125" s="59" t="s">
        <v>2870</v>
      </c>
      <c r="B9125" s="60" t="s">
        <v>1010</v>
      </c>
    </row>
    <row r="9126" ht="12.75" customHeight="1">
      <c r="A9126" s="59" t="s">
        <v>2870</v>
      </c>
      <c r="B9126" s="60" t="s">
        <v>1011</v>
      </c>
    </row>
    <row r="9127" ht="12.75" customHeight="1">
      <c r="A9127" s="59" t="s">
        <v>2870</v>
      </c>
      <c r="B9127" s="60" t="s">
        <v>1012</v>
      </c>
    </row>
    <row r="9128" ht="12.75" customHeight="1">
      <c r="A9128" s="59" t="s">
        <v>2870</v>
      </c>
      <c r="B9128" s="60" t="s">
        <v>1013</v>
      </c>
    </row>
    <row r="9129" ht="12.75" customHeight="1">
      <c r="A9129" s="59" t="s">
        <v>2870</v>
      </c>
      <c r="B9129" s="60" t="s">
        <v>1014</v>
      </c>
    </row>
    <row r="9130" ht="12.75" customHeight="1">
      <c r="A9130" s="59" t="s">
        <v>2870</v>
      </c>
      <c r="B9130" s="60" t="s">
        <v>1015</v>
      </c>
    </row>
    <row r="9131" ht="12.75" customHeight="1">
      <c r="A9131" s="59" t="s">
        <v>2870</v>
      </c>
      <c r="B9131" s="60" t="s">
        <v>1016</v>
      </c>
    </row>
    <row r="9132" ht="12.75" customHeight="1">
      <c r="A9132" s="59" t="s">
        <v>2870</v>
      </c>
      <c r="B9132" s="60" t="s">
        <v>1017</v>
      </c>
    </row>
    <row r="9133" ht="12.75" customHeight="1">
      <c r="A9133" s="59" t="s">
        <v>2870</v>
      </c>
      <c r="B9133" s="60" t="s">
        <v>1018</v>
      </c>
    </row>
    <row r="9134" ht="12.75" customHeight="1">
      <c r="A9134" s="59" t="s">
        <v>2870</v>
      </c>
      <c r="B9134" s="60" t="s">
        <v>1019</v>
      </c>
    </row>
    <row r="9135" ht="12.75" customHeight="1">
      <c r="A9135" s="59" t="s">
        <v>2870</v>
      </c>
      <c r="B9135" s="60" t="s">
        <v>1020</v>
      </c>
    </row>
    <row r="9136" ht="12.75" customHeight="1">
      <c r="A9136" s="59" t="s">
        <v>2870</v>
      </c>
      <c r="B9136" s="60" t="s">
        <v>1021</v>
      </c>
    </row>
    <row r="9137" ht="12.75" customHeight="1">
      <c r="A9137" s="59" t="s">
        <v>2870</v>
      </c>
      <c r="B9137" s="60" t="s">
        <v>1022</v>
      </c>
    </row>
    <row r="9138" ht="12.75" customHeight="1">
      <c r="A9138" s="59" t="s">
        <v>2870</v>
      </c>
      <c r="B9138" s="60" t="s">
        <v>1023</v>
      </c>
    </row>
    <row r="9139" ht="12.75" customHeight="1">
      <c r="A9139" s="59" t="s">
        <v>2870</v>
      </c>
      <c r="B9139" s="60" t="s">
        <v>1024</v>
      </c>
    </row>
    <row r="9140" ht="12.75" customHeight="1">
      <c r="A9140" s="59" t="s">
        <v>2870</v>
      </c>
      <c r="B9140" s="60" t="s">
        <v>1025</v>
      </c>
    </row>
    <row r="9141" ht="12.75" customHeight="1">
      <c r="A9141" s="59" t="s">
        <v>2870</v>
      </c>
      <c r="B9141" s="60" t="s">
        <v>1026</v>
      </c>
    </row>
    <row r="9142" ht="12.75" customHeight="1">
      <c r="A9142" s="59" t="s">
        <v>2870</v>
      </c>
      <c r="B9142" s="60" t="s">
        <v>1027</v>
      </c>
    </row>
    <row r="9143" ht="12.75" customHeight="1">
      <c r="A9143" s="59" t="s">
        <v>2870</v>
      </c>
      <c r="B9143" s="60" t="s">
        <v>1028</v>
      </c>
    </row>
    <row r="9144" ht="12.75" customHeight="1">
      <c r="A9144" s="59" t="s">
        <v>2870</v>
      </c>
      <c r="B9144" s="60" t="s">
        <v>1029</v>
      </c>
    </row>
    <row r="9145" ht="12.75" customHeight="1">
      <c r="A9145" s="59" t="s">
        <v>2870</v>
      </c>
      <c r="B9145" s="60" t="s">
        <v>1030</v>
      </c>
    </row>
    <row r="9146" ht="12.75" customHeight="1">
      <c r="A9146" s="59" t="s">
        <v>2870</v>
      </c>
      <c r="B9146" s="60" t="s">
        <v>1031</v>
      </c>
    </row>
    <row r="9147" ht="12.75" customHeight="1">
      <c r="A9147" s="59" t="s">
        <v>2870</v>
      </c>
      <c r="B9147" s="60" t="s">
        <v>1032</v>
      </c>
    </row>
    <row r="9148" ht="12.75" customHeight="1">
      <c r="A9148" s="59" t="s">
        <v>2870</v>
      </c>
      <c r="B9148" s="60" t="s">
        <v>1033</v>
      </c>
    </row>
    <row r="9149" ht="12.75" customHeight="1">
      <c r="A9149" s="59" t="s">
        <v>2870</v>
      </c>
      <c r="B9149" s="60" t="s">
        <v>1034</v>
      </c>
    </row>
    <row r="9150" ht="12.75" customHeight="1">
      <c r="A9150" s="59" t="s">
        <v>2870</v>
      </c>
      <c r="B9150" s="60" t="s">
        <v>1035</v>
      </c>
    </row>
    <row r="9151" ht="12.75" customHeight="1">
      <c r="A9151" s="59" t="s">
        <v>2870</v>
      </c>
      <c r="B9151" s="60" t="s">
        <v>1036</v>
      </c>
    </row>
    <row r="9152" ht="12.75" customHeight="1">
      <c r="A9152" s="59" t="s">
        <v>2870</v>
      </c>
      <c r="B9152" s="60" t="s">
        <v>1037</v>
      </c>
    </row>
    <row r="9153" ht="12.75" customHeight="1">
      <c r="A9153" s="59" t="s">
        <v>2870</v>
      </c>
      <c r="B9153" s="60" t="s">
        <v>1038</v>
      </c>
    </row>
    <row r="9154" ht="12.75" customHeight="1">
      <c r="A9154" s="59" t="s">
        <v>2870</v>
      </c>
      <c r="B9154" s="60" t="s">
        <v>1039</v>
      </c>
    </row>
    <row r="9155" ht="12.75" customHeight="1">
      <c r="A9155" s="59" t="s">
        <v>2870</v>
      </c>
      <c r="B9155" s="60" t="s">
        <v>1040</v>
      </c>
    </row>
    <row r="9156" ht="12.75" customHeight="1">
      <c r="A9156" s="59" t="s">
        <v>2870</v>
      </c>
      <c r="B9156" s="60" t="s">
        <v>1041</v>
      </c>
    </row>
    <row r="9157" ht="12.75" customHeight="1">
      <c r="A9157" s="59" t="s">
        <v>2870</v>
      </c>
      <c r="B9157" s="60" t="s">
        <v>1042</v>
      </c>
    </row>
    <row r="9158" ht="12.75" customHeight="1">
      <c r="A9158" s="59" t="s">
        <v>2870</v>
      </c>
      <c r="B9158" s="60" t="s">
        <v>1043</v>
      </c>
    </row>
    <row r="9159" ht="12.75" customHeight="1">
      <c r="A9159" s="59" t="s">
        <v>2870</v>
      </c>
      <c r="B9159" s="60" t="s">
        <v>1044</v>
      </c>
    </row>
    <row r="9160" ht="12.75" customHeight="1">
      <c r="A9160" s="59" t="s">
        <v>2870</v>
      </c>
      <c r="B9160" s="60" t="s">
        <v>1045</v>
      </c>
    </row>
    <row r="9161" ht="12.75" customHeight="1">
      <c r="A9161" s="59" t="s">
        <v>2870</v>
      </c>
      <c r="B9161" s="60" t="s">
        <v>1046</v>
      </c>
    </row>
    <row r="9162" ht="12.75" customHeight="1">
      <c r="A9162" s="59" t="s">
        <v>2870</v>
      </c>
      <c r="B9162" s="60" t="s">
        <v>1047</v>
      </c>
    </row>
    <row r="9163" ht="12.75" customHeight="1">
      <c r="A9163" s="59" t="s">
        <v>2870</v>
      </c>
      <c r="B9163" s="60" t="s">
        <v>1048</v>
      </c>
    </row>
    <row r="9164" ht="12.75" customHeight="1">
      <c r="A9164" s="59" t="s">
        <v>2870</v>
      </c>
      <c r="B9164" s="60" t="s">
        <v>1049</v>
      </c>
    </row>
    <row r="9165" ht="12.75" customHeight="1">
      <c r="A9165" s="59" t="s">
        <v>2870</v>
      </c>
      <c r="B9165" s="60" t="s">
        <v>1050</v>
      </c>
    </row>
    <row r="9166" ht="12.75" customHeight="1">
      <c r="A9166" s="59" t="s">
        <v>2870</v>
      </c>
      <c r="B9166" s="60" t="s">
        <v>1051</v>
      </c>
    </row>
    <row r="9167" ht="12.75" customHeight="1">
      <c r="A9167" s="59" t="s">
        <v>2870</v>
      </c>
      <c r="B9167" s="60" t="s">
        <v>1052</v>
      </c>
    </row>
    <row r="9168" ht="12.75" customHeight="1">
      <c r="A9168" s="59" t="s">
        <v>2870</v>
      </c>
      <c r="B9168" s="60" t="s">
        <v>1053</v>
      </c>
    </row>
    <row r="9169" ht="12.75" customHeight="1">
      <c r="A9169" s="59" t="s">
        <v>2870</v>
      </c>
      <c r="B9169" s="60" t="s">
        <v>1054</v>
      </c>
    </row>
    <row r="9170" ht="12.75" customHeight="1">
      <c r="A9170" s="59" t="s">
        <v>2870</v>
      </c>
      <c r="B9170" s="60" t="s">
        <v>1055</v>
      </c>
    </row>
    <row r="9171" ht="12.75" customHeight="1">
      <c r="A9171" s="59" t="s">
        <v>2870</v>
      </c>
      <c r="B9171" s="60" t="s">
        <v>1056</v>
      </c>
    </row>
    <row r="9172" ht="12.75" customHeight="1">
      <c r="A9172" s="59" t="s">
        <v>2870</v>
      </c>
      <c r="B9172" s="60" t="s">
        <v>1057</v>
      </c>
    </row>
    <row r="9173" ht="12.75" customHeight="1">
      <c r="A9173" s="59" t="s">
        <v>2870</v>
      </c>
      <c r="B9173" s="60" t="s">
        <v>1058</v>
      </c>
    </row>
    <row r="9174" ht="12.75" customHeight="1">
      <c r="A9174" s="59" t="s">
        <v>2870</v>
      </c>
      <c r="B9174" s="60" t="s">
        <v>1059</v>
      </c>
    </row>
    <row r="9175" ht="12.75" customHeight="1">
      <c r="A9175" s="59" t="s">
        <v>2870</v>
      </c>
      <c r="B9175" s="60" t="s">
        <v>1060</v>
      </c>
    </row>
    <row r="9176" ht="12.75" customHeight="1">
      <c r="A9176" s="59" t="s">
        <v>2870</v>
      </c>
      <c r="B9176" s="60" t="s">
        <v>1061</v>
      </c>
    </row>
    <row r="9177" ht="12.75" customHeight="1">
      <c r="A9177" s="59" t="s">
        <v>2870</v>
      </c>
      <c r="B9177" s="60" t="s">
        <v>1062</v>
      </c>
    </row>
    <row r="9178" ht="12.75" customHeight="1">
      <c r="A9178" s="59" t="s">
        <v>2870</v>
      </c>
      <c r="B9178" s="60" t="s">
        <v>1063</v>
      </c>
    </row>
    <row r="9179" ht="12.75" customHeight="1">
      <c r="A9179" s="59" t="s">
        <v>2870</v>
      </c>
      <c r="B9179" s="60" t="s">
        <v>1064</v>
      </c>
    </row>
    <row r="9180" ht="12.75" customHeight="1">
      <c r="A9180" s="59" t="s">
        <v>2870</v>
      </c>
      <c r="B9180" s="60" t="s">
        <v>1065</v>
      </c>
    </row>
    <row r="9181" ht="12.75" customHeight="1">
      <c r="A9181" s="59" t="s">
        <v>2870</v>
      </c>
      <c r="B9181" s="60" t="s">
        <v>1066</v>
      </c>
    </row>
    <row r="9182" ht="12.75" customHeight="1">
      <c r="A9182" s="59" t="s">
        <v>2870</v>
      </c>
      <c r="B9182" s="60" t="s">
        <v>1067</v>
      </c>
    </row>
    <row r="9183" ht="12.75" customHeight="1">
      <c r="A9183" s="59" t="s">
        <v>2870</v>
      </c>
      <c r="B9183" s="60" t="s">
        <v>1068</v>
      </c>
    </row>
    <row r="9184" ht="12.75" customHeight="1">
      <c r="A9184" s="59" t="s">
        <v>2870</v>
      </c>
      <c r="B9184" s="60" t="s">
        <v>1069</v>
      </c>
    </row>
    <row r="9185" ht="12.75" customHeight="1">
      <c r="A9185" s="59" t="s">
        <v>2870</v>
      </c>
      <c r="B9185" s="60" t="s">
        <v>1070</v>
      </c>
    </row>
    <row r="9186" ht="12.75" customHeight="1">
      <c r="A9186" s="59" t="s">
        <v>2870</v>
      </c>
      <c r="B9186" s="60" t="s">
        <v>1071</v>
      </c>
    </row>
    <row r="9187" ht="12.75" customHeight="1">
      <c r="A9187" s="59" t="s">
        <v>2870</v>
      </c>
      <c r="B9187" s="60" t="s">
        <v>1072</v>
      </c>
    </row>
    <row r="9188" ht="12.75" customHeight="1">
      <c r="A9188" s="59" t="s">
        <v>2870</v>
      </c>
      <c r="B9188" s="60" t="s">
        <v>1073</v>
      </c>
    </row>
    <row r="9189" ht="12.75" customHeight="1">
      <c r="A9189" s="59" t="s">
        <v>2870</v>
      </c>
      <c r="B9189" s="60" t="s">
        <v>1074</v>
      </c>
    </row>
    <row r="9190" ht="12.75" customHeight="1">
      <c r="A9190" s="59" t="s">
        <v>2870</v>
      </c>
      <c r="B9190" s="60" t="s">
        <v>1075</v>
      </c>
    </row>
    <row r="9191" ht="12.75" customHeight="1">
      <c r="A9191" s="59" t="s">
        <v>2870</v>
      </c>
      <c r="B9191" s="60" t="s">
        <v>1076</v>
      </c>
    </row>
    <row r="9192" ht="12.75" customHeight="1">
      <c r="A9192" s="59" t="s">
        <v>2870</v>
      </c>
      <c r="B9192" s="60" t="s">
        <v>1077</v>
      </c>
    </row>
    <row r="9193" ht="12.75" customHeight="1">
      <c r="A9193" s="59" t="s">
        <v>2870</v>
      </c>
      <c r="B9193" s="60" t="s">
        <v>1078</v>
      </c>
    </row>
    <row r="9194" ht="12.75" customHeight="1">
      <c r="A9194" s="59" t="s">
        <v>2870</v>
      </c>
      <c r="B9194" s="60" t="s">
        <v>1079</v>
      </c>
    </row>
    <row r="9195" ht="12.75" customHeight="1">
      <c r="A9195" s="59" t="s">
        <v>2870</v>
      </c>
      <c r="B9195" s="60" t="s">
        <v>1080</v>
      </c>
    </row>
    <row r="9196" ht="12.75" customHeight="1">
      <c r="A9196" s="59" t="s">
        <v>2870</v>
      </c>
      <c r="B9196" s="60" t="s">
        <v>1081</v>
      </c>
    </row>
    <row r="9197" ht="12.75" customHeight="1">
      <c r="A9197" s="59" t="s">
        <v>2870</v>
      </c>
      <c r="B9197" s="60" t="s">
        <v>1082</v>
      </c>
    </row>
    <row r="9198" ht="12.75" customHeight="1">
      <c r="A9198" s="59" t="s">
        <v>2870</v>
      </c>
      <c r="B9198" s="60" t="s">
        <v>1083</v>
      </c>
    </row>
    <row r="9199" ht="12.75" customHeight="1">
      <c r="A9199" s="59" t="s">
        <v>2870</v>
      </c>
      <c r="B9199" s="60" t="s">
        <v>1084</v>
      </c>
    </row>
    <row r="9200" ht="12.75" customHeight="1">
      <c r="A9200" s="59" t="s">
        <v>2870</v>
      </c>
      <c r="B9200" s="60" t="s">
        <v>1085</v>
      </c>
    </row>
    <row r="9201" ht="12.75" customHeight="1">
      <c r="A9201" s="59" t="s">
        <v>2870</v>
      </c>
      <c r="B9201" s="60" t="s">
        <v>1086</v>
      </c>
    </row>
    <row r="9202" ht="12.75" customHeight="1">
      <c r="A9202" s="59" t="s">
        <v>2870</v>
      </c>
      <c r="B9202" s="60" t="s">
        <v>1087</v>
      </c>
    </row>
    <row r="9203" ht="12.75" customHeight="1">
      <c r="A9203" s="59" t="s">
        <v>2870</v>
      </c>
      <c r="B9203" s="60" t="s">
        <v>1088</v>
      </c>
    </row>
    <row r="9204" ht="12.75" customHeight="1">
      <c r="A9204" s="59" t="s">
        <v>2870</v>
      </c>
      <c r="B9204" s="60" t="s">
        <v>1089</v>
      </c>
    </row>
    <row r="9205" ht="12.75" customHeight="1">
      <c r="A9205" s="59" t="s">
        <v>2870</v>
      </c>
      <c r="B9205" s="60" t="s">
        <v>1090</v>
      </c>
    </row>
    <row r="9206" ht="12.75" customHeight="1">
      <c r="A9206" s="59" t="s">
        <v>2870</v>
      </c>
      <c r="B9206" s="60" t="s">
        <v>1091</v>
      </c>
    </row>
    <row r="9207" ht="12.75" customHeight="1">
      <c r="A9207" s="59" t="s">
        <v>2870</v>
      </c>
      <c r="B9207" s="60" t="s">
        <v>1092</v>
      </c>
    </row>
    <row r="9208" ht="12.75" customHeight="1">
      <c r="A9208" s="59" t="s">
        <v>2870</v>
      </c>
      <c r="B9208" s="60" t="s">
        <v>1093</v>
      </c>
    </row>
    <row r="9209" ht="12.75" customHeight="1">
      <c r="A9209" s="59" t="s">
        <v>2870</v>
      </c>
      <c r="B9209" s="60" t="s">
        <v>1094</v>
      </c>
    </row>
    <row r="9210" ht="12.75" customHeight="1">
      <c r="A9210" s="59" t="s">
        <v>2870</v>
      </c>
      <c r="B9210" s="60" t="s">
        <v>1095</v>
      </c>
    </row>
    <row r="9211" ht="12.75" customHeight="1">
      <c r="A9211" s="59" t="s">
        <v>2870</v>
      </c>
      <c r="B9211" s="60" t="s">
        <v>1096</v>
      </c>
    </row>
    <row r="9212" ht="12.75" customHeight="1">
      <c r="A9212" s="59" t="s">
        <v>2870</v>
      </c>
      <c r="B9212" s="60" t="s">
        <v>1097</v>
      </c>
    </row>
    <row r="9213" ht="12.75" customHeight="1">
      <c r="A9213" s="59" t="s">
        <v>2870</v>
      </c>
      <c r="B9213" s="60" t="s">
        <v>1098</v>
      </c>
    </row>
    <row r="9214" ht="12.75" customHeight="1">
      <c r="A9214" s="59" t="s">
        <v>2870</v>
      </c>
      <c r="B9214" s="60" t="s">
        <v>1099</v>
      </c>
    </row>
    <row r="9215" ht="12.75" customHeight="1">
      <c r="A9215" s="59" t="s">
        <v>2870</v>
      </c>
      <c r="B9215" s="60" t="s">
        <v>1100</v>
      </c>
    </row>
    <row r="9216" ht="12.75" customHeight="1">
      <c r="A9216" s="59" t="s">
        <v>2870</v>
      </c>
      <c r="B9216" s="60" t="s">
        <v>1101</v>
      </c>
    </row>
    <row r="9217" ht="12.75" customHeight="1">
      <c r="A9217" s="59" t="s">
        <v>2870</v>
      </c>
      <c r="B9217" s="60" t="s">
        <v>1102</v>
      </c>
    </row>
    <row r="9218" ht="12.75" customHeight="1">
      <c r="A9218" s="59" t="s">
        <v>2870</v>
      </c>
      <c r="B9218" s="60" t="s">
        <v>1103</v>
      </c>
    </row>
    <row r="9219" ht="12.75" customHeight="1">
      <c r="A9219" s="59" t="s">
        <v>2870</v>
      </c>
      <c r="B9219" s="60" t="s">
        <v>1104</v>
      </c>
    </row>
    <row r="9220" ht="12.75" customHeight="1">
      <c r="A9220" s="59" t="s">
        <v>2870</v>
      </c>
      <c r="B9220" s="60" t="s">
        <v>1105</v>
      </c>
    </row>
    <row r="9221" ht="12.75" customHeight="1">
      <c r="A9221" s="59" t="s">
        <v>2870</v>
      </c>
      <c r="B9221" s="60" t="s">
        <v>1106</v>
      </c>
    </row>
    <row r="9222" ht="12.75" customHeight="1">
      <c r="A9222" s="59" t="s">
        <v>2870</v>
      </c>
      <c r="B9222" s="60" t="s">
        <v>1107</v>
      </c>
    </row>
    <row r="9223" ht="12.75" customHeight="1">
      <c r="A9223" s="59" t="s">
        <v>2870</v>
      </c>
      <c r="B9223" s="60" t="s">
        <v>1108</v>
      </c>
    </row>
    <row r="9224" ht="12.75" customHeight="1">
      <c r="A9224" s="59" t="s">
        <v>2870</v>
      </c>
      <c r="B9224" s="60" t="s">
        <v>1109</v>
      </c>
    </row>
    <row r="9225" ht="12.75" customHeight="1">
      <c r="A9225" s="59" t="s">
        <v>2870</v>
      </c>
      <c r="B9225" s="60" t="s">
        <v>1110</v>
      </c>
    </row>
    <row r="9226" ht="12.75" customHeight="1">
      <c r="A9226" s="59" t="s">
        <v>2870</v>
      </c>
      <c r="B9226" s="60" t="s">
        <v>1111</v>
      </c>
    </row>
    <row r="9227" ht="12.75" customHeight="1">
      <c r="A9227" s="59" t="s">
        <v>2870</v>
      </c>
      <c r="B9227" s="60" t="s">
        <v>1112</v>
      </c>
    </row>
    <row r="9228" ht="12.75" customHeight="1">
      <c r="A9228" s="59" t="s">
        <v>2870</v>
      </c>
      <c r="B9228" s="60" t="s">
        <v>1113</v>
      </c>
    </row>
    <row r="9229" ht="12.75" customHeight="1">
      <c r="A9229" s="59" t="s">
        <v>2870</v>
      </c>
      <c r="B9229" s="60" t="s">
        <v>1114</v>
      </c>
    </row>
    <row r="9230" ht="12.75" customHeight="1">
      <c r="A9230" s="59" t="s">
        <v>2870</v>
      </c>
      <c r="B9230" s="60" t="s">
        <v>1115</v>
      </c>
    </row>
    <row r="9231" ht="12.75" customHeight="1">
      <c r="A9231" s="59" t="s">
        <v>2870</v>
      </c>
      <c r="B9231" s="60" t="s">
        <v>1116</v>
      </c>
    </row>
    <row r="9232" ht="12.75" customHeight="1">
      <c r="A9232" s="59" t="s">
        <v>2870</v>
      </c>
      <c r="B9232" s="60" t="s">
        <v>1117</v>
      </c>
    </row>
    <row r="9233" ht="12.75" customHeight="1">
      <c r="A9233" s="59" t="s">
        <v>2870</v>
      </c>
      <c r="B9233" s="60" t="s">
        <v>1118</v>
      </c>
    </row>
    <row r="9234" ht="12.75" customHeight="1">
      <c r="A9234" s="59" t="s">
        <v>2870</v>
      </c>
      <c r="B9234" s="60" t="s">
        <v>1119</v>
      </c>
    </row>
    <row r="9235" ht="12.75" customHeight="1">
      <c r="A9235" s="59" t="s">
        <v>2870</v>
      </c>
      <c r="B9235" s="60" t="s">
        <v>1120</v>
      </c>
    </row>
    <row r="9236" ht="12.75" customHeight="1">
      <c r="A9236" s="59" t="s">
        <v>2870</v>
      </c>
      <c r="B9236" s="60" t="s">
        <v>1121</v>
      </c>
    </row>
    <row r="9237" ht="12.75" customHeight="1">
      <c r="A9237" s="59" t="s">
        <v>2870</v>
      </c>
      <c r="B9237" s="60" t="s">
        <v>1122</v>
      </c>
    </row>
    <row r="9238" ht="12.75" customHeight="1">
      <c r="A9238" s="59" t="s">
        <v>2870</v>
      </c>
      <c r="B9238" s="60" t="s">
        <v>1123</v>
      </c>
    </row>
    <row r="9239" ht="12.75" customHeight="1">
      <c r="A9239" s="59" t="s">
        <v>2870</v>
      </c>
      <c r="B9239" s="60" t="s">
        <v>1124</v>
      </c>
    </row>
    <row r="9240" ht="12.75" customHeight="1">
      <c r="A9240" s="59" t="s">
        <v>2870</v>
      </c>
      <c r="B9240" s="60" t="s">
        <v>1125</v>
      </c>
    </row>
    <row r="9241" ht="12.75" customHeight="1">
      <c r="A9241" s="59" t="s">
        <v>2870</v>
      </c>
      <c r="B9241" s="60" t="s">
        <v>1126</v>
      </c>
    </row>
    <row r="9242" ht="12.75" customHeight="1">
      <c r="A9242" s="59" t="s">
        <v>2870</v>
      </c>
      <c r="B9242" s="60" t="s">
        <v>1127</v>
      </c>
    </row>
    <row r="9243" ht="12.75" customHeight="1">
      <c r="A9243" s="59" t="s">
        <v>2870</v>
      </c>
      <c r="B9243" s="60" t="s">
        <v>1128</v>
      </c>
    </row>
    <row r="9244" ht="12.75" customHeight="1">
      <c r="A9244" s="59" t="s">
        <v>2870</v>
      </c>
      <c r="B9244" s="60" t="s">
        <v>1129</v>
      </c>
    </row>
    <row r="9245" ht="12.75" customHeight="1">
      <c r="A9245" s="59" t="s">
        <v>2870</v>
      </c>
      <c r="B9245" s="60" t="s">
        <v>1130</v>
      </c>
    </row>
    <row r="9246" ht="12.75" customHeight="1">
      <c r="A9246" s="59" t="s">
        <v>2870</v>
      </c>
      <c r="B9246" s="60" t="s">
        <v>1131</v>
      </c>
    </row>
    <row r="9247" ht="12.75" customHeight="1">
      <c r="A9247" s="59" t="s">
        <v>2870</v>
      </c>
      <c r="B9247" s="60" t="s">
        <v>1132</v>
      </c>
    </row>
    <row r="9248" ht="12.75" customHeight="1">
      <c r="A9248" s="59" t="s">
        <v>2870</v>
      </c>
      <c r="B9248" s="60" t="s">
        <v>1133</v>
      </c>
    </row>
    <row r="9249" ht="12.75" customHeight="1">
      <c r="A9249" s="59" t="s">
        <v>2870</v>
      </c>
      <c r="B9249" s="60" t="s">
        <v>1134</v>
      </c>
    </row>
    <row r="9250" ht="12.75" customHeight="1">
      <c r="A9250" s="59" t="s">
        <v>2870</v>
      </c>
      <c r="B9250" s="60" t="s">
        <v>1135</v>
      </c>
    </row>
    <row r="9251" ht="12.75" customHeight="1">
      <c r="A9251" s="59" t="s">
        <v>2870</v>
      </c>
      <c r="B9251" s="60" t="s">
        <v>1136</v>
      </c>
    </row>
    <row r="9252" ht="12.75" customHeight="1">
      <c r="A9252" s="59" t="s">
        <v>2870</v>
      </c>
      <c r="B9252" s="60" t="s">
        <v>1137</v>
      </c>
    </row>
    <row r="9253" ht="12.75" customHeight="1">
      <c r="A9253" s="59" t="s">
        <v>2870</v>
      </c>
      <c r="B9253" s="60" t="s">
        <v>1138</v>
      </c>
    </row>
    <row r="9254" ht="12.75" customHeight="1">
      <c r="A9254" s="59" t="s">
        <v>2870</v>
      </c>
      <c r="B9254" s="60" t="s">
        <v>1139</v>
      </c>
    </row>
    <row r="9255" ht="12.75" customHeight="1">
      <c r="A9255" s="59" t="s">
        <v>2870</v>
      </c>
      <c r="B9255" s="60" t="s">
        <v>1140</v>
      </c>
    </row>
    <row r="9256" ht="12.75" customHeight="1">
      <c r="A9256" s="59" t="s">
        <v>2870</v>
      </c>
      <c r="B9256" s="60" t="s">
        <v>1141</v>
      </c>
    </row>
    <row r="9257" ht="12.75" customHeight="1">
      <c r="A9257" s="59" t="s">
        <v>2870</v>
      </c>
      <c r="B9257" s="60" t="s">
        <v>1142</v>
      </c>
    </row>
    <row r="9258" ht="12.75" customHeight="1">
      <c r="A9258" s="59" t="s">
        <v>2870</v>
      </c>
      <c r="B9258" s="60" t="s">
        <v>1143</v>
      </c>
    </row>
    <row r="9259" ht="12.75" customHeight="1">
      <c r="A9259" s="59" t="s">
        <v>2870</v>
      </c>
      <c r="B9259" s="60" t="s">
        <v>1144</v>
      </c>
    </row>
    <row r="9260" ht="12.75" customHeight="1">
      <c r="A9260" s="59" t="s">
        <v>2870</v>
      </c>
      <c r="B9260" s="60" t="s">
        <v>1145</v>
      </c>
    </row>
    <row r="9261" ht="12.75" customHeight="1">
      <c r="A9261" s="59" t="s">
        <v>2870</v>
      </c>
      <c r="B9261" s="60" t="s">
        <v>1146</v>
      </c>
    </row>
    <row r="9262" ht="12.75" customHeight="1">
      <c r="A9262" s="59" t="s">
        <v>2870</v>
      </c>
      <c r="B9262" s="60" t="s">
        <v>1147</v>
      </c>
    </row>
    <row r="9263" ht="12.75" customHeight="1">
      <c r="A9263" s="59" t="s">
        <v>2870</v>
      </c>
      <c r="B9263" s="60" t="s">
        <v>1148</v>
      </c>
    </row>
    <row r="9264" ht="12.75" customHeight="1">
      <c r="A9264" s="59" t="s">
        <v>2870</v>
      </c>
      <c r="B9264" s="60" t="s">
        <v>1149</v>
      </c>
    </row>
    <row r="9265" ht="12.75" customHeight="1">
      <c r="A9265" s="59" t="s">
        <v>2870</v>
      </c>
      <c r="B9265" s="60" t="s">
        <v>1150</v>
      </c>
    </row>
    <row r="9266" ht="12.75" customHeight="1">
      <c r="A9266" s="59" t="s">
        <v>2870</v>
      </c>
      <c r="B9266" s="60" t="s">
        <v>1151</v>
      </c>
    </row>
    <row r="9267" ht="12.75" customHeight="1">
      <c r="A9267" s="59" t="s">
        <v>2870</v>
      </c>
      <c r="B9267" s="60" t="s">
        <v>1152</v>
      </c>
    </row>
    <row r="9268" ht="12.75" customHeight="1">
      <c r="A9268" s="59" t="s">
        <v>2870</v>
      </c>
      <c r="B9268" s="60" t="s">
        <v>1153</v>
      </c>
    </row>
    <row r="9269" ht="12.75" customHeight="1">
      <c r="A9269" s="59" t="s">
        <v>2870</v>
      </c>
      <c r="B9269" s="60" t="s">
        <v>1154</v>
      </c>
    </row>
    <row r="9270" ht="12.75" customHeight="1">
      <c r="A9270" s="59" t="s">
        <v>2870</v>
      </c>
      <c r="B9270" s="60" t="s">
        <v>1155</v>
      </c>
    </row>
    <row r="9271" ht="12.75" customHeight="1">
      <c r="A9271" s="59" t="s">
        <v>2870</v>
      </c>
      <c r="B9271" s="60" t="s">
        <v>1156</v>
      </c>
    </row>
    <row r="9272" ht="12.75" customHeight="1">
      <c r="A9272" s="59" t="s">
        <v>2870</v>
      </c>
      <c r="B9272" s="60" t="s">
        <v>1157</v>
      </c>
    </row>
    <row r="9273" ht="12.75" customHeight="1">
      <c r="A9273" s="59" t="s">
        <v>2870</v>
      </c>
      <c r="B9273" s="60" t="s">
        <v>1158</v>
      </c>
    </row>
    <row r="9274" ht="12.75" customHeight="1">
      <c r="A9274" s="59" t="s">
        <v>2870</v>
      </c>
      <c r="B9274" s="60" t="s">
        <v>1159</v>
      </c>
    </row>
    <row r="9275" ht="12.75" customHeight="1">
      <c r="A9275" s="59" t="s">
        <v>2870</v>
      </c>
      <c r="B9275" s="60" t="s">
        <v>1160</v>
      </c>
    </row>
    <row r="9276" ht="12.75" customHeight="1">
      <c r="A9276" s="59" t="s">
        <v>2870</v>
      </c>
      <c r="B9276" s="60" t="s">
        <v>1161</v>
      </c>
    </row>
    <row r="9277" ht="12.75" customHeight="1">
      <c r="A9277" s="59" t="s">
        <v>2870</v>
      </c>
      <c r="B9277" s="60" t="s">
        <v>1162</v>
      </c>
    </row>
    <row r="9278" ht="12.75" customHeight="1">
      <c r="A9278" s="59" t="s">
        <v>2870</v>
      </c>
      <c r="B9278" s="60" t="s">
        <v>1163</v>
      </c>
    </row>
    <row r="9279" ht="12.75" customHeight="1">
      <c r="A9279" s="59" t="s">
        <v>2870</v>
      </c>
      <c r="B9279" s="60" t="s">
        <v>1164</v>
      </c>
    </row>
    <row r="9280" ht="12.75" customHeight="1">
      <c r="A9280" s="59" t="s">
        <v>2870</v>
      </c>
      <c r="B9280" s="60" t="s">
        <v>1165</v>
      </c>
    </row>
    <row r="9281" ht="12.75" customHeight="1">
      <c r="A9281" s="59" t="s">
        <v>2870</v>
      </c>
      <c r="B9281" s="60" t="s">
        <v>1166</v>
      </c>
    </row>
    <row r="9282" ht="12.75" customHeight="1">
      <c r="A9282" s="59" t="s">
        <v>2870</v>
      </c>
      <c r="B9282" s="60" t="s">
        <v>1167</v>
      </c>
    </row>
    <row r="9283" ht="12.75" customHeight="1">
      <c r="A9283" s="59" t="s">
        <v>2870</v>
      </c>
      <c r="B9283" s="60" t="s">
        <v>1168</v>
      </c>
    </row>
    <row r="9284" ht="12.75" customHeight="1">
      <c r="A9284" s="59" t="s">
        <v>2870</v>
      </c>
      <c r="B9284" s="60" t="s">
        <v>1169</v>
      </c>
    </row>
    <row r="9285" ht="12.75" customHeight="1">
      <c r="A9285" s="59" t="s">
        <v>2870</v>
      </c>
      <c r="B9285" s="60" t="s">
        <v>1170</v>
      </c>
    </row>
    <row r="9286" ht="12.75" customHeight="1">
      <c r="A9286" s="59" t="s">
        <v>2870</v>
      </c>
      <c r="B9286" s="60" t="s">
        <v>1171</v>
      </c>
    </row>
    <row r="9287" ht="12.75" customHeight="1">
      <c r="A9287" s="59" t="s">
        <v>2870</v>
      </c>
      <c r="B9287" s="60" t="s">
        <v>1172</v>
      </c>
    </row>
    <row r="9288" ht="12.75" customHeight="1">
      <c r="A9288" s="59" t="s">
        <v>2870</v>
      </c>
      <c r="B9288" s="60" t="s">
        <v>1173</v>
      </c>
    </row>
    <row r="9289" ht="12.75" customHeight="1">
      <c r="A9289" s="59" t="s">
        <v>2870</v>
      </c>
      <c r="B9289" s="60" t="s">
        <v>1174</v>
      </c>
    </row>
    <row r="9290" ht="12.75" customHeight="1">
      <c r="A9290" s="59" t="s">
        <v>2870</v>
      </c>
      <c r="B9290" s="60" t="s">
        <v>1175</v>
      </c>
    </row>
    <row r="9291" ht="12.75" customHeight="1">
      <c r="A9291" s="59" t="s">
        <v>2870</v>
      </c>
      <c r="B9291" s="60" t="s">
        <v>1176</v>
      </c>
    </row>
    <row r="9292" ht="12.75" customHeight="1">
      <c r="A9292" s="59" t="s">
        <v>2870</v>
      </c>
      <c r="B9292" s="60" t="s">
        <v>1177</v>
      </c>
    </row>
    <row r="9293" ht="12.75" customHeight="1">
      <c r="A9293" s="59" t="s">
        <v>2870</v>
      </c>
      <c r="B9293" s="60" t="s">
        <v>1178</v>
      </c>
    </row>
    <row r="9294" ht="12.75" customHeight="1">
      <c r="A9294" s="59" t="s">
        <v>2870</v>
      </c>
      <c r="B9294" s="60" t="s">
        <v>1179</v>
      </c>
    </row>
    <row r="9295" ht="12.75" customHeight="1">
      <c r="A9295" s="59" t="s">
        <v>2870</v>
      </c>
      <c r="B9295" s="60" t="s">
        <v>1180</v>
      </c>
    </row>
    <row r="9296" ht="12.75" customHeight="1">
      <c r="A9296" s="59" t="s">
        <v>2870</v>
      </c>
      <c r="B9296" s="60" t="s">
        <v>1181</v>
      </c>
    </row>
    <row r="9297" ht="12.75" customHeight="1">
      <c r="A9297" s="59" t="s">
        <v>2870</v>
      </c>
      <c r="B9297" s="60" t="s">
        <v>1182</v>
      </c>
    </row>
    <row r="9298" ht="12.75" customHeight="1">
      <c r="A9298" s="59" t="s">
        <v>2870</v>
      </c>
      <c r="B9298" s="60" t="s">
        <v>1183</v>
      </c>
    </row>
    <row r="9299" ht="12.75" customHeight="1">
      <c r="A9299" s="59" t="s">
        <v>2870</v>
      </c>
      <c r="B9299" s="60" t="s">
        <v>1184</v>
      </c>
    </row>
    <row r="9300" ht="12.75" customHeight="1">
      <c r="A9300" s="59" t="s">
        <v>2870</v>
      </c>
      <c r="B9300" s="60" t="s">
        <v>1185</v>
      </c>
    </row>
    <row r="9301" ht="12.75" customHeight="1">
      <c r="A9301" s="59" t="s">
        <v>2870</v>
      </c>
      <c r="B9301" s="60" t="s">
        <v>1186</v>
      </c>
    </row>
    <row r="9302" ht="12.75" customHeight="1">
      <c r="A9302" s="59" t="s">
        <v>2870</v>
      </c>
      <c r="B9302" s="60" t="s">
        <v>1187</v>
      </c>
    </row>
    <row r="9303" ht="12.75" customHeight="1">
      <c r="A9303" s="59" t="s">
        <v>2870</v>
      </c>
      <c r="B9303" s="60" t="s">
        <v>1188</v>
      </c>
    </row>
    <row r="9304" ht="12.75" customHeight="1">
      <c r="A9304" s="59" t="s">
        <v>2870</v>
      </c>
      <c r="B9304" s="60" t="s">
        <v>1189</v>
      </c>
    </row>
    <row r="9305" ht="12.75" customHeight="1">
      <c r="A9305" s="59" t="s">
        <v>2870</v>
      </c>
      <c r="B9305" s="60" t="s">
        <v>1190</v>
      </c>
    </row>
    <row r="9306" ht="12.75" customHeight="1">
      <c r="A9306" s="59" t="s">
        <v>2870</v>
      </c>
      <c r="B9306" s="60" t="s">
        <v>1191</v>
      </c>
    </row>
    <row r="9307" ht="12.75" customHeight="1">
      <c r="A9307" s="59" t="s">
        <v>2870</v>
      </c>
      <c r="B9307" s="60" t="s">
        <v>1192</v>
      </c>
    </row>
    <row r="9308" ht="12.75" customHeight="1">
      <c r="A9308" s="59" t="s">
        <v>2871</v>
      </c>
      <c r="B9308" s="60">
        <v>0.0</v>
      </c>
    </row>
    <row r="9309" ht="12.75" customHeight="1">
      <c r="A9309" s="59" t="s">
        <v>2871</v>
      </c>
      <c r="B9309" s="60">
        <v>0.0</v>
      </c>
    </row>
    <row r="9310" ht="12.75" customHeight="1">
      <c r="A9310" s="59" t="s">
        <v>2871</v>
      </c>
      <c r="B9310" s="60">
        <v>2.0</v>
      </c>
    </row>
    <row r="9311" ht="12.75" customHeight="1">
      <c r="A9311" s="59" t="s">
        <v>2871</v>
      </c>
      <c r="B9311" s="60">
        <v>4.0</v>
      </c>
    </row>
    <row r="9312" ht="12.75" customHeight="1">
      <c r="A9312" s="59" t="s">
        <v>2871</v>
      </c>
      <c r="B9312" s="60">
        <v>6.0</v>
      </c>
    </row>
    <row r="9313" ht="12.75" customHeight="1">
      <c r="A9313" s="59" t="s">
        <v>2871</v>
      </c>
      <c r="B9313" s="60">
        <v>8.0</v>
      </c>
    </row>
    <row r="9314" ht="12.75" customHeight="1">
      <c r="A9314" s="59" t="s">
        <v>2871</v>
      </c>
      <c r="B9314" s="60">
        <v>10.0</v>
      </c>
    </row>
    <row r="9315" ht="12.75" customHeight="1">
      <c r="A9315" s="59" t="s">
        <v>2871</v>
      </c>
      <c r="B9315" s="60">
        <v>12.0</v>
      </c>
    </row>
    <row r="9316" ht="12.75" customHeight="1">
      <c r="A9316" s="59" t="s">
        <v>2871</v>
      </c>
      <c r="B9316" s="60" t="s">
        <v>803</v>
      </c>
    </row>
    <row r="9317" ht="12.75" customHeight="1">
      <c r="A9317" s="59" t="s">
        <v>2871</v>
      </c>
      <c r="B9317" s="60" t="s">
        <v>804</v>
      </c>
    </row>
    <row r="9318" ht="12.75" customHeight="1">
      <c r="A9318" s="59" t="s">
        <v>2871</v>
      </c>
      <c r="B9318" s="60" t="s">
        <v>76</v>
      </c>
    </row>
    <row r="9319" ht="12.75" customHeight="1">
      <c r="A9319" s="59" t="s">
        <v>2871</v>
      </c>
      <c r="B9319" s="60" t="s">
        <v>80</v>
      </c>
    </row>
    <row r="9320" ht="12.75" customHeight="1">
      <c r="A9320" s="59" t="s">
        <v>2871</v>
      </c>
      <c r="B9320" s="60" t="s">
        <v>83</v>
      </c>
    </row>
    <row r="9321" ht="12.75" customHeight="1">
      <c r="A9321" s="59" t="s">
        <v>2871</v>
      </c>
      <c r="B9321" s="60" t="s">
        <v>85</v>
      </c>
    </row>
    <row r="9322" ht="12.75" customHeight="1">
      <c r="A9322" s="59" t="s">
        <v>2871</v>
      </c>
      <c r="B9322" s="60" t="s">
        <v>805</v>
      </c>
    </row>
    <row r="9323" ht="12.75" customHeight="1">
      <c r="A9323" s="59" t="s">
        <v>2871</v>
      </c>
      <c r="B9323" s="60" t="s">
        <v>806</v>
      </c>
    </row>
    <row r="9324" ht="12.75" customHeight="1">
      <c r="A9324" s="59" t="s">
        <v>2871</v>
      </c>
      <c r="B9324" s="60" t="s">
        <v>807</v>
      </c>
    </row>
    <row r="9325" ht="12.75" customHeight="1">
      <c r="A9325" s="59" t="s">
        <v>2871</v>
      </c>
      <c r="B9325" s="60" t="s">
        <v>753</v>
      </c>
    </row>
    <row r="9326" ht="12.75" customHeight="1">
      <c r="A9326" s="59" t="s">
        <v>2871</v>
      </c>
      <c r="B9326" s="60" t="s">
        <v>757</v>
      </c>
    </row>
    <row r="9327" ht="12.75" customHeight="1">
      <c r="A9327" s="59" t="s">
        <v>2871</v>
      </c>
      <c r="B9327" s="60" t="s">
        <v>761</v>
      </c>
    </row>
    <row r="9328" ht="12.75" customHeight="1">
      <c r="A9328" s="59" t="s">
        <v>2871</v>
      </c>
      <c r="B9328" s="60" t="s">
        <v>765</v>
      </c>
    </row>
    <row r="9329" ht="12.75" customHeight="1">
      <c r="A9329" s="59" t="s">
        <v>2871</v>
      </c>
      <c r="B9329" s="60" t="s">
        <v>808</v>
      </c>
    </row>
    <row r="9330" ht="12.75" customHeight="1">
      <c r="A9330" s="59" t="s">
        <v>2871</v>
      </c>
      <c r="B9330" s="60" t="s">
        <v>809</v>
      </c>
    </row>
    <row r="9331" ht="12.75" customHeight="1">
      <c r="A9331" s="59" t="s">
        <v>2871</v>
      </c>
      <c r="B9331" s="60" t="s">
        <v>810</v>
      </c>
    </row>
    <row r="9332" ht="12.75" customHeight="1">
      <c r="A9332" s="59" t="s">
        <v>2871</v>
      </c>
      <c r="B9332" s="60" t="s">
        <v>811</v>
      </c>
    </row>
    <row r="9333" ht="12.75" customHeight="1">
      <c r="A9333" s="59" t="s">
        <v>2871</v>
      </c>
      <c r="B9333" s="60" t="s">
        <v>812</v>
      </c>
    </row>
    <row r="9334" ht="12.75" customHeight="1">
      <c r="A9334" s="59" t="s">
        <v>2871</v>
      </c>
      <c r="B9334" s="60" t="s">
        <v>813</v>
      </c>
    </row>
    <row r="9335" ht="12.75" customHeight="1">
      <c r="A9335" s="59" t="s">
        <v>2871</v>
      </c>
      <c r="B9335" s="60" t="s">
        <v>814</v>
      </c>
    </row>
    <row r="9336" ht="12.75" customHeight="1">
      <c r="A9336" s="59" t="s">
        <v>2871</v>
      </c>
      <c r="B9336" s="60" t="s">
        <v>815</v>
      </c>
    </row>
    <row r="9337" ht="12.75" customHeight="1">
      <c r="A9337" s="59" t="s">
        <v>2871</v>
      </c>
      <c r="B9337" s="60" t="s">
        <v>816</v>
      </c>
    </row>
    <row r="9338" ht="12.75" customHeight="1">
      <c r="A9338" s="59" t="s">
        <v>2871</v>
      </c>
      <c r="B9338" s="60" t="s">
        <v>771</v>
      </c>
    </row>
    <row r="9339" ht="12.75" customHeight="1">
      <c r="A9339" s="59" t="s">
        <v>2871</v>
      </c>
      <c r="B9339" s="60" t="s">
        <v>775</v>
      </c>
    </row>
    <row r="9340" ht="12.75" customHeight="1">
      <c r="A9340" s="59" t="s">
        <v>2871</v>
      </c>
      <c r="B9340" s="60" t="s">
        <v>779</v>
      </c>
    </row>
    <row r="9341" ht="12.75" customHeight="1">
      <c r="A9341" s="59" t="s">
        <v>2871</v>
      </c>
      <c r="B9341" s="60" t="s">
        <v>783</v>
      </c>
    </row>
    <row r="9342" ht="12.75" customHeight="1">
      <c r="A9342" s="59" t="s">
        <v>2871</v>
      </c>
      <c r="B9342" s="60" t="s">
        <v>817</v>
      </c>
    </row>
    <row r="9343" ht="12.75" customHeight="1">
      <c r="A9343" s="59" t="s">
        <v>2871</v>
      </c>
      <c r="B9343" s="60" t="s">
        <v>818</v>
      </c>
    </row>
    <row r="9344" ht="12.75" customHeight="1">
      <c r="A9344" s="59" t="s">
        <v>2871</v>
      </c>
      <c r="B9344" s="60" t="s">
        <v>819</v>
      </c>
    </row>
    <row r="9345" ht="12.75" customHeight="1">
      <c r="A9345" s="59" t="s">
        <v>2871</v>
      </c>
      <c r="B9345" s="60" t="s">
        <v>820</v>
      </c>
    </row>
    <row r="9346" ht="12.75" customHeight="1">
      <c r="A9346" s="59" t="s">
        <v>2871</v>
      </c>
      <c r="B9346" s="60" t="s">
        <v>821</v>
      </c>
    </row>
    <row r="9347" ht="12.75" customHeight="1">
      <c r="A9347" s="59" t="s">
        <v>2871</v>
      </c>
      <c r="B9347" s="60" t="s">
        <v>822</v>
      </c>
    </row>
    <row r="9348" ht="12.75" customHeight="1">
      <c r="A9348" s="59" t="s">
        <v>2871</v>
      </c>
      <c r="B9348" s="60" t="s">
        <v>823</v>
      </c>
    </row>
    <row r="9349" ht="12.75" customHeight="1">
      <c r="A9349" s="59" t="s">
        <v>2871</v>
      </c>
      <c r="B9349" s="60" t="s">
        <v>824</v>
      </c>
    </row>
    <row r="9350" ht="12.75" customHeight="1">
      <c r="A9350" s="59" t="s">
        <v>2871</v>
      </c>
      <c r="B9350" s="60" t="s">
        <v>825</v>
      </c>
    </row>
    <row r="9351" ht="12.75" customHeight="1">
      <c r="A9351" s="59" t="s">
        <v>2871</v>
      </c>
      <c r="B9351" s="60" t="s">
        <v>788</v>
      </c>
    </row>
    <row r="9352" ht="12.75" customHeight="1">
      <c r="A9352" s="59" t="s">
        <v>2871</v>
      </c>
      <c r="B9352" s="60" t="s">
        <v>792</v>
      </c>
    </row>
    <row r="9353" ht="12.75" customHeight="1">
      <c r="A9353" s="59" t="s">
        <v>2871</v>
      </c>
      <c r="B9353" s="60" t="s">
        <v>796</v>
      </c>
    </row>
    <row r="9354" ht="12.75" customHeight="1">
      <c r="A9354" s="59" t="s">
        <v>2871</v>
      </c>
      <c r="B9354" s="60" t="s">
        <v>800</v>
      </c>
    </row>
    <row r="9355" ht="12.75" customHeight="1">
      <c r="A9355" s="59" t="s">
        <v>2871</v>
      </c>
      <c r="B9355" s="60" t="s">
        <v>826</v>
      </c>
    </row>
    <row r="9356" ht="12.75" customHeight="1">
      <c r="A9356" s="59" t="s">
        <v>2871</v>
      </c>
      <c r="B9356" s="60" t="s">
        <v>827</v>
      </c>
    </row>
    <row r="9357" ht="12.75" customHeight="1">
      <c r="A9357" s="59" t="s">
        <v>2871</v>
      </c>
      <c r="B9357" s="60" t="s">
        <v>828</v>
      </c>
    </row>
    <row r="9358" ht="12.75" customHeight="1">
      <c r="A9358" s="59" t="s">
        <v>2871</v>
      </c>
      <c r="B9358" s="60" t="s">
        <v>829</v>
      </c>
    </row>
    <row r="9359" ht="12.75" customHeight="1">
      <c r="A9359" s="59" t="s">
        <v>2871</v>
      </c>
      <c r="B9359" s="60" t="s">
        <v>830</v>
      </c>
    </row>
    <row r="9360" ht="12.75" customHeight="1">
      <c r="A9360" s="59" t="s">
        <v>2871</v>
      </c>
      <c r="B9360" s="60" t="s">
        <v>831</v>
      </c>
    </row>
    <row r="9361" ht="12.75" customHeight="1">
      <c r="A9361" s="59" t="s">
        <v>2871</v>
      </c>
      <c r="B9361" s="60" t="s">
        <v>832</v>
      </c>
    </row>
    <row r="9362" ht="12.75" customHeight="1">
      <c r="A9362" s="59" t="s">
        <v>2871</v>
      </c>
      <c r="B9362" s="60" t="s">
        <v>833</v>
      </c>
    </row>
    <row r="9363" ht="12.75" customHeight="1">
      <c r="A9363" s="59" t="s">
        <v>2871</v>
      </c>
      <c r="B9363" s="60" t="s">
        <v>834</v>
      </c>
    </row>
    <row r="9364" ht="12.75" customHeight="1">
      <c r="A9364" s="59" t="s">
        <v>2871</v>
      </c>
      <c r="B9364" s="60">
        <v>14.0</v>
      </c>
    </row>
    <row r="9365" ht="12.75" customHeight="1">
      <c r="A9365" s="59" t="s">
        <v>2871</v>
      </c>
      <c r="B9365" s="60" t="s">
        <v>835</v>
      </c>
    </row>
    <row r="9366" ht="12.75" customHeight="1">
      <c r="A9366" s="59" t="s">
        <v>2871</v>
      </c>
      <c r="B9366" s="60">
        <v>16.0</v>
      </c>
    </row>
    <row r="9367" ht="12.75" customHeight="1">
      <c r="A9367" s="59" t="s">
        <v>2871</v>
      </c>
      <c r="B9367" s="60" t="s">
        <v>836</v>
      </c>
    </row>
    <row r="9368" ht="12.75" customHeight="1">
      <c r="A9368" s="59" t="s">
        <v>2871</v>
      </c>
      <c r="B9368" s="60">
        <v>18.0</v>
      </c>
    </row>
    <row r="9369" ht="12.75" customHeight="1">
      <c r="A9369" s="59" t="s">
        <v>2871</v>
      </c>
      <c r="B9369" s="60" t="s">
        <v>837</v>
      </c>
    </row>
    <row r="9370" ht="12.75" customHeight="1">
      <c r="A9370" s="59" t="s">
        <v>2871</v>
      </c>
      <c r="B9370" s="60">
        <v>20.0</v>
      </c>
    </row>
    <row r="9371" ht="12.75" customHeight="1">
      <c r="A9371" s="59" t="s">
        <v>2871</v>
      </c>
      <c r="B9371" s="60" t="s">
        <v>838</v>
      </c>
    </row>
    <row r="9372" ht="12.75" customHeight="1">
      <c r="A9372" s="59" t="s">
        <v>2871</v>
      </c>
      <c r="B9372" s="60">
        <v>22.0</v>
      </c>
    </row>
    <row r="9373" ht="12.75" customHeight="1">
      <c r="A9373" s="59" t="s">
        <v>2871</v>
      </c>
      <c r="B9373" s="60" t="s">
        <v>839</v>
      </c>
    </row>
    <row r="9374" ht="12.75" customHeight="1">
      <c r="A9374" s="59" t="s">
        <v>2871</v>
      </c>
      <c r="B9374" s="60">
        <v>24.0</v>
      </c>
    </row>
    <row r="9375" ht="12.75" customHeight="1">
      <c r="A9375" s="59" t="s">
        <v>2871</v>
      </c>
      <c r="B9375" s="60" t="s">
        <v>840</v>
      </c>
    </row>
    <row r="9376" ht="12.75" customHeight="1">
      <c r="A9376" s="59" t="s">
        <v>2871</v>
      </c>
      <c r="B9376" s="60">
        <v>26.0</v>
      </c>
    </row>
    <row r="9377" ht="12.75" customHeight="1">
      <c r="A9377" s="59" t="s">
        <v>2871</v>
      </c>
      <c r="B9377" s="60" t="s">
        <v>841</v>
      </c>
    </row>
    <row r="9378" ht="12.75" customHeight="1">
      <c r="A9378" s="59" t="s">
        <v>2871</v>
      </c>
      <c r="B9378" s="60">
        <v>28.0</v>
      </c>
    </row>
    <row r="9379" ht="12.75" customHeight="1">
      <c r="A9379" s="59" t="s">
        <v>2871</v>
      </c>
      <c r="B9379" s="60" t="s">
        <v>842</v>
      </c>
    </row>
    <row r="9380" ht="12.75" customHeight="1">
      <c r="A9380" s="59" t="s">
        <v>2871</v>
      </c>
      <c r="B9380" s="60">
        <v>30.0</v>
      </c>
    </row>
    <row r="9381" ht="12.75" customHeight="1">
      <c r="A9381" s="59" t="s">
        <v>2871</v>
      </c>
      <c r="B9381" s="60" t="s">
        <v>843</v>
      </c>
    </row>
    <row r="9382" ht="12.75" customHeight="1">
      <c r="A9382" s="59" t="s">
        <v>2871</v>
      </c>
      <c r="B9382" s="60">
        <v>32.0</v>
      </c>
    </row>
    <row r="9383" ht="12.75" customHeight="1">
      <c r="A9383" s="59" t="s">
        <v>2871</v>
      </c>
      <c r="B9383" s="60" t="s">
        <v>844</v>
      </c>
    </row>
    <row r="9384" ht="12.75" customHeight="1">
      <c r="A9384" s="59" t="s">
        <v>2871</v>
      </c>
      <c r="B9384" s="60" t="s">
        <v>845</v>
      </c>
    </row>
    <row r="9385" ht="12.75" customHeight="1">
      <c r="A9385" s="59" t="s">
        <v>2871</v>
      </c>
      <c r="B9385" s="60" t="s">
        <v>846</v>
      </c>
    </row>
    <row r="9386" ht="12.75" customHeight="1">
      <c r="A9386" s="59" t="s">
        <v>2871</v>
      </c>
      <c r="B9386" s="60" t="s">
        <v>847</v>
      </c>
    </row>
    <row r="9387" ht="12.75" customHeight="1">
      <c r="A9387" s="59" t="s">
        <v>2871</v>
      </c>
      <c r="B9387" s="60" t="s">
        <v>848</v>
      </c>
    </row>
    <row r="9388" ht="12.75" customHeight="1">
      <c r="A9388" s="59" t="s">
        <v>2871</v>
      </c>
      <c r="B9388" s="60" t="s">
        <v>849</v>
      </c>
    </row>
    <row r="9389" ht="12.75" customHeight="1">
      <c r="A9389" s="59" t="s">
        <v>2871</v>
      </c>
      <c r="B9389" s="60" t="s">
        <v>850</v>
      </c>
    </row>
    <row r="9390" ht="12.75" customHeight="1">
      <c r="A9390" s="59" t="s">
        <v>2871</v>
      </c>
      <c r="B9390" s="60" t="s">
        <v>851</v>
      </c>
    </row>
    <row r="9391" ht="12.75" customHeight="1">
      <c r="A9391" s="59" t="s">
        <v>2871</v>
      </c>
      <c r="B9391" s="60" t="s">
        <v>852</v>
      </c>
    </row>
    <row r="9392" ht="12.75" customHeight="1">
      <c r="A9392" s="59" t="s">
        <v>2871</v>
      </c>
      <c r="B9392" s="60" t="s">
        <v>853</v>
      </c>
    </row>
    <row r="9393" ht="12.75" customHeight="1">
      <c r="A9393" s="59" t="s">
        <v>2871</v>
      </c>
      <c r="B9393" s="60" t="s">
        <v>854</v>
      </c>
    </row>
    <row r="9394" ht="12.75" customHeight="1">
      <c r="A9394" s="59" t="s">
        <v>2871</v>
      </c>
      <c r="B9394" s="60" t="s">
        <v>855</v>
      </c>
    </row>
    <row r="9395" ht="12.75" customHeight="1">
      <c r="A9395" s="59" t="s">
        <v>2871</v>
      </c>
      <c r="B9395" s="60" t="s">
        <v>856</v>
      </c>
    </row>
    <row r="9396" ht="12.75" customHeight="1">
      <c r="A9396" s="59" t="s">
        <v>2871</v>
      </c>
      <c r="B9396" s="60" t="s">
        <v>857</v>
      </c>
    </row>
    <row r="9397" ht="12.75" customHeight="1">
      <c r="A9397" s="59" t="s">
        <v>2871</v>
      </c>
      <c r="B9397" s="60" t="s">
        <v>858</v>
      </c>
    </row>
    <row r="9398" ht="12.75" customHeight="1">
      <c r="A9398" s="59" t="s">
        <v>2871</v>
      </c>
      <c r="B9398" s="60" t="s">
        <v>859</v>
      </c>
    </row>
    <row r="9399" ht="12.75" customHeight="1">
      <c r="A9399" s="59" t="s">
        <v>2871</v>
      </c>
      <c r="B9399" s="60" t="s">
        <v>860</v>
      </c>
    </row>
    <row r="9400" ht="12.75" customHeight="1">
      <c r="A9400" s="59" t="s">
        <v>2871</v>
      </c>
      <c r="B9400" s="60" t="s">
        <v>861</v>
      </c>
    </row>
    <row r="9401" ht="12.75" customHeight="1">
      <c r="A9401" s="59" t="s">
        <v>2871</v>
      </c>
      <c r="B9401" s="60" t="s">
        <v>862</v>
      </c>
    </row>
    <row r="9402" ht="12.75" customHeight="1">
      <c r="A9402" s="59" t="s">
        <v>2871</v>
      </c>
      <c r="B9402" s="60" t="s">
        <v>863</v>
      </c>
    </row>
    <row r="9403" ht="12.75" customHeight="1">
      <c r="A9403" s="59" t="s">
        <v>2871</v>
      </c>
      <c r="B9403" s="60" t="s">
        <v>864</v>
      </c>
    </row>
    <row r="9404" ht="12.75" customHeight="1">
      <c r="A9404" s="59" t="s">
        <v>2871</v>
      </c>
      <c r="B9404" s="60" t="s">
        <v>865</v>
      </c>
    </row>
    <row r="9405" ht="12.75" customHeight="1">
      <c r="A9405" s="59" t="s">
        <v>2871</v>
      </c>
      <c r="B9405" s="60" t="s">
        <v>866</v>
      </c>
    </row>
    <row r="9406" ht="12.75" customHeight="1">
      <c r="A9406" s="59" t="s">
        <v>2871</v>
      </c>
      <c r="B9406" s="60" t="s">
        <v>867</v>
      </c>
    </row>
    <row r="9407" ht="12.75" customHeight="1">
      <c r="A9407" s="59" t="s">
        <v>2871</v>
      </c>
      <c r="B9407" s="60" t="s">
        <v>868</v>
      </c>
    </row>
    <row r="9408" ht="12.75" customHeight="1">
      <c r="A9408" s="59" t="s">
        <v>2871</v>
      </c>
      <c r="B9408" s="60" t="s">
        <v>869</v>
      </c>
    </row>
    <row r="9409" ht="12.75" customHeight="1">
      <c r="A9409" s="59" t="s">
        <v>2871</v>
      </c>
      <c r="B9409" s="60" t="s">
        <v>870</v>
      </c>
    </row>
    <row r="9410" ht="12.75" customHeight="1">
      <c r="A9410" s="59" t="s">
        <v>2871</v>
      </c>
      <c r="B9410" s="60" t="s">
        <v>871</v>
      </c>
    </row>
    <row r="9411" ht="12.75" customHeight="1">
      <c r="A9411" s="59" t="s">
        <v>2871</v>
      </c>
      <c r="B9411" s="60" t="s">
        <v>872</v>
      </c>
    </row>
    <row r="9412" ht="12.75" customHeight="1">
      <c r="A9412" s="59" t="s">
        <v>2871</v>
      </c>
      <c r="B9412" s="60" t="s">
        <v>873</v>
      </c>
    </row>
    <row r="9413" ht="12.75" customHeight="1">
      <c r="A9413" s="59" t="s">
        <v>2871</v>
      </c>
      <c r="B9413" s="60" t="s">
        <v>874</v>
      </c>
    </row>
    <row r="9414" ht="12.75" customHeight="1">
      <c r="A9414" s="59" t="s">
        <v>2871</v>
      </c>
      <c r="B9414" s="60" t="s">
        <v>875</v>
      </c>
    </row>
    <row r="9415" ht="12.75" customHeight="1">
      <c r="A9415" s="59" t="s">
        <v>2871</v>
      </c>
      <c r="B9415" s="60" t="s">
        <v>876</v>
      </c>
    </row>
    <row r="9416" ht="12.75" customHeight="1">
      <c r="A9416" s="59" t="s">
        <v>2871</v>
      </c>
      <c r="B9416" s="60" t="s">
        <v>877</v>
      </c>
    </row>
    <row r="9417" ht="12.75" customHeight="1">
      <c r="A9417" s="59" t="s">
        <v>2871</v>
      </c>
      <c r="B9417" s="60" t="s">
        <v>878</v>
      </c>
    </row>
    <row r="9418" ht="12.75" customHeight="1">
      <c r="A9418" s="59" t="s">
        <v>2871</v>
      </c>
      <c r="B9418" s="60" t="s">
        <v>879</v>
      </c>
    </row>
    <row r="9419" ht="12.75" customHeight="1">
      <c r="A9419" s="59" t="s">
        <v>2871</v>
      </c>
      <c r="B9419" s="60" t="s">
        <v>880</v>
      </c>
    </row>
    <row r="9420" ht="12.75" customHeight="1">
      <c r="A9420" s="59" t="s">
        <v>2871</v>
      </c>
      <c r="B9420" s="60" t="s">
        <v>881</v>
      </c>
    </row>
    <row r="9421" ht="12.75" customHeight="1">
      <c r="A9421" s="59" t="s">
        <v>2871</v>
      </c>
      <c r="B9421" s="60" t="s">
        <v>882</v>
      </c>
    </row>
    <row r="9422" ht="12.75" customHeight="1">
      <c r="A9422" s="59" t="s">
        <v>2871</v>
      </c>
      <c r="B9422" s="60" t="s">
        <v>883</v>
      </c>
    </row>
    <row r="9423" ht="12.75" customHeight="1">
      <c r="A9423" s="59" t="s">
        <v>2871</v>
      </c>
      <c r="B9423" s="60" t="s">
        <v>884</v>
      </c>
    </row>
    <row r="9424" ht="12.75" customHeight="1">
      <c r="A9424" s="59" t="s">
        <v>2871</v>
      </c>
      <c r="B9424" s="60" t="s">
        <v>885</v>
      </c>
    </row>
    <row r="9425" ht="12.75" customHeight="1">
      <c r="A9425" s="59" t="s">
        <v>2871</v>
      </c>
      <c r="B9425" s="60" t="s">
        <v>886</v>
      </c>
    </row>
    <row r="9426" ht="12.75" customHeight="1">
      <c r="A9426" s="59" t="s">
        <v>2871</v>
      </c>
      <c r="B9426" s="60" t="s">
        <v>887</v>
      </c>
    </row>
    <row r="9427" ht="12.75" customHeight="1">
      <c r="A9427" s="59" t="s">
        <v>2871</v>
      </c>
      <c r="B9427" s="60" t="s">
        <v>888</v>
      </c>
    </row>
    <row r="9428" ht="12.75" customHeight="1">
      <c r="A9428" s="59" t="s">
        <v>2871</v>
      </c>
      <c r="B9428" s="60" t="s">
        <v>889</v>
      </c>
    </row>
    <row r="9429" ht="12.75" customHeight="1">
      <c r="A9429" s="59" t="s">
        <v>2871</v>
      </c>
      <c r="B9429" s="60" t="s">
        <v>890</v>
      </c>
    </row>
    <row r="9430" ht="12.75" customHeight="1">
      <c r="A9430" s="59" t="s">
        <v>2871</v>
      </c>
      <c r="B9430" s="60" t="s">
        <v>891</v>
      </c>
    </row>
    <row r="9431" ht="12.75" customHeight="1">
      <c r="A9431" s="59" t="s">
        <v>2871</v>
      </c>
      <c r="B9431" s="60" t="s">
        <v>892</v>
      </c>
    </row>
    <row r="9432" ht="12.75" customHeight="1">
      <c r="A9432" s="59" t="s">
        <v>2871</v>
      </c>
      <c r="B9432" s="60" t="s">
        <v>893</v>
      </c>
    </row>
    <row r="9433" ht="12.75" customHeight="1">
      <c r="A9433" s="59" t="s">
        <v>2871</v>
      </c>
      <c r="B9433" s="60" t="s">
        <v>894</v>
      </c>
    </row>
    <row r="9434" ht="12.75" customHeight="1">
      <c r="A9434" s="59" t="s">
        <v>2871</v>
      </c>
      <c r="B9434" s="60" t="s">
        <v>895</v>
      </c>
    </row>
    <row r="9435" ht="12.75" customHeight="1">
      <c r="A9435" s="59" t="s">
        <v>2871</v>
      </c>
      <c r="B9435" s="60" t="s">
        <v>896</v>
      </c>
    </row>
    <row r="9436" ht="12.75" customHeight="1">
      <c r="A9436" s="59" t="s">
        <v>2871</v>
      </c>
      <c r="B9436" s="60" t="s">
        <v>897</v>
      </c>
    </row>
    <row r="9437" ht="12.75" customHeight="1">
      <c r="A9437" s="59" t="s">
        <v>2871</v>
      </c>
      <c r="B9437" s="60" t="s">
        <v>898</v>
      </c>
    </row>
    <row r="9438" ht="12.75" customHeight="1">
      <c r="A9438" s="59" t="s">
        <v>2871</v>
      </c>
      <c r="B9438" s="60" t="s">
        <v>899</v>
      </c>
    </row>
    <row r="9439" ht="12.75" customHeight="1">
      <c r="A9439" s="59" t="s">
        <v>2871</v>
      </c>
      <c r="B9439" s="60" t="s">
        <v>900</v>
      </c>
    </row>
    <row r="9440" ht="12.75" customHeight="1">
      <c r="A9440" s="59" t="s">
        <v>2871</v>
      </c>
      <c r="B9440" s="60" t="s">
        <v>901</v>
      </c>
    </row>
    <row r="9441" ht="12.75" customHeight="1">
      <c r="A9441" s="59" t="s">
        <v>2871</v>
      </c>
      <c r="B9441" s="60" t="s">
        <v>902</v>
      </c>
    </row>
    <row r="9442" ht="12.75" customHeight="1">
      <c r="A9442" s="59" t="s">
        <v>2871</v>
      </c>
      <c r="B9442" s="60" t="s">
        <v>903</v>
      </c>
    </row>
    <row r="9443" ht="12.75" customHeight="1">
      <c r="A9443" s="59" t="s">
        <v>2871</v>
      </c>
      <c r="B9443" s="60" t="s">
        <v>904</v>
      </c>
    </row>
    <row r="9444" ht="12.75" customHeight="1">
      <c r="A9444" s="59" t="s">
        <v>2871</v>
      </c>
      <c r="B9444" s="60" t="s">
        <v>905</v>
      </c>
    </row>
    <row r="9445" ht="12.75" customHeight="1">
      <c r="A9445" s="59" t="s">
        <v>2871</v>
      </c>
      <c r="B9445" s="60" t="s">
        <v>906</v>
      </c>
    </row>
    <row r="9446" ht="12.75" customHeight="1">
      <c r="A9446" s="59" t="s">
        <v>2871</v>
      </c>
      <c r="B9446" s="60" t="s">
        <v>907</v>
      </c>
    </row>
    <row r="9447" ht="12.75" customHeight="1">
      <c r="A9447" s="59" t="s">
        <v>2871</v>
      </c>
      <c r="B9447" s="60" t="s">
        <v>908</v>
      </c>
    </row>
    <row r="9448" ht="12.75" customHeight="1">
      <c r="A9448" s="59" t="s">
        <v>2871</v>
      </c>
      <c r="B9448" s="60" t="s">
        <v>909</v>
      </c>
    </row>
    <row r="9449" ht="12.75" customHeight="1">
      <c r="A9449" s="59" t="s">
        <v>2871</v>
      </c>
      <c r="B9449" s="60" t="s">
        <v>910</v>
      </c>
    </row>
    <row r="9450" ht="12.75" customHeight="1">
      <c r="A9450" s="59" t="s">
        <v>2871</v>
      </c>
      <c r="B9450" s="60" t="s">
        <v>911</v>
      </c>
    </row>
    <row r="9451" ht="12.75" customHeight="1">
      <c r="A9451" s="59" t="s">
        <v>2871</v>
      </c>
      <c r="B9451" s="60" t="s">
        <v>912</v>
      </c>
    </row>
    <row r="9452" ht="12.75" customHeight="1">
      <c r="A9452" s="59" t="s">
        <v>2871</v>
      </c>
      <c r="B9452" s="60" t="s">
        <v>913</v>
      </c>
    </row>
    <row r="9453" ht="12.75" customHeight="1">
      <c r="A9453" s="59" t="s">
        <v>2871</v>
      </c>
      <c r="B9453" s="60" t="s">
        <v>914</v>
      </c>
    </row>
    <row r="9454" ht="12.75" customHeight="1">
      <c r="A9454" s="59" t="s">
        <v>2871</v>
      </c>
      <c r="B9454" s="60" t="s">
        <v>915</v>
      </c>
    </row>
    <row r="9455" ht="12.75" customHeight="1">
      <c r="A9455" s="59" t="s">
        <v>2871</v>
      </c>
      <c r="B9455" s="60" t="s">
        <v>916</v>
      </c>
    </row>
    <row r="9456" ht="12.75" customHeight="1">
      <c r="A9456" s="59" t="s">
        <v>2871</v>
      </c>
      <c r="B9456" s="60" t="s">
        <v>917</v>
      </c>
    </row>
    <row r="9457" ht="12.75" customHeight="1">
      <c r="A9457" s="59" t="s">
        <v>2871</v>
      </c>
      <c r="B9457" s="60" t="s">
        <v>918</v>
      </c>
    </row>
    <row r="9458" ht="12.75" customHeight="1">
      <c r="A9458" s="59" t="s">
        <v>2871</v>
      </c>
      <c r="B9458" s="60" t="s">
        <v>919</v>
      </c>
    </row>
    <row r="9459" ht="12.75" customHeight="1">
      <c r="A9459" s="59" t="s">
        <v>2871</v>
      </c>
      <c r="B9459" s="60" t="s">
        <v>920</v>
      </c>
    </row>
    <row r="9460" ht="12.75" customHeight="1">
      <c r="A9460" s="59" t="s">
        <v>2871</v>
      </c>
      <c r="B9460" s="60" t="s">
        <v>921</v>
      </c>
    </row>
    <row r="9461" ht="12.75" customHeight="1">
      <c r="A9461" s="59" t="s">
        <v>2871</v>
      </c>
      <c r="B9461" s="60" t="s">
        <v>922</v>
      </c>
    </row>
    <row r="9462" ht="12.75" customHeight="1">
      <c r="A9462" s="59" t="s">
        <v>2871</v>
      </c>
      <c r="B9462" s="60" t="s">
        <v>923</v>
      </c>
    </row>
    <row r="9463" ht="12.75" customHeight="1">
      <c r="A9463" s="59" t="s">
        <v>2871</v>
      </c>
      <c r="B9463" s="60" t="s">
        <v>924</v>
      </c>
    </row>
    <row r="9464" ht="12.75" customHeight="1">
      <c r="A9464" s="59" t="s">
        <v>2871</v>
      </c>
      <c r="B9464" s="60" t="s">
        <v>925</v>
      </c>
    </row>
    <row r="9465" ht="12.75" customHeight="1">
      <c r="A9465" s="59" t="s">
        <v>2871</v>
      </c>
      <c r="B9465" s="60" t="s">
        <v>926</v>
      </c>
    </row>
    <row r="9466" ht="12.75" customHeight="1">
      <c r="A9466" s="59" t="s">
        <v>2871</v>
      </c>
      <c r="B9466" s="60" t="s">
        <v>927</v>
      </c>
    </row>
    <row r="9467" ht="12.75" customHeight="1">
      <c r="A9467" s="59" t="s">
        <v>2871</v>
      </c>
      <c r="B9467" s="60" t="s">
        <v>928</v>
      </c>
    </row>
    <row r="9468" ht="12.75" customHeight="1">
      <c r="A9468" s="59" t="s">
        <v>2871</v>
      </c>
      <c r="B9468" s="60" t="s">
        <v>929</v>
      </c>
    </row>
    <row r="9469" ht="12.75" customHeight="1">
      <c r="A9469" s="59" t="s">
        <v>2871</v>
      </c>
      <c r="B9469" s="60" t="s">
        <v>930</v>
      </c>
    </row>
    <row r="9470" ht="12.75" customHeight="1">
      <c r="A9470" s="59" t="s">
        <v>2871</v>
      </c>
      <c r="B9470" s="60" t="s">
        <v>931</v>
      </c>
    </row>
    <row r="9471" ht="12.75" customHeight="1">
      <c r="A9471" s="59" t="s">
        <v>2871</v>
      </c>
      <c r="B9471" s="60" t="s">
        <v>932</v>
      </c>
    </row>
    <row r="9472" ht="12.75" customHeight="1">
      <c r="A9472" s="59" t="s">
        <v>2871</v>
      </c>
      <c r="B9472" s="60" t="s">
        <v>933</v>
      </c>
    </row>
    <row r="9473" ht="12.75" customHeight="1">
      <c r="A9473" s="59" t="s">
        <v>2871</v>
      </c>
      <c r="B9473" s="60" t="s">
        <v>934</v>
      </c>
    </row>
    <row r="9474" ht="12.75" customHeight="1">
      <c r="A9474" s="59" t="s">
        <v>2871</v>
      </c>
      <c r="B9474" s="60" t="s">
        <v>935</v>
      </c>
    </row>
    <row r="9475" ht="12.75" customHeight="1">
      <c r="A9475" s="59" t="s">
        <v>2871</v>
      </c>
      <c r="B9475" s="60" t="s">
        <v>936</v>
      </c>
    </row>
    <row r="9476" ht="12.75" customHeight="1">
      <c r="A9476" s="59" t="s">
        <v>2871</v>
      </c>
      <c r="B9476" s="60" t="s">
        <v>937</v>
      </c>
    </row>
    <row r="9477" ht="12.75" customHeight="1">
      <c r="A9477" s="59" t="s">
        <v>2871</v>
      </c>
      <c r="B9477" s="60" t="s">
        <v>938</v>
      </c>
    </row>
    <row r="9478" ht="12.75" customHeight="1">
      <c r="A9478" s="59" t="s">
        <v>2871</v>
      </c>
      <c r="B9478" s="60" t="s">
        <v>939</v>
      </c>
    </row>
    <row r="9479" ht="12.75" customHeight="1">
      <c r="A9479" s="59" t="s">
        <v>2871</v>
      </c>
      <c r="B9479" s="60" t="s">
        <v>940</v>
      </c>
    </row>
    <row r="9480" ht="12.75" customHeight="1">
      <c r="A9480" s="59" t="s">
        <v>2871</v>
      </c>
      <c r="B9480" s="60" t="s">
        <v>941</v>
      </c>
    </row>
    <row r="9481" ht="12.75" customHeight="1">
      <c r="A9481" s="59" t="s">
        <v>2871</v>
      </c>
      <c r="B9481" s="60" t="s">
        <v>942</v>
      </c>
    </row>
    <row r="9482" ht="12.75" customHeight="1">
      <c r="A9482" s="59" t="s">
        <v>2871</v>
      </c>
      <c r="B9482" s="60" t="s">
        <v>943</v>
      </c>
    </row>
    <row r="9483" ht="12.75" customHeight="1">
      <c r="A9483" s="59" t="s">
        <v>2871</v>
      </c>
      <c r="B9483" s="60" t="s">
        <v>944</v>
      </c>
    </row>
    <row r="9484" ht="12.75" customHeight="1">
      <c r="A9484" s="59" t="s">
        <v>2871</v>
      </c>
      <c r="B9484" s="60" t="s">
        <v>945</v>
      </c>
    </row>
    <row r="9485" ht="12.75" customHeight="1">
      <c r="A9485" s="59" t="s">
        <v>2871</v>
      </c>
      <c r="B9485" s="60" t="s">
        <v>946</v>
      </c>
    </row>
    <row r="9486" ht="12.75" customHeight="1">
      <c r="A9486" s="59" t="s">
        <v>2871</v>
      </c>
      <c r="B9486" s="60" t="s">
        <v>947</v>
      </c>
    </row>
    <row r="9487" ht="12.75" customHeight="1">
      <c r="A9487" s="59" t="s">
        <v>2871</v>
      </c>
      <c r="B9487" s="60" t="s">
        <v>948</v>
      </c>
    </row>
    <row r="9488" ht="12.75" customHeight="1">
      <c r="A9488" s="59" t="s">
        <v>2871</v>
      </c>
      <c r="B9488" s="60" t="s">
        <v>949</v>
      </c>
    </row>
    <row r="9489" ht="12.75" customHeight="1">
      <c r="A9489" s="59" t="s">
        <v>2871</v>
      </c>
      <c r="B9489" s="60" t="s">
        <v>950</v>
      </c>
    </row>
    <row r="9490" ht="12.75" customHeight="1">
      <c r="A9490" s="59" t="s">
        <v>2871</v>
      </c>
      <c r="B9490" s="60" t="s">
        <v>951</v>
      </c>
    </row>
    <row r="9491" ht="12.75" customHeight="1">
      <c r="A9491" s="59" t="s">
        <v>2871</v>
      </c>
      <c r="B9491" s="60" t="s">
        <v>952</v>
      </c>
    </row>
    <row r="9492" ht="12.75" customHeight="1">
      <c r="A9492" s="59" t="s">
        <v>2871</v>
      </c>
      <c r="B9492" s="60" t="s">
        <v>953</v>
      </c>
    </row>
    <row r="9493" ht="12.75" customHeight="1">
      <c r="A9493" s="59" t="s">
        <v>2871</v>
      </c>
      <c r="B9493" s="60" t="s">
        <v>954</v>
      </c>
    </row>
    <row r="9494" ht="12.75" customHeight="1">
      <c r="A9494" s="59" t="s">
        <v>2871</v>
      </c>
      <c r="B9494" s="60" t="s">
        <v>955</v>
      </c>
    </row>
    <row r="9495" ht="12.75" customHeight="1">
      <c r="A9495" s="59" t="s">
        <v>2871</v>
      </c>
      <c r="B9495" s="60" t="s">
        <v>956</v>
      </c>
    </row>
    <row r="9496" ht="12.75" customHeight="1">
      <c r="A9496" s="59" t="s">
        <v>2871</v>
      </c>
      <c r="B9496" s="60" t="s">
        <v>957</v>
      </c>
    </row>
    <row r="9497" ht="12.75" customHeight="1">
      <c r="A9497" s="59" t="s">
        <v>2871</v>
      </c>
      <c r="B9497" s="60" t="s">
        <v>958</v>
      </c>
    </row>
    <row r="9498" ht="12.75" customHeight="1">
      <c r="A9498" s="59" t="s">
        <v>2871</v>
      </c>
      <c r="B9498" s="60" t="s">
        <v>959</v>
      </c>
    </row>
    <row r="9499" ht="12.75" customHeight="1">
      <c r="A9499" s="59" t="s">
        <v>2871</v>
      </c>
      <c r="B9499" s="60" t="s">
        <v>960</v>
      </c>
    </row>
    <row r="9500" ht="12.75" customHeight="1">
      <c r="A9500" s="59" t="s">
        <v>2871</v>
      </c>
      <c r="B9500" s="60" t="s">
        <v>961</v>
      </c>
    </row>
    <row r="9501" ht="12.75" customHeight="1">
      <c r="A9501" s="59" t="s">
        <v>2871</v>
      </c>
      <c r="B9501" s="60" t="s">
        <v>962</v>
      </c>
    </row>
    <row r="9502" ht="12.75" customHeight="1">
      <c r="A9502" s="59" t="s">
        <v>2871</v>
      </c>
      <c r="B9502" s="60" t="s">
        <v>963</v>
      </c>
    </row>
    <row r="9503" ht="12.75" customHeight="1">
      <c r="A9503" s="59" t="s">
        <v>2871</v>
      </c>
      <c r="B9503" s="60" t="s">
        <v>964</v>
      </c>
    </row>
    <row r="9504" ht="12.75" customHeight="1">
      <c r="A9504" s="59" t="s">
        <v>2871</v>
      </c>
      <c r="B9504" s="60" t="s">
        <v>965</v>
      </c>
    </row>
    <row r="9505" ht="12.75" customHeight="1">
      <c r="A9505" s="59" t="s">
        <v>2871</v>
      </c>
      <c r="B9505" s="60" t="s">
        <v>966</v>
      </c>
    </row>
    <row r="9506" ht="12.75" customHeight="1">
      <c r="A9506" s="59" t="s">
        <v>2871</v>
      </c>
      <c r="B9506" s="60" t="s">
        <v>967</v>
      </c>
    </row>
    <row r="9507" ht="12.75" customHeight="1">
      <c r="A9507" s="59" t="s">
        <v>2871</v>
      </c>
      <c r="B9507" s="60" t="s">
        <v>968</v>
      </c>
    </row>
    <row r="9508" ht="12.75" customHeight="1">
      <c r="A9508" s="59" t="s">
        <v>2871</v>
      </c>
      <c r="B9508" s="60" t="s">
        <v>969</v>
      </c>
    </row>
    <row r="9509" ht="12.75" customHeight="1">
      <c r="A9509" s="59" t="s">
        <v>2871</v>
      </c>
      <c r="B9509" s="60" t="s">
        <v>970</v>
      </c>
    </row>
    <row r="9510" ht="12.75" customHeight="1">
      <c r="A9510" s="59" t="s">
        <v>2871</v>
      </c>
      <c r="B9510" s="60" t="s">
        <v>971</v>
      </c>
    </row>
    <row r="9511" ht="12.75" customHeight="1">
      <c r="A9511" s="59" t="s">
        <v>2871</v>
      </c>
      <c r="B9511" s="60" t="s">
        <v>972</v>
      </c>
    </row>
    <row r="9512" ht="12.75" customHeight="1">
      <c r="A9512" s="59" t="s">
        <v>2871</v>
      </c>
      <c r="B9512" s="60" t="s">
        <v>973</v>
      </c>
    </row>
    <row r="9513" ht="12.75" customHeight="1">
      <c r="A9513" s="59" t="s">
        <v>2871</v>
      </c>
      <c r="B9513" s="60" t="s">
        <v>974</v>
      </c>
    </row>
    <row r="9514" ht="12.75" customHeight="1">
      <c r="A9514" s="59" t="s">
        <v>2871</v>
      </c>
      <c r="B9514" s="60" t="s">
        <v>975</v>
      </c>
    </row>
    <row r="9515" ht="12.75" customHeight="1">
      <c r="A9515" s="59" t="s">
        <v>2871</v>
      </c>
      <c r="B9515" s="60" t="s">
        <v>976</v>
      </c>
    </row>
    <row r="9516" ht="12.75" customHeight="1">
      <c r="A9516" s="59" t="s">
        <v>2871</v>
      </c>
      <c r="B9516" s="60" t="s">
        <v>977</v>
      </c>
    </row>
    <row r="9517" ht="12.75" customHeight="1">
      <c r="A9517" s="59" t="s">
        <v>2871</v>
      </c>
      <c r="B9517" s="60" t="s">
        <v>978</v>
      </c>
    </row>
    <row r="9518" ht="12.75" customHeight="1">
      <c r="A9518" s="59" t="s">
        <v>2871</v>
      </c>
      <c r="B9518" s="60" t="s">
        <v>979</v>
      </c>
    </row>
    <row r="9519" ht="12.75" customHeight="1">
      <c r="A9519" s="59" t="s">
        <v>2871</v>
      </c>
      <c r="B9519" s="60" t="s">
        <v>980</v>
      </c>
    </row>
    <row r="9520" ht="12.75" customHeight="1">
      <c r="A9520" s="59" t="s">
        <v>2871</v>
      </c>
      <c r="B9520" s="60" t="s">
        <v>981</v>
      </c>
    </row>
    <row r="9521" ht="12.75" customHeight="1">
      <c r="A9521" s="59" t="s">
        <v>2871</v>
      </c>
      <c r="B9521" s="60" t="s">
        <v>982</v>
      </c>
    </row>
    <row r="9522" ht="12.75" customHeight="1">
      <c r="A9522" s="59" t="s">
        <v>2871</v>
      </c>
      <c r="B9522" s="60" t="s">
        <v>983</v>
      </c>
    </row>
    <row r="9523" ht="12.75" customHeight="1">
      <c r="A9523" s="59" t="s">
        <v>2871</v>
      </c>
      <c r="B9523" s="60" t="s">
        <v>984</v>
      </c>
    </row>
    <row r="9524" ht="12.75" customHeight="1">
      <c r="A9524" s="59" t="s">
        <v>2871</v>
      </c>
      <c r="B9524" s="60" t="s">
        <v>985</v>
      </c>
    </row>
    <row r="9525" ht="12.75" customHeight="1">
      <c r="A9525" s="59" t="s">
        <v>2871</v>
      </c>
      <c r="B9525" s="60" t="s">
        <v>986</v>
      </c>
    </row>
    <row r="9526" ht="12.75" customHeight="1">
      <c r="A9526" s="59" t="s">
        <v>2871</v>
      </c>
      <c r="B9526" s="60" t="s">
        <v>987</v>
      </c>
    </row>
    <row r="9527" ht="12.75" customHeight="1">
      <c r="A9527" s="59" t="s">
        <v>2871</v>
      </c>
      <c r="B9527" s="60" t="s">
        <v>988</v>
      </c>
    </row>
    <row r="9528" ht="12.75" customHeight="1">
      <c r="A9528" s="59" t="s">
        <v>2871</v>
      </c>
      <c r="B9528" s="60" t="s">
        <v>989</v>
      </c>
    </row>
    <row r="9529" ht="12.75" customHeight="1">
      <c r="A9529" s="59" t="s">
        <v>2871</v>
      </c>
      <c r="B9529" s="60" t="s">
        <v>990</v>
      </c>
    </row>
    <row r="9530" ht="12.75" customHeight="1">
      <c r="A9530" s="59" t="s">
        <v>2871</v>
      </c>
      <c r="B9530" s="60" t="s">
        <v>991</v>
      </c>
    </row>
    <row r="9531" ht="12.75" customHeight="1">
      <c r="A9531" s="59" t="s">
        <v>2871</v>
      </c>
      <c r="B9531" s="60" t="s">
        <v>992</v>
      </c>
    </row>
    <row r="9532" ht="12.75" customHeight="1">
      <c r="A9532" s="59" t="s">
        <v>2871</v>
      </c>
      <c r="B9532" s="60" t="s">
        <v>993</v>
      </c>
    </row>
    <row r="9533" ht="12.75" customHeight="1">
      <c r="A9533" s="59" t="s">
        <v>2871</v>
      </c>
      <c r="B9533" s="60" t="s">
        <v>994</v>
      </c>
    </row>
    <row r="9534" ht="12.75" customHeight="1">
      <c r="A9534" s="59" t="s">
        <v>2871</v>
      </c>
      <c r="B9534" s="60" t="s">
        <v>995</v>
      </c>
    </row>
    <row r="9535" ht="12.75" customHeight="1">
      <c r="A9535" s="59" t="s">
        <v>2871</v>
      </c>
      <c r="B9535" s="60" t="s">
        <v>996</v>
      </c>
    </row>
    <row r="9536" ht="12.75" customHeight="1">
      <c r="A9536" s="59" t="s">
        <v>2871</v>
      </c>
      <c r="B9536" s="60" t="s">
        <v>997</v>
      </c>
    </row>
    <row r="9537" ht="12.75" customHeight="1">
      <c r="A9537" s="59" t="s">
        <v>2871</v>
      </c>
      <c r="B9537" s="60" t="s">
        <v>998</v>
      </c>
    </row>
    <row r="9538" ht="12.75" customHeight="1">
      <c r="A9538" s="59" t="s">
        <v>2871</v>
      </c>
      <c r="B9538" s="60" t="s">
        <v>999</v>
      </c>
    </row>
    <row r="9539" ht="12.75" customHeight="1">
      <c r="A9539" s="59" t="s">
        <v>2871</v>
      </c>
      <c r="B9539" s="60" t="s">
        <v>1000</v>
      </c>
    </row>
    <row r="9540" ht="12.75" customHeight="1">
      <c r="A9540" s="59" t="s">
        <v>2871</v>
      </c>
      <c r="B9540" s="60" t="s">
        <v>1001</v>
      </c>
    </row>
    <row r="9541" ht="12.75" customHeight="1">
      <c r="A9541" s="59" t="s">
        <v>2871</v>
      </c>
      <c r="B9541" s="60" t="s">
        <v>1002</v>
      </c>
    </row>
    <row r="9542" ht="12.75" customHeight="1">
      <c r="A9542" s="59" t="s">
        <v>2871</v>
      </c>
      <c r="B9542" s="60" t="s">
        <v>1003</v>
      </c>
    </row>
    <row r="9543" ht="12.75" customHeight="1">
      <c r="A9543" s="59" t="s">
        <v>2871</v>
      </c>
      <c r="B9543" s="60" t="s">
        <v>1004</v>
      </c>
    </row>
    <row r="9544" ht="12.75" customHeight="1">
      <c r="A9544" s="59" t="s">
        <v>2871</v>
      </c>
      <c r="B9544" s="60" t="s">
        <v>1005</v>
      </c>
    </row>
    <row r="9545" ht="12.75" customHeight="1">
      <c r="A9545" s="59" t="s">
        <v>2871</v>
      </c>
      <c r="B9545" s="60" t="s">
        <v>1006</v>
      </c>
    </row>
    <row r="9546" ht="12.75" customHeight="1">
      <c r="A9546" s="59" t="s">
        <v>2871</v>
      </c>
      <c r="B9546" s="60" t="s">
        <v>1007</v>
      </c>
    </row>
    <row r="9547" ht="12.75" customHeight="1">
      <c r="A9547" s="59" t="s">
        <v>2871</v>
      </c>
      <c r="B9547" s="60" t="s">
        <v>1008</v>
      </c>
    </row>
    <row r="9548" ht="12.75" customHeight="1">
      <c r="A9548" s="59" t="s">
        <v>2871</v>
      </c>
      <c r="B9548" s="60" t="s">
        <v>1009</v>
      </c>
    </row>
    <row r="9549" ht="12.75" customHeight="1">
      <c r="A9549" s="59" t="s">
        <v>2871</v>
      </c>
      <c r="B9549" s="60" t="s">
        <v>1010</v>
      </c>
    </row>
    <row r="9550" ht="12.75" customHeight="1">
      <c r="A9550" s="59" t="s">
        <v>2871</v>
      </c>
      <c r="B9550" s="60" t="s">
        <v>1011</v>
      </c>
    </row>
    <row r="9551" ht="12.75" customHeight="1">
      <c r="A9551" s="59" t="s">
        <v>2871</v>
      </c>
      <c r="B9551" s="60" t="s">
        <v>1012</v>
      </c>
    </row>
    <row r="9552" ht="12.75" customHeight="1">
      <c r="A9552" s="59" t="s">
        <v>2871</v>
      </c>
      <c r="B9552" s="60" t="s">
        <v>1013</v>
      </c>
    </row>
    <row r="9553" ht="12.75" customHeight="1">
      <c r="A9553" s="59" t="s">
        <v>2871</v>
      </c>
      <c r="B9553" s="60" t="s">
        <v>1014</v>
      </c>
    </row>
    <row r="9554" ht="12.75" customHeight="1">
      <c r="A9554" s="59" t="s">
        <v>2871</v>
      </c>
      <c r="B9554" s="60" t="s">
        <v>1015</v>
      </c>
    </row>
    <row r="9555" ht="12.75" customHeight="1">
      <c r="A9555" s="59" t="s">
        <v>2871</v>
      </c>
      <c r="B9555" s="60" t="s">
        <v>1016</v>
      </c>
    </row>
    <row r="9556" ht="12.75" customHeight="1">
      <c r="A9556" s="59" t="s">
        <v>2871</v>
      </c>
      <c r="B9556" s="60" t="s">
        <v>1017</v>
      </c>
    </row>
    <row r="9557" ht="12.75" customHeight="1">
      <c r="A9557" s="59" t="s">
        <v>2871</v>
      </c>
      <c r="B9557" s="60" t="s">
        <v>1018</v>
      </c>
    </row>
    <row r="9558" ht="12.75" customHeight="1">
      <c r="A9558" s="59" t="s">
        <v>2871</v>
      </c>
      <c r="B9558" s="60" t="s">
        <v>1019</v>
      </c>
    </row>
    <row r="9559" ht="12.75" customHeight="1">
      <c r="A9559" s="59" t="s">
        <v>2871</v>
      </c>
      <c r="B9559" s="60" t="s">
        <v>1020</v>
      </c>
    </row>
    <row r="9560" ht="12.75" customHeight="1">
      <c r="A9560" s="59" t="s">
        <v>2871</v>
      </c>
      <c r="B9560" s="60" t="s">
        <v>1021</v>
      </c>
    </row>
    <row r="9561" ht="12.75" customHeight="1">
      <c r="A9561" s="59" t="s">
        <v>2871</v>
      </c>
      <c r="B9561" s="60" t="s">
        <v>1022</v>
      </c>
    </row>
    <row r="9562" ht="12.75" customHeight="1">
      <c r="A9562" s="59" t="s">
        <v>2871</v>
      </c>
      <c r="B9562" s="60" t="s">
        <v>1023</v>
      </c>
    </row>
    <row r="9563" ht="12.75" customHeight="1">
      <c r="A9563" s="59" t="s">
        <v>2871</v>
      </c>
      <c r="B9563" s="60" t="s">
        <v>1024</v>
      </c>
    </row>
    <row r="9564" ht="12.75" customHeight="1">
      <c r="A9564" s="59" t="s">
        <v>2871</v>
      </c>
      <c r="B9564" s="60" t="s">
        <v>1025</v>
      </c>
    </row>
    <row r="9565" ht="12.75" customHeight="1">
      <c r="A9565" s="59" t="s">
        <v>2871</v>
      </c>
      <c r="B9565" s="60" t="s">
        <v>1026</v>
      </c>
    </row>
    <row r="9566" ht="12.75" customHeight="1">
      <c r="A9566" s="59" t="s">
        <v>2871</v>
      </c>
      <c r="B9566" s="60" t="s">
        <v>1027</v>
      </c>
    </row>
    <row r="9567" ht="12.75" customHeight="1">
      <c r="A9567" s="59" t="s">
        <v>2871</v>
      </c>
      <c r="B9567" s="60" t="s">
        <v>1028</v>
      </c>
    </row>
    <row r="9568" ht="12.75" customHeight="1">
      <c r="A9568" s="59" t="s">
        <v>2871</v>
      </c>
      <c r="B9568" s="60" t="s">
        <v>1029</v>
      </c>
    </row>
    <row r="9569" ht="12.75" customHeight="1">
      <c r="A9569" s="59" t="s">
        <v>2871</v>
      </c>
      <c r="B9569" s="60" t="s">
        <v>1030</v>
      </c>
    </row>
    <row r="9570" ht="12.75" customHeight="1">
      <c r="A9570" s="59" t="s">
        <v>2871</v>
      </c>
      <c r="B9570" s="60" t="s">
        <v>1031</v>
      </c>
    </row>
    <row r="9571" ht="12.75" customHeight="1">
      <c r="A9571" s="59" t="s">
        <v>2871</v>
      </c>
      <c r="B9571" s="60" t="s">
        <v>1032</v>
      </c>
    </row>
    <row r="9572" ht="12.75" customHeight="1">
      <c r="A9572" s="59" t="s">
        <v>2871</v>
      </c>
      <c r="B9572" s="60" t="s">
        <v>1033</v>
      </c>
    </row>
    <row r="9573" ht="12.75" customHeight="1">
      <c r="A9573" s="59" t="s">
        <v>2871</v>
      </c>
      <c r="B9573" s="60" t="s">
        <v>1034</v>
      </c>
    </row>
    <row r="9574" ht="12.75" customHeight="1">
      <c r="A9574" s="59" t="s">
        <v>2871</v>
      </c>
      <c r="B9574" s="60" t="s">
        <v>1035</v>
      </c>
    </row>
    <row r="9575" ht="12.75" customHeight="1">
      <c r="A9575" s="59" t="s">
        <v>2871</v>
      </c>
      <c r="B9575" s="60" t="s">
        <v>1036</v>
      </c>
    </row>
    <row r="9576" ht="12.75" customHeight="1">
      <c r="A9576" s="59" t="s">
        <v>2871</v>
      </c>
      <c r="B9576" s="60" t="s">
        <v>1037</v>
      </c>
    </row>
    <row r="9577" ht="12.75" customHeight="1">
      <c r="A9577" s="59" t="s">
        <v>2871</v>
      </c>
      <c r="B9577" s="60" t="s">
        <v>1038</v>
      </c>
    </row>
    <row r="9578" ht="12.75" customHeight="1">
      <c r="A9578" s="59" t="s">
        <v>2871</v>
      </c>
      <c r="B9578" s="60" t="s">
        <v>1039</v>
      </c>
    </row>
    <row r="9579" ht="12.75" customHeight="1">
      <c r="A9579" s="59" t="s">
        <v>2871</v>
      </c>
      <c r="B9579" s="60" t="s">
        <v>1040</v>
      </c>
    </row>
    <row r="9580" ht="12.75" customHeight="1">
      <c r="A9580" s="59" t="s">
        <v>2871</v>
      </c>
      <c r="B9580" s="60" t="s">
        <v>1041</v>
      </c>
    </row>
    <row r="9581" ht="12.75" customHeight="1">
      <c r="A9581" s="59" t="s">
        <v>2871</v>
      </c>
      <c r="B9581" s="60" t="s">
        <v>1042</v>
      </c>
    </row>
    <row r="9582" ht="12.75" customHeight="1">
      <c r="A9582" s="59" t="s">
        <v>2871</v>
      </c>
      <c r="B9582" s="60" t="s">
        <v>1043</v>
      </c>
    </row>
    <row r="9583" ht="12.75" customHeight="1">
      <c r="A9583" s="59" t="s">
        <v>2871</v>
      </c>
      <c r="B9583" s="60" t="s">
        <v>1044</v>
      </c>
    </row>
    <row r="9584" ht="12.75" customHeight="1">
      <c r="A9584" s="59" t="s">
        <v>2871</v>
      </c>
      <c r="B9584" s="60" t="s">
        <v>1045</v>
      </c>
    </row>
    <row r="9585" ht="12.75" customHeight="1">
      <c r="A9585" s="59" t="s">
        <v>2871</v>
      </c>
      <c r="B9585" s="60" t="s">
        <v>1046</v>
      </c>
    </row>
    <row r="9586" ht="12.75" customHeight="1">
      <c r="A9586" s="59" t="s">
        <v>2871</v>
      </c>
      <c r="B9586" s="60" t="s">
        <v>1047</v>
      </c>
    </row>
    <row r="9587" ht="12.75" customHeight="1">
      <c r="A9587" s="59" t="s">
        <v>2871</v>
      </c>
      <c r="B9587" s="60" t="s">
        <v>1048</v>
      </c>
    </row>
    <row r="9588" ht="12.75" customHeight="1">
      <c r="A9588" s="59" t="s">
        <v>2871</v>
      </c>
      <c r="B9588" s="60" t="s">
        <v>1049</v>
      </c>
    </row>
    <row r="9589" ht="12.75" customHeight="1">
      <c r="A9589" s="59" t="s">
        <v>2871</v>
      </c>
      <c r="B9589" s="60" t="s">
        <v>1050</v>
      </c>
    </row>
    <row r="9590" ht="12.75" customHeight="1">
      <c r="A9590" s="59" t="s">
        <v>2871</v>
      </c>
      <c r="B9590" s="60" t="s">
        <v>1051</v>
      </c>
    </row>
    <row r="9591" ht="12.75" customHeight="1">
      <c r="A9591" s="59" t="s">
        <v>2871</v>
      </c>
      <c r="B9591" s="60" t="s">
        <v>1052</v>
      </c>
    </row>
    <row r="9592" ht="12.75" customHeight="1">
      <c r="A9592" s="59" t="s">
        <v>2871</v>
      </c>
      <c r="B9592" s="60" t="s">
        <v>1053</v>
      </c>
    </row>
    <row r="9593" ht="12.75" customHeight="1">
      <c r="A9593" s="59" t="s">
        <v>2871</v>
      </c>
      <c r="B9593" s="60" t="s">
        <v>1054</v>
      </c>
    </row>
    <row r="9594" ht="12.75" customHeight="1">
      <c r="A9594" s="59" t="s">
        <v>2871</v>
      </c>
      <c r="B9594" s="60" t="s">
        <v>1055</v>
      </c>
    </row>
    <row r="9595" ht="12.75" customHeight="1">
      <c r="A9595" s="59" t="s">
        <v>2871</v>
      </c>
      <c r="B9595" s="60" t="s">
        <v>1056</v>
      </c>
    </row>
    <row r="9596" ht="12.75" customHeight="1">
      <c r="A9596" s="59" t="s">
        <v>2871</v>
      </c>
      <c r="B9596" s="60" t="s">
        <v>1057</v>
      </c>
    </row>
    <row r="9597" ht="12.75" customHeight="1">
      <c r="A9597" s="59" t="s">
        <v>2871</v>
      </c>
      <c r="B9597" s="60" t="s">
        <v>1058</v>
      </c>
    </row>
    <row r="9598" ht="12.75" customHeight="1">
      <c r="A9598" s="59" t="s">
        <v>2871</v>
      </c>
      <c r="B9598" s="60" t="s">
        <v>1059</v>
      </c>
    </row>
    <row r="9599" ht="12.75" customHeight="1">
      <c r="A9599" s="59" t="s">
        <v>2871</v>
      </c>
      <c r="B9599" s="60" t="s">
        <v>1060</v>
      </c>
    </row>
    <row r="9600" ht="12.75" customHeight="1">
      <c r="A9600" s="59" t="s">
        <v>2871</v>
      </c>
      <c r="B9600" s="60" t="s">
        <v>1061</v>
      </c>
    </row>
    <row r="9601" ht="12.75" customHeight="1">
      <c r="A9601" s="59" t="s">
        <v>2871</v>
      </c>
      <c r="B9601" s="60" t="s">
        <v>1062</v>
      </c>
    </row>
    <row r="9602" ht="12.75" customHeight="1">
      <c r="A9602" s="59" t="s">
        <v>2871</v>
      </c>
      <c r="B9602" s="60" t="s">
        <v>1063</v>
      </c>
    </row>
    <row r="9603" ht="12.75" customHeight="1">
      <c r="A9603" s="59" t="s">
        <v>2871</v>
      </c>
      <c r="B9603" s="60" t="s">
        <v>1064</v>
      </c>
    </row>
    <row r="9604" ht="12.75" customHeight="1">
      <c r="A9604" s="59" t="s">
        <v>2871</v>
      </c>
      <c r="B9604" s="60" t="s">
        <v>1065</v>
      </c>
    </row>
    <row r="9605" ht="12.75" customHeight="1">
      <c r="A9605" s="59" t="s">
        <v>2871</v>
      </c>
      <c r="B9605" s="60" t="s">
        <v>1066</v>
      </c>
    </row>
    <row r="9606" ht="12.75" customHeight="1">
      <c r="A9606" s="59" t="s">
        <v>2871</v>
      </c>
      <c r="B9606" s="60" t="s">
        <v>1067</v>
      </c>
    </row>
    <row r="9607" ht="12.75" customHeight="1">
      <c r="A9607" s="59" t="s">
        <v>2871</v>
      </c>
      <c r="B9607" s="60" t="s">
        <v>1068</v>
      </c>
    </row>
    <row r="9608" ht="12.75" customHeight="1">
      <c r="A9608" s="59" t="s">
        <v>2871</v>
      </c>
      <c r="B9608" s="60" t="s">
        <v>1069</v>
      </c>
    </row>
    <row r="9609" ht="12.75" customHeight="1">
      <c r="A9609" s="59" t="s">
        <v>2871</v>
      </c>
      <c r="B9609" s="60" t="s">
        <v>1070</v>
      </c>
    </row>
    <row r="9610" ht="12.75" customHeight="1">
      <c r="A9610" s="59" t="s">
        <v>2871</v>
      </c>
      <c r="B9610" s="60" t="s">
        <v>1071</v>
      </c>
    </row>
    <row r="9611" ht="12.75" customHeight="1">
      <c r="A9611" s="59" t="s">
        <v>2871</v>
      </c>
      <c r="B9611" s="60" t="s">
        <v>1072</v>
      </c>
    </row>
    <row r="9612" ht="12.75" customHeight="1">
      <c r="A9612" s="59" t="s">
        <v>2871</v>
      </c>
      <c r="B9612" s="60" t="s">
        <v>1073</v>
      </c>
    </row>
    <row r="9613" ht="12.75" customHeight="1">
      <c r="A9613" s="59" t="s">
        <v>2871</v>
      </c>
      <c r="B9613" s="60" t="s">
        <v>1074</v>
      </c>
    </row>
    <row r="9614" ht="12.75" customHeight="1">
      <c r="A9614" s="59" t="s">
        <v>2871</v>
      </c>
      <c r="B9614" s="60" t="s">
        <v>1075</v>
      </c>
    </row>
    <row r="9615" ht="12.75" customHeight="1">
      <c r="A9615" s="59" t="s">
        <v>2871</v>
      </c>
      <c r="B9615" s="60" t="s">
        <v>1076</v>
      </c>
    </row>
    <row r="9616" ht="12.75" customHeight="1">
      <c r="A9616" s="59" t="s">
        <v>2871</v>
      </c>
      <c r="B9616" s="60" t="s">
        <v>1077</v>
      </c>
    </row>
    <row r="9617" ht="12.75" customHeight="1">
      <c r="A9617" s="59" t="s">
        <v>2871</v>
      </c>
      <c r="B9617" s="60" t="s">
        <v>1078</v>
      </c>
    </row>
    <row r="9618" ht="12.75" customHeight="1">
      <c r="A9618" s="59" t="s">
        <v>2871</v>
      </c>
      <c r="B9618" s="60" t="s">
        <v>1079</v>
      </c>
    </row>
    <row r="9619" ht="12.75" customHeight="1">
      <c r="A9619" s="59" t="s">
        <v>2871</v>
      </c>
      <c r="B9619" s="60" t="s">
        <v>1080</v>
      </c>
    </row>
    <row r="9620" ht="12.75" customHeight="1">
      <c r="A9620" s="59" t="s">
        <v>2871</v>
      </c>
      <c r="B9620" s="60" t="s">
        <v>1081</v>
      </c>
    </row>
    <row r="9621" ht="12.75" customHeight="1">
      <c r="A9621" s="59" t="s">
        <v>2871</v>
      </c>
      <c r="B9621" s="60" t="s">
        <v>1082</v>
      </c>
    </row>
    <row r="9622" ht="12.75" customHeight="1">
      <c r="A9622" s="59" t="s">
        <v>2871</v>
      </c>
      <c r="B9622" s="60" t="s">
        <v>1083</v>
      </c>
    </row>
    <row r="9623" ht="12.75" customHeight="1">
      <c r="A9623" s="59" t="s">
        <v>2871</v>
      </c>
      <c r="B9623" s="60" t="s">
        <v>1084</v>
      </c>
    </row>
    <row r="9624" ht="12.75" customHeight="1">
      <c r="A9624" s="59" t="s">
        <v>2871</v>
      </c>
      <c r="B9624" s="60" t="s">
        <v>1085</v>
      </c>
    </row>
    <row r="9625" ht="12.75" customHeight="1">
      <c r="A9625" s="59" t="s">
        <v>2871</v>
      </c>
      <c r="B9625" s="60" t="s">
        <v>1086</v>
      </c>
    </row>
    <row r="9626" ht="12.75" customHeight="1">
      <c r="A9626" s="59" t="s">
        <v>2871</v>
      </c>
      <c r="B9626" s="60" t="s">
        <v>1087</v>
      </c>
    </row>
    <row r="9627" ht="12.75" customHeight="1">
      <c r="A9627" s="59" t="s">
        <v>2871</v>
      </c>
      <c r="B9627" s="60" t="s">
        <v>1088</v>
      </c>
    </row>
    <row r="9628" ht="12.75" customHeight="1">
      <c r="A9628" s="59" t="s">
        <v>2871</v>
      </c>
      <c r="B9628" s="60" t="s">
        <v>1089</v>
      </c>
    </row>
    <row r="9629" ht="12.75" customHeight="1">
      <c r="A9629" s="59" t="s">
        <v>2871</v>
      </c>
      <c r="B9629" s="60" t="s">
        <v>1090</v>
      </c>
    </row>
    <row r="9630" ht="12.75" customHeight="1">
      <c r="A9630" s="59" t="s">
        <v>2871</v>
      </c>
      <c r="B9630" s="60" t="s">
        <v>1091</v>
      </c>
    </row>
    <row r="9631" ht="12.75" customHeight="1">
      <c r="A9631" s="59" t="s">
        <v>2871</v>
      </c>
      <c r="B9631" s="60" t="s">
        <v>1092</v>
      </c>
    </row>
    <row r="9632" ht="12.75" customHeight="1">
      <c r="A9632" s="59" t="s">
        <v>2871</v>
      </c>
      <c r="B9632" s="60" t="s">
        <v>1093</v>
      </c>
    </row>
    <row r="9633" ht="12.75" customHeight="1">
      <c r="A9633" s="59" t="s">
        <v>2871</v>
      </c>
      <c r="B9633" s="60" t="s">
        <v>1094</v>
      </c>
    </row>
    <row r="9634" ht="12.75" customHeight="1">
      <c r="A9634" s="59" t="s">
        <v>2871</v>
      </c>
      <c r="B9634" s="60" t="s">
        <v>1095</v>
      </c>
    </row>
    <row r="9635" ht="12.75" customHeight="1">
      <c r="A9635" s="59" t="s">
        <v>2871</v>
      </c>
      <c r="B9635" s="60" t="s">
        <v>1096</v>
      </c>
    </row>
    <row r="9636" ht="12.75" customHeight="1">
      <c r="A9636" s="59" t="s">
        <v>2871</v>
      </c>
      <c r="B9636" s="60" t="s">
        <v>1097</v>
      </c>
    </row>
    <row r="9637" ht="12.75" customHeight="1">
      <c r="A9637" s="59" t="s">
        <v>2871</v>
      </c>
      <c r="B9637" s="60" t="s">
        <v>1098</v>
      </c>
    </row>
    <row r="9638" ht="12.75" customHeight="1">
      <c r="A9638" s="59" t="s">
        <v>2871</v>
      </c>
      <c r="B9638" s="60" t="s">
        <v>1099</v>
      </c>
    </row>
    <row r="9639" ht="12.75" customHeight="1">
      <c r="A9639" s="59" t="s">
        <v>2871</v>
      </c>
      <c r="B9639" s="60" t="s">
        <v>1100</v>
      </c>
    </row>
    <row r="9640" ht="12.75" customHeight="1">
      <c r="A9640" s="59" t="s">
        <v>2871</v>
      </c>
      <c r="B9640" s="60" t="s">
        <v>1101</v>
      </c>
    </row>
    <row r="9641" ht="12.75" customHeight="1">
      <c r="A9641" s="59" t="s">
        <v>2871</v>
      </c>
      <c r="B9641" s="60" t="s">
        <v>1102</v>
      </c>
    </row>
    <row r="9642" ht="12.75" customHeight="1">
      <c r="A9642" s="59" t="s">
        <v>2871</v>
      </c>
      <c r="B9642" s="60" t="s">
        <v>1103</v>
      </c>
    </row>
    <row r="9643" ht="12.75" customHeight="1">
      <c r="A9643" s="59" t="s">
        <v>2871</v>
      </c>
      <c r="B9643" s="60" t="s">
        <v>1104</v>
      </c>
    </row>
    <row r="9644" ht="12.75" customHeight="1">
      <c r="A9644" s="59" t="s">
        <v>2871</v>
      </c>
      <c r="B9644" s="60" t="s">
        <v>1105</v>
      </c>
    </row>
    <row r="9645" ht="12.75" customHeight="1">
      <c r="A9645" s="59" t="s">
        <v>2871</v>
      </c>
      <c r="B9645" s="60" t="s">
        <v>1106</v>
      </c>
    </row>
    <row r="9646" ht="12.75" customHeight="1">
      <c r="A9646" s="59" t="s">
        <v>2871</v>
      </c>
      <c r="B9646" s="60" t="s">
        <v>1107</v>
      </c>
    </row>
    <row r="9647" ht="12.75" customHeight="1">
      <c r="A9647" s="59" t="s">
        <v>2871</v>
      </c>
      <c r="B9647" s="60" t="s">
        <v>1108</v>
      </c>
    </row>
    <row r="9648" ht="12.75" customHeight="1">
      <c r="A9648" s="59" t="s">
        <v>2871</v>
      </c>
      <c r="B9648" s="60" t="s">
        <v>1109</v>
      </c>
    </row>
    <row r="9649" ht="12.75" customHeight="1">
      <c r="A9649" s="59" t="s">
        <v>2871</v>
      </c>
      <c r="B9649" s="60" t="s">
        <v>1110</v>
      </c>
    </row>
    <row r="9650" ht="12.75" customHeight="1">
      <c r="A9650" s="59" t="s">
        <v>2871</v>
      </c>
      <c r="B9650" s="60" t="s">
        <v>1111</v>
      </c>
    </row>
    <row r="9651" ht="12.75" customHeight="1">
      <c r="A9651" s="59" t="s">
        <v>2871</v>
      </c>
      <c r="B9651" s="60" t="s">
        <v>1112</v>
      </c>
    </row>
    <row r="9652" ht="12.75" customHeight="1">
      <c r="A9652" s="59" t="s">
        <v>2871</v>
      </c>
      <c r="B9652" s="60" t="s">
        <v>1113</v>
      </c>
    </row>
    <row r="9653" ht="12.75" customHeight="1">
      <c r="A9653" s="59" t="s">
        <v>2871</v>
      </c>
      <c r="B9653" s="60" t="s">
        <v>1114</v>
      </c>
    </row>
    <row r="9654" ht="12.75" customHeight="1">
      <c r="A9654" s="59" t="s">
        <v>2871</v>
      </c>
      <c r="B9654" s="60" t="s">
        <v>1115</v>
      </c>
    </row>
    <row r="9655" ht="12.75" customHeight="1">
      <c r="A9655" s="59" t="s">
        <v>2871</v>
      </c>
      <c r="B9655" s="60" t="s">
        <v>1116</v>
      </c>
    </row>
    <row r="9656" ht="12.75" customHeight="1">
      <c r="A9656" s="59" t="s">
        <v>2871</v>
      </c>
      <c r="B9656" s="60" t="s">
        <v>1117</v>
      </c>
    </row>
    <row r="9657" ht="12.75" customHeight="1">
      <c r="A9657" s="59" t="s">
        <v>2871</v>
      </c>
      <c r="B9657" s="60" t="s">
        <v>1118</v>
      </c>
    </row>
    <row r="9658" ht="12.75" customHeight="1">
      <c r="A9658" s="59" t="s">
        <v>2871</v>
      </c>
      <c r="B9658" s="60" t="s">
        <v>1119</v>
      </c>
    </row>
    <row r="9659" ht="12.75" customHeight="1">
      <c r="A9659" s="59" t="s">
        <v>2871</v>
      </c>
      <c r="B9659" s="60" t="s">
        <v>1120</v>
      </c>
    </row>
    <row r="9660" ht="12.75" customHeight="1">
      <c r="A9660" s="59" t="s">
        <v>2871</v>
      </c>
      <c r="B9660" s="60" t="s">
        <v>1121</v>
      </c>
    </row>
    <row r="9661" ht="12.75" customHeight="1">
      <c r="A9661" s="59" t="s">
        <v>2871</v>
      </c>
      <c r="B9661" s="60" t="s">
        <v>1122</v>
      </c>
    </row>
    <row r="9662" ht="12.75" customHeight="1">
      <c r="A9662" s="59" t="s">
        <v>2871</v>
      </c>
      <c r="B9662" s="60" t="s">
        <v>1123</v>
      </c>
    </row>
    <row r="9663" ht="12.75" customHeight="1">
      <c r="A9663" s="59" t="s">
        <v>2871</v>
      </c>
      <c r="B9663" s="60" t="s">
        <v>1124</v>
      </c>
    </row>
    <row r="9664" ht="12.75" customHeight="1">
      <c r="A9664" s="59" t="s">
        <v>2871</v>
      </c>
      <c r="B9664" s="60" t="s">
        <v>1125</v>
      </c>
    </row>
    <row r="9665" ht="12.75" customHeight="1">
      <c r="A9665" s="59" t="s">
        <v>2871</v>
      </c>
      <c r="B9665" s="60" t="s">
        <v>1126</v>
      </c>
    </row>
    <row r="9666" ht="12.75" customHeight="1">
      <c r="A9666" s="59" t="s">
        <v>2871</v>
      </c>
      <c r="B9666" s="60" t="s">
        <v>1127</v>
      </c>
    </row>
    <row r="9667" ht="12.75" customHeight="1">
      <c r="A9667" s="59" t="s">
        <v>2871</v>
      </c>
      <c r="B9667" s="60" t="s">
        <v>1128</v>
      </c>
    </row>
    <row r="9668" ht="12.75" customHeight="1">
      <c r="A9668" s="59" t="s">
        <v>2871</v>
      </c>
      <c r="B9668" s="60" t="s">
        <v>1129</v>
      </c>
    </row>
    <row r="9669" ht="12.75" customHeight="1">
      <c r="A9669" s="59" t="s">
        <v>2871</v>
      </c>
      <c r="B9669" s="60" t="s">
        <v>1130</v>
      </c>
    </row>
    <row r="9670" ht="12.75" customHeight="1">
      <c r="A9670" s="59" t="s">
        <v>2871</v>
      </c>
      <c r="B9670" s="60" t="s">
        <v>1131</v>
      </c>
    </row>
    <row r="9671" ht="12.75" customHeight="1">
      <c r="A9671" s="59" t="s">
        <v>2871</v>
      </c>
      <c r="B9671" s="60" t="s">
        <v>1132</v>
      </c>
    </row>
    <row r="9672" ht="12.75" customHeight="1">
      <c r="A9672" s="59" t="s">
        <v>2871</v>
      </c>
      <c r="B9672" s="60" t="s">
        <v>1133</v>
      </c>
    </row>
    <row r="9673" ht="12.75" customHeight="1">
      <c r="A9673" s="59" t="s">
        <v>2871</v>
      </c>
      <c r="B9673" s="60" t="s">
        <v>1134</v>
      </c>
    </row>
    <row r="9674" ht="12.75" customHeight="1">
      <c r="A9674" s="59" t="s">
        <v>2871</v>
      </c>
      <c r="B9674" s="60" t="s">
        <v>1135</v>
      </c>
    </row>
    <row r="9675" ht="12.75" customHeight="1">
      <c r="A9675" s="59" t="s">
        <v>2871</v>
      </c>
      <c r="B9675" s="60" t="s">
        <v>1136</v>
      </c>
    </row>
    <row r="9676" ht="12.75" customHeight="1">
      <c r="A9676" s="59" t="s">
        <v>2871</v>
      </c>
      <c r="B9676" s="60" t="s">
        <v>1137</v>
      </c>
    </row>
    <row r="9677" ht="12.75" customHeight="1">
      <c r="A9677" s="59" t="s">
        <v>2871</v>
      </c>
      <c r="B9677" s="60" t="s">
        <v>1138</v>
      </c>
    </row>
    <row r="9678" ht="12.75" customHeight="1">
      <c r="A9678" s="59" t="s">
        <v>2871</v>
      </c>
      <c r="B9678" s="60" t="s">
        <v>1139</v>
      </c>
    </row>
    <row r="9679" ht="12.75" customHeight="1">
      <c r="A9679" s="59" t="s">
        <v>2871</v>
      </c>
      <c r="B9679" s="60" t="s">
        <v>1140</v>
      </c>
    </row>
    <row r="9680" ht="12.75" customHeight="1">
      <c r="A9680" s="59" t="s">
        <v>2871</v>
      </c>
      <c r="B9680" s="60" t="s">
        <v>1141</v>
      </c>
    </row>
    <row r="9681" ht="12.75" customHeight="1">
      <c r="A9681" s="59" t="s">
        <v>2871</v>
      </c>
      <c r="B9681" s="60" t="s">
        <v>1142</v>
      </c>
    </row>
    <row r="9682" ht="12.75" customHeight="1">
      <c r="A9682" s="59" t="s">
        <v>2871</v>
      </c>
      <c r="B9682" s="60" t="s">
        <v>1143</v>
      </c>
    </row>
    <row r="9683" ht="12.75" customHeight="1">
      <c r="A9683" s="59" t="s">
        <v>2871</v>
      </c>
      <c r="B9683" s="60" t="s">
        <v>1144</v>
      </c>
    </row>
    <row r="9684" ht="12.75" customHeight="1">
      <c r="A9684" s="59" t="s">
        <v>2871</v>
      </c>
      <c r="B9684" s="60" t="s">
        <v>1145</v>
      </c>
    </row>
    <row r="9685" ht="12.75" customHeight="1">
      <c r="A9685" s="59" t="s">
        <v>2871</v>
      </c>
      <c r="B9685" s="60" t="s">
        <v>1146</v>
      </c>
    </row>
    <row r="9686" ht="12.75" customHeight="1">
      <c r="A9686" s="59" t="s">
        <v>2871</v>
      </c>
      <c r="B9686" s="60" t="s">
        <v>1147</v>
      </c>
    </row>
    <row r="9687" ht="12.75" customHeight="1">
      <c r="A9687" s="59" t="s">
        <v>2871</v>
      </c>
      <c r="B9687" s="60" t="s">
        <v>1148</v>
      </c>
    </row>
    <row r="9688" ht="12.75" customHeight="1">
      <c r="A9688" s="59" t="s">
        <v>2871</v>
      </c>
      <c r="B9688" s="60" t="s">
        <v>1149</v>
      </c>
    </row>
    <row r="9689" ht="12.75" customHeight="1">
      <c r="A9689" s="59" t="s">
        <v>2871</v>
      </c>
      <c r="B9689" s="60" t="s">
        <v>1150</v>
      </c>
    </row>
    <row r="9690" ht="12.75" customHeight="1">
      <c r="A9690" s="59" t="s">
        <v>2871</v>
      </c>
      <c r="B9690" s="60" t="s">
        <v>1151</v>
      </c>
    </row>
    <row r="9691" ht="12.75" customHeight="1">
      <c r="A9691" s="59" t="s">
        <v>2871</v>
      </c>
      <c r="B9691" s="60" t="s">
        <v>1152</v>
      </c>
    </row>
    <row r="9692" ht="12.75" customHeight="1">
      <c r="A9692" s="59" t="s">
        <v>2871</v>
      </c>
      <c r="B9692" s="60" t="s">
        <v>1153</v>
      </c>
    </row>
    <row r="9693" ht="12.75" customHeight="1">
      <c r="A9693" s="59" t="s">
        <v>2871</v>
      </c>
      <c r="B9693" s="60" t="s">
        <v>1154</v>
      </c>
    </row>
    <row r="9694" ht="12.75" customHeight="1">
      <c r="A9694" s="59" t="s">
        <v>2871</v>
      </c>
      <c r="B9694" s="60" t="s">
        <v>1155</v>
      </c>
    </row>
    <row r="9695" ht="12.75" customHeight="1">
      <c r="A9695" s="59" t="s">
        <v>2871</v>
      </c>
      <c r="B9695" s="60" t="s">
        <v>1156</v>
      </c>
    </row>
    <row r="9696" ht="12.75" customHeight="1">
      <c r="A9696" s="59" t="s">
        <v>2871</v>
      </c>
      <c r="B9696" s="60" t="s">
        <v>1157</v>
      </c>
    </row>
    <row r="9697" ht="12.75" customHeight="1">
      <c r="A9697" s="59" t="s">
        <v>2871</v>
      </c>
      <c r="B9697" s="60" t="s">
        <v>1158</v>
      </c>
    </row>
    <row r="9698" ht="12.75" customHeight="1">
      <c r="A9698" s="59" t="s">
        <v>2871</v>
      </c>
      <c r="B9698" s="60" t="s">
        <v>1159</v>
      </c>
    </row>
    <row r="9699" ht="12.75" customHeight="1">
      <c r="A9699" s="59" t="s">
        <v>2871</v>
      </c>
      <c r="B9699" s="60" t="s">
        <v>1160</v>
      </c>
    </row>
    <row r="9700" ht="12.75" customHeight="1">
      <c r="A9700" s="59" t="s">
        <v>2871</v>
      </c>
      <c r="B9700" s="60" t="s">
        <v>1161</v>
      </c>
    </row>
    <row r="9701" ht="12.75" customHeight="1">
      <c r="A9701" s="59" t="s">
        <v>2871</v>
      </c>
      <c r="B9701" s="60" t="s">
        <v>1162</v>
      </c>
    </row>
    <row r="9702" ht="12.75" customHeight="1">
      <c r="A9702" s="59" t="s">
        <v>2871</v>
      </c>
      <c r="B9702" s="60" t="s">
        <v>1163</v>
      </c>
    </row>
    <row r="9703" ht="12.75" customHeight="1">
      <c r="A9703" s="59" t="s">
        <v>2871</v>
      </c>
      <c r="B9703" s="60" t="s">
        <v>1164</v>
      </c>
    </row>
    <row r="9704" ht="12.75" customHeight="1">
      <c r="A9704" s="59" t="s">
        <v>2871</v>
      </c>
      <c r="B9704" s="60" t="s">
        <v>1165</v>
      </c>
    </row>
    <row r="9705" ht="12.75" customHeight="1">
      <c r="A9705" s="59" t="s">
        <v>2871</v>
      </c>
      <c r="B9705" s="60" t="s">
        <v>1166</v>
      </c>
    </row>
    <row r="9706" ht="12.75" customHeight="1">
      <c r="A9706" s="59" t="s">
        <v>2871</v>
      </c>
      <c r="B9706" s="60" t="s">
        <v>1167</v>
      </c>
    </row>
    <row r="9707" ht="12.75" customHeight="1">
      <c r="A9707" s="59" t="s">
        <v>2871</v>
      </c>
      <c r="B9707" s="60" t="s">
        <v>1168</v>
      </c>
    </row>
    <row r="9708" ht="12.75" customHeight="1">
      <c r="A9708" s="59" t="s">
        <v>2871</v>
      </c>
      <c r="B9708" s="60" t="s">
        <v>1169</v>
      </c>
    </row>
    <row r="9709" ht="12.75" customHeight="1">
      <c r="A9709" s="59" t="s">
        <v>2871</v>
      </c>
      <c r="B9709" s="60" t="s">
        <v>1170</v>
      </c>
    </row>
    <row r="9710" ht="12.75" customHeight="1">
      <c r="A9710" s="59" t="s">
        <v>2871</v>
      </c>
      <c r="B9710" s="60" t="s">
        <v>1171</v>
      </c>
    </row>
    <row r="9711" ht="12.75" customHeight="1">
      <c r="A9711" s="59" t="s">
        <v>2871</v>
      </c>
      <c r="B9711" s="60" t="s">
        <v>1172</v>
      </c>
    </row>
    <row r="9712" ht="12.75" customHeight="1">
      <c r="A9712" s="59" t="s">
        <v>2871</v>
      </c>
      <c r="B9712" s="60" t="s">
        <v>1173</v>
      </c>
    </row>
    <row r="9713" ht="12.75" customHeight="1">
      <c r="A9713" s="59" t="s">
        <v>2871</v>
      </c>
      <c r="B9713" s="60" t="s">
        <v>1174</v>
      </c>
    </row>
    <row r="9714" ht="12.75" customHeight="1">
      <c r="A9714" s="59" t="s">
        <v>2871</v>
      </c>
      <c r="B9714" s="60" t="s">
        <v>1175</v>
      </c>
    </row>
    <row r="9715" ht="12.75" customHeight="1">
      <c r="A9715" s="59" t="s">
        <v>2871</v>
      </c>
      <c r="B9715" s="60" t="s">
        <v>1176</v>
      </c>
    </row>
    <row r="9716" ht="12.75" customHeight="1">
      <c r="A9716" s="59" t="s">
        <v>2871</v>
      </c>
      <c r="B9716" s="60" t="s">
        <v>1177</v>
      </c>
    </row>
    <row r="9717" ht="12.75" customHeight="1">
      <c r="A9717" s="59" t="s">
        <v>2871</v>
      </c>
      <c r="B9717" s="60" t="s">
        <v>1178</v>
      </c>
    </row>
    <row r="9718" ht="12.75" customHeight="1">
      <c r="A9718" s="59" t="s">
        <v>2871</v>
      </c>
      <c r="B9718" s="60" t="s">
        <v>1179</v>
      </c>
    </row>
    <row r="9719" ht="12.75" customHeight="1">
      <c r="A9719" s="59" t="s">
        <v>2871</v>
      </c>
      <c r="B9719" s="60" t="s">
        <v>1180</v>
      </c>
    </row>
    <row r="9720" ht="12.75" customHeight="1">
      <c r="A9720" s="59" t="s">
        <v>2871</v>
      </c>
      <c r="B9720" s="60" t="s">
        <v>1181</v>
      </c>
    </row>
    <row r="9721" ht="12.75" customHeight="1">
      <c r="A9721" s="59" t="s">
        <v>2871</v>
      </c>
      <c r="B9721" s="60" t="s">
        <v>1182</v>
      </c>
    </row>
    <row r="9722" ht="12.75" customHeight="1">
      <c r="A9722" s="59" t="s">
        <v>2871</v>
      </c>
      <c r="B9722" s="60" t="s">
        <v>1183</v>
      </c>
    </row>
    <row r="9723" ht="12.75" customHeight="1">
      <c r="A9723" s="59" t="s">
        <v>2871</v>
      </c>
      <c r="B9723" s="60" t="s">
        <v>1184</v>
      </c>
    </row>
    <row r="9724" ht="12.75" customHeight="1">
      <c r="A9724" s="59" t="s">
        <v>2871</v>
      </c>
      <c r="B9724" s="60" t="s">
        <v>1185</v>
      </c>
    </row>
    <row r="9725" ht="12.75" customHeight="1">
      <c r="A9725" s="59" t="s">
        <v>2871</v>
      </c>
      <c r="B9725" s="60" t="s">
        <v>1186</v>
      </c>
    </row>
    <row r="9726" ht="12.75" customHeight="1">
      <c r="A9726" s="59" t="s">
        <v>2871</v>
      </c>
      <c r="B9726" s="60" t="s">
        <v>1187</v>
      </c>
    </row>
    <row r="9727" ht="12.75" customHeight="1">
      <c r="A9727" s="59" t="s">
        <v>2871</v>
      </c>
      <c r="B9727" s="60" t="s">
        <v>1188</v>
      </c>
    </row>
    <row r="9728" ht="12.75" customHeight="1">
      <c r="A9728" s="59" t="s">
        <v>2871</v>
      </c>
      <c r="B9728" s="60" t="s">
        <v>1189</v>
      </c>
    </row>
    <row r="9729" ht="12.75" customHeight="1">
      <c r="A9729" s="59" t="s">
        <v>2871</v>
      </c>
      <c r="B9729" s="60" t="s">
        <v>1190</v>
      </c>
    </row>
    <row r="9730" ht="12.75" customHeight="1">
      <c r="A9730" s="59" t="s">
        <v>2871</v>
      </c>
      <c r="B9730" s="60" t="s">
        <v>1191</v>
      </c>
    </row>
    <row r="9731" ht="12.75" customHeight="1">
      <c r="A9731" s="59" t="s">
        <v>2871</v>
      </c>
      <c r="B9731" s="60" t="s">
        <v>1192</v>
      </c>
    </row>
    <row r="9732" ht="12.75" customHeight="1">
      <c r="A9732" s="59" t="s">
        <v>2872</v>
      </c>
      <c r="B9732" s="60">
        <v>0.0</v>
      </c>
    </row>
    <row r="9733" ht="12.75" customHeight="1">
      <c r="A9733" s="59" t="s">
        <v>2872</v>
      </c>
      <c r="B9733" s="60">
        <v>0.0</v>
      </c>
    </row>
    <row r="9734" ht="12.75" customHeight="1">
      <c r="A9734" s="59" t="s">
        <v>2872</v>
      </c>
      <c r="B9734" s="60">
        <v>2.0</v>
      </c>
    </row>
    <row r="9735" ht="12.75" customHeight="1">
      <c r="A9735" s="59" t="s">
        <v>2872</v>
      </c>
      <c r="B9735" s="60">
        <v>4.0</v>
      </c>
    </row>
    <row r="9736" ht="12.75" customHeight="1">
      <c r="A9736" s="59" t="s">
        <v>2872</v>
      </c>
      <c r="B9736" s="60">
        <v>6.0</v>
      </c>
    </row>
    <row r="9737" ht="12.75" customHeight="1">
      <c r="A9737" s="59" t="s">
        <v>2872</v>
      </c>
      <c r="B9737" s="60">
        <v>8.0</v>
      </c>
    </row>
    <row r="9738" ht="12.75" customHeight="1">
      <c r="A9738" s="59" t="s">
        <v>2872</v>
      </c>
      <c r="B9738" s="60">
        <v>10.0</v>
      </c>
    </row>
    <row r="9739" ht="12.75" customHeight="1">
      <c r="A9739" s="59" t="s">
        <v>2872</v>
      </c>
      <c r="B9739" s="60">
        <v>12.0</v>
      </c>
    </row>
    <row r="9740" ht="12.75" customHeight="1">
      <c r="A9740" s="59" t="s">
        <v>2872</v>
      </c>
      <c r="B9740" s="60" t="s">
        <v>803</v>
      </c>
    </row>
    <row r="9741" ht="12.75" customHeight="1">
      <c r="A9741" s="59" t="s">
        <v>2872</v>
      </c>
      <c r="B9741" s="60" t="s">
        <v>804</v>
      </c>
    </row>
    <row r="9742" ht="12.75" customHeight="1">
      <c r="A9742" s="59" t="s">
        <v>2872</v>
      </c>
      <c r="B9742" s="60" t="s">
        <v>76</v>
      </c>
    </row>
    <row r="9743" ht="12.75" customHeight="1">
      <c r="A9743" s="59" t="s">
        <v>2872</v>
      </c>
      <c r="B9743" s="60" t="s">
        <v>80</v>
      </c>
    </row>
    <row r="9744" ht="12.75" customHeight="1">
      <c r="A9744" s="59" t="s">
        <v>2872</v>
      </c>
      <c r="B9744" s="60" t="s">
        <v>83</v>
      </c>
    </row>
    <row r="9745" ht="12.75" customHeight="1">
      <c r="A9745" s="59" t="s">
        <v>2872</v>
      </c>
      <c r="B9745" s="60" t="s">
        <v>85</v>
      </c>
    </row>
    <row r="9746" ht="12.75" customHeight="1">
      <c r="A9746" s="59" t="s">
        <v>2872</v>
      </c>
      <c r="B9746" s="60" t="s">
        <v>805</v>
      </c>
    </row>
    <row r="9747" ht="12.75" customHeight="1">
      <c r="A9747" s="59" t="s">
        <v>2872</v>
      </c>
      <c r="B9747" s="60" t="s">
        <v>806</v>
      </c>
    </row>
    <row r="9748" ht="12.75" customHeight="1">
      <c r="A9748" s="59" t="s">
        <v>2872</v>
      </c>
      <c r="B9748" s="60" t="s">
        <v>807</v>
      </c>
    </row>
    <row r="9749" ht="12.75" customHeight="1">
      <c r="A9749" s="59" t="s">
        <v>2872</v>
      </c>
      <c r="B9749" s="60" t="s">
        <v>753</v>
      </c>
    </row>
    <row r="9750" ht="12.75" customHeight="1">
      <c r="A9750" s="59" t="s">
        <v>2872</v>
      </c>
      <c r="B9750" s="60" t="s">
        <v>757</v>
      </c>
    </row>
    <row r="9751" ht="12.75" customHeight="1">
      <c r="A9751" s="59" t="s">
        <v>2872</v>
      </c>
      <c r="B9751" s="60" t="s">
        <v>761</v>
      </c>
    </row>
    <row r="9752" ht="12.75" customHeight="1">
      <c r="A9752" s="59" t="s">
        <v>2872</v>
      </c>
      <c r="B9752" s="60" t="s">
        <v>765</v>
      </c>
    </row>
    <row r="9753" ht="12.75" customHeight="1">
      <c r="A9753" s="59" t="s">
        <v>2872</v>
      </c>
      <c r="B9753" s="60" t="s">
        <v>808</v>
      </c>
    </row>
    <row r="9754" ht="12.75" customHeight="1">
      <c r="A9754" s="59" t="s">
        <v>2872</v>
      </c>
      <c r="B9754" s="60" t="s">
        <v>809</v>
      </c>
    </row>
    <row r="9755" ht="12.75" customHeight="1">
      <c r="A9755" s="59" t="s">
        <v>2872</v>
      </c>
      <c r="B9755" s="60" t="s">
        <v>810</v>
      </c>
    </row>
    <row r="9756" ht="12.75" customHeight="1">
      <c r="A9756" s="59" t="s">
        <v>2872</v>
      </c>
      <c r="B9756" s="60" t="s">
        <v>811</v>
      </c>
    </row>
    <row r="9757" ht="12.75" customHeight="1">
      <c r="A9757" s="59" t="s">
        <v>2872</v>
      </c>
      <c r="B9757" s="60" t="s">
        <v>812</v>
      </c>
    </row>
    <row r="9758" ht="12.75" customHeight="1">
      <c r="A9758" s="59" t="s">
        <v>2872</v>
      </c>
      <c r="B9758" s="60" t="s">
        <v>813</v>
      </c>
    </row>
    <row r="9759" ht="12.75" customHeight="1">
      <c r="A9759" s="59" t="s">
        <v>2872</v>
      </c>
      <c r="B9759" s="60" t="s">
        <v>814</v>
      </c>
    </row>
    <row r="9760" ht="12.75" customHeight="1">
      <c r="A9760" s="59" t="s">
        <v>2872</v>
      </c>
      <c r="B9760" s="60" t="s">
        <v>815</v>
      </c>
    </row>
    <row r="9761" ht="12.75" customHeight="1">
      <c r="A9761" s="59" t="s">
        <v>2872</v>
      </c>
      <c r="B9761" s="60" t="s">
        <v>816</v>
      </c>
    </row>
    <row r="9762" ht="12.75" customHeight="1">
      <c r="A9762" s="59" t="s">
        <v>2872</v>
      </c>
      <c r="B9762" s="60" t="s">
        <v>771</v>
      </c>
    </row>
    <row r="9763" ht="12.75" customHeight="1">
      <c r="A9763" s="59" t="s">
        <v>2872</v>
      </c>
      <c r="B9763" s="60" t="s">
        <v>775</v>
      </c>
    </row>
    <row r="9764" ht="12.75" customHeight="1">
      <c r="A9764" s="59" t="s">
        <v>2872</v>
      </c>
      <c r="B9764" s="60" t="s">
        <v>779</v>
      </c>
    </row>
    <row r="9765" ht="12.75" customHeight="1">
      <c r="A9765" s="59" t="s">
        <v>2872</v>
      </c>
      <c r="B9765" s="60" t="s">
        <v>783</v>
      </c>
    </row>
    <row r="9766" ht="12.75" customHeight="1">
      <c r="A9766" s="59" t="s">
        <v>2872</v>
      </c>
      <c r="B9766" s="60" t="s">
        <v>817</v>
      </c>
    </row>
    <row r="9767" ht="12.75" customHeight="1">
      <c r="A9767" s="59" t="s">
        <v>2872</v>
      </c>
      <c r="B9767" s="60" t="s">
        <v>818</v>
      </c>
    </row>
    <row r="9768" ht="12.75" customHeight="1">
      <c r="A9768" s="59" t="s">
        <v>2872</v>
      </c>
      <c r="B9768" s="60" t="s">
        <v>819</v>
      </c>
    </row>
    <row r="9769" ht="12.75" customHeight="1">
      <c r="A9769" s="59" t="s">
        <v>2872</v>
      </c>
      <c r="B9769" s="60" t="s">
        <v>820</v>
      </c>
    </row>
    <row r="9770" ht="12.75" customHeight="1">
      <c r="A9770" s="59" t="s">
        <v>2872</v>
      </c>
      <c r="B9770" s="60" t="s">
        <v>821</v>
      </c>
    </row>
    <row r="9771" ht="12.75" customHeight="1">
      <c r="A9771" s="59" t="s">
        <v>2872</v>
      </c>
      <c r="B9771" s="60" t="s">
        <v>822</v>
      </c>
    </row>
    <row r="9772" ht="12.75" customHeight="1">
      <c r="A9772" s="59" t="s">
        <v>2872</v>
      </c>
      <c r="B9772" s="60" t="s">
        <v>823</v>
      </c>
    </row>
    <row r="9773" ht="12.75" customHeight="1">
      <c r="A9773" s="59" t="s">
        <v>2872</v>
      </c>
      <c r="B9773" s="60" t="s">
        <v>824</v>
      </c>
    </row>
    <row r="9774" ht="12.75" customHeight="1">
      <c r="A9774" s="59" t="s">
        <v>2872</v>
      </c>
      <c r="B9774" s="60" t="s">
        <v>825</v>
      </c>
    </row>
    <row r="9775" ht="12.75" customHeight="1">
      <c r="A9775" s="59" t="s">
        <v>2872</v>
      </c>
      <c r="B9775" s="60" t="s">
        <v>788</v>
      </c>
    </row>
    <row r="9776" ht="12.75" customHeight="1">
      <c r="A9776" s="59" t="s">
        <v>2872</v>
      </c>
      <c r="B9776" s="60" t="s">
        <v>792</v>
      </c>
    </row>
    <row r="9777" ht="12.75" customHeight="1">
      <c r="A9777" s="59" t="s">
        <v>2872</v>
      </c>
      <c r="B9777" s="60" t="s">
        <v>796</v>
      </c>
    </row>
    <row r="9778" ht="12.75" customHeight="1">
      <c r="A9778" s="59" t="s">
        <v>2872</v>
      </c>
      <c r="B9778" s="60" t="s">
        <v>800</v>
      </c>
    </row>
    <row r="9779" ht="12.75" customHeight="1">
      <c r="A9779" s="59" t="s">
        <v>2872</v>
      </c>
      <c r="B9779" s="60" t="s">
        <v>826</v>
      </c>
    </row>
    <row r="9780" ht="12.75" customHeight="1">
      <c r="A9780" s="59" t="s">
        <v>2872</v>
      </c>
      <c r="B9780" s="60" t="s">
        <v>827</v>
      </c>
    </row>
    <row r="9781" ht="12.75" customHeight="1">
      <c r="A9781" s="59" t="s">
        <v>2872</v>
      </c>
      <c r="B9781" s="60" t="s">
        <v>828</v>
      </c>
    </row>
    <row r="9782" ht="12.75" customHeight="1">
      <c r="A9782" s="59" t="s">
        <v>2872</v>
      </c>
      <c r="B9782" s="60" t="s">
        <v>829</v>
      </c>
    </row>
    <row r="9783" ht="12.75" customHeight="1">
      <c r="A9783" s="59" t="s">
        <v>2872</v>
      </c>
      <c r="B9783" s="60" t="s">
        <v>830</v>
      </c>
    </row>
    <row r="9784" ht="12.75" customHeight="1">
      <c r="A9784" s="59" t="s">
        <v>2872</v>
      </c>
      <c r="B9784" s="60" t="s">
        <v>831</v>
      </c>
    </row>
    <row r="9785" ht="12.75" customHeight="1">
      <c r="A9785" s="59" t="s">
        <v>2872</v>
      </c>
      <c r="B9785" s="60" t="s">
        <v>832</v>
      </c>
    </row>
    <row r="9786" ht="12.75" customHeight="1">
      <c r="A9786" s="59" t="s">
        <v>2872</v>
      </c>
      <c r="B9786" s="60" t="s">
        <v>833</v>
      </c>
    </row>
    <row r="9787" ht="12.75" customHeight="1">
      <c r="A9787" s="59" t="s">
        <v>2872</v>
      </c>
      <c r="B9787" s="60" t="s">
        <v>834</v>
      </c>
    </row>
    <row r="9788" ht="12.75" customHeight="1">
      <c r="A9788" s="59" t="s">
        <v>2872</v>
      </c>
      <c r="B9788" s="60">
        <v>14.0</v>
      </c>
    </row>
    <row r="9789" ht="12.75" customHeight="1">
      <c r="A9789" s="59" t="s">
        <v>2872</v>
      </c>
      <c r="B9789" s="60" t="s">
        <v>835</v>
      </c>
    </row>
    <row r="9790" ht="12.75" customHeight="1">
      <c r="A9790" s="59" t="s">
        <v>2872</v>
      </c>
      <c r="B9790" s="60">
        <v>16.0</v>
      </c>
    </row>
    <row r="9791" ht="12.75" customHeight="1">
      <c r="A9791" s="59" t="s">
        <v>2872</v>
      </c>
      <c r="B9791" s="60" t="s">
        <v>836</v>
      </c>
    </row>
    <row r="9792" ht="12.75" customHeight="1">
      <c r="A9792" s="59" t="s">
        <v>2872</v>
      </c>
      <c r="B9792" s="60">
        <v>18.0</v>
      </c>
    </row>
    <row r="9793" ht="12.75" customHeight="1">
      <c r="A9793" s="59" t="s">
        <v>2872</v>
      </c>
      <c r="B9793" s="60" t="s">
        <v>837</v>
      </c>
    </row>
    <row r="9794" ht="12.75" customHeight="1">
      <c r="A9794" s="59" t="s">
        <v>2872</v>
      </c>
      <c r="B9794" s="60">
        <v>20.0</v>
      </c>
    </row>
    <row r="9795" ht="12.75" customHeight="1">
      <c r="A9795" s="59" t="s">
        <v>2872</v>
      </c>
      <c r="B9795" s="60" t="s">
        <v>838</v>
      </c>
    </row>
    <row r="9796" ht="12.75" customHeight="1">
      <c r="A9796" s="59" t="s">
        <v>2872</v>
      </c>
      <c r="B9796" s="60">
        <v>22.0</v>
      </c>
    </row>
    <row r="9797" ht="12.75" customHeight="1">
      <c r="A9797" s="59" t="s">
        <v>2872</v>
      </c>
      <c r="B9797" s="60" t="s">
        <v>839</v>
      </c>
    </row>
    <row r="9798" ht="12.75" customHeight="1">
      <c r="A9798" s="59" t="s">
        <v>2872</v>
      </c>
      <c r="B9798" s="60">
        <v>24.0</v>
      </c>
    </row>
    <row r="9799" ht="12.75" customHeight="1">
      <c r="A9799" s="59" t="s">
        <v>2872</v>
      </c>
      <c r="B9799" s="60" t="s">
        <v>840</v>
      </c>
    </row>
    <row r="9800" ht="12.75" customHeight="1">
      <c r="A9800" s="59" t="s">
        <v>2872</v>
      </c>
      <c r="B9800" s="60">
        <v>26.0</v>
      </c>
    </row>
    <row r="9801" ht="12.75" customHeight="1">
      <c r="A9801" s="59" t="s">
        <v>2872</v>
      </c>
      <c r="B9801" s="60" t="s">
        <v>841</v>
      </c>
    </row>
    <row r="9802" ht="12.75" customHeight="1">
      <c r="A9802" s="59" t="s">
        <v>2872</v>
      </c>
      <c r="B9802" s="60">
        <v>28.0</v>
      </c>
    </row>
    <row r="9803" ht="12.75" customHeight="1">
      <c r="A9803" s="59" t="s">
        <v>2872</v>
      </c>
      <c r="B9803" s="60" t="s">
        <v>842</v>
      </c>
    </row>
    <row r="9804" ht="12.75" customHeight="1">
      <c r="A9804" s="59" t="s">
        <v>2872</v>
      </c>
      <c r="B9804" s="60">
        <v>30.0</v>
      </c>
    </row>
    <row r="9805" ht="12.75" customHeight="1">
      <c r="A9805" s="59" t="s">
        <v>2872</v>
      </c>
      <c r="B9805" s="60" t="s">
        <v>843</v>
      </c>
    </row>
    <row r="9806" ht="12.75" customHeight="1">
      <c r="A9806" s="59" t="s">
        <v>2872</v>
      </c>
      <c r="B9806" s="60">
        <v>32.0</v>
      </c>
    </row>
    <row r="9807" ht="12.75" customHeight="1">
      <c r="A9807" s="59" t="s">
        <v>2872</v>
      </c>
      <c r="B9807" s="60" t="s">
        <v>844</v>
      </c>
    </row>
    <row r="9808" ht="12.75" customHeight="1">
      <c r="A9808" s="59" t="s">
        <v>2872</v>
      </c>
      <c r="B9808" s="60" t="s">
        <v>845</v>
      </c>
    </row>
    <row r="9809" ht="12.75" customHeight="1">
      <c r="A9809" s="59" t="s">
        <v>2872</v>
      </c>
      <c r="B9809" s="60" t="s">
        <v>846</v>
      </c>
    </row>
    <row r="9810" ht="12.75" customHeight="1">
      <c r="A9810" s="59" t="s">
        <v>2872</v>
      </c>
      <c r="B9810" s="60" t="s">
        <v>847</v>
      </c>
    </row>
    <row r="9811" ht="12.75" customHeight="1">
      <c r="A9811" s="59" t="s">
        <v>2872</v>
      </c>
      <c r="B9811" s="60" t="s">
        <v>848</v>
      </c>
    </row>
    <row r="9812" ht="12.75" customHeight="1">
      <c r="A9812" s="59" t="s">
        <v>2872</v>
      </c>
      <c r="B9812" s="60" t="s">
        <v>849</v>
      </c>
    </row>
    <row r="9813" ht="12.75" customHeight="1">
      <c r="A9813" s="59" t="s">
        <v>2872</v>
      </c>
      <c r="B9813" s="60" t="s">
        <v>850</v>
      </c>
    </row>
    <row r="9814" ht="12.75" customHeight="1">
      <c r="A9814" s="59" t="s">
        <v>2872</v>
      </c>
      <c r="B9814" s="60" t="s">
        <v>851</v>
      </c>
    </row>
    <row r="9815" ht="12.75" customHeight="1">
      <c r="A9815" s="59" t="s">
        <v>2872</v>
      </c>
      <c r="B9815" s="60" t="s">
        <v>852</v>
      </c>
    </row>
    <row r="9816" ht="12.75" customHeight="1">
      <c r="A9816" s="59" t="s">
        <v>2872</v>
      </c>
      <c r="B9816" s="60" t="s">
        <v>853</v>
      </c>
    </row>
    <row r="9817" ht="12.75" customHeight="1">
      <c r="A9817" s="59" t="s">
        <v>2872</v>
      </c>
      <c r="B9817" s="60" t="s">
        <v>854</v>
      </c>
    </row>
    <row r="9818" ht="12.75" customHeight="1">
      <c r="A9818" s="59" t="s">
        <v>2872</v>
      </c>
      <c r="B9818" s="60" t="s">
        <v>855</v>
      </c>
    </row>
    <row r="9819" ht="12.75" customHeight="1">
      <c r="A9819" s="59" t="s">
        <v>2872</v>
      </c>
      <c r="B9819" s="60" t="s">
        <v>856</v>
      </c>
    </row>
    <row r="9820" ht="12.75" customHeight="1">
      <c r="A9820" s="59" t="s">
        <v>2872</v>
      </c>
      <c r="B9820" s="60" t="s">
        <v>857</v>
      </c>
    </row>
    <row r="9821" ht="12.75" customHeight="1">
      <c r="A9821" s="59" t="s">
        <v>2872</v>
      </c>
      <c r="B9821" s="60" t="s">
        <v>858</v>
      </c>
    </row>
    <row r="9822" ht="12.75" customHeight="1">
      <c r="A9822" s="59" t="s">
        <v>2872</v>
      </c>
      <c r="B9822" s="60" t="s">
        <v>859</v>
      </c>
    </row>
    <row r="9823" ht="12.75" customHeight="1">
      <c r="A9823" s="59" t="s">
        <v>2872</v>
      </c>
      <c r="B9823" s="60" t="s">
        <v>860</v>
      </c>
    </row>
    <row r="9824" ht="12.75" customHeight="1">
      <c r="A9824" s="59" t="s">
        <v>2872</v>
      </c>
      <c r="B9824" s="60" t="s">
        <v>861</v>
      </c>
    </row>
    <row r="9825" ht="12.75" customHeight="1">
      <c r="A9825" s="59" t="s">
        <v>2872</v>
      </c>
      <c r="B9825" s="60" t="s">
        <v>862</v>
      </c>
    </row>
    <row r="9826" ht="12.75" customHeight="1">
      <c r="A9826" s="59" t="s">
        <v>2872</v>
      </c>
      <c r="B9826" s="60" t="s">
        <v>863</v>
      </c>
    </row>
    <row r="9827" ht="12.75" customHeight="1">
      <c r="A9827" s="59" t="s">
        <v>2872</v>
      </c>
      <c r="B9827" s="60" t="s">
        <v>864</v>
      </c>
    </row>
    <row r="9828" ht="12.75" customHeight="1">
      <c r="A9828" s="59" t="s">
        <v>2872</v>
      </c>
      <c r="B9828" s="60" t="s">
        <v>865</v>
      </c>
    </row>
    <row r="9829" ht="12.75" customHeight="1">
      <c r="A9829" s="59" t="s">
        <v>2872</v>
      </c>
      <c r="B9829" s="60" t="s">
        <v>866</v>
      </c>
    </row>
    <row r="9830" ht="12.75" customHeight="1">
      <c r="A9830" s="59" t="s">
        <v>2872</v>
      </c>
      <c r="B9830" s="60" t="s">
        <v>867</v>
      </c>
    </row>
    <row r="9831" ht="12.75" customHeight="1">
      <c r="A9831" s="59" t="s">
        <v>2872</v>
      </c>
      <c r="B9831" s="60" t="s">
        <v>868</v>
      </c>
    </row>
    <row r="9832" ht="12.75" customHeight="1">
      <c r="A9832" s="59" t="s">
        <v>2872</v>
      </c>
      <c r="B9832" s="60" t="s">
        <v>869</v>
      </c>
    </row>
    <row r="9833" ht="12.75" customHeight="1">
      <c r="A9833" s="59" t="s">
        <v>2872</v>
      </c>
      <c r="B9833" s="60" t="s">
        <v>870</v>
      </c>
    </row>
    <row r="9834" ht="12.75" customHeight="1">
      <c r="A9834" s="59" t="s">
        <v>2872</v>
      </c>
      <c r="B9834" s="60" t="s">
        <v>871</v>
      </c>
    </row>
    <row r="9835" ht="12.75" customHeight="1">
      <c r="A9835" s="59" t="s">
        <v>2872</v>
      </c>
      <c r="B9835" s="60" t="s">
        <v>872</v>
      </c>
    </row>
    <row r="9836" ht="12.75" customHeight="1">
      <c r="A9836" s="59" t="s">
        <v>2872</v>
      </c>
      <c r="B9836" s="60" t="s">
        <v>873</v>
      </c>
    </row>
    <row r="9837" ht="12.75" customHeight="1">
      <c r="A9837" s="59" t="s">
        <v>2872</v>
      </c>
      <c r="B9837" s="60" t="s">
        <v>874</v>
      </c>
    </row>
    <row r="9838" ht="12.75" customHeight="1">
      <c r="A9838" s="59" t="s">
        <v>2872</v>
      </c>
      <c r="B9838" s="60" t="s">
        <v>875</v>
      </c>
    </row>
    <row r="9839" ht="12.75" customHeight="1">
      <c r="A9839" s="59" t="s">
        <v>2872</v>
      </c>
      <c r="B9839" s="60" t="s">
        <v>876</v>
      </c>
    </row>
    <row r="9840" ht="12.75" customHeight="1">
      <c r="A9840" s="59" t="s">
        <v>2872</v>
      </c>
      <c r="B9840" s="60" t="s">
        <v>877</v>
      </c>
    </row>
    <row r="9841" ht="12.75" customHeight="1">
      <c r="A9841" s="59" t="s">
        <v>2872</v>
      </c>
      <c r="B9841" s="60" t="s">
        <v>878</v>
      </c>
    </row>
    <row r="9842" ht="12.75" customHeight="1">
      <c r="A9842" s="59" t="s">
        <v>2872</v>
      </c>
      <c r="B9842" s="60" t="s">
        <v>879</v>
      </c>
    </row>
    <row r="9843" ht="12.75" customHeight="1">
      <c r="A9843" s="59" t="s">
        <v>2872</v>
      </c>
      <c r="B9843" s="60" t="s">
        <v>880</v>
      </c>
    </row>
    <row r="9844" ht="12.75" customHeight="1">
      <c r="A9844" s="59" t="s">
        <v>2872</v>
      </c>
      <c r="B9844" s="60" t="s">
        <v>881</v>
      </c>
    </row>
    <row r="9845" ht="12.75" customHeight="1">
      <c r="A9845" s="59" t="s">
        <v>2872</v>
      </c>
      <c r="B9845" s="60" t="s">
        <v>882</v>
      </c>
    </row>
    <row r="9846" ht="12.75" customHeight="1">
      <c r="A9846" s="59" t="s">
        <v>2872</v>
      </c>
      <c r="B9846" s="60" t="s">
        <v>883</v>
      </c>
    </row>
    <row r="9847" ht="12.75" customHeight="1">
      <c r="A9847" s="59" t="s">
        <v>2872</v>
      </c>
      <c r="B9847" s="60" t="s">
        <v>884</v>
      </c>
    </row>
    <row r="9848" ht="12.75" customHeight="1">
      <c r="A9848" s="59" t="s">
        <v>2872</v>
      </c>
      <c r="B9848" s="60" t="s">
        <v>885</v>
      </c>
    </row>
    <row r="9849" ht="12.75" customHeight="1">
      <c r="A9849" s="59" t="s">
        <v>2872</v>
      </c>
      <c r="B9849" s="60" t="s">
        <v>886</v>
      </c>
    </row>
    <row r="9850" ht="12.75" customHeight="1">
      <c r="A9850" s="59" t="s">
        <v>2872</v>
      </c>
      <c r="B9850" s="60" t="s">
        <v>887</v>
      </c>
    </row>
    <row r="9851" ht="12.75" customHeight="1">
      <c r="A9851" s="59" t="s">
        <v>2872</v>
      </c>
      <c r="B9851" s="60" t="s">
        <v>888</v>
      </c>
    </row>
    <row r="9852" ht="12.75" customHeight="1">
      <c r="A9852" s="59" t="s">
        <v>2872</v>
      </c>
      <c r="B9852" s="60" t="s">
        <v>889</v>
      </c>
    </row>
    <row r="9853" ht="12.75" customHeight="1">
      <c r="A9853" s="59" t="s">
        <v>2872</v>
      </c>
      <c r="B9853" s="60" t="s">
        <v>890</v>
      </c>
    </row>
    <row r="9854" ht="12.75" customHeight="1">
      <c r="A9854" s="59" t="s">
        <v>2872</v>
      </c>
      <c r="B9854" s="60" t="s">
        <v>891</v>
      </c>
    </row>
    <row r="9855" ht="12.75" customHeight="1">
      <c r="A9855" s="59" t="s">
        <v>2872</v>
      </c>
      <c r="B9855" s="60" t="s">
        <v>892</v>
      </c>
    </row>
    <row r="9856" ht="12.75" customHeight="1">
      <c r="A9856" s="59" t="s">
        <v>2872</v>
      </c>
      <c r="B9856" s="60" t="s">
        <v>893</v>
      </c>
    </row>
    <row r="9857" ht="12.75" customHeight="1">
      <c r="A9857" s="59" t="s">
        <v>2872</v>
      </c>
      <c r="B9857" s="60" t="s">
        <v>894</v>
      </c>
    </row>
    <row r="9858" ht="12.75" customHeight="1">
      <c r="A9858" s="59" t="s">
        <v>2872</v>
      </c>
      <c r="B9858" s="60" t="s">
        <v>895</v>
      </c>
    </row>
    <row r="9859" ht="12.75" customHeight="1">
      <c r="A9859" s="59" t="s">
        <v>2872</v>
      </c>
      <c r="B9859" s="60" t="s">
        <v>896</v>
      </c>
    </row>
    <row r="9860" ht="12.75" customHeight="1">
      <c r="A9860" s="59" t="s">
        <v>2872</v>
      </c>
      <c r="B9860" s="60" t="s">
        <v>897</v>
      </c>
    </row>
    <row r="9861" ht="12.75" customHeight="1">
      <c r="A9861" s="59" t="s">
        <v>2872</v>
      </c>
      <c r="B9861" s="60" t="s">
        <v>898</v>
      </c>
    </row>
    <row r="9862" ht="12.75" customHeight="1">
      <c r="A9862" s="59" t="s">
        <v>2872</v>
      </c>
      <c r="B9862" s="60" t="s">
        <v>899</v>
      </c>
    </row>
    <row r="9863" ht="12.75" customHeight="1">
      <c r="A9863" s="59" t="s">
        <v>2872</v>
      </c>
      <c r="B9863" s="60" t="s">
        <v>900</v>
      </c>
    </row>
    <row r="9864" ht="12.75" customHeight="1">
      <c r="A9864" s="59" t="s">
        <v>2872</v>
      </c>
      <c r="B9864" s="60" t="s">
        <v>901</v>
      </c>
    </row>
    <row r="9865" ht="12.75" customHeight="1">
      <c r="A9865" s="59" t="s">
        <v>2872</v>
      </c>
      <c r="B9865" s="60" t="s">
        <v>902</v>
      </c>
    </row>
    <row r="9866" ht="12.75" customHeight="1">
      <c r="A9866" s="59" t="s">
        <v>2872</v>
      </c>
      <c r="B9866" s="60" t="s">
        <v>903</v>
      </c>
    </row>
    <row r="9867" ht="12.75" customHeight="1">
      <c r="A9867" s="59" t="s">
        <v>2872</v>
      </c>
      <c r="B9867" s="60" t="s">
        <v>904</v>
      </c>
    </row>
    <row r="9868" ht="12.75" customHeight="1">
      <c r="A9868" s="59" t="s">
        <v>2872</v>
      </c>
      <c r="B9868" s="60" t="s">
        <v>905</v>
      </c>
    </row>
    <row r="9869" ht="12.75" customHeight="1">
      <c r="A9869" s="59" t="s">
        <v>2872</v>
      </c>
      <c r="B9869" s="60" t="s">
        <v>906</v>
      </c>
    </row>
    <row r="9870" ht="12.75" customHeight="1">
      <c r="A9870" s="59" t="s">
        <v>2872</v>
      </c>
      <c r="B9870" s="60" t="s">
        <v>907</v>
      </c>
    </row>
    <row r="9871" ht="12.75" customHeight="1">
      <c r="A9871" s="59" t="s">
        <v>2872</v>
      </c>
      <c r="B9871" s="60" t="s">
        <v>908</v>
      </c>
    </row>
    <row r="9872" ht="12.75" customHeight="1">
      <c r="A9872" s="59" t="s">
        <v>2872</v>
      </c>
      <c r="B9872" s="60" t="s">
        <v>909</v>
      </c>
    </row>
    <row r="9873" ht="12.75" customHeight="1">
      <c r="A9873" s="59" t="s">
        <v>2872</v>
      </c>
      <c r="B9873" s="60" t="s">
        <v>910</v>
      </c>
    </row>
    <row r="9874" ht="12.75" customHeight="1">
      <c r="A9874" s="59" t="s">
        <v>2872</v>
      </c>
      <c r="B9874" s="60" t="s">
        <v>911</v>
      </c>
    </row>
    <row r="9875" ht="12.75" customHeight="1">
      <c r="A9875" s="59" t="s">
        <v>2872</v>
      </c>
      <c r="B9875" s="60" t="s">
        <v>912</v>
      </c>
    </row>
    <row r="9876" ht="12.75" customHeight="1">
      <c r="A9876" s="59" t="s">
        <v>2872</v>
      </c>
      <c r="B9876" s="60" t="s">
        <v>913</v>
      </c>
    </row>
    <row r="9877" ht="12.75" customHeight="1">
      <c r="A9877" s="59" t="s">
        <v>2872</v>
      </c>
      <c r="B9877" s="60" t="s">
        <v>914</v>
      </c>
    </row>
    <row r="9878" ht="12.75" customHeight="1">
      <c r="A9878" s="59" t="s">
        <v>2872</v>
      </c>
      <c r="B9878" s="60" t="s">
        <v>915</v>
      </c>
    </row>
    <row r="9879" ht="12.75" customHeight="1">
      <c r="A9879" s="59" t="s">
        <v>2872</v>
      </c>
      <c r="B9879" s="60" t="s">
        <v>916</v>
      </c>
    </row>
    <row r="9880" ht="12.75" customHeight="1">
      <c r="A9880" s="59" t="s">
        <v>2872</v>
      </c>
      <c r="B9880" s="60" t="s">
        <v>917</v>
      </c>
    </row>
    <row r="9881" ht="12.75" customHeight="1">
      <c r="A9881" s="59" t="s">
        <v>2872</v>
      </c>
      <c r="B9881" s="60" t="s">
        <v>918</v>
      </c>
    </row>
    <row r="9882" ht="12.75" customHeight="1">
      <c r="A9882" s="59" t="s">
        <v>2872</v>
      </c>
      <c r="B9882" s="60" t="s">
        <v>919</v>
      </c>
    </row>
    <row r="9883" ht="12.75" customHeight="1">
      <c r="A9883" s="59" t="s">
        <v>2872</v>
      </c>
      <c r="B9883" s="60" t="s">
        <v>920</v>
      </c>
    </row>
    <row r="9884" ht="12.75" customHeight="1">
      <c r="A9884" s="59" t="s">
        <v>2872</v>
      </c>
      <c r="B9884" s="60" t="s">
        <v>921</v>
      </c>
    </row>
    <row r="9885" ht="12.75" customHeight="1">
      <c r="A9885" s="59" t="s">
        <v>2872</v>
      </c>
      <c r="B9885" s="60" t="s">
        <v>922</v>
      </c>
    </row>
    <row r="9886" ht="12.75" customHeight="1">
      <c r="A9886" s="59" t="s">
        <v>2872</v>
      </c>
      <c r="B9886" s="60" t="s">
        <v>923</v>
      </c>
    </row>
    <row r="9887" ht="12.75" customHeight="1">
      <c r="A9887" s="59" t="s">
        <v>2872</v>
      </c>
      <c r="B9887" s="60" t="s">
        <v>924</v>
      </c>
    </row>
    <row r="9888" ht="12.75" customHeight="1">
      <c r="A9888" s="59" t="s">
        <v>2872</v>
      </c>
      <c r="B9888" s="60" t="s">
        <v>925</v>
      </c>
    </row>
    <row r="9889" ht="12.75" customHeight="1">
      <c r="A9889" s="59" t="s">
        <v>2872</v>
      </c>
      <c r="B9889" s="60" t="s">
        <v>926</v>
      </c>
    </row>
    <row r="9890" ht="12.75" customHeight="1">
      <c r="A9890" s="59" t="s">
        <v>2872</v>
      </c>
      <c r="B9890" s="60" t="s">
        <v>927</v>
      </c>
    </row>
    <row r="9891" ht="12.75" customHeight="1">
      <c r="A9891" s="59" t="s">
        <v>2872</v>
      </c>
      <c r="B9891" s="60" t="s">
        <v>928</v>
      </c>
    </row>
    <row r="9892" ht="12.75" customHeight="1">
      <c r="A9892" s="59" t="s">
        <v>2872</v>
      </c>
      <c r="B9892" s="60" t="s">
        <v>929</v>
      </c>
    </row>
    <row r="9893" ht="12.75" customHeight="1">
      <c r="A9893" s="59" t="s">
        <v>2872</v>
      </c>
      <c r="B9893" s="60" t="s">
        <v>930</v>
      </c>
    </row>
    <row r="9894" ht="12.75" customHeight="1">
      <c r="A9894" s="59" t="s">
        <v>2872</v>
      </c>
      <c r="B9894" s="60" t="s">
        <v>931</v>
      </c>
    </row>
    <row r="9895" ht="12.75" customHeight="1">
      <c r="A9895" s="59" t="s">
        <v>2872</v>
      </c>
      <c r="B9895" s="60" t="s">
        <v>932</v>
      </c>
    </row>
    <row r="9896" ht="12.75" customHeight="1">
      <c r="A9896" s="59" t="s">
        <v>2872</v>
      </c>
      <c r="B9896" s="60" t="s">
        <v>933</v>
      </c>
    </row>
    <row r="9897" ht="12.75" customHeight="1">
      <c r="A9897" s="59" t="s">
        <v>2872</v>
      </c>
      <c r="B9897" s="60" t="s">
        <v>934</v>
      </c>
    </row>
    <row r="9898" ht="12.75" customHeight="1">
      <c r="A9898" s="59" t="s">
        <v>2872</v>
      </c>
      <c r="B9898" s="60" t="s">
        <v>935</v>
      </c>
    </row>
    <row r="9899" ht="12.75" customHeight="1">
      <c r="A9899" s="59" t="s">
        <v>2872</v>
      </c>
      <c r="B9899" s="60" t="s">
        <v>936</v>
      </c>
    </row>
    <row r="9900" ht="12.75" customHeight="1">
      <c r="A9900" s="59" t="s">
        <v>2872</v>
      </c>
      <c r="B9900" s="60" t="s">
        <v>937</v>
      </c>
    </row>
    <row r="9901" ht="12.75" customHeight="1">
      <c r="A9901" s="59" t="s">
        <v>2872</v>
      </c>
      <c r="B9901" s="60" t="s">
        <v>938</v>
      </c>
    </row>
    <row r="9902" ht="12.75" customHeight="1">
      <c r="A9902" s="59" t="s">
        <v>2872</v>
      </c>
      <c r="B9902" s="60" t="s">
        <v>939</v>
      </c>
    </row>
    <row r="9903" ht="12.75" customHeight="1">
      <c r="A9903" s="59" t="s">
        <v>2872</v>
      </c>
      <c r="B9903" s="60" t="s">
        <v>940</v>
      </c>
    </row>
    <row r="9904" ht="12.75" customHeight="1">
      <c r="A9904" s="59" t="s">
        <v>2872</v>
      </c>
      <c r="B9904" s="60" t="s">
        <v>941</v>
      </c>
    </row>
    <row r="9905" ht="12.75" customHeight="1">
      <c r="A9905" s="59" t="s">
        <v>2872</v>
      </c>
      <c r="B9905" s="60" t="s">
        <v>942</v>
      </c>
    </row>
    <row r="9906" ht="12.75" customHeight="1">
      <c r="A9906" s="59" t="s">
        <v>2872</v>
      </c>
      <c r="B9906" s="60" t="s">
        <v>943</v>
      </c>
    </row>
    <row r="9907" ht="12.75" customHeight="1">
      <c r="A9907" s="59" t="s">
        <v>2872</v>
      </c>
      <c r="B9907" s="60" t="s">
        <v>944</v>
      </c>
    </row>
    <row r="9908" ht="12.75" customHeight="1">
      <c r="A9908" s="59" t="s">
        <v>2872</v>
      </c>
      <c r="B9908" s="60" t="s">
        <v>945</v>
      </c>
    </row>
    <row r="9909" ht="12.75" customHeight="1">
      <c r="A9909" s="59" t="s">
        <v>2872</v>
      </c>
      <c r="B9909" s="60" t="s">
        <v>946</v>
      </c>
    </row>
    <row r="9910" ht="12.75" customHeight="1">
      <c r="A9910" s="59" t="s">
        <v>2872</v>
      </c>
      <c r="B9910" s="60" t="s">
        <v>947</v>
      </c>
    </row>
    <row r="9911" ht="12.75" customHeight="1">
      <c r="A9911" s="59" t="s">
        <v>2872</v>
      </c>
      <c r="B9911" s="60" t="s">
        <v>948</v>
      </c>
    </row>
    <row r="9912" ht="12.75" customHeight="1">
      <c r="A9912" s="59" t="s">
        <v>2872</v>
      </c>
      <c r="B9912" s="60" t="s">
        <v>949</v>
      </c>
    </row>
    <row r="9913" ht="12.75" customHeight="1">
      <c r="A9913" s="59" t="s">
        <v>2872</v>
      </c>
      <c r="B9913" s="60" t="s">
        <v>950</v>
      </c>
    </row>
    <row r="9914" ht="12.75" customHeight="1">
      <c r="A9914" s="59" t="s">
        <v>2872</v>
      </c>
      <c r="B9914" s="60" t="s">
        <v>951</v>
      </c>
    </row>
    <row r="9915" ht="12.75" customHeight="1">
      <c r="A9915" s="59" t="s">
        <v>2872</v>
      </c>
      <c r="B9915" s="60" t="s">
        <v>952</v>
      </c>
    </row>
    <row r="9916" ht="12.75" customHeight="1">
      <c r="A9916" s="59" t="s">
        <v>2872</v>
      </c>
      <c r="B9916" s="60" t="s">
        <v>953</v>
      </c>
    </row>
    <row r="9917" ht="12.75" customHeight="1">
      <c r="A9917" s="59" t="s">
        <v>2872</v>
      </c>
      <c r="B9917" s="60" t="s">
        <v>954</v>
      </c>
    </row>
    <row r="9918" ht="12.75" customHeight="1">
      <c r="A9918" s="59" t="s">
        <v>2872</v>
      </c>
      <c r="B9918" s="60" t="s">
        <v>955</v>
      </c>
    </row>
    <row r="9919" ht="12.75" customHeight="1">
      <c r="A9919" s="59" t="s">
        <v>2872</v>
      </c>
      <c r="B9919" s="60" t="s">
        <v>956</v>
      </c>
    </row>
    <row r="9920" ht="12.75" customHeight="1">
      <c r="A9920" s="59" t="s">
        <v>2872</v>
      </c>
      <c r="B9920" s="60" t="s">
        <v>957</v>
      </c>
    </row>
    <row r="9921" ht="12.75" customHeight="1">
      <c r="A9921" s="59" t="s">
        <v>2872</v>
      </c>
      <c r="B9921" s="60" t="s">
        <v>958</v>
      </c>
    </row>
    <row r="9922" ht="12.75" customHeight="1">
      <c r="A9922" s="59" t="s">
        <v>2872</v>
      </c>
      <c r="B9922" s="60" t="s">
        <v>959</v>
      </c>
    </row>
    <row r="9923" ht="12.75" customHeight="1">
      <c r="A9923" s="59" t="s">
        <v>2872</v>
      </c>
      <c r="B9923" s="60" t="s">
        <v>960</v>
      </c>
    </row>
    <row r="9924" ht="12.75" customHeight="1">
      <c r="A9924" s="59" t="s">
        <v>2872</v>
      </c>
      <c r="B9924" s="60" t="s">
        <v>961</v>
      </c>
    </row>
    <row r="9925" ht="12.75" customHeight="1">
      <c r="A9925" s="59" t="s">
        <v>2872</v>
      </c>
      <c r="B9925" s="60" t="s">
        <v>962</v>
      </c>
    </row>
    <row r="9926" ht="12.75" customHeight="1">
      <c r="A9926" s="59" t="s">
        <v>2872</v>
      </c>
      <c r="B9926" s="60" t="s">
        <v>963</v>
      </c>
    </row>
    <row r="9927" ht="12.75" customHeight="1">
      <c r="A9927" s="59" t="s">
        <v>2872</v>
      </c>
      <c r="B9927" s="60" t="s">
        <v>964</v>
      </c>
    </row>
    <row r="9928" ht="12.75" customHeight="1">
      <c r="A9928" s="59" t="s">
        <v>2872</v>
      </c>
      <c r="B9928" s="60" t="s">
        <v>965</v>
      </c>
    </row>
    <row r="9929" ht="12.75" customHeight="1">
      <c r="A9929" s="59" t="s">
        <v>2872</v>
      </c>
      <c r="B9929" s="60" t="s">
        <v>966</v>
      </c>
    </row>
    <row r="9930" ht="12.75" customHeight="1">
      <c r="A9930" s="59" t="s">
        <v>2872</v>
      </c>
      <c r="B9930" s="60" t="s">
        <v>967</v>
      </c>
    </row>
    <row r="9931" ht="12.75" customHeight="1">
      <c r="A9931" s="59" t="s">
        <v>2872</v>
      </c>
      <c r="B9931" s="60" t="s">
        <v>968</v>
      </c>
    </row>
    <row r="9932" ht="12.75" customHeight="1">
      <c r="A9932" s="59" t="s">
        <v>2872</v>
      </c>
      <c r="B9932" s="60" t="s">
        <v>969</v>
      </c>
    </row>
    <row r="9933" ht="12.75" customHeight="1">
      <c r="A9933" s="59" t="s">
        <v>2872</v>
      </c>
      <c r="B9933" s="60" t="s">
        <v>970</v>
      </c>
    </row>
    <row r="9934" ht="12.75" customHeight="1">
      <c r="A9934" s="59" t="s">
        <v>2872</v>
      </c>
      <c r="B9934" s="60" t="s">
        <v>971</v>
      </c>
    </row>
    <row r="9935" ht="12.75" customHeight="1">
      <c r="A9935" s="59" t="s">
        <v>2872</v>
      </c>
      <c r="B9935" s="60" t="s">
        <v>972</v>
      </c>
    </row>
    <row r="9936" ht="12.75" customHeight="1">
      <c r="A9936" s="59" t="s">
        <v>2872</v>
      </c>
      <c r="B9936" s="60" t="s">
        <v>973</v>
      </c>
    </row>
    <row r="9937" ht="12.75" customHeight="1">
      <c r="A9937" s="59" t="s">
        <v>2872</v>
      </c>
      <c r="B9937" s="60" t="s">
        <v>974</v>
      </c>
    </row>
    <row r="9938" ht="12.75" customHeight="1">
      <c r="A9938" s="59" t="s">
        <v>2872</v>
      </c>
      <c r="B9938" s="60" t="s">
        <v>975</v>
      </c>
    </row>
    <row r="9939" ht="12.75" customHeight="1">
      <c r="A9939" s="59" t="s">
        <v>2872</v>
      </c>
      <c r="B9939" s="60" t="s">
        <v>976</v>
      </c>
    </row>
    <row r="9940" ht="12.75" customHeight="1">
      <c r="A9940" s="59" t="s">
        <v>2872</v>
      </c>
      <c r="B9940" s="60" t="s">
        <v>977</v>
      </c>
    </row>
    <row r="9941" ht="12.75" customHeight="1">
      <c r="A9941" s="59" t="s">
        <v>2872</v>
      </c>
      <c r="B9941" s="60" t="s">
        <v>978</v>
      </c>
    </row>
    <row r="9942" ht="12.75" customHeight="1">
      <c r="A9942" s="59" t="s">
        <v>2872</v>
      </c>
      <c r="B9942" s="60" t="s">
        <v>979</v>
      </c>
    </row>
    <row r="9943" ht="12.75" customHeight="1">
      <c r="A9943" s="59" t="s">
        <v>2872</v>
      </c>
      <c r="B9943" s="60" t="s">
        <v>980</v>
      </c>
    </row>
    <row r="9944" ht="12.75" customHeight="1">
      <c r="A9944" s="59" t="s">
        <v>2872</v>
      </c>
      <c r="B9944" s="60" t="s">
        <v>981</v>
      </c>
    </row>
    <row r="9945" ht="12.75" customHeight="1">
      <c r="A9945" s="59" t="s">
        <v>2872</v>
      </c>
      <c r="B9945" s="60" t="s">
        <v>982</v>
      </c>
    </row>
    <row r="9946" ht="12.75" customHeight="1">
      <c r="A9946" s="59" t="s">
        <v>2872</v>
      </c>
      <c r="B9946" s="60" t="s">
        <v>983</v>
      </c>
    </row>
    <row r="9947" ht="12.75" customHeight="1">
      <c r="A9947" s="59" t="s">
        <v>2872</v>
      </c>
      <c r="B9947" s="60" t="s">
        <v>984</v>
      </c>
    </row>
    <row r="9948" ht="12.75" customHeight="1">
      <c r="A9948" s="59" t="s">
        <v>2872</v>
      </c>
      <c r="B9948" s="60" t="s">
        <v>985</v>
      </c>
    </row>
    <row r="9949" ht="12.75" customHeight="1">
      <c r="A9949" s="59" t="s">
        <v>2872</v>
      </c>
      <c r="B9949" s="60" t="s">
        <v>986</v>
      </c>
    </row>
    <row r="9950" ht="12.75" customHeight="1">
      <c r="A9950" s="59" t="s">
        <v>2872</v>
      </c>
      <c r="B9950" s="60" t="s">
        <v>987</v>
      </c>
    </row>
    <row r="9951" ht="12.75" customHeight="1">
      <c r="A9951" s="59" t="s">
        <v>2872</v>
      </c>
      <c r="B9951" s="60" t="s">
        <v>988</v>
      </c>
    </row>
    <row r="9952" ht="12.75" customHeight="1">
      <c r="A9952" s="59" t="s">
        <v>2872</v>
      </c>
      <c r="B9952" s="60" t="s">
        <v>989</v>
      </c>
    </row>
    <row r="9953" ht="12.75" customHeight="1">
      <c r="A9953" s="59" t="s">
        <v>2872</v>
      </c>
      <c r="B9953" s="60" t="s">
        <v>990</v>
      </c>
    </row>
    <row r="9954" ht="12.75" customHeight="1">
      <c r="A9954" s="59" t="s">
        <v>2872</v>
      </c>
      <c r="B9954" s="60" t="s">
        <v>991</v>
      </c>
    </row>
    <row r="9955" ht="12.75" customHeight="1">
      <c r="A9955" s="59" t="s">
        <v>2872</v>
      </c>
      <c r="B9955" s="60" t="s">
        <v>992</v>
      </c>
    </row>
    <row r="9956" ht="12.75" customHeight="1">
      <c r="A9956" s="59" t="s">
        <v>2872</v>
      </c>
      <c r="B9956" s="60" t="s">
        <v>993</v>
      </c>
    </row>
    <row r="9957" ht="12.75" customHeight="1">
      <c r="A9957" s="59" t="s">
        <v>2872</v>
      </c>
      <c r="B9957" s="60" t="s">
        <v>994</v>
      </c>
    </row>
    <row r="9958" ht="12.75" customHeight="1">
      <c r="A9958" s="59" t="s">
        <v>2872</v>
      </c>
      <c r="B9958" s="60" t="s">
        <v>995</v>
      </c>
    </row>
    <row r="9959" ht="12.75" customHeight="1">
      <c r="A9959" s="59" t="s">
        <v>2872</v>
      </c>
      <c r="B9959" s="60" t="s">
        <v>996</v>
      </c>
    </row>
    <row r="9960" ht="12.75" customHeight="1">
      <c r="A9960" s="59" t="s">
        <v>2872</v>
      </c>
      <c r="B9960" s="60" t="s">
        <v>997</v>
      </c>
    </row>
    <row r="9961" ht="12.75" customHeight="1">
      <c r="A9961" s="59" t="s">
        <v>2872</v>
      </c>
      <c r="B9961" s="60" t="s">
        <v>998</v>
      </c>
    </row>
    <row r="9962" ht="12.75" customHeight="1">
      <c r="A9962" s="59" t="s">
        <v>2872</v>
      </c>
      <c r="B9962" s="60" t="s">
        <v>999</v>
      </c>
    </row>
    <row r="9963" ht="12.75" customHeight="1">
      <c r="A9963" s="59" t="s">
        <v>2872</v>
      </c>
      <c r="B9963" s="60" t="s">
        <v>1000</v>
      </c>
    </row>
    <row r="9964" ht="12.75" customHeight="1">
      <c r="A9964" s="59" t="s">
        <v>2872</v>
      </c>
      <c r="B9964" s="60" t="s">
        <v>1001</v>
      </c>
    </row>
    <row r="9965" ht="12.75" customHeight="1">
      <c r="A9965" s="59" t="s">
        <v>2872</v>
      </c>
      <c r="B9965" s="60" t="s">
        <v>1002</v>
      </c>
    </row>
    <row r="9966" ht="12.75" customHeight="1">
      <c r="A9966" s="59" t="s">
        <v>2872</v>
      </c>
      <c r="B9966" s="60" t="s">
        <v>1003</v>
      </c>
    </row>
    <row r="9967" ht="12.75" customHeight="1">
      <c r="A9967" s="59" t="s">
        <v>2872</v>
      </c>
      <c r="B9967" s="60" t="s">
        <v>1004</v>
      </c>
    </row>
    <row r="9968" ht="12.75" customHeight="1">
      <c r="A9968" s="59" t="s">
        <v>2872</v>
      </c>
      <c r="B9968" s="60" t="s">
        <v>1005</v>
      </c>
    </row>
    <row r="9969" ht="12.75" customHeight="1">
      <c r="A9969" s="59" t="s">
        <v>2872</v>
      </c>
      <c r="B9969" s="60" t="s">
        <v>1006</v>
      </c>
    </row>
    <row r="9970" ht="12.75" customHeight="1">
      <c r="A9970" s="59" t="s">
        <v>2872</v>
      </c>
      <c r="B9970" s="60" t="s">
        <v>1007</v>
      </c>
    </row>
    <row r="9971" ht="12.75" customHeight="1">
      <c r="A9971" s="59" t="s">
        <v>2872</v>
      </c>
      <c r="B9971" s="60" t="s">
        <v>1008</v>
      </c>
    </row>
    <row r="9972" ht="12.75" customHeight="1">
      <c r="A9972" s="59" t="s">
        <v>2872</v>
      </c>
      <c r="B9972" s="60" t="s">
        <v>1009</v>
      </c>
    </row>
    <row r="9973" ht="12.75" customHeight="1">
      <c r="A9973" s="59" t="s">
        <v>2872</v>
      </c>
      <c r="B9973" s="60" t="s">
        <v>1010</v>
      </c>
    </row>
    <row r="9974" ht="12.75" customHeight="1">
      <c r="A9974" s="59" t="s">
        <v>2872</v>
      </c>
      <c r="B9974" s="60" t="s">
        <v>1011</v>
      </c>
    </row>
    <row r="9975" ht="12.75" customHeight="1">
      <c r="A9975" s="59" t="s">
        <v>2872</v>
      </c>
      <c r="B9975" s="60" t="s">
        <v>1012</v>
      </c>
    </row>
    <row r="9976" ht="12.75" customHeight="1">
      <c r="A9976" s="59" t="s">
        <v>2872</v>
      </c>
      <c r="B9976" s="60" t="s">
        <v>1013</v>
      </c>
    </row>
    <row r="9977" ht="12.75" customHeight="1">
      <c r="A9977" s="59" t="s">
        <v>2872</v>
      </c>
      <c r="B9977" s="60" t="s">
        <v>1014</v>
      </c>
    </row>
    <row r="9978" ht="12.75" customHeight="1">
      <c r="A9978" s="59" t="s">
        <v>2872</v>
      </c>
      <c r="B9978" s="60" t="s">
        <v>1015</v>
      </c>
    </row>
    <row r="9979" ht="12.75" customHeight="1">
      <c r="A9979" s="59" t="s">
        <v>2872</v>
      </c>
      <c r="B9979" s="60" t="s">
        <v>1016</v>
      </c>
    </row>
    <row r="9980" ht="12.75" customHeight="1">
      <c r="A9980" s="59" t="s">
        <v>2872</v>
      </c>
      <c r="B9980" s="60" t="s">
        <v>1017</v>
      </c>
    </row>
    <row r="9981" ht="12.75" customHeight="1">
      <c r="A9981" s="59" t="s">
        <v>2872</v>
      </c>
      <c r="B9981" s="60" t="s">
        <v>1018</v>
      </c>
    </row>
    <row r="9982" ht="12.75" customHeight="1">
      <c r="A9982" s="59" t="s">
        <v>2872</v>
      </c>
      <c r="B9982" s="60" t="s">
        <v>1019</v>
      </c>
    </row>
    <row r="9983" ht="12.75" customHeight="1">
      <c r="A9983" s="59" t="s">
        <v>2872</v>
      </c>
      <c r="B9983" s="60" t="s">
        <v>1020</v>
      </c>
    </row>
    <row r="9984" ht="12.75" customHeight="1">
      <c r="A9984" s="59" t="s">
        <v>2872</v>
      </c>
      <c r="B9984" s="60" t="s">
        <v>1021</v>
      </c>
    </row>
    <row r="9985" ht="12.75" customHeight="1">
      <c r="A9985" s="59" t="s">
        <v>2872</v>
      </c>
      <c r="B9985" s="60" t="s">
        <v>1022</v>
      </c>
    </row>
    <row r="9986" ht="12.75" customHeight="1">
      <c r="A9986" s="59" t="s">
        <v>2872</v>
      </c>
      <c r="B9986" s="60" t="s">
        <v>1023</v>
      </c>
    </row>
    <row r="9987" ht="12.75" customHeight="1">
      <c r="A9987" s="59" t="s">
        <v>2872</v>
      </c>
      <c r="B9987" s="60" t="s">
        <v>1024</v>
      </c>
    </row>
    <row r="9988" ht="12.75" customHeight="1">
      <c r="A9988" s="59" t="s">
        <v>2872</v>
      </c>
      <c r="B9988" s="60" t="s">
        <v>1025</v>
      </c>
    </row>
    <row r="9989" ht="12.75" customHeight="1">
      <c r="A9989" s="59" t="s">
        <v>2872</v>
      </c>
      <c r="B9989" s="60" t="s">
        <v>1026</v>
      </c>
    </row>
    <row r="9990" ht="12.75" customHeight="1">
      <c r="A9990" s="59" t="s">
        <v>2872</v>
      </c>
      <c r="B9990" s="60" t="s">
        <v>1027</v>
      </c>
    </row>
    <row r="9991" ht="12.75" customHeight="1">
      <c r="A9991" s="59" t="s">
        <v>2872</v>
      </c>
      <c r="B9991" s="60" t="s">
        <v>1028</v>
      </c>
    </row>
    <row r="9992" ht="12.75" customHeight="1">
      <c r="A9992" s="59" t="s">
        <v>2872</v>
      </c>
      <c r="B9992" s="60" t="s">
        <v>1029</v>
      </c>
    </row>
    <row r="9993" ht="12.75" customHeight="1">
      <c r="A9993" s="59" t="s">
        <v>2872</v>
      </c>
      <c r="B9993" s="60" t="s">
        <v>1030</v>
      </c>
    </row>
    <row r="9994" ht="12.75" customHeight="1">
      <c r="A9994" s="59" t="s">
        <v>2872</v>
      </c>
      <c r="B9994" s="60" t="s">
        <v>1031</v>
      </c>
    </row>
    <row r="9995" ht="12.75" customHeight="1">
      <c r="A9995" s="59" t="s">
        <v>2872</v>
      </c>
      <c r="B9995" s="60" t="s">
        <v>1032</v>
      </c>
    </row>
    <row r="9996" ht="12.75" customHeight="1">
      <c r="A9996" s="59" t="s">
        <v>2872</v>
      </c>
      <c r="B9996" s="60" t="s">
        <v>1033</v>
      </c>
    </row>
    <row r="9997" ht="12.75" customHeight="1">
      <c r="A9997" s="59" t="s">
        <v>2872</v>
      </c>
      <c r="B9997" s="60" t="s">
        <v>1034</v>
      </c>
    </row>
    <row r="9998" ht="12.75" customHeight="1">
      <c r="A9998" s="59" t="s">
        <v>2872</v>
      </c>
      <c r="B9998" s="60" t="s">
        <v>1035</v>
      </c>
    </row>
    <row r="9999" ht="12.75" customHeight="1">
      <c r="A9999" s="59" t="s">
        <v>2872</v>
      </c>
      <c r="B9999" s="60" t="s">
        <v>1036</v>
      </c>
    </row>
    <row r="10000" ht="12.75" customHeight="1">
      <c r="A10000" s="59" t="s">
        <v>2872</v>
      </c>
      <c r="B10000" s="60" t="s">
        <v>1037</v>
      </c>
    </row>
    <row r="10001" ht="12.75" customHeight="1">
      <c r="A10001" s="59" t="s">
        <v>2872</v>
      </c>
      <c r="B10001" s="60" t="s">
        <v>1038</v>
      </c>
    </row>
    <row r="10002" ht="12.75" customHeight="1">
      <c r="A10002" s="59" t="s">
        <v>2872</v>
      </c>
      <c r="B10002" s="60" t="s">
        <v>1039</v>
      </c>
    </row>
    <row r="10003" ht="12.75" customHeight="1">
      <c r="A10003" s="59" t="s">
        <v>2872</v>
      </c>
      <c r="B10003" s="60" t="s">
        <v>1040</v>
      </c>
    </row>
    <row r="10004" ht="12.75" customHeight="1">
      <c r="A10004" s="59" t="s">
        <v>2872</v>
      </c>
      <c r="B10004" s="60" t="s">
        <v>1041</v>
      </c>
    </row>
    <row r="10005" ht="12.75" customHeight="1">
      <c r="A10005" s="59" t="s">
        <v>2872</v>
      </c>
      <c r="B10005" s="60" t="s">
        <v>1042</v>
      </c>
    </row>
    <row r="10006" ht="12.75" customHeight="1">
      <c r="A10006" s="59" t="s">
        <v>2872</v>
      </c>
      <c r="B10006" s="60" t="s">
        <v>1043</v>
      </c>
    </row>
    <row r="10007" ht="12.75" customHeight="1">
      <c r="A10007" s="59" t="s">
        <v>2872</v>
      </c>
      <c r="B10007" s="60" t="s">
        <v>1044</v>
      </c>
    </row>
    <row r="10008" ht="12.75" customHeight="1">
      <c r="A10008" s="59" t="s">
        <v>2872</v>
      </c>
      <c r="B10008" s="60" t="s">
        <v>1045</v>
      </c>
    </row>
    <row r="10009" ht="12.75" customHeight="1">
      <c r="A10009" s="59" t="s">
        <v>2872</v>
      </c>
      <c r="B10009" s="60" t="s">
        <v>1046</v>
      </c>
    </row>
    <row r="10010" ht="12.75" customHeight="1">
      <c r="A10010" s="59" t="s">
        <v>2872</v>
      </c>
      <c r="B10010" s="60" t="s">
        <v>1047</v>
      </c>
    </row>
    <row r="10011" ht="12.75" customHeight="1">
      <c r="A10011" s="59" t="s">
        <v>2872</v>
      </c>
      <c r="B10011" s="60" t="s">
        <v>1048</v>
      </c>
    </row>
    <row r="10012" ht="12.75" customHeight="1">
      <c r="A10012" s="59" t="s">
        <v>2872</v>
      </c>
      <c r="B10012" s="60" t="s">
        <v>1049</v>
      </c>
    </row>
    <row r="10013" ht="12.75" customHeight="1">
      <c r="A10013" s="59" t="s">
        <v>2872</v>
      </c>
      <c r="B10013" s="60" t="s">
        <v>1050</v>
      </c>
    </row>
    <row r="10014" ht="12.75" customHeight="1">
      <c r="A10014" s="59" t="s">
        <v>2872</v>
      </c>
      <c r="B10014" s="60" t="s">
        <v>1051</v>
      </c>
    </row>
    <row r="10015" ht="12.75" customHeight="1">
      <c r="A10015" s="59" t="s">
        <v>2872</v>
      </c>
      <c r="B10015" s="60" t="s">
        <v>1052</v>
      </c>
    </row>
    <row r="10016" ht="12.75" customHeight="1">
      <c r="A10016" s="59" t="s">
        <v>2872</v>
      </c>
      <c r="B10016" s="60" t="s">
        <v>1053</v>
      </c>
    </row>
    <row r="10017" ht="12.75" customHeight="1">
      <c r="A10017" s="59" t="s">
        <v>2872</v>
      </c>
      <c r="B10017" s="60" t="s">
        <v>1054</v>
      </c>
    </row>
    <row r="10018" ht="12.75" customHeight="1">
      <c r="A10018" s="59" t="s">
        <v>2872</v>
      </c>
      <c r="B10018" s="60" t="s">
        <v>1055</v>
      </c>
    </row>
    <row r="10019" ht="12.75" customHeight="1">
      <c r="A10019" s="59" t="s">
        <v>2872</v>
      </c>
      <c r="B10019" s="60" t="s">
        <v>1056</v>
      </c>
    </row>
    <row r="10020" ht="12.75" customHeight="1">
      <c r="A10020" s="59" t="s">
        <v>2872</v>
      </c>
      <c r="B10020" s="60" t="s">
        <v>1057</v>
      </c>
    </row>
    <row r="10021" ht="12.75" customHeight="1">
      <c r="A10021" s="59" t="s">
        <v>2872</v>
      </c>
      <c r="B10021" s="60" t="s">
        <v>1058</v>
      </c>
    </row>
    <row r="10022" ht="12.75" customHeight="1">
      <c r="A10022" s="59" t="s">
        <v>2872</v>
      </c>
      <c r="B10022" s="60" t="s">
        <v>1059</v>
      </c>
    </row>
    <row r="10023" ht="12.75" customHeight="1">
      <c r="A10023" s="59" t="s">
        <v>2872</v>
      </c>
      <c r="B10023" s="60" t="s">
        <v>1060</v>
      </c>
    </row>
    <row r="10024" ht="12.75" customHeight="1">
      <c r="A10024" s="59" t="s">
        <v>2872</v>
      </c>
      <c r="B10024" s="60" t="s">
        <v>1061</v>
      </c>
    </row>
    <row r="10025" ht="12.75" customHeight="1">
      <c r="A10025" s="59" t="s">
        <v>2872</v>
      </c>
      <c r="B10025" s="60" t="s">
        <v>1062</v>
      </c>
    </row>
    <row r="10026" ht="12.75" customHeight="1">
      <c r="A10026" s="59" t="s">
        <v>2872</v>
      </c>
      <c r="B10026" s="60" t="s">
        <v>1063</v>
      </c>
    </row>
    <row r="10027" ht="12.75" customHeight="1">
      <c r="A10027" s="59" t="s">
        <v>2872</v>
      </c>
      <c r="B10027" s="60" t="s">
        <v>1064</v>
      </c>
    </row>
    <row r="10028" ht="12.75" customHeight="1">
      <c r="A10028" s="59" t="s">
        <v>2872</v>
      </c>
      <c r="B10028" s="60" t="s">
        <v>1065</v>
      </c>
    </row>
    <row r="10029" ht="12.75" customHeight="1">
      <c r="A10029" s="59" t="s">
        <v>2872</v>
      </c>
      <c r="B10029" s="60" t="s">
        <v>1066</v>
      </c>
    </row>
    <row r="10030" ht="12.75" customHeight="1">
      <c r="A10030" s="59" t="s">
        <v>2872</v>
      </c>
      <c r="B10030" s="60" t="s">
        <v>1067</v>
      </c>
    </row>
    <row r="10031" ht="12.75" customHeight="1">
      <c r="A10031" s="59" t="s">
        <v>2872</v>
      </c>
      <c r="B10031" s="60" t="s">
        <v>1068</v>
      </c>
    </row>
    <row r="10032" ht="12.75" customHeight="1">
      <c r="A10032" s="59" t="s">
        <v>2872</v>
      </c>
      <c r="B10032" s="60" t="s">
        <v>1069</v>
      </c>
    </row>
    <row r="10033" ht="12.75" customHeight="1">
      <c r="A10033" s="59" t="s">
        <v>2872</v>
      </c>
      <c r="B10033" s="60" t="s">
        <v>1070</v>
      </c>
    </row>
    <row r="10034" ht="12.75" customHeight="1">
      <c r="A10034" s="59" t="s">
        <v>2872</v>
      </c>
      <c r="B10034" s="60" t="s">
        <v>1071</v>
      </c>
    </row>
    <row r="10035" ht="12.75" customHeight="1">
      <c r="A10035" s="59" t="s">
        <v>2872</v>
      </c>
      <c r="B10035" s="60" t="s">
        <v>1072</v>
      </c>
    </row>
    <row r="10036" ht="12.75" customHeight="1">
      <c r="A10036" s="59" t="s">
        <v>2872</v>
      </c>
      <c r="B10036" s="60" t="s">
        <v>1073</v>
      </c>
    </row>
    <row r="10037" ht="12.75" customHeight="1">
      <c r="A10037" s="59" t="s">
        <v>2872</v>
      </c>
      <c r="B10037" s="60" t="s">
        <v>1074</v>
      </c>
    </row>
    <row r="10038" ht="12.75" customHeight="1">
      <c r="A10038" s="59" t="s">
        <v>2872</v>
      </c>
      <c r="B10038" s="60" t="s">
        <v>1075</v>
      </c>
    </row>
    <row r="10039" ht="12.75" customHeight="1">
      <c r="A10039" s="59" t="s">
        <v>2872</v>
      </c>
      <c r="B10039" s="60" t="s">
        <v>1076</v>
      </c>
    </row>
    <row r="10040" ht="12.75" customHeight="1">
      <c r="A10040" s="59" t="s">
        <v>2872</v>
      </c>
      <c r="B10040" s="60" t="s">
        <v>1077</v>
      </c>
    </row>
    <row r="10041" ht="12.75" customHeight="1">
      <c r="A10041" s="59" t="s">
        <v>2872</v>
      </c>
      <c r="B10041" s="60" t="s">
        <v>1078</v>
      </c>
    </row>
    <row r="10042" ht="12.75" customHeight="1">
      <c r="A10042" s="59" t="s">
        <v>2872</v>
      </c>
      <c r="B10042" s="60" t="s">
        <v>1079</v>
      </c>
    </row>
    <row r="10043" ht="12.75" customHeight="1">
      <c r="A10043" s="59" t="s">
        <v>2872</v>
      </c>
      <c r="B10043" s="60" t="s">
        <v>1080</v>
      </c>
    </row>
    <row r="10044" ht="12.75" customHeight="1">
      <c r="A10044" s="59" t="s">
        <v>2872</v>
      </c>
      <c r="B10044" s="60" t="s">
        <v>1081</v>
      </c>
    </row>
    <row r="10045" ht="12.75" customHeight="1">
      <c r="A10045" s="59" t="s">
        <v>2872</v>
      </c>
      <c r="B10045" s="60" t="s">
        <v>1082</v>
      </c>
    </row>
    <row r="10046" ht="12.75" customHeight="1">
      <c r="A10046" s="59" t="s">
        <v>2872</v>
      </c>
      <c r="B10046" s="60" t="s">
        <v>1083</v>
      </c>
    </row>
    <row r="10047" ht="12.75" customHeight="1">
      <c r="A10047" s="59" t="s">
        <v>2872</v>
      </c>
      <c r="B10047" s="60" t="s">
        <v>1084</v>
      </c>
    </row>
    <row r="10048" ht="12.75" customHeight="1">
      <c r="A10048" s="59" t="s">
        <v>2872</v>
      </c>
      <c r="B10048" s="60" t="s">
        <v>1085</v>
      </c>
    </row>
    <row r="10049" ht="12.75" customHeight="1">
      <c r="A10049" s="59" t="s">
        <v>2872</v>
      </c>
      <c r="B10049" s="60" t="s">
        <v>1086</v>
      </c>
    </row>
    <row r="10050" ht="12.75" customHeight="1">
      <c r="A10050" s="59" t="s">
        <v>2872</v>
      </c>
      <c r="B10050" s="60" t="s">
        <v>1087</v>
      </c>
    </row>
    <row r="10051" ht="12.75" customHeight="1">
      <c r="A10051" s="59" t="s">
        <v>2872</v>
      </c>
      <c r="B10051" s="60" t="s">
        <v>1088</v>
      </c>
    </row>
    <row r="10052" ht="12.75" customHeight="1">
      <c r="A10052" s="59" t="s">
        <v>2872</v>
      </c>
      <c r="B10052" s="60" t="s">
        <v>1089</v>
      </c>
    </row>
    <row r="10053" ht="12.75" customHeight="1">
      <c r="A10053" s="59" t="s">
        <v>2872</v>
      </c>
      <c r="B10053" s="60" t="s">
        <v>1090</v>
      </c>
    </row>
    <row r="10054" ht="12.75" customHeight="1">
      <c r="A10054" s="59" t="s">
        <v>2872</v>
      </c>
      <c r="B10054" s="60" t="s">
        <v>1091</v>
      </c>
    </row>
    <row r="10055" ht="12.75" customHeight="1">
      <c r="A10055" s="59" t="s">
        <v>2872</v>
      </c>
      <c r="B10055" s="60" t="s">
        <v>1092</v>
      </c>
    </row>
    <row r="10056" ht="12.75" customHeight="1">
      <c r="A10056" s="59" t="s">
        <v>2872</v>
      </c>
      <c r="B10056" s="60" t="s">
        <v>1093</v>
      </c>
    </row>
    <row r="10057" ht="12.75" customHeight="1">
      <c r="A10057" s="59" t="s">
        <v>2872</v>
      </c>
      <c r="B10057" s="60" t="s">
        <v>1094</v>
      </c>
    </row>
    <row r="10058" ht="12.75" customHeight="1">
      <c r="A10058" s="59" t="s">
        <v>2872</v>
      </c>
      <c r="B10058" s="60" t="s">
        <v>1095</v>
      </c>
    </row>
    <row r="10059" ht="12.75" customHeight="1">
      <c r="A10059" s="59" t="s">
        <v>2872</v>
      </c>
      <c r="B10059" s="60" t="s">
        <v>1096</v>
      </c>
    </row>
    <row r="10060" ht="12.75" customHeight="1">
      <c r="A10060" s="59" t="s">
        <v>2872</v>
      </c>
      <c r="B10060" s="60" t="s">
        <v>1097</v>
      </c>
    </row>
    <row r="10061" ht="12.75" customHeight="1">
      <c r="A10061" s="59" t="s">
        <v>2872</v>
      </c>
      <c r="B10061" s="60" t="s">
        <v>1098</v>
      </c>
    </row>
    <row r="10062" ht="12.75" customHeight="1">
      <c r="A10062" s="59" t="s">
        <v>2872</v>
      </c>
      <c r="B10062" s="60" t="s">
        <v>1099</v>
      </c>
    </row>
    <row r="10063" ht="12.75" customHeight="1">
      <c r="A10063" s="59" t="s">
        <v>2872</v>
      </c>
      <c r="B10063" s="60" t="s">
        <v>1100</v>
      </c>
    </row>
    <row r="10064" ht="12.75" customHeight="1">
      <c r="A10064" s="59" t="s">
        <v>2872</v>
      </c>
      <c r="B10064" s="60" t="s">
        <v>1101</v>
      </c>
    </row>
    <row r="10065" ht="12.75" customHeight="1">
      <c r="A10065" s="59" t="s">
        <v>2872</v>
      </c>
      <c r="B10065" s="60" t="s">
        <v>1102</v>
      </c>
    </row>
    <row r="10066" ht="12.75" customHeight="1">
      <c r="A10066" s="59" t="s">
        <v>2872</v>
      </c>
      <c r="B10066" s="60" t="s">
        <v>1103</v>
      </c>
    </row>
    <row r="10067" ht="12.75" customHeight="1">
      <c r="A10067" s="59" t="s">
        <v>2872</v>
      </c>
      <c r="B10067" s="60" t="s">
        <v>1104</v>
      </c>
    </row>
    <row r="10068" ht="12.75" customHeight="1">
      <c r="A10068" s="59" t="s">
        <v>2872</v>
      </c>
      <c r="B10068" s="60" t="s">
        <v>1105</v>
      </c>
    </row>
    <row r="10069" ht="12.75" customHeight="1">
      <c r="A10069" s="59" t="s">
        <v>2872</v>
      </c>
      <c r="B10069" s="60" t="s">
        <v>1106</v>
      </c>
    </row>
    <row r="10070" ht="12.75" customHeight="1">
      <c r="A10070" s="59" t="s">
        <v>2872</v>
      </c>
      <c r="B10070" s="60" t="s">
        <v>1107</v>
      </c>
    </row>
    <row r="10071" ht="12.75" customHeight="1">
      <c r="A10071" s="59" t="s">
        <v>2872</v>
      </c>
      <c r="B10071" s="60" t="s">
        <v>1108</v>
      </c>
    </row>
    <row r="10072" ht="12.75" customHeight="1">
      <c r="A10072" s="59" t="s">
        <v>2872</v>
      </c>
      <c r="B10072" s="60" t="s">
        <v>1109</v>
      </c>
    </row>
    <row r="10073" ht="12.75" customHeight="1">
      <c r="A10073" s="59" t="s">
        <v>2872</v>
      </c>
      <c r="B10073" s="60" t="s">
        <v>1110</v>
      </c>
    </row>
    <row r="10074" ht="12.75" customHeight="1">
      <c r="A10074" s="59" t="s">
        <v>2872</v>
      </c>
      <c r="B10074" s="60" t="s">
        <v>1111</v>
      </c>
    </row>
    <row r="10075" ht="12.75" customHeight="1">
      <c r="A10075" s="59" t="s">
        <v>2872</v>
      </c>
      <c r="B10075" s="60" t="s">
        <v>1112</v>
      </c>
    </row>
    <row r="10076" ht="12.75" customHeight="1">
      <c r="A10076" s="59" t="s">
        <v>2872</v>
      </c>
      <c r="B10076" s="60" t="s">
        <v>1113</v>
      </c>
    </row>
    <row r="10077" ht="12.75" customHeight="1">
      <c r="A10077" s="59" t="s">
        <v>2872</v>
      </c>
      <c r="B10077" s="60" t="s">
        <v>1114</v>
      </c>
    </row>
    <row r="10078" ht="12.75" customHeight="1">
      <c r="A10078" s="59" t="s">
        <v>2872</v>
      </c>
      <c r="B10078" s="60" t="s">
        <v>1115</v>
      </c>
    </row>
    <row r="10079" ht="12.75" customHeight="1">
      <c r="A10079" s="59" t="s">
        <v>2872</v>
      </c>
      <c r="B10079" s="60" t="s">
        <v>1116</v>
      </c>
    </row>
    <row r="10080" ht="12.75" customHeight="1">
      <c r="A10080" s="59" t="s">
        <v>2872</v>
      </c>
      <c r="B10080" s="60" t="s">
        <v>1117</v>
      </c>
    </row>
    <row r="10081" ht="12.75" customHeight="1">
      <c r="A10081" s="59" t="s">
        <v>2872</v>
      </c>
      <c r="B10081" s="60" t="s">
        <v>1118</v>
      </c>
    </row>
    <row r="10082" ht="12.75" customHeight="1">
      <c r="A10082" s="59" t="s">
        <v>2872</v>
      </c>
      <c r="B10082" s="60" t="s">
        <v>1119</v>
      </c>
    </row>
    <row r="10083" ht="12.75" customHeight="1">
      <c r="A10083" s="59" t="s">
        <v>2872</v>
      </c>
      <c r="B10083" s="60" t="s">
        <v>1120</v>
      </c>
    </row>
    <row r="10084" ht="12.75" customHeight="1">
      <c r="A10084" s="59" t="s">
        <v>2872</v>
      </c>
      <c r="B10084" s="60" t="s">
        <v>1121</v>
      </c>
    </row>
    <row r="10085" ht="12.75" customHeight="1">
      <c r="A10085" s="59" t="s">
        <v>2872</v>
      </c>
      <c r="B10085" s="60" t="s">
        <v>1122</v>
      </c>
    </row>
    <row r="10086" ht="12.75" customHeight="1">
      <c r="A10086" s="59" t="s">
        <v>2872</v>
      </c>
      <c r="B10086" s="60" t="s">
        <v>1123</v>
      </c>
    </row>
    <row r="10087" ht="12.75" customHeight="1">
      <c r="A10087" s="59" t="s">
        <v>2872</v>
      </c>
      <c r="B10087" s="60" t="s">
        <v>1124</v>
      </c>
    </row>
    <row r="10088" ht="12.75" customHeight="1">
      <c r="A10088" s="59" t="s">
        <v>2872</v>
      </c>
      <c r="B10088" s="60" t="s">
        <v>1125</v>
      </c>
    </row>
    <row r="10089" ht="12.75" customHeight="1">
      <c r="A10089" s="59" t="s">
        <v>2872</v>
      </c>
      <c r="B10089" s="60" t="s">
        <v>1126</v>
      </c>
    </row>
    <row r="10090" ht="12.75" customHeight="1">
      <c r="A10090" s="59" t="s">
        <v>2872</v>
      </c>
      <c r="B10090" s="60" t="s">
        <v>1127</v>
      </c>
    </row>
    <row r="10091" ht="12.75" customHeight="1">
      <c r="A10091" s="59" t="s">
        <v>2872</v>
      </c>
      <c r="B10091" s="60" t="s">
        <v>1128</v>
      </c>
    </row>
    <row r="10092" ht="12.75" customHeight="1">
      <c r="A10092" s="59" t="s">
        <v>2872</v>
      </c>
      <c r="B10092" s="60" t="s">
        <v>1129</v>
      </c>
    </row>
    <row r="10093" ht="12.75" customHeight="1">
      <c r="A10093" s="59" t="s">
        <v>2872</v>
      </c>
      <c r="B10093" s="60" t="s">
        <v>1130</v>
      </c>
    </row>
    <row r="10094" ht="12.75" customHeight="1">
      <c r="A10094" s="59" t="s">
        <v>2872</v>
      </c>
      <c r="B10094" s="60" t="s">
        <v>1131</v>
      </c>
    </row>
    <row r="10095" ht="12.75" customHeight="1">
      <c r="A10095" s="59" t="s">
        <v>2872</v>
      </c>
      <c r="B10095" s="60" t="s">
        <v>1132</v>
      </c>
    </row>
    <row r="10096" ht="12.75" customHeight="1">
      <c r="A10096" s="59" t="s">
        <v>2872</v>
      </c>
      <c r="B10096" s="60" t="s">
        <v>1133</v>
      </c>
    </row>
    <row r="10097" ht="12.75" customHeight="1">
      <c r="A10097" s="59" t="s">
        <v>2872</v>
      </c>
      <c r="B10097" s="60" t="s">
        <v>1134</v>
      </c>
    </row>
    <row r="10098" ht="12.75" customHeight="1">
      <c r="A10098" s="59" t="s">
        <v>2872</v>
      </c>
      <c r="B10098" s="60" t="s">
        <v>1135</v>
      </c>
    </row>
    <row r="10099" ht="12.75" customHeight="1">
      <c r="A10099" s="59" t="s">
        <v>2872</v>
      </c>
      <c r="B10099" s="60" t="s">
        <v>1136</v>
      </c>
    </row>
    <row r="10100" ht="12.75" customHeight="1">
      <c r="A10100" s="59" t="s">
        <v>2872</v>
      </c>
      <c r="B10100" s="60" t="s">
        <v>1137</v>
      </c>
    </row>
    <row r="10101" ht="12.75" customHeight="1">
      <c r="A10101" s="59" t="s">
        <v>2872</v>
      </c>
      <c r="B10101" s="60" t="s">
        <v>1138</v>
      </c>
    </row>
    <row r="10102" ht="12.75" customHeight="1">
      <c r="A10102" s="59" t="s">
        <v>2872</v>
      </c>
      <c r="B10102" s="60" t="s">
        <v>1139</v>
      </c>
    </row>
    <row r="10103" ht="12.75" customHeight="1">
      <c r="A10103" s="59" t="s">
        <v>2872</v>
      </c>
      <c r="B10103" s="60" t="s">
        <v>1140</v>
      </c>
    </row>
    <row r="10104" ht="12.75" customHeight="1">
      <c r="A10104" s="59" t="s">
        <v>2872</v>
      </c>
      <c r="B10104" s="60" t="s">
        <v>1141</v>
      </c>
    </row>
    <row r="10105" ht="12.75" customHeight="1">
      <c r="A10105" s="59" t="s">
        <v>2872</v>
      </c>
      <c r="B10105" s="60" t="s">
        <v>1142</v>
      </c>
    </row>
    <row r="10106" ht="12.75" customHeight="1">
      <c r="A10106" s="59" t="s">
        <v>2872</v>
      </c>
      <c r="B10106" s="60" t="s">
        <v>1143</v>
      </c>
    </row>
    <row r="10107" ht="12.75" customHeight="1">
      <c r="A10107" s="59" t="s">
        <v>2872</v>
      </c>
      <c r="B10107" s="60" t="s">
        <v>1144</v>
      </c>
    </row>
    <row r="10108" ht="12.75" customHeight="1">
      <c r="A10108" s="59" t="s">
        <v>2872</v>
      </c>
      <c r="B10108" s="60" t="s">
        <v>1145</v>
      </c>
    </row>
    <row r="10109" ht="12.75" customHeight="1">
      <c r="A10109" s="59" t="s">
        <v>2872</v>
      </c>
      <c r="B10109" s="60" t="s">
        <v>1146</v>
      </c>
    </row>
    <row r="10110" ht="12.75" customHeight="1">
      <c r="A10110" s="59" t="s">
        <v>2872</v>
      </c>
      <c r="B10110" s="60" t="s">
        <v>1147</v>
      </c>
    </row>
    <row r="10111" ht="12.75" customHeight="1">
      <c r="A10111" s="59" t="s">
        <v>2872</v>
      </c>
      <c r="B10111" s="60" t="s">
        <v>1148</v>
      </c>
    </row>
    <row r="10112" ht="12.75" customHeight="1">
      <c r="A10112" s="59" t="s">
        <v>2872</v>
      </c>
      <c r="B10112" s="60" t="s">
        <v>1149</v>
      </c>
    </row>
    <row r="10113" ht="12.75" customHeight="1">
      <c r="A10113" s="59" t="s">
        <v>2872</v>
      </c>
      <c r="B10113" s="60" t="s">
        <v>1150</v>
      </c>
    </row>
    <row r="10114" ht="12.75" customHeight="1">
      <c r="A10114" s="59" t="s">
        <v>2872</v>
      </c>
      <c r="B10114" s="60" t="s">
        <v>1151</v>
      </c>
    </row>
    <row r="10115" ht="12.75" customHeight="1">
      <c r="A10115" s="59" t="s">
        <v>2872</v>
      </c>
      <c r="B10115" s="60" t="s">
        <v>1152</v>
      </c>
    </row>
    <row r="10116" ht="12.75" customHeight="1">
      <c r="A10116" s="59" t="s">
        <v>2872</v>
      </c>
      <c r="B10116" s="60" t="s">
        <v>1153</v>
      </c>
    </row>
    <row r="10117" ht="12.75" customHeight="1">
      <c r="A10117" s="59" t="s">
        <v>2872</v>
      </c>
      <c r="B10117" s="60" t="s">
        <v>1154</v>
      </c>
    </row>
    <row r="10118" ht="12.75" customHeight="1">
      <c r="A10118" s="59" t="s">
        <v>2872</v>
      </c>
      <c r="B10118" s="60" t="s">
        <v>1155</v>
      </c>
    </row>
    <row r="10119" ht="12.75" customHeight="1">
      <c r="A10119" s="59" t="s">
        <v>2872</v>
      </c>
      <c r="B10119" s="60" t="s">
        <v>1156</v>
      </c>
    </row>
    <row r="10120" ht="12.75" customHeight="1">
      <c r="A10120" s="59" t="s">
        <v>2872</v>
      </c>
      <c r="B10120" s="60" t="s">
        <v>1157</v>
      </c>
    </row>
    <row r="10121" ht="12.75" customHeight="1">
      <c r="A10121" s="59" t="s">
        <v>2872</v>
      </c>
      <c r="B10121" s="60" t="s">
        <v>1158</v>
      </c>
    </row>
    <row r="10122" ht="12.75" customHeight="1">
      <c r="A10122" s="59" t="s">
        <v>2872</v>
      </c>
      <c r="B10122" s="60" t="s">
        <v>1159</v>
      </c>
    </row>
    <row r="10123" ht="12.75" customHeight="1">
      <c r="A10123" s="59" t="s">
        <v>2872</v>
      </c>
      <c r="B10123" s="60" t="s">
        <v>1160</v>
      </c>
    </row>
    <row r="10124" ht="12.75" customHeight="1">
      <c r="A10124" s="59" t="s">
        <v>2872</v>
      </c>
      <c r="B10124" s="60" t="s">
        <v>1161</v>
      </c>
    </row>
    <row r="10125" ht="12.75" customHeight="1">
      <c r="A10125" s="59" t="s">
        <v>2872</v>
      </c>
      <c r="B10125" s="60" t="s">
        <v>1162</v>
      </c>
    </row>
    <row r="10126" ht="12.75" customHeight="1">
      <c r="A10126" s="59" t="s">
        <v>2872</v>
      </c>
      <c r="B10126" s="60" t="s">
        <v>1163</v>
      </c>
    </row>
    <row r="10127" ht="12.75" customHeight="1">
      <c r="A10127" s="59" t="s">
        <v>2872</v>
      </c>
      <c r="B10127" s="60" t="s">
        <v>1164</v>
      </c>
    </row>
    <row r="10128" ht="12.75" customHeight="1">
      <c r="A10128" s="59" t="s">
        <v>2872</v>
      </c>
      <c r="B10128" s="60" t="s">
        <v>1165</v>
      </c>
    </row>
    <row r="10129" ht="12.75" customHeight="1">
      <c r="A10129" s="59" t="s">
        <v>2872</v>
      </c>
      <c r="B10129" s="60" t="s">
        <v>1166</v>
      </c>
    </row>
    <row r="10130" ht="12.75" customHeight="1">
      <c r="A10130" s="59" t="s">
        <v>2872</v>
      </c>
      <c r="B10130" s="60" t="s">
        <v>1167</v>
      </c>
    </row>
    <row r="10131" ht="12.75" customHeight="1">
      <c r="A10131" s="59" t="s">
        <v>2872</v>
      </c>
      <c r="B10131" s="60" t="s">
        <v>1168</v>
      </c>
    </row>
    <row r="10132" ht="12.75" customHeight="1">
      <c r="A10132" s="59" t="s">
        <v>2872</v>
      </c>
      <c r="B10132" s="60" t="s">
        <v>1169</v>
      </c>
    </row>
    <row r="10133" ht="12.75" customHeight="1">
      <c r="A10133" s="59" t="s">
        <v>2872</v>
      </c>
      <c r="B10133" s="60" t="s">
        <v>1170</v>
      </c>
    </row>
    <row r="10134" ht="12.75" customHeight="1">
      <c r="A10134" s="59" t="s">
        <v>2872</v>
      </c>
      <c r="B10134" s="60" t="s">
        <v>1171</v>
      </c>
    </row>
    <row r="10135" ht="12.75" customHeight="1">
      <c r="A10135" s="59" t="s">
        <v>2872</v>
      </c>
      <c r="B10135" s="60" t="s">
        <v>1172</v>
      </c>
    </row>
    <row r="10136" ht="12.75" customHeight="1">
      <c r="A10136" s="59" t="s">
        <v>2872</v>
      </c>
      <c r="B10136" s="60" t="s">
        <v>1173</v>
      </c>
    </row>
    <row r="10137" ht="12.75" customHeight="1">
      <c r="A10137" s="59" t="s">
        <v>2872</v>
      </c>
      <c r="B10137" s="60" t="s">
        <v>1174</v>
      </c>
    </row>
    <row r="10138" ht="12.75" customHeight="1">
      <c r="A10138" s="59" t="s">
        <v>2872</v>
      </c>
      <c r="B10138" s="60" t="s">
        <v>1175</v>
      </c>
    </row>
    <row r="10139" ht="12.75" customHeight="1">
      <c r="A10139" s="59" t="s">
        <v>2872</v>
      </c>
      <c r="B10139" s="60" t="s">
        <v>1176</v>
      </c>
    </row>
    <row r="10140" ht="12.75" customHeight="1">
      <c r="A10140" s="59" t="s">
        <v>2872</v>
      </c>
      <c r="B10140" s="60" t="s">
        <v>1177</v>
      </c>
    </row>
    <row r="10141" ht="12.75" customHeight="1">
      <c r="A10141" s="59" t="s">
        <v>2872</v>
      </c>
      <c r="B10141" s="60" t="s">
        <v>1178</v>
      </c>
    </row>
    <row r="10142" ht="12.75" customHeight="1">
      <c r="A10142" s="59" t="s">
        <v>2872</v>
      </c>
      <c r="B10142" s="60" t="s">
        <v>1179</v>
      </c>
    </row>
    <row r="10143" ht="12.75" customHeight="1">
      <c r="A10143" s="59" t="s">
        <v>2872</v>
      </c>
      <c r="B10143" s="60" t="s">
        <v>1180</v>
      </c>
    </row>
    <row r="10144" ht="12.75" customHeight="1">
      <c r="A10144" s="59" t="s">
        <v>2872</v>
      </c>
      <c r="B10144" s="60" t="s">
        <v>1181</v>
      </c>
    </row>
    <row r="10145" ht="12.75" customHeight="1">
      <c r="A10145" s="59" t="s">
        <v>2872</v>
      </c>
      <c r="B10145" s="60" t="s">
        <v>1182</v>
      </c>
    </row>
    <row r="10146" ht="12.75" customHeight="1">
      <c r="A10146" s="59" t="s">
        <v>2872</v>
      </c>
      <c r="B10146" s="60" t="s">
        <v>1183</v>
      </c>
    </row>
    <row r="10147" ht="12.75" customHeight="1">
      <c r="A10147" s="59" t="s">
        <v>2872</v>
      </c>
      <c r="B10147" s="60" t="s">
        <v>1184</v>
      </c>
    </row>
    <row r="10148" ht="12.75" customHeight="1">
      <c r="A10148" s="59" t="s">
        <v>2872</v>
      </c>
      <c r="B10148" s="60" t="s">
        <v>1185</v>
      </c>
    </row>
    <row r="10149" ht="12.75" customHeight="1">
      <c r="A10149" s="59" t="s">
        <v>2872</v>
      </c>
      <c r="B10149" s="60" t="s">
        <v>1186</v>
      </c>
    </row>
    <row r="10150" ht="12.75" customHeight="1">
      <c r="A10150" s="59" t="s">
        <v>2872</v>
      </c>
      <c r="B10150" s="60" t="s">
        <v>1187</v>
      </c>
    </row>
    <row r="10151" ht="12.75" customHeight="1">
      <c r="A10151" s="59" t="s">
        <v>2872</v>
      </c>
      <c r="B10151" s="60" t="s">
        <v>1188</v>
      </c>
    </row>
    <row r="10152" ht="12.75" customHeight="1">
      <c r="A10152" s="59" t="s">
        <v>2872</v>
      </c>
      <c r="B10152" s="60" t="s">
        <v>1189</v>
      </c>
    </row>
    <row r="10153" ht="12.75" customHeight="1">
      <c r="A10153" s="59" t="s">
        <v>2872</v>
      </c>
      <c r="B10153" s="60" t="s">
        <v>1190</v>
      </c>
    </row>
    <row r="10154" ht="12.75" customHeight="1">
      <c r="A10154" s="59" t="s">
        <v>2872</v>
      </c>
      <c r="B10154" s="60" t="s">
        <v>1191</v>
      </c>
    </row>
    <row r="10155" ht="12.75" customHeight="1">
      <c r="A10155" s="59" t="s">
        <v>2872</v>
      </c>
      <c r="B10155" s="60" t="s">
        <v>1192</v>
      </c>
    </row>
    <row r="10156" ht="12.75" customHeight="1">
      <c r="A10156" s="59" t="s">
        <v>2873</v>
      </c>
      <c r="B10156" s="60">
        <v>0.0</v>
      </c>
    </row>
    <row r="10157" ht="12.75" customHeight="1">
      <c r="A10157" s="59" t="s">
        <v>2873</v>
      </c>
      <c r="B10157" s="60">
        <v>0.0</v>
      </c>
    </row>
    <row r="10158" ht="12.75" customHeight="1">
      <c r="A10158" s="59" t="s">
        <v>2873</v>
      </c>
      <c r="B10158" s="60">
        <v>2.0</v>
      </c>
    </row>
    <row r="10159" ht="12.75" customHeight="1">
      <c r="A10159" s="59" t="s">
        <v>2873</v>
      </c>
      <c r="B10159" s="60">
        <v>4.0</v>
      </c>
    </row>
    <row r="10160" ht="12.75" customHeight="1">
      <c r="A10160" s="59" t="s">
        <v>2873</v>
      </c>
      <c r="B10160" s="60">
        <v>6.0</v>
      </c>
    </row>
    <row r="10161" ht="12.75" customHeight="1">
      <c r="A10161" s="59" t="s">
        <v>2873</v>
      </c>
      <c r="B10161" s="60">
        <v>8.0</v>
      </c>
    </row>
    <row r="10162" ht="12.75" customHeight="1">
      <c r="A10162" s="59" t="s">
        <v>2873</v>
      </c>
      <c r="B10162" s="60">
        <v>10.0</v>
      </c>
    </row>
    <row r="10163" ht="12.75" customHeight="1">
      <c r="A10163" s="59" t="s">
        <v>2873</v>
      </c>
      <c r="B10163" s="60">
        <v>12.0</v>
      </c>
    </row>
    <row r="10164" ht="12.75" customHeight="1">
      <c r="A10164" s="59" t="s">
        <v>2873</v>
      </c>
      <c r="B10164" s="60" t="s">
        <v>803</v>
      </c>
    </row>
    <row r="10165" ht="12.75" customHeight="1">
      <c r="A10165" s="59" t="s">
        <v>2873</v>
      </c>
      <c r="B10165" s="60" t="s">
        <v>804</v>
      </c>
    </row>
    <row r="10166" ht="12.75" customHeight="1">
      <c r="A10166" s="59" t="s">
        <v>2873</v>
      </c>
      <c r="B10166" s="60" t="s">
        <v>76</v>
      </c>
    </row>
    <row r="10167" ht="12.75" customHeight="1">
      <c r="A10167" s="59" t="s">
        <v>2873</v>
      </c>
      <c r="B10167" s="60" t="s">
        <v>80</v>
      </c>
    </row>
    <row r="10168" ht="12.75" customHeight="1">
      <c r="A10168" s="59" t="s">
        <v>2873</v>
      </c>
      <c r="B10168" s="60" t="s">
        <v>83</v>
      </c>
    </row>
    <row r="10169" ht="12.75" customHeight="1">
      <c r="A10169" s="59" t="s">
        <v>2873</v>
      </c>
      <c r="B10169" s="60" t="s">
        <v>85</v>
      </c>
    </row>
    <row r="10170" ht="12.75" customHeight="1">
      <c r="A10170" s="59" t="s">
        <v>2873</v>
      </c>
      <c r="B10170" s="60" t="s">
        <v>805</v>
      </c>
    </row>
    <row r="10171" ht="12.75" customHeight="1">
      <c r="A10171" s="59" t="s">
        <v>2873</v>
      </c>
      <c r="B10171" s="60" t="s">
        <v>806</v>
      </c>
    </row>
    <row r="10172" ht="12.75" customHeight="1">
      <c r="A10172" s="59" t="s">
        <v>2873</v>
      </c>
      <c r="B10172" s="60" t="s">
        <v>807</v>
      </c>
    </row>
    <row r="10173" ht="12.75" customHeight="1">
      <c r="A10173" s="59" t="s">
        <v>2873</v>
      </c>
      <c r="B10173" s="60" t="s">
        <v>753</v>
      </c>
    </row>
    <row r="10174" ht="12.75" customHeight="1">
      <c r="A10174" s="59" t="s">
        <v>2873</v>
      </c>
      <c r="B10174" s="60" t="s">
        <v>757</v>
      </c>
    </row>
    <row r="10175" ht="12.75" customHeight="1">
      <c r="A10175" s="59" t="s">
        <v>2873</v>
      </c>
      <c r="B10175" s="60" t="s">
        <v>761</v>
      </c>
    </row>
    <row r="10176" ht="12.75" customHeight="1">
      <c r="A10176" s="59" t="s">
        <v>2873</v>
      </c>
      <c r="B10176" s="60" t="s">
        <v>765</v>
      </c>
    </row>
    <row r="10177" ht="12.75" customHeight="1">
      <c r="A10177" s="59" t="s">
        <v>2873</v>
      </c>
      <c r="B10177" s="60" t="s">
        <v>808</v>
      </c>
    </row>
    <row r="10178" ht="12.75" customHeight="1">
      <c r="A10178" s="59" t="s">
        <v>2873</v>
      </c>
      <c r="B10178" s="60" t="s">
        <v>809</v>
      </c>
    </row>
    <row r="10179" ht="12.75" customHeight="1">
      <c r="A10179" s="59" t="s">
        <v>2873</v>
      </c>
      <c r="B10179" s="60" t="s">
        <v>810</v>
      </c>
    </row>
    <row r="10180" ht="12.75" customHeight="1">
      <c r="A10180" s="59" t="s">
        <v>2873</v>
      </c>
      <c r="B10180" s="60" t="s">
        <v>811</v>
      </c>
    </row>
    <row r="10181" ht="12.75" customHeight="1">
      <c r="A10181" s="59" t="s">
        <v>2873</v>
      </c>
      <c r="B10181" s="60" t="s">
        <v>812</v>
      </c>
    </row>
    <row r="10182" ht="12.75" customHeight="1">
      <c r="A10182" s="59" t="s">
        <v>2873</v>
      </c>
      <c r="B10182" s="60" t="s">
        <v>813</v>
      </c>
    </row>
    <row r="10183" ht="12.75" customHeight="1">
      <c r="A10183" s="59" t="s">
        <v>2873</v>
      </c>
      <c r="B10183" s="60" t="s">
        <v>814</v>
      </c>
    </row>
    <row r="10184" ht="12.75" customHeight="1">
      <c r="A10184" s="59" t="s">
        <v>2873</v>
      </c>
      <c r="B10184" s="60" t="s">
        <v>815</v>
      </c>
    </row>
    <row r="10185" ht="12.75" customHeight="1">
      <c r="A10185" s="59" t="s">
        <v>2873</v>
      </c>
      <c r="B10185" s="60" t="s">
        <v>816</v>
      </c>
    </row>
    <row r="10186" ht="12.75" customHeight="1">
      <c r="A10186" s="59" t="s">
        <v>2873</v>
      </c>
      <c r="B10186" s="60" t="s">
        <v>771</v>
      </c>
    </row>
    <row r="10187" ht="12.75" customHeight="1">
      <c r="A10187" s="59" t="s">
        <v>2873</v>
      </c>
      <c r="B10187" s="60" t="s">
        <v>775</v>
      </c>
    </row>
    <row r="10188" ht="12.75" customHeight="1">
      <c r="A10188" s="59" t="s">
        <v>2873</v>
      </c>
      <c r="B10188" s="60" t="s">
        <v>779</v>
      </c>
    </row>
    <row r="10189" ht="12.75" customHeight="1">
      <c r="A10189" s="59" t="s">
        <v>2873</v>
      </c>
      <c r="B10189" s="60" t="s">
        <v>783</v>
      </c>
    </row>
    <row r="10190" ht="12.75" customHeight="1">
      <c r="A10190" s="59" t="s">
        <v>2873</v>
      </c>
      <c r="B10190" s="60" t="s">
        <v>817</v>
      </c>
    </row>
    <row r="10191" ht="12.75" customHeight="1">
      <c r="A10191" s="59" t="s">
        <v>2873</v>
      </c>
      <c r="B10191" s="60" t="s">
        <v>818</v>
      </c>
    </row>
    <row r="10192" ht="12.75" customHeight="1">
      <c r="A10192" s="59" t="s">
        <v>2873</v>
      </c>
      <c r="B10192" s="60" t="s">
        <v>819</v>
      </c>
    </row>
    <row r="10193" ht="12.75" customHeight="1">
      <c r="A10193" s="59" t="s">
        <v>2873</v>
      </c>
      <c r="B10193" s="60" t="s">
        <v>820</v>
      </c>
    </row>
    <row r="10194" ht="12.75" customHeight="1">
      <c r="A10194" s="59" t="s">
        <v>2873</v>
      </c>
      <c r="B10194" s="60" t="s">
        <v>821</v>
      </c>
    </row>
    <row r="10195" ht="12.75" customHeight="1">
      <c r="A10195" s="59" t="s">
        <v>2873</v>
      </c>
      <c r="B10195" s="60" t="s">
        <v>822</v>
      </c>
    </row>
    <row r="10196" ht="12.75" customHeight="1">
      <c r="A10196" s="59" t="s">
        <v>2873</v>
      </c>
      <c r="B10196" s="60" t="s">
        <v>823</v>
      </c>
    </row>
    <row r="10197" ht="12.75" customHeight="1">
      <c r="A10197" s="59" t="s">
        <v>2873</v>
      </c>
      <c r="B10197" s="60" t="s">
        <v>824</v>
      </c>
    </row>
    <row r="10198" ht="12.75" customHeight="1">
      <c r="A10198" s="59" t="s">
        <v>2873</v>
      </c>
      <c r="B10198" s="60" t="s">
        <v>825</v>
      </c>
    </row>
    <row r="10199" ht="12.75" customHeight="1">
      <c r="A10199" s="59" t="s">
        <v>2873</v>
      </c>
      <c r="B10199" s="60" t="s">
        <v>788</v>
      </c>
    </row>
    <row r="10200" ht="12.75" customHeight="1">
      <c r="A10200" s="59" t="s">
        <v>2873</v>
      </c>
      <c r="B10200" s="60" t="s">
        <v>792</v>
      </c>
    </row>
    <row r="10201" ht="12.75" customHeight="1">
      <c r="A10201" s="59" t="s">
        <v>2873</v>
      </c>
      <c r="B10201" s="60" t="s">
        <v>796</v>
      </c>
    </row>
    <row r="10202" ht="12.75" customHeight="1">
      <c r="A10202" s="59" t="s">
        <v>2873</v>
      </c>
      <c r="B10202" s="60" t="s">
        <v>800</v>
      </c>
    </row>
    <row r="10203" ht="12.75" customHeight="1">
      <c r="A10203" s="59" t="s">
        <v>2873</v>
      </c>
      <c r="B10203" s="60" t="s">
        <v>826</v>
      </c>
    </row>
    <row r="10204" ht="12.75" customHeight="1">
      <c r="A10204" s="59" t="s">
        <v>2873</v>
      </c>
      <c r="B10204" s="60" t="s">
        <v>827</v>
      </c>
    </row>
    <row r="10205" ht="12.75" customHeight="1">
      <c r="A10205" s="59" t="s">
        <v>2873</v>
      </c>
      <c r="B10205" s="60" t="s">
        <v>828</v>
      </c>
    </row>
    <row r="10206" ht="12.75" customHeight="1">
      <c r="A10206" s="59" t="s">
        <v>2873</v>
      </c>
      <c r="B10206" s="60" t="s">
        <v>829</v>
      </c>
    </row>
    <row r="10207" ht="12.75" customHeight="1">
      <c r="A10207" s="59" t="s">
        <v>2873</v>
      </c>
      <c r="B10207" s="60" t="s">
        <v>830</v>
      </c>
    </row>
    <row r="10208" ht="12.75" customHeight="1">
      <c r="A10208" s="59" t="s">
        <v>2873</v>
      </c>
      <c r="B10208" s="60" t="s">
        <v>831</v>
      </c>
    </row>
    <row r="10209" ht="12.75" customHeight="1">
      <c r="A10209" s="59" t="s">
        <v>2873</v>
      </c>
      <c r="B10209" s="60" t="s">
        <v>832</v>
      </c>
    </row>
    <row r="10210" ht="12.75" customHeight="1">
      <c r="A10210" s="59" t="s">
        <v>2873</v>
      </c>
      <c r="B10210" s="60" t="s">
        <v>833</v>
      </c>
    </row>
    <row r="10211" ht="12.75" customHeight="1">
      <c r="A10211" s="59" t="s">
        <v>2873</v>
      </c>
      <c r="B10211" s="60" t="s">
        <v>834</v>
      </c>
    </row>
    <row r="10212" ht="12.75" customHeight="1">
      <c r="A10212" s="59" t="s">
        <v>2873</v>
      </c>
      <c r="B10212" s="60">
        <v>14.0</v>
      </c>
    </row>
    <row r="10213" ht="12.75" customHeight="1">
      <c r="A10213" s="59" t="s">
        <v>2873</v>
      </c>
      <c r="B10213" s="60" t="s">
        <v>835</v>
      </c>
    </row>
    <row r="10214" ht="12.75" customHeight="1">
      <c r="A10214" s="59" t="s">
        <v>2873</v>
      </c>
      <c r="B10214" s="60">
        <v>16.0</v>
      </c>
    </row>
    <row r="10215" ht="12.75" customHeight="1">
      <c r="A10215" s="59" t="s">
        <v>2873</v>
      </c>
      <c r="B10215" s="60" t="s">
        <v>836</v>
      </c>
    </row>
    <row r="10216" ht="12.75" customHeight="1">
      <c r="A10216" s="59" t="s">
        <v>2873</v>
      </c>
      <c r="B10216" s="60">
        <v>18.0</v>
      </c>
    </row>
    <row r="10217" ht="12.75" customHeight="1">
      <c r="A10217" s="59" t="s">
        <v>2873</v>
      </c>
      <c r="B10217" s="60" t="s">
        <v>837</v>
      </c>
    </row>
    <row r="10218" ht="12.75" customHeight="1">
      <c r="A10218" s="59" t="s">
        <v>2873</v>
      </c>
      <c r="B10218" s="60">
        <v>20.0</v>
      </c>
    </row>
    <row r="10219" ht="12.75" customHeight="1">
      <c r="A10219" s="59" t="s">
        <v>2873</v>
      </c>
      <c r="B10219" s="60" t="s">
        <v>838</v>
      </c>
    </row>
    <row r="10220" ht="12.75" customHeight="1">
      <c r="A10220" s="59" t="s">
        <v>2873</v>
      </c>
      <c r="B10220" s="60">
        <v>22.0</v>
      </c>
    </row>
    <row r="10221" ht="12.75" customHeight="1">
      <c r="A10221" s="59" t="s">
        <v>2873</v>
      </c>
      <c r="B10221" s="60" t="s">
        <v>839</v>
      </c>
    </row>
    <row r="10222" ht="12.75" customHeight="1">
      <c r="A10222" s="59" t="s">
        <v>2873</v>
      </c>
      <c r="B10222" s="60">
        <v>24.0</v>
      </c>
    </row>
    <row r="10223" ht="12.75" customHeight="1">
      <c r="A10223" s="59" t="s">
        <v>2873</v>
      </c>
      <c r="B10223" s="60" t="s">
        <v>840</v>
      </c>
    </row>
    <row r="10224" ht="12.75" customHeight="1">
      <c r="A10224" s="59" t="s">
        <v>2873</v>
      </c>
      <c r="B10224" s="60">
        <v>26.0</v>
      </c>
    </row>
    <row r="10225" ht="12.75" customHeight="1">
      <c r="A10225" s="59" t="s">
        <v>2873</v>
      </c>
      <c r="B10225" s="60" t="s">
        <v>841</v>
      </c>
    </row>
    <row r="10226" ht="12.75" customHeight="1">
      <c r="A10226" s="59" t="s">
        <v>2873</v>
      </c>
      <c r="B10226" s="60">
        <v>28.0</v>
      </c>
    </row>
    <row r="10227" ht="12.75" customHeight="1">
      <c r="A10227" s="59" t="s">
        <v>2873</v>
      </c>
      <c r="B10227" s="60" t="s">
        <v>842</v>
      </c>
    </row>
    <row r="10228" ht="12.75" customHeight="1">
      <c r="A10228" s="59" t="s">
        <v>2873</v>
      </c>
      <c r="B10228" s="60">
        <v>30.0</v>
      </c>
    </row>
    <row r="10229" ht="12.75" customHeight="1">
      <c r="A10229" s="59" t="s">
        <v>2873</v>
      </c>
      <c r="B10229" s="60" t="s">
        <v>843</v>
      </c>
    </row>
    <row r="10230" ht="12.75" customHeight="1">
      <c r="A10230" s="59" t="s">
        <v>2873</v>
      </c>
      <c r="B10230" s="60">
        <v>32.0</v>
      </c>
    </row>
    <row r="10231" ht="12.75" customHeight="1">
      <c r="A10231" s="59" t="s">
        <v>2873</v>
      </c>
      <c r="B10231" s="60" t="s">
        <v>844</v>
      </c>
    </row>
    <row r="10232" ht="12.75" customHeight="1">
      <c r="A10232" s="59" t="s">
        <v>2873</v>
      </c>
      <c r="B10232" s="60" t="s">
        <v>845</v>
      </c>
    </row>
    <row r="10233" ht="12.75" customHeight="1">
      <c r="A10233" s="59" t="s">
        <v>2873</v>
      </c>
      <c r="B10233" s="60" t="s">
        <v>846</v>
      </c>
    </row>
    <row r="10234" ht="12.75" customHeight="1">
      <c r="A10234" s="59" t="s">
        <v>2873</v>
      </c>
      <c r="B10234" s="60" t="s">
        <v>847</v>
      </c>
    </row>
    <row r="10235" ht="12.75" customHeight="1">
      <c r="A10235" s="59" t="s">
        <v>2873</v>
      </c>
      <c r="B10235" s="60" t="s">
        <v>848</v>
      </c>
    </row>
    <row r="10236" ht="12.75" customHeight="1">
      <c r="A10236" s="59" t="s">
        <v>2873</v>
      </c>
      <c r="B10236" s="60" t="s">
        <v>849</v>
      </c>
    </row>
    <row r="10237" ht="12.75" customHeight="1">
      <c r="A10237" s="59" t="s">
        <v>2873</v>
      </c>
      <c r="B10237" s="60" t="s">
        <v>850</v>
      </c>
    </row>
    <row r="10238" ht="12.75" customHeight="1">
      <c r="A10238" s="59" t="s">
        <v>2873</v>
      </c>
      <c r="B10238" s="60" t="s">
        <v>851</v>
      </c>
    </row>
    <row r="10239" ht="12.75" customHeight="1">
      <c r="A10239" s="59" t="s">
        <v>2873</v>
      </c>
      <c r="B10239" s="60" t="s">
        <v>852</v>
      </c>
    </row>
    <row r="10240" ht="12.75" customHeight="1">
      <c r="A10240" s="59" t="s">
        <v>2873</v>
      </c>
      <c r="B10240" s="60" t="s">
        <v>853</v>
      </c>
    </row>
    <row r="10241" ht="12.75" customHeight="1">
      <c r="A10241" s="59" t="s">
        <v>2873</v>
      </c>
      <c r="B10241" s="60" t="s">
        <v>854</v>
      </c>
    </row>
    <row r="10242" ht="12.75" customHeight="1">
      <c r="A10242" s="59" t="s">
        <v>2873</v>
      </c>
      <c r="B10242" s="60" t="s">
        <v>855</v>
      </c>
    </row>
    <row r="10243" ht="12.75" customHeight="1">
      <c r="A10243" s="59" t="s">
        <v>2873</v>
      </c>
      <c r="B10243" s="60" t="s">
        <v>856</v>
      </c>
    </row>
    <row r="10244" ht="12.75" customHeight="1">
      <c r="A10244" s="59" t="s">
        <v>2873</v>
      </c>
      <c r="B10244" s="60" t="s">
        <v>857</v>
      </c>
    </row>
    <row r="10245" ht="12.75" customHeight="1">
      <c r="A10245" s="59" t="s">
        <v>2873</v>
      </c>
      <c r="B10245" s="60" t="s">
        <v>858</v>
      </c>
    </row>
    <row r="10246" ht="12.75" customHeight="1">
      <c r="A10246" s="59" t="s">
        <v>2873</v>
      </c>
      <c r="B10246" s="60" t="s">
        <v>859</v>
      </c>
    </row>
    <row r="10247" ht="12.75" customHeight="1">
      <c r="A10247" s="59" t="s">
        <v>2873</v>
      </c>
      <c r="B10247" s="60" t="s">
        <v>860</v>
      </c>
    </row>
    <row r="10248" ht="12.75" customHeight="1">
      <c r="A10248" s="59" t="s">
        <v>2873</v>
      </c>
      <c r="B10248" s="60" t="s">
        <v>861</v>
      </c>
    </row>
    <row r="10249" ht="12.75" customHeight="1">
      <c r="A10249" s="59" t="s">
        <v>2873</v>
      </c>
      <c r="B10249" s="60" t="s">
        <v>862</v>
      </c>
    </row>
    <row r="10250" ht="12.75" customHeight="1">
      <c r="A10250" s="59" t="s">
        <v>2873</v>
      </c>
      <c r="B10250" s="60" t="s">
        <v>863</v>
      </c>
    </row>
    <row r="10251" ht="12.75" customHeight="1">
      <c r="A10251" s="59" t="s">
        <v>2873</v>
      </c>
      <c r="B10251" s="60" t="s">
        <v>864</v>
      </c>
    </row>
    <row r="10252" ht="12.75" customHeight="1">
      <c r="A10252" s="59" t="s">
        <v>2873</v>
      </c>
      <c r="B10252" s="60" t="s">
        <v>865</v>
      </c>
    </row>
    <row r="10253" ht="12.75" customHeight="1">
      <c r="A10253" s="59" t="s">
        <v>2873</v>
      </c>
      <c r="B10253" s="60" t="s">
        <v>866</v>
      </c>
    </row>
    <row r="10254" ht="12.75" customHeight="1">
      <c r="A10254" s="59" t="s">
        <v>2873</v>
      </c>
      <c r="B10254" s="60" t="s">
        <v>867</v>
      </c>
    </row>
    <row r="10255" ht="12.75" customHeight="1">
      <c r="A10255" s="59" t="s">
        <v>2873</v>
      </c>
      <c r="B10255" s="60" t="s">
        <v>868</v>
      </c>
    </row>
    <row r="10256" ht="12.75" customHeight="1">
      <c r="A10256" s="59" t="s">
        <v>2873</v>
      </c>
      <c r="B10256" s="60" t="s">
        <v>869</v>
      </c>
    </row>
    <row r="10257" ht="12.75" customHeight="1">
      <c r="A10257" s="59" t="s">
        <v>2873</v>
      </c>
      <c r="B10257" s="60" t="s">
        <v>870</v>
      </c>
    </row>
    <row r="10258" ht="12.75" customHeight="1">
      <c r="A10258" s="59" t="s">
        <v>2873</v>
      </c>
      <c r="B10258" s="60" t="s">
        <v>871</v>
      </c>
    </row>
    <row r="10259" ht="12.75" customHeight="1">
      <c r="A10259" s="59" t="s">
        <v>2873</v>
      </c>
      <c r="B10259" s="60" t="s">
        <v>872</v>
      </c>
    </row>
    <row r="10260" ht="12.75" customHeight="1">
      <c r="A10260" s="59" t="s">
        <v>2873</v>
      </c>
      <c r="B10260" s="60" t="s">
        <v>873</v>
      </c>
    </row>
    <row r="10261" ht="12.75" customHeight="1">
      <c r="A10261" s="59" t="s">
        <v>2873</v>
      </c>
      <c r="B10261" s="60" t="s">
        <v>874</v>
      </c>
    </row>
    <row r="10262" ht="12.75" customHeight="1">
      <c r="A10262" s="59" t="s">
        <v>2873</v>
      </c>
      <c r="B10262" s="60" t="s">
        <v>875</v>
      </c>
    </row>
    <row r="10263" ht="12.75" customHeight="1">
      <c r="A10263" s="59" t="s">
        <v>2873</v>
      </c>
      <c r="B10263" s="60" t="s">
        <v>876</v>
      </c>
    </row>
    <row r="10264" ht="12.75" customHeight="1">
      <c r="A10264" s="59" t="s">
        <v>2873</v>
      </c>
      <c r="B10264" s="60" t="s">
        <v>877</v>
      </c>
    </row>
    <row r="10265" ht="12.75" customHeight="1">
      <c r="A10265" s="59" t="s">
        <v>2873</v>
      </c>
      <c r="B10265" s="60" t="s">
        <v>878</v>
      </c>
    </row>
    <row r="10266" ht="12.75" customHeight="1">
      <c r="A10266" s="59" t="s">
        <v>2873</v>
      </c>
      <c r="B10266" s="60" t="s">
        <v>879</v>
      </c>
    </row>
    <row r="10267" ht="12.75" customHeight="1">
      <c r="A10267" s="59" t="s">
        <v>2873</v>
      </c>
      <c r="B10267" s="60" t="s">
        <v>880</v>
      </c>
    </row>
    <row r="10268" ht="12.75" customHeight="1">
      <c r="A10268" s="59" t="s">
        <v>2873</v>
      </c>
      <c r="B10268" s="60" t="s">
        <v>881</v>
      </c>
    </row>
    <row r="10269" ht="12.75" customHeight="1">
      <c r="A10269" s="59" t="s">
        <v>2873</v>
      </c>
      <c r="B10269" s="60" t="s">
        <v>882</v>
      </c>
    </row>
    <row r="10270" ht="12.75" customHeight="1">
      <c r="A10270" s="59" t="s">
        <v>2873</v>
      </c>
      <c r="B10270" s="60" t="s">
        <v>883</v>
      </c>
    </row>
    <row r="10271" ht="12.75" customHeight="1">
      <c r="A10271" s="59" t="s">
        <v>2873</v>
      </c>
      <c r="B10271" s="60" t="s">
        <v>884</v>
      </c>
    </row>
    <row r="10272" ht="12.75" customHeight="1">
      <c r="A10272" s="59" t="s">
        <v>2873</v>
      </c>
      <c r="B10272" s="60" t="s">
        <v>885</v>
      </c>
    </row>
    <row r="10273" ht="12.75" customHeight="1">
      <c r="A10273" s="59" t="s">
        <v>2873</v>
      </c>
      <c r="B10273" s="60" t="s">
        <v>886</v>
      </c>
    </row>
    <row r="10274" ht="12.75" customHeight="1">
      <c r="A10274" s="59" t="s">
        <v>2873</v>
      </c>
      <c r="B10274" s="60" t="s">
        <v>887</v>
      </c>
    </row>
    <row r="10275" ht="12.75" customHeight="1">
      <c r="A10275" s="59" t="s">
        <v>2873</v>
      </c>
      <c r="B10275" s="60" t="s">
        <v>888</v>
      </c>
    </row>
    <row r="10276" ht="12.75" customHeight="1">
      <c r="A10276" s="59" t="s">
        <v>2873</v>
      </c>
      <c r="B10276" s="60" t="s">
        <v>889</v>
      </c>
    </row>
    <row r="10277" ht="12.75" customHeight="1">
      <c r="A10277" s="59" t="s">
        <v>2873</v>
      </c>
      <c r="B10277" s="60" t="s">
        <v>890</v>
      </c>
    </row>
    <row r="10278" ht="12.75" customHeight="1">
      <c r="A10278" s="59" t="s">
        <v>2873</v>
      </c>
      <c r="B10278" s="60" t="s">
        <v>891</v>
      </c>
    </row>
    <row r="10279" ht="12.75" customHeight="1">
      <c r="A10279" s="59" t="s">
        <v>2873</v>
      </c>
      <c r="B10279" s="60" t="s">
        <v>892</v>
      </c>
    </row>
    <row r="10280" ht="12.75" customHeight="1">
      <c r="A10280" s="59" t="s">
        <v>2873</v>
      </c>
      <c r="B10280" s="60" t="s">
        <v>893</v>
      </c>
    </row>
    <row r="10281" ht="12.75" customHeight="1">
      <c r="A10281" s="59" t="s">
        <v>2873</v>
      </c>
      <c r="B10281" s="60" t="s">
        <v>894</v>
      </c>
    </row>
    <row r="10282" ht="12.75" customHeight="1">
      <c r="A10282" s="59" t="s">
        <v>2873</v>
      </c>
      <c r="B10282" s="60" t="s">
        <v>895</v>
      </c>
    </row>
    <row r="10283" ht="12.75" customHeight="1">
      <c r="A10283" s="59" t="s">
        <v>2873</v>
      </c>
      <c r="B10283" s="60" t="s">
        <v>896</v>
      </c>
    </row>
    <row r="10284" ht="12.75" customHeight="1">
      <c r="A10284" s="59" t="s">
        <v>2873</v>
      </c>
      <c r="B10284" s="60" t="s">
        <v>897</v>
      </c>
    </row>
    <row r="10285" ht="12.75" customHeight="1">
      <c r="A10285" s="59" t="s">
        <v>2873</v>
      </c>
      <c r="B10285" s="60" t="s">
        <v>898</v>
      </c>
    </row>
    <row r="10286" ht="12.75" customHeight="1">
      <c r="A10286" s="59" t="s">
        <v>2873</v>
      </c>
      <c r="B10286" s="60" t="s">
        <v>899</v>
      </c>
    </row>
    <row r="10287" ht="12.75" customHeight="1">
      <c r="A10287" s="59" t="s">
        <v>2873</v>
      </c>
      <c r="B10287" s="60" t="s">
        <v>900</v>
      </c>
    </row>
    <row r="10288" ht="12.75" customHeight="1">
      <c r="A10288" s="59" t="s">
        <v>2873</v>
      </c>
      <c r="B10288" s="60" t="s">
        <v>901</v>
      </c>
    </row>
    <row r="10289" ht="12.75" customHeight="1">
      <c r="A10289" s="59" t="s">
        <v>2873</v>
      </c>
      <c r="B10289" s="60" t="s">
        <v>902</v>
      </c>
    </row>
    <row r="10290" ht="12.75" customHeight="1">
      <c r="A10290" s="59" t="s">
        <v>2873</v>
      </c>
      <c r="B10290" s="60" t="s">
        <v>903</v>
      </c>
    </row>
    <row r="10291" ht="12.75" customHeight="1">
      <c r="A10291" s="59" t="s">
        <v>2873</v>
      </c>
      <c r="B10291" s="60" t="s">
        <v>904</v>
      </c>
    </row>
    <row r="10292" ht="12.75" customHeight="1">
      <c r="A10292" s="59" t="s">
        <v>2873</v>
      </c>
      <c r="B10292" s="60" t="s">
        <v>905</v>
      </c>
    </row>
    <row r="10293" ht="12.75" customHeight="1">
      <c r="A10293" s="59" t="s">
        <v>2873</v>
      </c>
      <c r="B10293" s="60" t="s">
        <v>906</v>
      </c>
    </row>
    <row r="10294" ht="12.75" customHeight="1">
      <c r="A10294" s="59" t="s">
        <v>2873</v>
      </c>
      <c r="B10294" s="60" t="s">
        <v>907</v>
      </c>
    </row>
    <row r="10295" ht="12.75" customHeight="1">
      <c r="A10295" s="59" t="s">
        <v>2873</v>
      </c>
      <c r="B10295" s="60" t="s">
        <v>908</v>
      </c>
    </row>
    <row r="10296" ht="12.75" customHeight="1">
      <c r="A10296" s="59" t="s">
        <v>2873</v>
      </c>
      <c r="B10296" s="60" t="s">
        <v>909</v>
      </c>
    </row>
    <row r="10297" ht="12.75" customHeight="1">
      <c r="A10297" s="59" t="s">
        <v>2873</v>
      </c>
      <c r="B10297" s="60" t="s">
        <v>910</v>
      </c>
    </row>
    <row r="10298" ht="12.75" customHeight="1">
      <c r="A10298" s="59" t="s">
        <v>2873</v>
      </c>
      <c r="B10298" s="60" t="s">
        <v>911</v>
      </c>
    </row>
    <row r="10299" ht="12.75" customHeight="1">
      <c r="A10299" s="59" t="s">
        <v>2873</v>
      </c>
      <c r="B10299" s="60" t="s">
        <v>912</v>
      </c>
    </row>
    <row r="10300" ht="12.75" customHeight="1">
      <c r="A10300" s="59" t="s">
        <v>2873</v>
      </c>
      <c r="B10300" s="60" t="s">
        <v>913</v>
      </c>
    </row>
    <row r="10301" ht="12.75" customHeight="1">
      <c r="A10301" s="59" t="s">
        <v>2873</v>
      </c>
      <c r="B10301" s="60" t="s">
        <v>914</v>
      </c>
    </row>
    <row r="10302" ht="12.75" customHeight="1">
      <c r="A10302" s="59" t="s">
        <v>2873</v>
      </c>
      <c r="B10302" s="60" t="s">
        <v>915</v>
      </c>
    </row>
    <row r="10303" ht="12.75" customHeight="1">
      <c r="A10303" s="59" t="s">
        <v>2873</v>
      </c>
      <c r="B10303" s="60" t="s">
        <v>916</v>
      </c>
    </row>
    <row r="10304" ht="12.75" customHeight="1">
      <c r="A10304" s="59" t="s">
        <v>2873</v>
      </c>
      <c r="B10304" s="60" t="s">
        <v>917</v>
      </c>
    </row>
    <row r="10305" ht="12.75" customHeight="1">
      <c r="A10305" s="59" t="s">
        <v>2873</v>
      </c>
      <c r="B10305" s="60" t="s">
        <v>918</v>
      </c>
    </row>
    <row r="10306" ht="12.75" customHeight="1">
      <c r="A10306" s="59" t="s">
        <v>2873</v>
      </c>
      <c r="B10306" s="60" t="s">
        <v>919</v>
      </c>
    </row>
    <row r="10307" ht="12.75" customHeight="1">
      <c r="A10307" s="59" t="s">
        <v>2873</v>
      </c>
      <c r="B10307" s="60" t="s">
        <v>920</v>
      </c>
    </row>
    <row r="10308" ht="12.75" customHeight="1">
      <c r="A10308" s="59" t="s">
        <v>2873</v>
      </c>
      <c r="B10308" s="60" t="s">
        <v>921</v>
      </c>
    </row>
    <row r="10309" ht="12.75" customHeight="1">
      <c r="A10309" s="59" t="s">
        <v>2873</v>
      </c>
      <c r="B10309" s="60" t="s">
        <v>922</v>
      </c>
    </row>
    <row r="10310" ht="12.75" customHeight="1">
      <c r="A10310" s="59" t="s">
        <v>2873</v>
      </c>
      <c r="B10310" s="60" t="s">
        <v>923</v>
      </c>
    </row>
    <row r="10311" ht="12.75" customHeight="1">
      <c r="A10311" s="59" t="s">
        <v>2873</v>
      </c>
      <c r="B10311" s="60" t="s">
        <v>924</v>
      </c>
    </row>
    <row r="10312" ht="12.75" customHeight="1">
      <c r="A10312" s="59" t="s">
        <v>2873</v>
      </c>
      <c r="B10312" s="60" t="s">
        <v>925</v>
      </c>
    </row>
    <row r="10313" ht="12.75" customHeight="1">
      <c r="A10313" s="59" t="s">
        <v>2873</v>
      </c>
      <c r="B10313" s="60" t="s">
        <v>926</v>
      </c>
    </row>
    <row r="10314" ht="12.75" customHeight="1">
      <c r="A10314" s="59" t="s">
        <v>2873</v>
      </c>
      <c r="B10314" s="60" t="s">
        <v>927</v>
      </c>
    </row>
    <row r="10315" ht="12.75" customHeight="1">
      <c r="A10315" s="59" t="s">
        <v>2873</v>
      </c>
      <c r="B10315" s="60" t="s">
        <v>928</v>
      </c>
    </row>
    <row r="10316" ht="12.75" customHeight="1">
      <c r="A10316" s="59" t="s">
        <v>2873</v>
      </c>
      <c r="B10316" s="60" t="s">
        <v>929</v>
      </c>
    </row>
    <row r="10317" ht="12.75" customHeight="1">
      <c r="A10317" s="59" t="s">
        <v>2873</v>
      </c>
      <c r="B10317" s="60" t="s">
        <v>930</v>
      </c>
    </row>
    <row r="10318" ht="12.75" customHeight="1">
      <c r="A10318" s="59" t="s">
        <v>2873</v>
      </c>
      <c r="B10318" s="60" t="s">
        <v>931</v>
      </c>
    </row>
    <row r="10319" ht="12.75" customHeight="1">
      <c r="A10319" s="59" t="s">
        <v>2873</v>
      </c>
      <c r="B10319" s="60" t="s">
        <v>932</v>
      </c>
    </row>
    <row r="10320" ht="12.75" customHeight="1">
      <c r="A10320" s="59" t="s">
        <v>2873</v>
      </c>
      <c r="B10320" s="60" t="s">
        <v>933</v>
      </c>
    </row>
    <row r="10321" ht="12.75" customHeight="1">
      <c r="A10321" s="59" t="s">
        <v>2873</v>
      </c>
      <c r="B10321" s="60" t="s">
        <v>934</v>
      </c>
    </row>
    <row r="10322" ht="12.75" customHeight="1">
      <c r="A10322" s="59" t="s">
        <v>2873</v>
      </c>
      <c r="B10322" s="60" t="s">
        <v>935</v>
      </c>
    </row>
    <row r="10323" ht="12.75" customHeight="1">
      <c r="A10323" s="59" t="s">
        <v>2873</v>
      </c>
      <c r="B10323" s="60" t="s">
        <v>936</v>
      </c>
    </row>
    <row r="10324" ht="12.75" customHeight="1">
      <c r="A10324" s="59" t="s">
        <v>2873</v>
      </c>
      <c r="B10324" s="60" t="s">
        <v>937</v>
      </c>
    </row>
    <row r="10325" ht="12.75" customHeight="1">
      <c r="A10325" s="59" t="s">
        <v>2873</v>
      </c>
      <c r="B10325" s="60" t="s">
        <v>938</v>
      </c>
    </row>
    <row r="10326" ht="12.75" customHeight="1">
      <c r="A10326" s="59" t="s">
        <v>2873</v>
      </c>
      <c r="B10326" s="60" t="s">
        <v>939</v>
      </c>
    </row>
    <row r="10327" ht="12.75" customHeight="1">
      <c r="A10327" s="59" t="s">
        <v>2873</v>
      </c>
      <c r="B10327" s="60" t="s">
        <v>940</v>
      </c>
    </row>
    <row r="10328" ht="12.75" customHeight="1">
      <c r="A10328" s="59" t="s">
        <v>2873</v>
      </c>
      <c r="B10328" s="60" t="s">
        <v>941</v>
      </c>
    </row>
    <row r="10329" ht="12.75" customHeight="1">
      <c r="A10329" s="59" t="s">
        <v>2873</v>
      </c>
      <c r="B10329" s="60" t="s">
        <v>942</v>
      </c>
    </row>
    <row r="10330" ht="12.75" customHeight="1">
      <c r="A10330" s="59" t="s">
        <v>2873</v>
      </c>
      <c r="B10330" s="60" t="s">
        <v>943</v>
      </c>
    </row>
    <row r="10331" ht="12.75" customHeight="1">
      <c r="A10331" s="59" t="s">
        <v>2873</v>
      </c>
      <c r="B10331" s="60" t="s">
        <v>944</v>
      </c>
    </row>
    <row r="10332" ht="12.75" customHeight="1">
      <c r="A10332" s="59" t="s">
        <v>2873</v>
      </c>
      <c r="B10332" s="60" t="s">
        <v>945</v>
      </c>
    </row>
    <row r="10333" ht="12.75" customHeight="1">
      <c r="A10333" s="59" t="s">
        <v>2873</v>
      </c>
      <c r="B10333" s="60" t="s">
        <v>946</v>
      </c>
    </row>
    <row r="10334" ht="12.75" customHeight="1">
      <c r="A10334" s="59" t="s">
        <v>2873</v>
      </c>
      <c r="B10334" s="60" t="s">
        <v>947</v>
      </c>
    </row>
    <row r="10335" ht="12.75" customHeight="1">
      <c r="A10335" s="59" t="s">
        <v>2873</v>
      </c>
      <c r="B10335" s="60" t="s">
        <v>948</v>
      </c>
    </row>
    <row r="10336" ht="12.75" customHeight="1">
      <c r="A10336" s="59" t="s">
        <v>2873</v>
      </c>
      <c r="B10336" s="60" t="s">
        <v>949</v>
      </c>
    </row>
    <row r="10337" ht="12.75" customHeight="1">
      <c r="A10337" s="59" t="s">
        <v>2873</v>
      </c>
      <c r="B10337" s="60" t="s">
        <v>950</v>
      </c>
    </row>
    <row r="10338" ht="12.75" customHeight="1">
      <c r="A10338" s="59" t="s">
        <v>2873</v>
      </c>
      <c r="B10338" s="60" t="s">
        <v>951</v>
      </c>
    </row>
    <row r="10339" ht="12.75" customHeight="1">
      <c r="A10339" s="59" t="s">
        <v>2873</v>
      </c>
      <c r="B10339" s="60" t="s">
        <v>952</v>
      </c>
    </row>
    <row r="10340" ht="12.75" customHeight="1">
      <c r="A10340" s="59" t="s">
        <v>2873</v>
      </c>
      <c r="B10340" s="60" t="s">
        <v>953</v>
      </c>
    </row>
    <row r="10341" ht="12.75" customHeight="1">
      <c r="A10341" s="59" t="s">
        <v>2873</v>
      </c>
      <c r="B10341" s="60" t="s">
        <v>954</v>
      </c>
    </row>
    <row r="10342" ht="12.75" customHeight="1">
      <c r="A10342" s="59" t="s">
        <v>2873</v>
      </c>
      <c r="B10342" s="60" t="s">
        <v>955</v>
      </c>
    </row>
    <row r="10343" ht="12.75" customHeight="1">
      <c r="A10343" s="59" t="s">
        <v>2873</v>
      </c>
      <c r="B10343" s="60" t="s">
        <v>956</v>
      </c>
    </row>
    <row r="10344" ht="12.75" customHeight="1">
      <c r="A10344" s="59" t="s">
        <v>2873</v>
      </c>
      <c r="B10344" s="60" t="s">
        <v>957</v>
      </c>
    </row>
    <row r="10345" ht="12.75" customHeight="1">
      <c r="A10345" s="59" t="s">
        <v>2873</v>
      </c>
      <c r="B10345" s="60" t="s">
        <v>958</v>
      </c>
    </row>
    <row r="10346" ht="12.75" customHeight="1">
      <c r="A10346" s="59" t="s">
        <v>2873</v>
      </c>
      <c r="B10346" s="60" t="s">
        <v>959</v>
      </c>
    </row>
    <row r="10347" ht="12.75" customHeight="1">
      <c r="A10347" s="59" t="s">
        <v>2873</v>
      </c>
      <c r="B10347" s="60" t="s">
        <v>960</v>
      </c>
    </row>
    <row r="10348" ht="12.75" customHeight="1">
      <c r="A10348" s="59" t="s">
        <v>2873</v>
      </c>
      <c r="B10348" s="60" t="s">
        <v>961</v>
      </c>
    </row>
    <row r="10349" ht="12.75" customHeight="1">
      <c r="A10349" s="59" t="s">
        <v>2873</v>
      </c>
      <c r="B10349" s="60" t="s">
        <v>962</v>
      </c>
    </row>
    <row r="10350" ht="12.75" customHeight="1">
      <c r="A10350" s="59" t="s">
        <v>2873</v>
      </c>
      <c r="B10350" s="60" t="s">
        <v>963</v>
      </c>
    </row>
    <row r="10351" ht="12.75" customHeight="1">
      <c r="A10351" s="59" t="s">
        <v>2873</v>
      </c>
      <c r="B10351" s="60" t="s">
        <v>964</v>
      </c>
    </row>
    <row r="10352" ht="12.75" customHeight="1">
      <c r="A10352" s="59" t="s">
        <v>2873</v>
      </c>
      <c r="B10352" s="60" t="s">
        <v>965</v>
      </c>
    </row>
    <row r="10353" ht="12.75" customHeight="1">
      <c r="A10353" s="59" t="s">
        <v>2873</v>
      </c>
      <c r="B10353" s="60" t="s">
        <v>966</v>
      </c>
    </row>
    <row r="10354" ht="12.75" customHeight="1">
      <c r="A10354" s="59" t="s">
        <v>2873</v>
      </c>
      <c r="B10354" s="60" t="s">
        <v>967</v>
      </c>
    </row>
    <row r="10355" ht="12.75" customHeight="1">
      <c r="A10355" s="59" t="s">
        <v>2873</v>
      </c>
      <c r="B10355" s="60" t="s">
        <v>968</v>
      </c>
    </row>
    <row r="10356" ht="12.75" customHeight="1">
      <c r="A10356" s="59" t="s">
        <v>2873</v>
      </c>
      <c r="B10356" s="60" t="s">
        <v>969</v>
      </c>
    </row>
    <row r="10357" ht="12.75" customHeight="1">
      <c r="A10357" s="59" t="s">
        <v>2873</v>
      </c>
      <c r="B10357" s="60" t="s">
        <v>970</v>
      </c>
    </row>
    <row r="10358" ht="12.75" customHeight="1">
      <c r="A10358" s="59" t="s">
        <v>2873</v>
      </c>
      <c r="B10358" s="60" t="s">
        <v>971</v>
      </c>
    </row>
    <row r="10359" ht="12.75" customHeight="1">
      <c r="A10359" s="59" t="s">
        <v>2873</v>
      </c>
      <c r="B10359" s="60" t="s">
        <v>972</v>
      </c>
    </row>
    <row r="10360" ht="12.75" customHeight="1">
      <c r="A10360" s="59" t="s">
        <v>2873</v>
      </c>
      <c r="B10360" s="60" t="s">
        <v>973</v>
      </c>
    </row>
    <row r="10361" ht="12.75" customHeight="1">
      <c r="A10361" s="59" t="s">
        <v>2873</v>
      </c>
      <c r="B10361" s="60" t="s">
        <v>974</v>
      </c>
    </row>
    <row r="10362" ht="12.75" customHeight="1">
      <c r="A10362" s="59" t="s">
        <v>2873</v>
      </c>
      <c r="B10362" s="60" t="s">
        <v>975</v>
      </c>
    </row>
    <row r="10363" ht="12.75" customHeight="1">
      <c r="A10363" s="59" t="s">
        <v>2873</v>
      </c>
      <c r="B10363" s="60" t="s">
        <v>976</v>
      </c>
    </row>
    <row r="10364" ht="12.75" customHeight="1">
      <c r="A10364" s="59" t="s">
        <v>2873</v>
      </c>
      <c r="B10364" s="60" t="s">
        <v>977</v>
      </c>
    </row>
    <row r="10365" ht="12.75" customHeight="1">
      <c r="A10365" s="59" t="s">
        <v>2873</v>
      </c>
      <c r="B10365" s="60" t="s">
        <v>978</v>
      </c>
    </row>
    <row r="10366" ht="12.75" customHeight="1">
      <c r="A10366" s="59" t="s">
        <v>2873</v>
      </c>
      <c r="B10366" s="60" t="s">
        <v>979</v>
      </c>
    </row>
    <row r="10367" ht="12.75" customHeight="1">
      <c r="A10367" s="59" t="s">
        <v>2873</v>
      </c>
      <c r="B10367" s="60" t="s">
        <v>980</v>
      </c>
    </row>
    <row r="10368" ht="12.75" customHeight="1">
      <c r="A10368" s="59" t="s">
        <v>2873</v>
      </c>
      <c r="B10368" s="60" t="s">
        <v>981</v>
      </c>
    </row>
    <row r="10369" ht="12.75" customHeight="1">
      <c r="A10369" s="59" t="s">
        <v>2873</v>
      </c>
      <c r="B10369" s="60" t="s">
        <v>982</v>
      </c>
    </row>
    <row r="10370" ht="12.75" customHeight="1">
      <c r="A10370" s="59" t="s">
        <v>2873</v>
      </c>
      <c r="B10370" s="60" t="s">
        <v>983</v>
      </c>
    </row>
    <row r="10371" ht="12.75" customHeight="1">
      <c r="A10371" s="59" t="s">
        <v>2873</v>
      </c>
      <c r="B10371" s="60" t="s">
        <v>984</v>
      </c>
    </row>
    <row r="10372" ht="12.75" customHeight="1">
      <c r="A10372" s="59" t="s">
        <v>2873</v>
      </c>
      <c r="B10372" s="60" t="s">
        <v>985</v>
      </c>
    </row>
    <row r="10373" ht="12.75" customHeight="1">
      <c r="A10373" s="59" t="s">
        <v>2873</v>
      </c>
      <c r="B10373" s="60" t="s">
        <v>986</v>
      </c>
    </row>
    <row r="10374" ht="12.75" customHeight="1">
      <c r="A10374" s="59" t="s">
        <v>2873</v>
      </c>
      <c r="B10374" s="60" t="s">
        <v>987</v>
      </c>
    </row>
    <row r="10375" ht="12.75" customHeight="1">
      <c r="A10375" s="59" t="s">
        <v>2873</v>
      </c>
      <c r="B10375" s="60" t="s">
        <v>988</v>
      </c>
    </row>
    <row r="10376" ht="12.75" customHeight="1">
      <c r="A10376" s="59" t="s">
        <v>2873</v>
      </c>
      <c r="B10376" s="60" t="s">
        <v>989</v>
      </c>
    </row>
    <row r="10377" ht="12.75" customHeight="1">
      <c r="A10377" s="59" t="s">
        <v>2873</v>
      </c>
      <c r="B10377" s="60" t="s">
        <v>990</v>
      </c>
    </row>
    <row r="10378" ht="12.75" customHeight="1">
      <c r="A10378" s="59" t="s">
        <v>2873</v>
      </c>
      <c r="B10378" s="60" t="s">
        <v>991</v>
      </c>
    </row>
    <row r="10379" ht="12.75" customHeight="1">
      <c r="A10379" s="59" t="s">
        <v>2873</v>
      </c>
      <c r="B10379" s="60" t="s">
        <v>992</v>
      </c>
    </row>
    <row r="10380" ht="12.75" customHeight="1">
      <c r="A10380" s="59" t="s">
        <v>2873</v>
      </c>
      <c r="B10380" s="60" t="s">
        <v>993</v>
      </c>
    </row>
    <row r="10381" ht="12.75" customHeight="1">
      <c r="A10381" s="59" t="s">
        <v>2873</v>
      </c>
      <c r="B10381" s="60" t="s">
        <v>994</v>
      </c>
    </row>
    <row r="10382" ht="12.75" customHeight="1">
      <c r="A10382" s="59" t="s">
        <v>2873</v>
      </c>
      <c r="B10382" s="60" t="s">
        <v>995</v>
      </c>
    </row>
    <row r="10383" ht="12.75" customHeight="1">
      <c r="A10383" s="59" t="s">
        <v>2873</v>
      </c>
      <c r="B10383" s="60" t="s">
        <v>996</v>
      </c>
    </row>
    <row r="10384" ht="12.75" customHeight="1">
      <c r="A10384" s="59" t="s">
        <v>2873</v>
      </c>
      <c r="B10384" s="60" t="s">
        <v>997</v>
      </c>
    </row>
    <row r="10385" ht="12.75" customHeight="1">
      <c r="A10385" s="59" t="s">
        <v>2873</v>
      </c>
      <c r="B10385" s="60" t="s">
        <v>998</v>
      </c>
    </row>
    <row r="10386" ht="12.75" customHeight="1">
      <c r="A10386" s="59" t="s">
        <v>2873</v>
      </c>
      <c r="B10386" s="60" t="s">
        <v>999</v>
      </c>
    </row>
    <row r="10387" ht="12.75" customHeight="1">
      <c r="A10387" s="59" t="s">
        <v>2873</v>
      </c>
      <c r="B10387" s="60" t="s">
        <v>1000</v>
      </c>
    </row>
    <row r="10388" ht="12.75" customHeight="1">
      <c r="A10388" s="59" t="s">
        <v>2873</v>
      </c>
      <c r="B10388" s="60" t="s">
        <v>1001</v>
      </c>
    </row>
    <row r="10389" ht="12.75" customHeight="1">
      <c r="A10389" s="59" t="s">
        <v>2873</v>
      </c>
      <c r="B10389" s="60" t="s">
        <v>1002</v>
      </c>
    </row>
    <row r="10390" ht="12.75" customHeight="1">
      <c r="A10390" s="59" t="s">
        <v>2873</v>
      </c>
      <c r="B10390" s="60" t="s">
        <v>1003</v>
      </c>
    </row>
    <row r="10391" ht="12.75" customHeight="1">
      <c r="A10391" s="59" t="s">
        <v>2873</v>
      </c>
      <c r="B10391" s="60" t="s">
        <v>1004</v>
      </c>
    </row>
    <row r="10392" ht="12.75" customHeight="1">
      <c r="A10392" s="59" t="s">
        <v>2873</v>
      </c>
      <c r="B10392" s="60" t="s">
        <v>1005</v>
      </c>
    </row>
    <row r="10393" ht="12.75" customHeight="1">
      <c r="A10393" s="59" t="s">
        <v>2873</v>
      </c>
      <c r="B10393" s="60" t="s">
        <v>1006</v>
      </c>
    </row>
    <row r="10394" ht="12.75" customHeight="1">
      <c r="A10394" s="59" t="s">
        <v>2873</v>
      </c>
      <c r="B10394" s="60" t="s">
        <v>1007</v>
      </c>
    </row>
    <row r="10395" ht="12.75" customHeight="1">
      <c r="A10395" s="59" t="s">
        <v>2873</v>
      </c>
      <c r="B10395" s="60" t="s">
        <v>1008</v>
      </c>
    </row>
    <row r="10396" ht="12.75" customHeight="1">
      <c r="A10396" s="59" t="s">
        <v>2873</v>
      </c>
      <c r="B10396" s="60" t="s">
        <v>1009</v>
      </c>
    </row>
    <row r="10397" ht="12.75" customHeight="1">
      <c r="A10397" s="59" t="s">
        <v>2873</v>
      </c>
      <c r="B10397" s="60" t="s">
        <v>1010</v>
      </c>
    </row>
    <row r="10398" ht="12.75" customHeight="1">
      <c r="A10398" s="59" t="s">
        <v>2873</v>
      </c>
      <c r="B10398" s="60" t="s">
        <v>1011</v>
      </c>
    </row>
    <row r="10399" ht="12.75" customHeight="1">
      <c r="A10399" s="59" t="s">
        <v>2873</v>
      </c>
      <c r="B10399" s="60" t="s">
        <v>1012</v>
      </c>
    </row>
    <row r="10400" ht="12.75" customHeight="1">
      <c r="A10400" s="59" t="s">
        <v>2873</v>
      </c>
      <c r="B10400" s="60" t="s">
        <v>1013</v>
      </c>
    </row>
    <row r="10401" ht="12.75" customHeight="1">
      <c r="A10401" s="59" t="s">
        <v>2873</v>
      </c>
      <c r="B10401" s="60" t="s">
        <v>1014</v>
      </c>
    </row>
    <row r="10402" ht="12.75" customHeight="1">
      <c r="A10402" s="59" t="s">
        <v>2873</v>
      </c>
      <c r="B10402" s="60" t="s">
        <v>1015</v>
      </c>
    </row>
    <row r="10403" ht="12.75" customHeight="1">
      <c r="A10403" s="59" t="s">
        <v>2873</v>
      </c>
      <c r="B10403" s="60" t="s">
        <v>1016</v>
      </c>
    </row>
    <row r="10404" ht="12.75" customHeight="1">
      <c r="A10404" s="59" t="s">
        <v>2873</v>
      </c>
      <c r="B10404" s="60" t="s">
        <v>1017</v>
      </c>
    </row>
    <row r="10405" ht="12.75" customHeight="1">
      <c r="A10405" s="59" t="s">
        <v>2873</v>
      </c>
      <c r="B10405" s="60" t="s">
        <v>1018</v>
      </c>
    </row>
    <row r="10406" ht="12.75" customHeight="1">
      <c r="A10406" s="59" t="s">
        <v>2873</v>
      </c>
      <c r="B10406" s="60" t="s">
        <v>1019</v>
      </c>
    </row>
    <row r="10407" ht="12.75" customHeight="1">
      <c r="A10407" s="59" t="s">
        <v>2873</v>
      </c>
      <c r="B10407" s="60" t="s">
        <v>1020</v>
      </c>
    </row>
    <row r="10408" ht="12.75" customHeight="1">
      <c r="A10408" s="59" t="s">
        <v>2873</v>
      </c>
      <c r="B10408" s="60" t="s">
        <v>1021</v>
      </c>
    </row>
    <row r="10409" ht="12.75" customHeight="1">
      <c r="A10409" s="59" t="s">
        <v>2873</v>
      </c>
      <c r="B10409" s="60" t="s">
        <v>1022</v>
      </c>
    </row>
    <row r="10410" ht="12.75" customHeight="1">
      <c r="A10410" s="59" t="s">
        <v>2873</v>
      </c>
      <c r="B10410" s="60" t="s">
        <v>1023</v>
      </c>
    </row>
    <row r="10411" ht="12.75" customHeight="1">
      <c r="A10411" s="59" t="s">
        <v>2873</v>
      </c>
      <c r="B10411" s="60" t="s">
        <v>1024</v>
      </c>
    </row>
    <row r="10412" ht="12.75" customHeight="1">
      <c r="A10412" s="59" t="s">
        <v>2873</v>
      </c>
      <c r="B10412" s="60" t="s">
        <v>1025</v>
      </c>
    </row>
    <row r="10413" ht="12.75" customHeight="1">
      <c r="A10413" s="59" t="s">
        <v>2873</v>
      </c>
      <c r="B10413" s="60" t="s">
        <v>1026</v>
      </c>
    </row>
    <row r="10414" ht="12.75" customHeight="1">
      <c r="A10414" s="59" t="s">
        <v>2873</v>
      </c>
      <c r="B10414" s="60" t="s">
        <v>1027</v>
      </c>
    </row>
    <row r="10415" ht="12.75" customHeight="1">
      <c r="A10415" s="59" t="s">
        <v>2873</v>
      </c>
      <c r="B10415" s="60" t="s">
        <v>1028</v>
      </c>
    </row>
    <row r="10416" ht="12.75" customHeight="1">
      <c r="A10416" s="59" t="s">
        <v>2873</v>
      </c>
      <c r="B10416" s="60" t="s">
        <v>1029</v>
      </c>
    </row>
    <row r="10417" ht="12.75" customHeight="1">
      <c r="A10417" s="59" t="s">
        <v>2873</v>
      </c>
      <c r="B10417" s="60" t="s">
        <v>1030</v>
      </c>
    </row>
    <row r="10418" ht="12.75" customHeight="1">
      <c r="A10418" s="59" t="s">
        <v>2873</v>
      </c>
      <c r="B10418" s="60" t="s">
        <v>1031</v>
      </c>
    </row>
    <row r="10419" ht="12.75" customHeight="1">
      <c r="A10419" s="59" t="s">
        <v>2873</v>
      </c>
      <c r="B10419" s="60" t="s">
        <v>1032</v>
      </c>
    </row>
    <row r="10420" ht="12.75" customHeight="1">
      <c r="A10420" s="59" t="s">
        <v>2873</v>
      </c>
      <c r="B10420" s="60" t="s">
        <v>1033</v>
      </c>
    </row>
    <row r="10421" ht="12.75" customHeight="1">
      <c r="A10421" s="59" t="s">
        <v>2873</v>
      </c>
      <c r="B10421" s="60" t="s">
        <v>1034</v>
      </c>
    </row>
    <row r="10422" ht="12.75" customHeight="1">
      <c r="A10422" s="59" t="s">
        <v>2873</v>
      </c>
      <c r="B10422" s="60" t="s">
        <v>1035</v>
      </c>
    </row>
    <row r="10423" ht="12.75" customHeight="1">
      <c r="A10423" s="59" t="s">
        <v>2873</v>
      </c>
      <c r="B10423" s="60" t="s">
        <v>1036</v>
      </c>
    </row>
    <row r="10424" ht="12.75" customHeight="1">
      <c r="A10424" s="59" t="s">
        <v>2873</v>
      </c>
      <c r="B10424" s="60" t="s">
        <v>1037</v>
      </c>
    </row>
    <row r="10425" ht="12.75" customHeight="1">
      <c r="A10425" s="59" t="s">
        <v>2873</v>
      </c>
      <c r="B10425" s="60" t="s">
        <v>1038</v>
      </c>
    </row>
    <row r="10426" ht="12.75" customHeight="1">
      <c r="A10426" s="59" t="s">
        <v>2873</v>
      </c>
      <c r="B10426" s="60" t="s">
        <v>1039</v>
      </c>
    </row>
    <row r="10427" ht="12.75" customHeight="1">
      <c r="A10427" s="59" t="s">
        <v>2873</v>
      </c>
      <c r="B10427" s="60" t="s">
        <v>1040</v>
      </c>
    </row>
    <row r="10428" ht="12.75" customHeight="1">
      <c r="A10428" s="59" t="s">
        <v>2873</v>
      </c>
      <c r="B10428" s="60" t="s">
        <v>1041</v>
      </c>
    </row>
    <row r="10429" ht="12.75" customHeight="1">
      <c r="A10429" s="59" t="s">
        <v>2873</v>
      </c>
      <c r="B10429" s="60" t="s">
        <v>1042</v>
      </c>
    </row>
    <row r="10430" ht="12.75" customHeight="1">
      <c r="A10430" s="59" t="s">
        <v>2873</v>
      </c>
      <c r="B10430" s="60" t="s">
        <v>1043</v>
      </c>
    </row>
    <row r="10431" ht="12.75" customHeight="1">
      <c r="A10431" s="59" t="s">
        <v>2873</v>
      </c>
      <c r="B10431" s="60" t="s">
        <v>1044</v>
      </c>
    </row>
    <row r="10432" ht="12.75" customHeight="1">
      <c r="A10432" s="59" t="s">
        <v>2873</v>
      </c>
      <c r="B10432" s="60" t="s">
        <v>1045</v>
      </c>
    </row>
    <row r="10433" ht="12.75" customHeight="1">
      <c r="A10433" s="59" t="s">
        <v>2873</v>
      </c>
      <c r="B10433" s="60" t="s">
        <v>1046</v>
      </c>
    </row>
    <row r="10434" ht="12.75" customHeight="1">
      <c r="A10434" s="59" t="s">
        <v>2873</v>
      </c>
      <c r="B10434" s="60" t="s">
        <v>1047</v>
      </c>
    </row>
    <row r="10435" ht="12.75" customHeight="1">
      <c r="A10435" s="59" t="s">
        <v>2873</v>
      </c>
      <c r="B10435" s="60" t="s">
        <v>1048</v>
      </c>
    </row>
    <row r="10436" ht="12.75" customHeight="1">
      <c r="A10436" s="59" t="s">
        <v>2873</v>
      </c>
      <c r="B10436" s="60" t="s">
        <v>1049</v>
      </c>
    </row>
    <row r="10437" ht="12.75" customHeight="1">
      <c r="A10437" s="59" t="s">
        <v>2873</v>
      </c>
      <c r="B10437" s="60" t="s">
        <v>1050</v>
      </c>
    </row>
    <row r="10438" ht="12.75" customHeight="1">
      <c r="A10438" s="59" t="s">
        <v>2873</v>
      </c>
      <c r="B10438" s="60" t="s">
        <v>1051</v>
      </c>
    </row>
    <row r="10439" ht="12.75" customHeight="1">
      <c r="A10439" s="59" t="s">
        <v>2873</v>
      </c>
      <c r="B10439" s="60" t="s">
        <v>1052</v>
      </c>
    </row>
    <row r="10440" ht="12.75" customHeight="1">
      <c r="A10440" s="59" t="s">
        <v>2873</v>
      </c>
      <c r="B10440" s="60" t="s">
        <v>1053</v>
      </c>
    </row>
    <row r="10441" ht="12.75" customHeight="1">
      <c r="A10441" s="59" t="s">
        <v>2873</v>
      </c>
      <c r="B10441" s="60" t="s">
        <v>1054</v>
      </c>
    </row>
    <row r="10442" ht="12.75" customHeight="1">
      <c r="A10442" s="59" t="s">
        <v>2873</v>
      </c>
      <c r="B10442" s="60" t="s">
        <v>1055</v>
      </c>
    </row>
    <row r="10443" ht="12.75" customHeight="1">
      <c r="A10443" s="59" t="s">
        <v>2873</v>
      </c>
      <c r="B10443" s="60" t="s">
        <v>1056</v>
      </c>
    </row>
    <row r="10444" ht="12.75" customHeight="1">
      <c r="A10444" s="59" t="s">
        <v>2873</v>
      </c>
      <c r="B10444" s="60" t="s">
        <v>1057</v>
      </c>
    </row>
    <row r="10445" ht="12.75" customHeight="1">
      <c r="A10445" s="59" t="s">
        <v>2873</v>
      </c>
      <c r="B10445" s="60" t="s">
        <v>1058</v>
      </c>
    </row>
    <row r="10446" ht="12.75" customHeight="1">
      <c r="A10446" s="59" t="s">
        <v>2873</v>
      </c>
      <c r="B10446" s="60" t="s">
        <v>1059</v>
      </c>
    </row>
    <row r="10447" ht="12.75" customHeight="1">
      <c r="A10447" s="59" t="s">
        <v>2873</v>
      </c>
      <c r="B10447" s="60" t="s">
        <v>1060</v>
      </c>
    </row>
    <row r="10448" ht="12.75" customHeight="1">
      <c r="A10448" s="59" t="s">
        <v>2873</v>
      </c>
      <c r="B10448" s="60" t="s">
        <v>1061</v>
      </c>
    </row>
    <row r="10449" ht="12.75" customHeight="1">
      <c r="A10449" s="59" t="s">
        <v>2873</v>
      </c>
      <c r="B10449" s="60" t="s">
        <v>1062</v>
      </c>
    </row>
    <row r="10450" ht="12.75" customHeight="1">
      <c r="A10450" s="59" t="s">
        <v>2873</v>
      </c>
      <c r="B10450" s="60" t="s">
        <v>1063</v>
      </c>
    </row>
    <row r="10451" ht="12.75" customHeight="1">
      <c r="A10451" s="59" t="s">
        <v>2873</v>
      </c>
      <c r="B10451" s="60" t="s">
        <v>1064</v>
      </c>
    </row>
    <row r="10452" ht="12.75" customHeight="1">
      <c r="A10452" s="59" t="s">
        <v>2873</v>
      </c>
      <c r="B10452" s="60" t="s">
        <v>1065</v>
      </c>
    </row>
    <row r="10453" ht="12.75" customHeight="1">
      <c r="A10453" s="59" t="s">
        <v>2873</v>
      </c>
      <c r="B10453" s="60" t="s">
        <v>1066</v>
      </c>
    </row>
    <row r="10454" ht="12.75" customHeight="1">
      <c r="A10454" s="59" t="s">
        <v>2873</v>
      </c>
      <c r="B10454" s="60" t="s">
        <v>1067</v>
      </c>
    </row>
    <row r="10455" ht="12.75" customHeight="1">
      <c r="A10455" s="59" t="s">
        <v>2873</v>
      </c>
      <c r="B10455" s="60" t="s">
        <v>1068</v>
      </c>
    </row>
    <row r="10456" ht="12.75" customHeight="1">
      <c r="A10456" s="59" t="s">
        <v>2873</v>
      </c>
      <c r="B10456" s="60" t="s">
        <v>1069</v>
      </c>
    </row>
    <row r="10457" ht="12.75" customHeight="1">
      <c r="A10457" s="59" t="s">
        <v>2873</v>
      </c>
      <c r="B10457" s="60" t="s">
        <v>1070</v>
      </c>
    </row>
    <row r="10458" ht="12.75" customHeight="1">
      <c r="A10458" s="59" t="s">
        <v>2873</v>
      </c>
      <c r="B10458" s="60" t="s">
        <v>1071</v>
      </c>
    </row>
    <row r="10459" ht="12.75" customHeight="1">
      <c r="A10459" s="59" t="s">
        <v>2873</v>
      </c>
      <c r="B10459" s="60" t="s">
        <v>1072</v>
      </c>
    </row>
    <row r="10460" ht="12.75" customHeight="1">
      <c r="A10460" s="59" t="s">
        <v>2873</v>
      </c>
      <c r="B10460" s="60" t="s">
        <v>1073</v>
      </c>
    </row>
    <row r="10461" ht="12.75" customHeight="1">
      <c r="A10461" s="59" t="s">
        <v>2873</v>
      </c>
      <c r="B10461" s="60" t="s">
        <v>1074</v>
      </c>
    </row>
    <row r="10462" ht="12.75" customHeight="1">
      <c r="A10462" s="59" t="s">
        <v>2873</v>
      </c>
      <c r="B10462" s="60" t="s">
        <v>1075</v>
      </c>
    </row>
    <row r="10463" ht="12.75" customHeight="1">
      <c r="A10463" s="59" t="s">
        <v>2873</v>
      </c>
      <c r="B10463" s="60" t="s">
        <v>1076</v>
      </c>
    </row>
    <row r="10464" ht="12.75" customHeight="1">
      <c r="A10464" s="59" t="s">
        <v>2873</v>
      </c>
      <c r="B10464" s="60" t="s">
        <v>1077</v>
      </c>
    </row>
    <row r="10465" ht="12.75" customHeight="1">
      <c r="A10465" s="59" t="s">
        <v>2873</v>
      </c>
      <c r="B10465" s="60" t="s">
        <v>1078</v>
      </c>
    </row>
    <row r="10466" ht="12.75" customHeight="1">
      <c r="A10466" s="59" t="s">
        <v>2873</v>
      </c>
      <c r="B10466" s="60" t="s">
        <v>1079</v>
      </c>
    </row>
    <row r="10467" ht="12.75" customHeight="1">
      <c r="A10467" s="59" t="s">
        <v>2873</v>
      </c>
      <c r="B10467" s="60" t="s">
        <v>1080</v>
      </c>
    </row>
    <row r="10468" ht="12.75" customHeight="1">
      <c r="A10468" s="59" t="s">
        <v>2873</v>
      </c>
      <c r="B10468" s="60" t="s">
        <v>1081</v>
      </c>
    </row>
    <row r="10469" ht="12.75" customHeight="1">
      <c r="A10469" s="59" t="s">
        <v>2873</v>
      </c>
      <c r="B10469" s="60" t="s">
        <v>1082</v>
      </c>
    </row>
    <row r="10470" ht="12.75" customHeight="1">
      <c r="A10470" s="59" t="s">
        <v>2873</v>
      </c>
      <c r="B10470" s="60" t="s">
        <v>1083</v>
      </c>
    </row>
    <row r="10471" ht="12.75" customHeight="1">
      <c r="A10471" s="59" t="s">
        <v>2873</v>
      </c>
      <c r="B10471" s="60" t="s">
        <v>1084</v>
      </c>
    </row>
    <row r="10472" ht="12.75" customHeight="1">
      <c r="A10472" s="59" t="s">
        <v>2873</v>
      </c>
      <c r="B10472" s="60" t="s">
        <v>1085</v>
      </c>
    </row>
    <row r="10473" ht="12.75" customHeight="1">
      <c r="A10473" s="59" t="s">
        <v>2873</v>
      </c>
      <c r="B10473" s="60" t="s">
        <v>1086</v>
      </c>
    </row>
    <row r="10474" ht="12.75" customHeight="1">
      <c r="A10474" s="59" t="s">
        <v>2873</v>
      </c>
      <c r="B10474" s="60" t="s">
        <v>1087</v>
      </c>
    </row>
    <row r="10475" ht="12.75" customHeight="1">
      <c r="A10475" s="59" t="s">
        <v>2873</v>
      </c>
      <c r="B10475" s="60" t="s">
        <v>1088</v>
      </c>
    </row>
    <row r="10476" ht="12.75" customHeight="1">
      <c r="A10476" s="59" t="s">
        <v>2873</v>
      </c>
      <c r="B10476" s="60" t="s">
        <v>1089</v>
      </c>
    </row>
    <row r="10477" ht="12.75" customHeight="1">
      <c r="A10477" s="59" t="s">
        <v>2873</v>
      </c>
      <c r="B10477" s="60" t="s">
        <v>1090</v>
      </c>
    </row>
    <row r="10478" ht="12.75" customHeight="1">
      <c r="A10478" s="59" t="s">
        <v>2873</v>
      </c>
      <c r="B10478" s="60" t="s">
        <v>1091</v>
      </c>
    </row>
    <row r="10479" ht="12.75" customHeight="1">
      <c r="A10479" s="59" t="s">
        <v>2873</v>
      </c>
      <c r="B10479" s="60" t="s">
        <v>1092</v>
      </c>
    </row>
    <row r="10480" ht="12.75" customHeight="1">
      <c r="A10480" s="59" t="s">
        <v>2873</v>
      </c>
      <c r="B10480" s="60" t="s">
        <v>1093</v>
      </c>
    </row>
    <row r="10481" ht="12.75" customHeight="1">
      <c r="A10481" s="59" t="s">
        <v>2873</v>
      </c>
      <c r="B10481" s="60" t="s">
        <v>1094</v>
      </c>
    </row>
    <row r="10482" ht="12.75" customHeight="1">
      <c r="A10482" s="59" t="s">
        <v>2873</v>
      </c>
      <c r="B10482" s="60" t="s">
        <v>1095</v>
      </c>
    </row>
    <row r="10483" ht="12.75" customHeight="1">
      <c r="A10483" s="59" t="s">
        <v>2873</v>
      </c>
      <c r="B10483" s="60" t="s">
        <v>1096</v>
      </c>
    </row>
    <row r="10484" ht="12.75" customHeight="1">
      <c r="A10484" s="59" t="s">
        <v>2873</v>
      </c>
      <c r="B10484" s="60" t="s">
        <v>1097</v>
      </c>
    </row>
    <row r="10485" ht="12.75" customHeight="1">
      <c r="A10485" s="59" t="s">
        <v>2873</v>
      </c>
      <c r="B10485" s="60" t="s">
        <v>1098</v>
      </c>
    </row>
    <row r="10486" ht="12.75" customHeight="1">
      <c r="A10486" s="59" t="s">
        <v>2873</v>
      </c>
      <c r="B10486" s="60" t="s">
        <v>1099</v>
      </c>
    </row>
    <row r="10487" ht="12.75" customHeight="1">
      <c r="A10487" s="59" t="s">
        <v>2873</v>
      </c>
      <c r="B10487" s="60" t="s">
        <v>1100</v>
      </c>
    </row>
    <row r="10488" ht="12.75" customHeight="1">
      <c r="A10488" s="59" t="s">
        <v>2873</v>
      </c>
      <c r="B10488" s="60" t="s">
        <v>1101</v>
      </c>
    </row>
    <row r="10489" ht="12.75" customHeight="1">
      <c r="A10489" s="59" t="s">
        <v>2873</v>
      </c>
      <c r="B10489" s="60" t="s">
        <v>1102</v>
      </c>
    </row>
    <row r="10490" ht="12.75" customHeight="1">
      <c r="A10490" s="59" t="s">
        <v>2873</v>
      </c>
      <c r="B10490" s="60" t="s">
        <v>1103</v>
      </c>
    </row>
    <row r="10491" ht="12.75" customHeight="1">
      <c r="A10491" s="59" t="s">
        <v>2873</v>
      </c>
      <c r="B10491" s="60" t="s">
        <v>1104</v>
      </c>
    </row>
    <row r="10492" ht="12.75" customHeight="1">
      <c r="A10492" s="59" t="s">
        <v>2873</v>
      </c>
      <c r="B10492" s="60" t="s">
        <v>1105</v>
      </c>
    </row>
    <row r="10493" ht="12.75" customHeight="1">
      <c r="A10493" s="59" t="s">
        <v>2873</v>
      </c>
      <c r="B10493" s="60" t="s">
        <v>1106</v>
      </c>
    </row>
    <row r="10494" ht="12.75" customHeight="1">
      <c r="A10494" s="59" t="s">
        <v>2873</v>
      </c>
      <c r="B10494" s="60" t="s">
        <v>1107</v>
      </c>
    </row>
    <row r="10495" ht="12.75" customHeight="1">
      <c r="A10495" s="59" t="s">
        <v>2873</v>
      </c>
      <c r="B10495" s="60" t="s">
        <v>1108</v>
      </c>
    </row>
    <row r="10496" ht="12.75" customHeight="1">
      <c r="A10496" s="59" t="s">
        <v>2873</v>
      </c>
      <c r="B10496" s="60" t="s">
        <v>1109</v>
      </c>
    </row>
    <row r="10497" ht="12.75" customHeight="1">
      <c r="A10497" s="59" t="s">
        <v>2873</v>
      </c>
      <c r="B10497" s="60" t="s">
        <v>1110</v>
      </c>
    </row>
    <row r="10498" ht="12.75" customHeight="1">
      <c r="A10498" s="59" t="s">
        <v>2873</v>
      </c>
      <c r="B10498" s="60" t="s">
        <v>1111</v>
      </c>
    </row>
    <row r="10499" ht="12.75" customHeight="1">
      <c r="A10499" s="59" t="s">
        <v>2873</v>
      </c>
      <c r="B10499" s="60" t="s">
        <v>1112</v>
      </c>
    </row>
    <row r="10500" ht="12.75" customHeight="1">
      <c r="A10500" s="59" t="s">
        <v>2873</v>
      </c>
      <c r="B10500" s="60" t="s">
        <v>1113</v>
      </c>
    </row>
    <row r="10501" ht="12.75" customHeight="1">
      <c r="A10501" s="59" t="s">
        <v>2873</v>
      </c>
      <c r="B10501" s="60" t="s">
        <v>1114</v>
      </c>
    </row>
    <row r="10502" ht="12.75" customHeight="1">
      <c r="A10502" s="59" t="s">
        <v>2873</v>
      </c>
      <c r="B10502" s="60" t="s">
        <v>1115</v>
      </c>
    </row>
    <row r="10503" ht="12.75" customHeight="1">
      <c r="A10503" s="59" t="s">
        <v>2873</v>
      </c>
      <c r="B10503" s="60" t="s">
        <v>1116</v>
      </c>
    </row>
    <row r="10504" ht="12.75" customHeight="1">
      <c r="A10504" s="59" t="s">
        <v>2873</v>
      </c>
      <c r="B10504" s="60" t="s">
        <v>1117</v>
      </c>
    </row>
    <row r="10505" ht="12.75" customHeight="1">
      <c r="A10505" s="59" t="s">
        <v>2873</v>
      </c>
      <c r="B10505" s="60" t="s">
        <v>1118</v>
      </c>
    </row>
    <row r="10506" ht="12.75" customHeight="1">
      <c r="A10506" s="59" t="s">
        <v>2873</v>
      </c>
      <c r="B10506" s="60" t="s">
        <v>1119</v>
      </c>
    </row>
    <row r="10507" ht="12.75" customHeight="1">
      <c r="A10507" s="59" t="s">
        <v>2873</v>
      </c>
      <c r="B10507" s="60" t="s">
        <v>1120</v>
      </c>
    </row>
    <row r="10508" ht="12.75" customHeight="1">
      <c r="A10508" s="59" t="s">
        <v>2873</v>
      </c>
      <c r="B10508" s="60" t="s">
        <v>1121</v>
      </c>
    </row>
    <row r="10509" ht="12.75" customHeight="1">
      <c r="A10509" s="59" t="s">
        <v>2873</v>
      </c>
      <c r="B10509" s="60" t="s">
        <v>1122</v>
      </c>
    </row>
    <row r="10510" ht="12.75" customHeight="1">
      <c r="A10510" s="59" t="s">
        <v>2873</v>
      </c>
      <c r="B10510" s="60" t="s">
        <v>1123</v>
      </c>
    </row>
    <row r="10511" ht="12.75" customHeight="1">
      <c r="A10511" s="59" t="s">
        <v>2873</v>
      </c>
      <c r="B10511" s="60" t="s">
        <v>1124</v>
      </c>
    </row>
    <row r="10512" ht="12.75" customHeight="1">
      <c r="A10512" s="59" t="s">
        <v>2873</v>
      </c>
      <c r="B10512" s="60" t="s">
        <v>1125</v>
      </c>
    </row>
    <row r="10513" ht="12.75" customHeight="1">
      <c r="A10513" s="59" t="s">
        <v>2873</v>
      </c>
      <c r="B10513" s="60" t="s">
        <v>1126</v>
      </c>
    </row>
    <row r="10514" ht="12.75" customHeight="1">
      <c r="A10514" s="59" t="s">
        <v>2873</v>
      </c>
      <c r="B10514" s="60" t="s">
        <v>1127</v>
      </c>
    </row>
    <row r="10515" ht="12.75" customHeight="1">
      <c r="A10515" s="59" t="s">
        <v>2873</v>
      </c>
      <c r="B10515" s="60" t="s">
        <v>1128</v>
      </c>
    </row>
    <row r="10516" ht="12.75" customHeight="1">
      <c r="A10516" s="59" t="s">
        <v>2873</v>
      </c>
      <c r="B10516" s="60" t="s">
        <v>1129</v>
      </c>
    </row>
    <row r="10517" ht="12.75" customHeight="1">
      <c r="A10517" s="59" t="s">
        <v>2873</v>
      </c>
      <c r="B10517" s="60" t="s">
        <v>1130</v>
      </c>
    </row>
    <row r="10518" ht="12.75" customHeight="1">
      <c r="A10518" s="59" t="s">
        <v>2873</v>
      </c>
      <c r="B10518" s="60" t="s">
        <v>1131</v>
      </c>
    </row>
    <row r="10519" ht="12.75" customHeight="1">
      <c r="A10519" s="59" t="s">
        <v>2873</v>
      </c>
      <c r="B10519" s="60" t="s">
        <v>1132</v>
      </c>
    </row>
    <row r="10520" ht="12.75" customHeight="1">
      <c r="A10520" s="59" t="s">
        <v>2873</v>
      </c>
      <c r="B10520" s="60" t="s">
        <v>1133</v>
      </c>
    </row>
    <row r="10521" ht="12.75" customHeight="1">
      <c r="A10521" s="59" t="s">
        <v>2873</v>
      </c>
      <c r="B10521" s="60" t="s">
        <v>1134</v>
      </c>
    </row>
    <row r="10522" ht="12.75" customHeight="1">
      <c r="A10522" s="59" t="s">
        <v>2873</v>
      </c>
      <c r="B10522" s="60" t="s">
        <v>1135</v>
      </c>
    </row>
    <row r="10523" ht="12.75" customHeight="1">
      <c r="A10523" s="59" t="s">
        <v>2873</v>
      </c>
      <c r="B10523" s="60" t="s">
        <v>1136</v>
      </c>
    </row>
    <row r="10524" ht="12.75" customHeight="1">
      <c r="A10524" s="59" t="s">
        <v>2873</v>
      </c>
      <c r="B10524" s="60" t="s">
        <v>1137</v>
      </c>
    </row>
    <row r="10525" ht="12.75" customHeight="1">
      <c r="A10525" s="59" t="s">
        <v>2873</v>
      </c>
      <c r="B10525" s="60" t="s">
        <v>1138</v>
      </c>
    </row>
    <row r="10526" ht="12.75" customHeight="1">
      <c r="A10526" s="59" t="s">
        <v>2873</v>
      </c>
      <c r="B10526" s="60" t="s">
        <v>1139</v>
      </c>
    </row>
    <row r="10527" ht="12.75" customHeight="1">
      <c r="A10527" s="59" t="s">
        <v>2873</v>
      </c>
      <c r="B10527" s="60" t="s">
        <v>1140</v>
      </c>
    </row>
    <row r="10528" ht="12.75" customHeight="1">
      <c r="A10528" s="59" t="s">
        <v>2873</v>
      </c>
      <c r="B10528" s="60" t="s">
        <v>1141</v>
      </c>
    </row>
    <row r="10529" ht="12.75" customHeight="1">
      <c r="A10529" s="59" t="s">
        <v>2873</v>
      </c>
      <c r="B10529" s="60" t="s">
        <v>1142</v>
      </c>
    </row>
    <row r="10530" ht="12.75" customHeight="1">
      <c r="A10530" s="59" t="s">
        <v>2873</v>
      </c>
      <c r="B10530" s="60" t="s">
        <v>1143</v>
      </c>
    </row>
    <row r="10531" ht="12.75" customHeight="1">
      <c r="A10531" s="59" t="s">
        <v>2873</v>
      </c>
      <c r="B10531" s="60" t="s">
        <v>1144</v>
      </c>
    </row>
    <row r="10532" ht="12.75" customHeight="1">
      <c r="A10532" s="59" t="s">
        <v>2873</v>
      </c>
      <c r="B10532" s="60" t="s">
        <v>1145</v>
      </c>
    </row>
    <row r="10533" ht="12.75" customHeight="1">
      <c r="A10533" s="59" t="s">
        <v>2873</v>
      </c>
      <c r="B10533" s="60" t="s">
        <v>1146</v>
      </c>
    </row>
    <row r="10534" ht="12.75" customHeight="1">
      <c r="A10534" s="59" t="s">
        <v>2873</v>
      </c>
      <c r="B10534" s="60" t="s">
        <v>1147</v>
      </c>
    </row>
    <row r="10535" ht="12.75" customHeight="1">
      <c r="A10535" s="59" t="s">
        <v>2873</v>
      </c>
      <c r="B10535" s="60" t="s">
        <v>1148</v>
      </c>
    </row>
    <row r="10536" ht="12.75" customHeight="1">
      <c r="A10536" s="59" t="s">
        <v>2873</v>
      </c>
      <c r="B10536" s="60" t="s">
        <v>1149</v>
      </c>
    </row>
    <row r="10537" ht="12.75" customHeight="1">
      <c r="A10537" s="59" t="s">
        <v>2873</v>
      </c>
      <c r="B10537" s="60" t="s">
        <v>1150</v>
      </c>
    </row>
    <row r="10538" ht="12.75" customHeight="1">
      <c r="A10538" s="59" t="s">
        <v>2873</v>
      </c>
      <c r="B10538" s="60" t="s">
        <v>1151</v>
      </c>
    </row>
    <row r="10539" ht="12.75" customHeight="1">
      <c r="A10539" s="59" t="s">
        <v>2873</v>
      </c>
      <c r="B10539" s="60" t="s">
        <v>1152</v>
      </c>
    </row>
    <row r="10540" ht="12.75" customHeight="1">
      <c r="A10540" s="59" t="s">
        <v>2873</v>
      </c>
      <c r="B10540" s="60" t="s">
        <v>1153</v>
      </c>
    </row>
    <row r="10541" ht="12.75" customHeight="1">
      <c r="A10541" s="59" t="s">
        <v>2873</v>
      </c>
      <c r="B10541" s="60" t="s">
        <v>1154</v>
      </c>
    </row>
    <row r="10542" ht="12.75" customHeight="1">
      <c r="A10542" s="59" t="s">
        <v>2873</v>
      </c>
      <c r="B10542" s="60" t="s">
        <v>1155</v>
      </c>
    </row>
    <row r="10543" ht="12.75" customHeight="1">
      <c r="A10543" s="59" t="s">
        <v>2873</v>
      </c>
      <c r="B10543" s="60" t="s">
        <v>1156</v>
      </c>
    </row>
    <row r="10544" ht="12.75" customHeight="1">
      <c r="A10544" s="59" t="s">
        <v>2873</v>
      </c>
      <c r="B10544" s="60" t="s">
        <v>1157</v>
      </c>
    </row>
    <row r="10545" ht="12.75" customHeight="1">
      <c r="A10545" s="59" t="s">
        <v>2873</v>
      </c>
      <c r="B10545" s="60" t="s">
        <v>1158</v>
      </c>
    </row>
    <row r="10546" ht="12.75" customHeight="1">
      <c r="A10546" s="59" t="s">
        <v>2873</v>
      </c>
      <c r="B10546" s="60" t="s">
        <v>1159</v>
      </c>
    </row>
    <row r="10547" ht="12.75" customHeight="1">
      <c r="A10547" s="59" t="s">
        <v>2873</v>
      </c>
      <c r="B10547" s="60" t="s">
        <v>1160</v>
      </c>
    </row>
    <row r="10548" ht="12.75" customHeight="1">
      <c r="A10548" s="59" t="s">
        <v>2873</v>
      </c>
      <c r="B10548" s="60" t="s">
        <v>1161</v>
      </c>
    </row>
    <row r="10549" ht="12.75" customHeight="1">
      <c r="A10549" s="59" t="s">
        <v>2873</v>
      </c>
      <c r="B10549" s="60" t="s">
        <v>1162</v>
      </c>
    </row>
    <row r="10550" ht="12.75" customHeight="1">
      <c r="A10550" s="59" t="s">
        <v>2873</v>
      </c>
      <c r="B10550" s="60" t="s">
        <v>1163</v>
      </c>
    </row>
    <row r="10551" ht="12.75" customHeight="1">
      <c r="A10551" s="59" t="s">
        <v>2873</v>
      </c>
      <c r="B10551" s="60" t="s">
        <v>1164</v>
      </c>
    </row>
    <row r="10552" ht="12.75" customHeight="1">
      <c r="A10552" s="59" t="s">
        <v>2873</v>
      </c>
      <c r="B10552" s="60" t="s">
        <v>1165</v>
      </c>
    </row>
    <row r="10553" ht="12.75" customHeight="1">
      <c r="A10553" s="59" t="s">
        <v>2873</v>
      </c>
      <c r="B10553" s="60" t="s">
        <v>1166</v>
      </c>
    </row>
    <row r="10554" ht="12.75" customHeight="1">
      <c r="A10554" s="59" t="s">
        <v>2873</v>
      </c>
      <c r="B10554" s="60" t="s">
        <v>1167</v>
      </c>
    </row>
    <row r="10555" ht="12.75" customHeight="1">
      <c r="A10555" s="59" t="s">
        <v>2873</v>
      </c>
      <c r="B10555" s="60" t="s">
        <v>1168</v>
      </c>
    </row>
    <row r="10556" ht="12.75" customHeight="1">
      <c r="A10556" s="59" t="s">
        <v>2873</v>
      </c>
      <c r="B10556" s="60" t="s">
        <v>1169</v>
      </c>
    </row>
    <row r="10557" ht="12.75" customHeight="1">
      <c r="A10557" s="59" t="s">
        <v>2873</v>
      </c>
      <c r="B10557" s="60" t="s">
        <v>1170</v>
      </c>
    </row>
    <row r="10558" ht="12.75" customHeight="1">
      <c r="A10558" s="59" t="s">
        <v>2873</v>
      </c>
      <c r="B10558" s="60" t="s">
        <v>1171</v>
      </c>
    </row>
    <row r="10559" ht="12.75" customHeight="1">
      <c r="A10559" s="59" t="s">
        <v>2873</v>
      </c>
      <c r="B10559" s="60" t="s">
        <v>1172</v>
      </c>
    </row>
    <row r="10560" ht="12.75" customHeight="1">
      <c r="A10560" s="59" t="s">
        <v>2873</v>
      </c>
      <c r="B10560" s="60" t="s">
        <v>1173</v>
      </c>
    </row>
    <row r="10561" ht="12.75" customHeight="1">
      <c r="A10561" s="59" t="s">
        <v>2873</v>
      </c>
      <c r="B10561" s="60" t="s">
        <v>1174</v>
      </c>
    </row>
    <row r="10562" ht="12.75" customHeight="1">
      <c r="A10562" s="59" t="s">
        <v>2873</v>
      </c>
      <c r="B10562" s="60" t="s">
        <v>1175</v>
      </c>
    </row>
    <row r="10563" ht="12.75" customHeight="1">
      <c r="A10563" s="59" t="s">
        <v>2873</v>
      </c>
      <c r="B10563" s="60" t="s">
        <v>1176</v>
      </c>
    </row>
    <row r="10564" ht="12.75" customHeight="1">
      <c r="A10564" s="59" t="s">
        <v>2873</v>
      </c>
      <c r="B10564" s="60" t="s">
        <v>1177</v>
      </c>
    </row>
    <row r="10565" ht="12.75" customHeight="1">
      <c r="A10565" s="59" t="s">
        <v>2873</v>
      </c>
      <c r="B10565" s="60" t="s">
        <v>1178</v>
      </c>
    </row>
    <row r="10566" ht="12.75" customHeight="1">
      <c r="A10566" s="59" t="s">
        <v>2873</v>
      </c>
      <c r="B10566" s="60" t="s">
        <v>1179</v>
      </c>
    </row>
    <row r="10567" ht="12.75" customHeight="1">
      <c r="A10567" s="59" t="s">
        <v>2873</v>
      </c>
      <c r="B10567" s="60" t="s">
        <v>1180</v>
      </c>
    </row>
    <row r="10568" ht="12.75" customHeight="1">
      <c r="A10568" s="59" t="s">
        <v>2873</v>
      </c>
      <c r="B10568" s="60" t="s">
        <v>1181</v>
      </c>
    </row>
    <row r="10569" ht="12.75" customHeight="1">
      <c r="A10569" s="59" t="s">
        <v>2873</v>
      </c>
      <c r="B10569" s="60" t="s">
        <v>1182</v>
      </c>
    </row>
    <row r="10570" ht="12.75" customHeight="1">
      <c r="A10570" s="59" t="s">
        <v>2873</v>
      </c>
      <c r="B10570" s="60" t="s">
        <v>1183</v>
      </c>
    </row>
    <row r="10571" ht="12.75" customHeight="1">
      <c r="A10571" s="59" t="s">
        <v>2873</v>
      </c>
      <c r="B10571" s="60" t="s">
        <v>1184</v>
      </c>
    </row>
    <row r="10572" ht="12.75" customHeight="1">
      <c r="A10572" s="59" t="s">
        <v>2873</v>
      </c>
      <c r="B10572" s="60" t="s">
        <v>1185</v>
      </c>
    </row>
    <row r="10573" ht="12.75" customHeight="1">
      <c r="A10573" s="59" t="s">
        <v>2873</v>
      </c>
      <c r="B10573" s="60" t="s">
        <v>1186</v>
      </c>
    </row>
    <row r="10574" ht="12.75" customHeight="1">
      <c r="A10574" s="59" t="s">
        <v>2873</v>
      </c>
      <c r="B10574" s="60" t="s">
        <v>1187</v>
      </c>
    </row>
    <row r="10575" ht="12.75" customHeight="1">
      <c r="A10575" s="59" t="s">
        <v>2873</v>
      </c>
      <c r="B10575" s="60" t="s">
        <v>1188</v>
      </c>
    </row>
    <row r="10576" ht="12.75" customHeight="1">
      <c r="A10576" s="59" t="s">
        <v>2873</v>
      </c>
      <c r="B10576" s="60" t="s">
        <v>1189</v>
      </c>
    </row>
    <row r="10577" ht="12.75" customHeight="1">
      <c r="A10577" s="59" t="s">
        <v>2873</v>
      </c>
      <c r="B10577" s="60" t="s">
        <v>1190</v>
      </c>
    </row>
    <row r="10578" ht="12.75" customHeight="1">
      <c r="A10578" s="59" t="s">
        <v>2873</v>
      </c>
      <c r="B10578" s="60" t="s">
        <v>1191</v>
      </c>
    </row>
    <row r="10579" ht="12.75" customHeight="1">
      <c r="A10579" s="59" t="s">
        <v>2873</v>
      </c>
      <c r="B10579" s="60" t="s">
        <v>1192</v>
      </c>
    </row>
    <row r="10580" ht="12.75" customHeight="1">
      <c r="A10580" s="59" t="s">
        <v>2874</v>
      </c>
      <c r="B10580" s="60">
        <v>0.0</v>
      </c>
    </row>
    <row r="10581" ht="12.75" customHeight="1">
      <c r="A10581" s="59" t="s">
        <v>2874</v>
      </c>
      <c r="B10581" s="60">
        <v>0.0</v>
      </c>
    </row>
    <row r="10582" ht="12.75" customHeight="1">
      <c r="A10582" s="59" t="s">
        <v>2874</v>
      </c>
      <c r="B10582" s="60">
        <v>2.0</v>
      </c>
    </row>
    <row r="10583" ht="12.75" customHeight="1">
      <c r="A10583" s="59" t="s">
        <v>2874</v>
      </c>
      <c r="B10583" s="60">
        <v>4.0</v>
      </c>
    </row>
    <row r="10584" ht="12.75" customHeight="1">
      <c r="A10584" s="59" t="s">
        <v>2874</v>
      </c>
      <c r="B10584" s="60">
        <v>6.0</v>
      </c>
    </row>
    <row r="10585" ht="12.75" customHeight="1">
      <c r="A10585" s="59" t="s">
        <v>2874</v>
      </c>
      <c r="B10585" s="60">
        <v>8.0</v>
      </c>
    </row>
    <row r="10586" ht="12.75" customHeight="1">
      <c r="A10586" s="59" t="s">
        <v>2874</v>
      </c>
      <c r="B10586" s="60">
        <v>10.0</v>
      </c>
    </row>
    <row r="10587" ht="12.75" customHeight="1">
      <c r="A10587" s="59" t="s">
        <v>2874</v>
      </c>
      <c r="B10587" s="60">
        <v>12.0</v>
      </c>
    </row>
    <row r="10588" ht="12.75" customHeight="1">
      <c r="A10588" s="59" t="s">
        <v>2874</v>
      </c>
      <c r="B10588" s="60" t="s">
        <v>803</v>
      </c>
    </row>
    <row r="10589" ht="12.75" customHeight="1">
      <c r="A10589" s="59" t="s">
        <v>2874</v>
      </c>
      <c r="B10589" s="60" t="s">
        <v>804</v>
      </c>
    </row>
    <row r="10590" ht="12.75" customHeight="1">
      <c r="A10590" s="59" t="s">
        <v>2874</v>
      </c>
      <c r="B10590" s="60" t="s">
        <v>76</v>
      </c>
    </row>
    <row r="10591" ht="12.75" customHeight="1">
      <c r="A10591" s="59" t="s">
        <v>2874</v>
      </c>
      <c r="B10591" s="60" t="s">
        <v>80</v>
      </c>
    </row>
    <row r="10592" ht="12.75" customHeight="1">
      <c r="A10592" s="59" t="s">
        <v>2874</v>
      </c>
      <c r="B10592" s="60" t="s">
        <v>83</v>
      </c>
    </row>
    <row r="10593" ht="12.75" customHeight="1">
      <c r="A10593" s="59" t="s">
        <v>2874</v>
      </c>
      <c r="B10593" s="60" t="s">
        <v>85</v>
      </c>
    </row>
    <row r="10594" ht="12.75" customHeight="1">
      <c r="A10594" s="59" t="s">
        <v>2874</v>
      </c>
      <c r="B10594" s="60" t="s">
        <v>805</v>
      </c>
    </row>
    <row r="10595" ht="12.75" customHeight="1">
      <c r="A10595" s="59" t="s">
        <v>2874</v>
      </c>
      <c r="B10595" s="60" t="s">
        <v>806</v>
      </c>
    </row>
    <row r="10596" ht="12.75" customHeight="1">
      <c r="A10596" s="59" t="s">
        <v>2874</v>
      </c>
      <c r="B10596" s="60" t="s">
        <v>807</v>
      </c>
    </row>
    <row r="10597" ht="12.75" customHeight="1">
      <c r="A10597" s="59" t="s">
        <v>2874</v>
      </c>
      <c r="B10597" s="60" t="s">
        <v>753</v>
      </c>
    </row>
    <row r="10598" ht="12.75" customHeight="1">
      <c r="A10598" s="59" t="s">
        <v>2874</v>
      </c>
      <c r="B10598" s="60" t="s">
        <v>757</v>
      </c>
    </row>
    <row r="10599" ht="12.75" customHeight="1">
      <c r="A10599" s="59" t="s">
        <v>2874</v>
      </c>
      <c r="B10599" s="60" t="s">
        <v>761</v>
      </c>
    </row>
    <row r="10600" ht="12.75" customHeight="1">
      <c r="A10600" s="59" t="s">
        <v>2874</v>
      </c>
      <c r="B10600" s="60" t="s">
        <v>765</v>
      </c>
    </row>
    <row r="10601" ht="12.75" customHeight="1">
      <c r="A10601" s="59" t="s">
        <v>2874</v>
      </c>
      <c r="B10601" s="60" t="s">
        <v>808</v>
      </c>
    </row>
    <row r="10602" ht="12.75" customHeight="1">
      <c r="A10602" s="59" t="s">
        <v>2874</v>
      </c>
      <c r="B10602" s="60" t="s">
        <v>809</v>
      </c>
    </row>
    <row r="10603" ht="12.75" customHeight="1">
      <c r="A10603" s="59" t="s">
        <v>2874</v>
      </c>
      <c r="B10603" s="60" t="s">
        <v>810</v>
      </c>
    </row>
    <row r="10604" ht="12.75" customHeight="1">
      <c r="A10604" s="59" t="s">
        <v>2874</v>
      </c>
      <c r="B10604" s="60" t="s">
        <v>811</v>
      </c>
    </row>
    <row r="10605" ht="12.75" customHeight="1">
      <c r="A10605" s="59" t="s">
        <v>2874</v>
      </c>
      <c r="B10605" s="60" t="s">
        <v>812</v>
      </c>
    </row>
    <row r="10606" ht="12.75" customHeight="1">
      <c r="A10606" s="59" t="s">
        <v>2874</v>
      </c>
      <c r="B10606" s="60" t="s">
        <v>813</v>
      </c>
    </row>
    <row r="10607" ht="12.75" customHeight="1">
      <c r="A10607" s="59" t="s">
        <v>2874</v>
      </c>
      <c r="B10607" s="60" t="s">
        <v>814</v>
      </c>
    </row>
    <row r="10608" ht="12.75" customHeight="1">
      <c r="A10608" s="59" t="s">
        <v>2874</v>
      </c>
      <c r="B10608" s="60" t="s">
        <v>815</v>
      </c>
    </row>
    <row r="10609" ht="12.75" customHeight="1">
      <c r="A10609" s="59" t="s">
        <v>2874</v>
      </c>
      <c r="B10609" s="60" t="s">
        <v>816</v>
      </c>
    </row>
    <row r="10610" ht="12.75" customHeight="1">
      <c r="A10610" s="59" t="s">
        <v>2874</v>
      </c>
      <c r="B10610" s="60" t="s">
        <v>771</v>
      </c>
    </row>
    <row r="10611" ht="12.75" customHeight="1">
      <c r="A10611" s="59" t="s">
        <v>2874</v>
      </c>
      <c r="B10611" s="60" t="s">
        <v>775</v>
      </c>
    </row>
    <row r="10612" ht="12.75" customHeight="1">
      <c r="A10612" s="59" t="s">
        <v>2874</v>
      </c>
      <c r="B10612" s="60" t="s">
        <v>779</v>
      </c>
    </row>
    <row r="10613" ht="12.75" customHeight="1">
      <c r="A10613" s="59" t="s">
        <v>2874</v>
      </c>
      <c r="B10613" s="60" t="s">
        <v>783</v>
      </c>
    </row>
    <row r="10614" ht="12.75" customHeight="1">
      <c r="A10614" s="59" t="s">
        <v>2874</v>
      </c>
      <c r="B10614" s="60" t="s">
        <v>817</v>
      </c>
    </row>
    <row r="10615" ht="12.75" customHeight="1">
      <c r="A10615" s="59" t="s">
        <v>2874</v>
      </c>
      <c r="B10615" s="60" t="s">
        <v>818</v>
      </c>
    </row>
    <row r="10616" ht="12.75" customHeight="1">
      <c r="A10616" s="59" t="s">
        <v>2874</v>
      </c>
      <c r="B10616" s="60" t="s">
        <v>819</v>
      </c>
    </row>
    <row r="10617" ht="12.75" customHeight="1">
      <c r="A10617" s="59" t="s">
        <v>2874</v>
      </c>
      <c r="B10617" s="60" t="s">
        <v>820</v>
      </c>
    </row>
    <row r="10618" ht="12.75" customHeight="1">
      <c r="A10618" s="59" t="s">
        <v>2874</v>
      </c>
      <c r="B10618" s="60" t="s">
        <v>821</v>
      </c>
    </row>
    <row r="10619" ht="12.75" customHeight="1">
      <c r="A10619" s="59" t="s">
        <v>2874</v>
      </c>
      <c r="B10619" s="60" t="s">
        <v>822</v>
      </c>
    </row>
    <row r="10620" ht="12.75" customHeight="1">
      <c r="A10620" s="59" t="s">
        <v>2874</v>
      </c>
      <c r="B10620" s="60" t="s">
        <v>823</v>
      </c>
    </row>
    <row r="10621" ht="12.75" customHeight="1">
      <c r="A10621" s="59" t="s">
        <v>2874</v>
      </c>
      <c r="B10621" s="60" t="s">
        <v>824</v>
      </c>
    </row>
    <row r="10622" ht="12.75" customHeight="1">
      <c r="A10622" s="59" t="s">
        <v>2874</v>
      </c>
      <c r="B10622" s="60" t="s">
        <v>825</v>
      </c>
    </row>
    <row r="10623" ht="12.75" customHeight="1">
      <c r="A10623" s="59" t="s">
        <v>2874</v>
      </c>
      <c r="B10623" s="60" t="s">
        <v>788</v>
      </c>
    </row>
    <row r="10624" ht="12.75" customHeight="1">
      <c r="A10624" s="59" t="s">
        <v>2874</v>
      </c>
      <c r="B10624" s="60" t="s">
        <v>792</v>
      </c>
    </row>
    <row r="10625" ht="12.75" customHeight="1">
      <c r="A10625" s="59" t="s">
        <v>2874</v>
      </c>
      <c r="B10625" s="60" t="s">
        <v>796</v>
      </c>
    </row>
    <row r="10626" ht="12.75" customHeight="1">
      <c r="A10626" s="59" t="s">
        <v>2874</v>
      </c>
      <c r="B10626" s="60" t="s">
        <v>800</v>
      </c>
    </row>
    <row r="10627" ht="12.75" customHeight="1">
      <c r="A10627" s="59" t="s">
        <v>2874</v>
      </c>
      <c r="B10627" s="60" t="s">
        <v>826</v>
      </c>
    </row>
    <row r="10628" ht="12.75" customHeight="1">
      <c r="A10628" s="59" t="s">
        <v>2874</v>
      </c>
      <c r="B10628" s="60" t="s">
        <v>827</v>
      </c>
    </row>
    <row r="10629" ht="12.75" customHeight="1">
      <c r="A10629" s="59" t="s">
        <v>2874</v>
      </c>
      <c r="B10629" s="60" t="s">
        <v>828</v>
      </c>
    </row>
    <row r="10630" ht="12.75" customHeight="1">
      <c r="A10630" s="59" t="s">
        <v>2874</v>
      </c>
      <c r="B10630" s="60" t="s">
        <v>829</v>
      </c>
    </row>
    <row r="10631" ht="12.75" customHeight="1">
      <c r="A10631" s="59" t="s">
        <v>2874</v>
      </c>
      <c r="B10631" s="60" t="s">
        <v>830</v>
      </c>
    </row>
    <row r="10632" ht="12.75" customHeight="1">
      <c r="A10632" s="59" t="s">
        <v>2874</v>
      </c>
      <c r="B10632" s="60" t="s">
        <v>831</v>
      </c>
    </row>
    <row r="10633" ht="12.75" customHeight="1">
      <c r="A10633" s="59" t="s">
        <v>2874</v>
      </c>
      <c r="B10633" s="60" t="s">
        <v>832</v>
      </c>
    </row>
    <row r="10634" ht="12.75" customHeight="1">
      <c r="A10634" s="59" t="s">
        <v>2874</v>
      </c>
      <c r="B10634" s="60" t="s">
        <v>833</v>
      </c>
    </row>
    <row r="10635" ht="12.75" customHeight="1">
      <c r="A10635" s="59" t="s">
        <v>2874</v>
      </c>
      <c r="B10635" s="60" t="s">
        <v>834</v>
      </c>
    </row>
    <row r="10636" ht="12.75" customHeight="1">
      <c r="A10636" s="59" t="s">
        <v>2874</v>
      </c>
      <c r="B10636" s="60">
        <v>14.0</v>
      </c>
    </row>
    <row r="10637" ht="12.75" customHeight="1">
      <c r="A10637" s="59" t="s">
        <v>2874</v>
      </c>
      <c r="B10637" s="60" t="s">
        <v>835</v>
      </c>
    </row>
    <row r="10638" ht="12.75" customHeight="1">
      <c r="A10638" s="59" t="s">
        <v>2874</v>
      </c>
      <c r="B10638" s="60">
        <v>16.0</v>
      </c>
    </row>
    <row r="10639" ht="12.75" customHeight="1">
      <c r="A10639" s="59" t="s">
        <v>2874</v>
      </c>
      <c r="B10639" s="60" t="s">
        <v>836</v>
      </c>
    </row>
    <row r="10640" ht="12.75" customHeight="1">
      <c r="A10640" s="59" t="s">
        <v>2874</v>
      </c>
      <c r="B10640" s="60">
        <v>18.0</v>
      </c>
    </row>
    <row r="10641" ht="12.75" customHeight="1">
      <c r="A10641" s="59" t="s">
        <v>2874</v>
      </c>
      <c r="B10641" s="60" t="s">
        <v>837</v>
      </c>
    </row>
    <row r="10642" ht="12.75" customHeight="1">
      <c r="A10642" s="59" t="s">
        <v>2874</v>
      </c>
      <c r="B10642" s="60">
        <v>20.0</v>
      </c>
    </row>
    <row r="10643" ht="12.75" customHeight="1">
      <c r="A10643" s="59" t="s">
        <v>2874</v>
      </c>
      <c r="B10643" s="60" t="s">
        <v>838</v>
      </c>
    </row>
    <row r="10644" ht="12.75" customHeight="1">
      <c r="A10644" s="59" t="s">
        <v>2874</v>
      </c>
      <c r="B10644" s="60">
        <v>22.0</v>
      </c>
    </row>
    <row r="10645" ht="12.75" customHeight="1">
      <c r="A10645" s="59" t="s">
        <v>2874</v>
      </c>
      <c r="B10645" s="60" t="s">
        <v>839</v>
      </c>
    </row>
    <row r="10646" ht="12.75" customHeight="1">
      <c r="A10646" s="59" t="s">
        <v>2874</v>
      </c>
      <c r="B10646" s="60">
        <v>24.0</v>
      </c>
    </row>
    <row r="10647" ht="12.75" customHeight="1">
      <c r="A10647" s="59" t="s">
        <v>2874</v>
      </c>
      <c r="B10647" s="60" t="s">
        <v>840</v>
      </c>
    </row>
    <row r="10648" ht="12.75" customHeight="1">
      <c r="A10648" s="59" t="s">
        <v>2874</v>
      </c>
      <c r="B10648" s="60">
        <v>26.0</v>
      </c>
    </row>
    <row r="10649" ht="12.75" customHeight="1">
      <c r="A10649" s="59" t="s">
        <v>2874</v>
      </c>
      <c r="B10649" s="60" t="s">
        <v>841</v>
      </c>
    </row>
    <row r="10650" ht="12.75" customHeight="1">
      <c r="A10650" s="59" t="s">
        <v>2874</v>
      </c>
      <c r="B10650" s="60">
        <v>28.0</v>
      </c>
    </row>
    <row r="10651" ht="12.75" customHeight="1">
      <c r="A10651" s="59" t="s">
        <v>2874</v>
      </c>
      <c r="B10651" s="60" t="s">
        <v>842</v>
      </c>
    </row>
    <row r="10652" ht="12.75" customHeight="1">
      <c r="A10652" s="59" t="s">
        <v>2874</v>
      </c>
      <c r="B10652" s="60">
        <v>30.0</v>
      </c>
    </row>
    <row r="10653" ht="12.75" customHeight="1">
      <c r="A10653" s="59" t="s">
        <v>2874</v>
      </c>
      <c r="B10653" s="60" t="s">
        <v>843</v>
      </c>
    </row>
    <row r="10654" ht="12.75" customHeight="1">
      <c r="A10654" s="59" t="s">
        <v>2874</v>
      </c>
      <c r="B10654" s="60">
        <v>32.0</v>
      </c>
    </row>
    <row r="10655" ht="12.75" customHeight="1">
      <c r="A10655" s="59" t="s">
        <v>2874</v>
      </c>
      <c r="B10655" s="60" t="s">
        <v>844</v>
      </c>
    </row>
    <row r="10656" ht="12.75" customHeight="1">
      <c r="A10656" s="59" t="s">
        <v>2874</v>
      </c>
      <c r="B10656" s="60" t="s">
        <v>845</v>
      </c>
    </row>
    <row r="10657" ht="12.75" customHeight="1">
      <c r="A10657" s="59" t="s">
        <v>2874</v>
      </c>
      <c r="B10657" s="60" t="s">
        <v>846</v>
      </c>
    </row>
    <row r="10658" ht="12.75" customHeight="1">
      <c r="A10658" s="59" t="s">
        <v>2874</v>
      </c>
      <c r="B10658" s="60" t="s">
        <v>847</v>
      </c>
    </row>
    <row r="10659" ht="12.75" customHeight="1">
      <c r="A10659" s="59" t="s">
        <v>2874</v>
      </c>
      <c r="B10659" s="60" t="s">
        <v>848</v>
      </c>
    </row>
    <row r="10660" ht="12.75" customHeight="1">
      <c r="A10660" s="59" t="s">
        <v>2874</v>
      </c>
      <c r="B10660" s="60" t="s">
        <v>849</v>
      </c>
    </row>
    <row r="10661" ht="12.75" customHeight="1">
      <c r="A10661" s="59" t="s">
        <v>2874</v>
      </c>
      <c r="B10661" s="60" t="s">
        <v>850</v>
      </c>
    </row>
    <row r="10662" ht="12.75" customHeight="1">
      <c r="A10662" s="59" t="s">
        <v>2874</v>
      </c>
      <c r="B10662" s="60" t="s">
        <v>851</v>
      </c>
    </row>
    <row r="10663" ht="12.75" customHeight="1">
      <c r="A10663" s="59" t="s">
        <v>2874</v>
      </c>
      <c r="B10663" s="60" t="s">
        <v>852</v>
      </c>
    </row>
    <row r="10664" ht="12.75" customHeight="1">
      <c r="A10664" s="59" t="s">
        <v>2874</v>
      </c>
      <c r="B10664" s="60" t="s">
        <v>853</v>
      </c>
    </row>
    <row r="10665" ht="12.75" customHeight="1">
      <c r="A10665" s="59" t="s">
        <v>2874</v>
      </c>
      <c r="B10665" s="60" t="s">
        <v>854</v>
      </c>
    </row>
    <row r="10666" ht="12.75" customHeight="1">
      <c r="A10666" s="59" t="s">
        <v>2874</v>
      </c>
      <c r="B10666" s="60" t="s">
        <v>855</v>
      </c>
    </row>
    <row r="10667" ht="12.75" customHeight="1">
      <c r="A10667" s="59" t="s">
        <v>2874</v>
      </c>
      <c r="B10667" s="60" t="s">
        <v>856</v>
      </c>
    </row>
    <row r="10668" ht="12.75" customHeight="1">
      <c r="A10668" s="59" t="s">
        <v>2874</v>
      </c>
      <c r="B10668" s="60" t="s">
        <v>857</v>
      </c>
    </row>
    <row r="10669" ht="12.75" customHeight="1">
      <c r="A10669" s="59" t="s">
        <v>2874</v>
      </c>
      <c r="B10669" s="60" t="s">
        <v>858</v>
      </c>
    </row>
    <row r="10670" ht="12.75" customHeight="1">
      <c r="A10670" s="59" t="s">
        <v>2874</v>
      </c>
      <c r="B10670" s="60" t="s">
        <v>859</v>
      </c>
    </row>
    <row r="10671" ht="12.75" customHeight="1">
      <c r="A10671" s="59" t="s">
        <v>2874</v>
      </c>
      <c r="B10671" s="60" t="s">
        <v>860</v>
      </c>
    </row>
    <row r="10672" ht="12.75" customHeight="1">
      <c r="A10672" s="59" t="s">
        <v>2874</v>
      </c>
      <c r="B10672" s="60" t="s">
        <v>861</v>
      </c>
    </row>
    <row r="10673" ht="12.75" customHeight="1">
      <c r="A10673" s="59" t="s">
        <v>2874</v>
      </c>
      <c r="B10673" s="60" t="s">
        <v>862</v>
      </c>
    </row>
    <row r="10674" ht="12.75" customHeight="1">
      <c r="A10674" s="59" t="s">
        <v>2874</v>
      </c>
      <c r="B10674" s="60" t="s">
        <v>863</v>
      </c>
    </row>
    <row r="10675" ht="12.75" customHeight="1">
      <c r="A10675" s="59" t="s">
        <v>2874</v>
      </c>
      <c r="B10675" s="60" t="s">
        <v>864</v>
      </c>
    </row>
    <row r="10676" ht="12.75" customHeight="1">
      <c r="A10676" s="59" t="s">
        <v>2874</v>
      </c>
      <c r="B10676" s="60" t="s">
        <v>865</v>
      </c>
    </row>
    <row r="10677" ht="12.75" customHeight="1">
      <c r="A10677" s="59" t="s">
        <v>2874</v>
      </c>
      <c r="B10677" s="60" t="s">
        <v>866</v>
      </c>
    </row>
    <row r="10678" ht="12.75" customHeight="1">
      <c r="A10678" s="59" t="s">
        <v>2874</v>
      </c>
      <c r="B10678" s="60" t="s">
        <v>867</v>
      </c>
    </row>
    <row r="10679" ht="12.75" customHeight="1">
      <c r="A10679" s="59" t="s">
        <v>2874</v>
      </c>
      <c r="B10679" s="60" t="s">
        <v>868</v>
      </c>
    </row>
    <row r="10680" ht="12.75" customHeight="1">
      <c r="A10680" s="59" t="s">
        <v>2874</v>
      </c>
      <c r="B10680" s="60" t="s">
        <v>869</v>
      </c>
    </row>
    <row r="10681" ht="12.75" customHeight="1">
      <c r="A10681" s="59" t="s">
        <v>2874</v>
      </c>
      <c r="B10681" s="60" t="s">
        <v>870</v>
      </c>
    </row>
    <row r="10682" ht="12.75" customHeight="1">
      <c r="A10682" s="59" t="s">
        <v>2874</v>
      </c>
      <c r="B10682" s="60" t="s">
        <v>871</v>
      </c>
    </row>
    <row r="10683" ht="12.75" customHeight="1">
      <c r="A10683" s="59" t="s">
        <v>2874</v>
      </c>
      <c r="B10683" s="60" t="s">
        <v>872</v>
      </c>
    </row>
    <row r="10684" ht="12.75" customHeight="1">
      <c r="A10684" s="59" t="s">
        <v>2874</v>
      </c>
      <c r="B10684" s="60" t="s">
        <v>873</v>
      </c>
    </row>
    <row r="10685" ht="12.75" customHeight="1">
      <c r="A10685" s="59" t="s">
        <v>2874</v>
      </c>
      <c r="B10685" s="60" t="s">
        <v>874</v>
      </c>
    </row>
    <row r="10686" ht="12.75" customHeight="1">
      <c r="A10686" s="59" t="s">
        <v>2874</v>
      </c>
      <c r="B10686" s="60" t="s">
        <v>875</v>
      </c>
    </row>
    <row r="10687" ht="12.75" customHeight="1">
      <c r="A10687" s="59" t="s">
        <v>2874</v>
      </c>
      <c r="B10687" s="60" t="s">
        <v>876</v>
      </c>
    </row>
    <row r="10688" ht="12.75" customHeight="1">
      <c r="A10688" s="59" t="s">
        <v>2874</v>
      </c>
      <c r="B10688" s="60" t="s">
        <v>877</v>
      </c>
    </row>
    <row r="10689" ht="12.75" customHeight="1">
      <c r="A10689" s="59" t="s">
        <v>2874</v>
      </c>
      <c r="B10689" s="60" t="s">
        <v>878</v>
      </c>
    </row>
    <row r="10690" ht="12.75" customHeight="1">
      <c r="A10690" s="59" t="s">
        <v>2874</v>
      </c>
      <c r="B10690" s="60" t="s">
        <v>879</v>
      </c>
    </row>
    <row r="10691" ht="12.75" customHeight="1">
      <c r="A10691" s="59" t="s">
        <v>2874</v>
      </c>
      <c r="B10691" s="60" t="s">
        <v>880</v>
      </c>
    </row>
    <row r="10692" ht="12.75" customHeight="1">
      <c r="A10692" s="59" t="s">
        <v>2874</v>
      </c>
      <c r="B10692" s="60" t="s">
        <v>881</v>
      </c>
    </row>
    <row r="10693" ht="12.75" customHeight="1">
      <c r="A10693" s="59" t="s">
        <v>2874</v>
      </c>
      <c r="B10693" s="60" t="s">
        <v>882</v>
      </c>
    </row>
    <row r="10694" ht="12.75" customHeight="1">
      <c r="A10694" s="59" t="s">
        <v>2874</v>
      </c>
      <c r="B10694" s="60" t="s">
        <v>883</v>
      </c>
    </row>
    <row r="10695" ht="12.75" customHeight="1">
      <c r="A10695" s="59" t="s">
        <v>2874</v>
      </c>
      <c r="B10695" s="60" t="s">
        <v>884</v>
      </c>
    </row>
    <row r="10696" ht="12.75" customHeight="1">
      <c r="A10696" s="59" t="s">
        <v>2874</v>
      </c>
      <c r="B10696" s="60" t="s">
        <v>885</v>
      </c>
    </row>
    <row r="10697" ht="12.75" customHeight="1">
      <c r="A10697" s="59" t="s">
        <v>2874</v>
      </c>
      <c r="B10697" s="60" t="s">
        <v>886</v>
      </c>
    </row>
    <row r="10698" ht="12.75" customHeight="1">
      <c r="A10698" s="59" t="s">
        <v>2874</v>
      </c>
      <c r="B10698" s="60" t="s">
        <v>887</v>
      </c>
    </row>
    <row r="10699" ht="12.75" customHeight="1">
      <c r="A10699" s="59" t="s">
        <v>2874</v>
      </c>
      <c r="B10699" s="60" t="s">
        <v>888</v>
      </c>
    </row>
    <row r="10700" ht="12.75" customHeight="1">
      <c r="A10700" s="59" t="s">
        <v>2874</v>
      </c>
      <c r="B10700" s="60" t="s">
        <v>889</v>
      </c>
    </row>
    <row r="10701" ht="12.75" customHeight="1">
      <c r="A10701" s="59" t="s">
        <v>2874</v>
      </c>
      <c r="B10701" s="60" t="s">
        <v>890</v>
      </c>
    </row>
    <row r="10702" ht="12.75" customHeight="1">
      <c r="A10702" s="59" t="s">
        <v>2874</v>
      </c>
      <c r="B10702" s="60" t="s">
        <v>891</v>
      </c>
    </row>
    <row r="10703" ht="12.75" customHeight="1">
      <c r="A10703" s="59" t="s">
        <v>2874</v>
      </c>
      <c r="B10703" s="60" t="s">
        <v>892</v>
      </c>
    </row>
    <row r="10704" ht="12.75" customHeight="1">
      <c r="A10704" s="59" t="s">
        <v>2874</v>
      </c>
      <c r="B10704" s="60" t="s">
        <v>893</v>
      </c>
    </row>
    <row r="10705" ht="12.75" customHeight="1">
      <c r="A10705" s="59" t="s">
        <v>2874</v>
      </c>
      <c r="B10705" s="60" t="s">
        <v>894</v>
      </c>
    </row>
    <row r="10706" ht="12.75" customHeight="1">
      <c r="A10706" s="59" t="s">
        <v>2874</v>
      </c>
      <c r="B10706" s="60" t="s">
        <v>895</v>
      </c>
    </row>
    <row r="10707" ht="12.75" customHeight="1">
      <c r="A10707" s="59" t="s">
        <v>2874</v>
      </c>
      <c r="B10707" s="60" t="s">
        <v>896</v>
      </c>
    </row>
    <row r="10708" ht="12.75" customHeight="1">
      <c r="A10708" s="59" t="s">
        <v>2874</v>
      </c>
      <c r="B10708" s="60" t="s">
        <v>897</v>
      </c>
    </row>
    <row r="10709" ht="12.75" customHeight="1">
      <c r="A10709" s="59" t="s">
        <v>2874</v>
      </c>
      <c r="B10709" s="60" t="s">
        <v>898</v>
      </c>
    </row>
    <row r="10710" ht="12.75" customHeight="1">
      <c r="A10710" s="59" t="s">
        <v>2874</v>
      </c>
      <c r="B10710" s="60" t="s">
        <v>899</v>
      </c>
    </row>
    <row r="10711" ht="12.75" customHeight="1">
      <c r="A10711" s="59" t="s">
        <v>2874</v>
      </c>
      <c r="B10711" s="60" t="s">
        <v>900</v>
      </c>
    </row>
    <row r="10712" ht="12.75" customHeight="1">
      <c r="A10712" s="59" t="s">
        <v>2874</v>
      </c>
      <c r="B10712" s="60" t="s">
        <v>901</v>
      </c>
    </row>
    <row r="10713" ht="12.75" customHeight="1">
      <c r="A10713" s="59" t="s">
        <v>2874</v>
      </c>
      <c r="B10713" s="60" t="s">
        <v>902</v>
      </c>
    </row>
    <row r="10714" ht="12.75" customHeight="1">
      <c r="A10714" s="59" t="s">
        <v>2874</v>
      </c>
      <c r="B10714" s="60" t="s">
        <v>903</v>
      </c>
    </row>
    <row r="10715" ht="12.75" customHeight="1">
      <c r="A10715" s="59" t="s">
        <v>2874</v>
      </c>
      <c r="B10715" s="60" t="s">
        <v>904</v>
      </c>
    </row>
    <row r="10716" ht="12.75" customHeight="1">
      <c r="A10716" s="59" t="s">
        <v>2874</v>
      </c>
      <c r="B10716" s="60" t="s">
        <v>905</v>
      </c>
    </row>
    <row r="10717" ht="12.75" customHeight="1">
      <c r="A10717" s="59" t="s">
        <v>2874</v>
      </c>
      <c r="B10717" s="60" t="s">
        <v>906</v>
      </c>
    </row>
    <row r="10718" ht="12.75" customHeight="1">
      <c r="A10718" s="59" t="s">
        <v>2874</v>
      </c>
      <c r="B10718" s="60" t="s">
        <v>907</v>
      </c>
    </row>
    <row r="10719" ht="12.75" customHeight="1">
      <c r="A10719" s="59" t="s">
        <v>2874</v>
      </c>
      <c r="B10719" s="60" t="s">
        <v>908</v>
      </c>
    </row>
    <row r="10720" ht="12.75" customHeight="1">
      <c r="A10720" s="59" t="s">
        <v>2874</v>
      </c>
      <c r="B10720" s="60" t="s">
        <v>909</v>
      </c>
    </row>
    <row r="10721" ht="12.75" customHeight="1">
      <c r="A10721" s="59" t="s">
        <v>2874</v>
      </c>
      <c r="B10721" s="60" t="s">
        <v>910</v>
      </c>
    </row>
    <row r="10722" ht="12.75" customHeight="1">
      <c r="A10722" s="59" t="s">
        <v>2874</v>
      </c>
      <c r="B10722" s="60" t="s">
        <v>911</v>
      </c>
    </row>
    <row r="10723" ht="12.75" customHeight="1">
      <c r="A10723" s="59" t="s">
        <v>2874</v>
      </c>
      <c r="B10723" s="60" t="s">
        <v>912</v>
      </c>
    </row>
    <row r="10724" ht="12.75" customHeight="1">
      <c r="A10724" s="59" t="s">
        <v>2874</v>
      </c>
      <c r="B10724" s="60" t="s">
        <v>913</v>
      </c>
    </row>
    <row r="10725" ht="12.75" customHeight="1">
      <c r="A10725" s="59" t="s">
        <v>2874</v>
      </c>
      <c r="B10725" s="60" t="s">
        <v>914</v>
      </c>
    </row>
    <row r="10726" ht="12.75" customHeight="1">
      <c r="A10726" s="59" t="s">
        <v>2874</v>
      </c>
      <c r="B10726" s="60" t="s">
        <v>915</v>
      </c>
    </row>
    <row r="10727" ht="12.75" customHeight="1">
      <c r="A10727" s="59" t="s">
        <v>2874</v>
      </c>
      <c r="B10727" s="60" t="s">
        <v>916</v>
      </c>
    </row>
    <row r="10728" ht="12.75" customHeight="1">
      <c r="A10728" s="59" t="s">
        <v>2874</v>
      </c>
      <c r="B10728" s="60" t="s">
        <v>917</v>
      </c>
    </row>
    <row r="10729" ht="12.75" customHeight="1">
      <c r="A10729" s="59" t="s">
        <v>2874</v>
      </c>
      <c r="B10729" s="60" t="s">
        <v>918</v>
      </c>
    </row>
    <row r="10730" ht="12.75" customHeight="1">
      <c r="A10730" s="59" t="s">
        <v>2874</v>
      </c>
      <c r="B10730" s="60" t="s">
        <v>919</v>
      </c>
    </row>
    <row r="10731" ht="12.75" customHeight="1">
      <c r="A10731" s="59" t="s">
        <v>2874</v>
      </c>
      <c r="B10731" s="60" t="s">
        <v>920</v>
      </c>
    </row>
    <row r="10732" ht="12.75" customHeight="1">
      <c r="A10732" s="59" t="s">
        <v>2874</v>
      </c>
      <c r="B10732" s="60" t="s">
        <v>921</v>
      </c>
    </row>
    <row r="10733" ht="12.75" customHeight="1">
      <c r="A10733" s="59" t="s">
        <v>2874</v>
      </c>
      <c r="B10733" s="60" t="s">
        <v>922</v>
      </c>
    </row>
    <row r="10734" ht="12.75" customHeight="1">
      <c r="A10734" s="59" t="s">
        <v>2874</v>
      </c>
      <c r="B10734" s="60" t="s">
        <v>923</v>
      </c>
    </row>
    <row r="10735" ht="12.75" customHeight="1">
      <c r="A10735" s="59" t="s">
        <v>2874</v>
      </c>
      <c r="B10735" s="60" t="s">
        <v>924</v>
      </c>
    </row>
    <row r="10736" ht="12.75" customHeight="1">
      <c r="A10736" s="59" t="s">
        <v>2874</v>
      </c>
      <c r="B10736" s="60" t="s">
        <v>925</v>
      </c>
    </row>
    <row r="10737" ht="12.75" customHeight="1">
      <c r="A10737" s="59" t="s">
        <v>2874</v>
      </c>
      <c r="B10737" s="60" t="s">
        <v>926</v>
      </c>
    </row>
    <row r="10738" ht="12.75" customHeight="1">
      <c r="A10738" s="59" t="s">
        <v>2874</v>
      </c>
      <c r="B10738" s="60" t="s">
        <v>927</v>
      </c>
    </row>
    <row r="10739" ht="12.75" customHeight="1">
      <c r="A10739" s="59" t="s">
        <v>2874</v>
      </c>
      <c r="B10739" s="60" t="s">
        <v>928</v>
      </c>
    </row>
    <row r="10740" ht="12.75" customHeight="1">
      <c r="A10740" s="59" t="s">
        <v>2874</v>
      </c>
      <c r="B10740" s="60" t="s">
        <v>929</v>
      </c>
    </row>
    <row r="10741" ht="12.75" customHeight="1">
      <c r="A10741" s="59" t="s">
        <v>2874</v>
      </c>
      <c r="B10741" s="60" t="s">
        <v>930</v>
      </c>
    </row>
    <row r="10742" ht="12.75" customHeight="1">
      <c r="A10742" s="59" t="s">
        <v>2874</v>
      </c>
      <c r="B10742" s="60" t="s">
        <v>931</v>
      </c>
    </row>
    <row r="10743" ht="12.75" customHeight="1">
      <c r="A10743" s="59" t="s">
        <v>2874</v>
      </c>
      <c r="B10743" s="60" t="s">
        <v>932</v>
      </c>
    </row>
    <row r="10744" ht="12.75" customHeight="1">
      <c r="A10744" s="59" t="s">
        <v>2874</v>
      </c>
      <c r="B10744" s="60" t="s">
        <v>933</v>
      </c>
    </row>
    <row r="10745" ht="12.75" customHeight="1">
      <c r="A10745" s="59" t="s">
        <v>2874</v>
      </c>
      <c r="B10745" s="60" t="s">
        <v>934</v>
      </c>
    </row>
    <row r="10746" ht="12.75" customHeight="1">
      <c r="A10746" s="59" t="s">
        <v>2874</v>
      </c>
      <c r="B10746" s="60" t="s">
        <v>935</v>
      </c>
    </row>
    <row r="10747" ht="12.75" customHeight="1">
      <c r="A10747" s="59" t="s">
        <v>2874</v>
      </c>
      <c r="B10747" s="60" t="s">
        <v>936</v>
      </c>
    </row>
    <row r="10748" ht="12.75" customHeight="1">
      <c r="A10748" s="59" t="s">
        <v>2874</v>
      </c>
      <c r="B10748" s="60" t="s">
        <v>937</v>
      </c>
    </row>
    <row r="10749" ht="12.75" customHeight="1">
      <c r="A10749" s="59" t="s">
        <v>2874</v>
      </c>
      <c r="B10749" s="60" t="s">
        <v>938</v>
      </c>
    </row>
    <row r="10750" ht="12.75" customHeight="1">
      <c r="A10750" s="59" t="s">
        <v>2874</v>
      </c>
      <c r="B10750" s="60" t="s">
        <v>939</v>
      </c>
    </row>
    <row r="10751" ht="12.75" customHeight="1">
      <c r="A10751" s="59" t="s">
        <v>2874</v>
      </c>
      <c r="B10751" s="60" t="s">
        <v>940</v>
      </c>
    </row>
    <row r="10752" ht="12.75" customHeight="1">
      <c r="A10752" s="59" t="s">
        <v>2874</v>
      </c>
      <c r="B10752" s="60" t="s">
        <v>941</v>
      </c>
    </row>
    <row r="10753" ht="12.75" customHeight="1">
      <c r="A10753" s="59" t="s">
        <v>2874</v>
      </c>
      <c r="B10753" s="60" t="s">
        <v>942</v>
      </c>
    </row>
    <row r="10754" ht="12.75" customHeight="1">
      <c r="A10754" s="59" t="s">
        <v>2874</v>
      </c>
      <c r="B10754" s="60" t="s">
        <v>943</v>
      </c>
    </row>
    <row r="10755" ht="12.75" customHeight="1">
      <c r="A10755" s="59" t="s">
        <v>2874</v>
      </c>
      <c r="B10755" s="60" t="s">
        <v>944</v>
      </c>
    </row>
    <row r="10756" ht="12.75" customHeight="1">
      <c r="A10756" s="59" t="s">
        <v>2874</v>
      </c>
      <c r="B10756" s="60" t="s">
        <v>945</v>
      </c>
    </row>
    <row r="10757" ht="12.75" customHeight="1">
      <c r="A10757" s="59" t="s">
        <v>2874</v>
      </c>
      <c r="B10757" s="60" t="s">
        <v>946</v>
      </c>
    </row>
    <row r="10758" ht="12.75" customHeight="1">
      <c r="A10758" s="59" t="s">
        <v>2874</v>
      </c>
      <c r="B10758" s="60" t="s">
        <v>947</v>
      </c>
    </row>
    <row r="10759" ht="12.75" customHeight="1">
      <c r="A10759" s="59" t="s">
        <v>2874</v>
      </c>
      <c r="B10759" s="60" t="s">
        <v>948</v>
      </c>
    </row>
    <row r="10760" ht="12.75" customHeight="1">
      <c r="A10760" s="59" t="s">
        <v>2874</v>
      </c>
      <c r="B10760" s="60" t="s">
        <v>949</v>
      </c>
    </row>
    <row r="10761" ht="12.75" customHeight="1">
      <c r="A10761" s="59" t="s">
        <v>2874</v>
      </c>
      <c r="B10761" s="60" t="s">
        <v>950</v>
      </c>
    </row>
    <row r="10762" ht="12.75" customHeight="1">
      <c r="A10762" s="59" t="s">
        <v>2874</v>
      </c>
      <c r="B10762" s="60" t="s">
        <v>951</v>
      </c>
    </row>
    <row r="10763" ht="12.75" customHeight="1">
      <c r="A10763" s="59" t="s">
        <v>2874</v>
      </c>
      <c r="B10763" s="60" t="s">
        <v>952</v>
      </c>
    </row>
    <row r="10764" ht="12.75" customHeight="1">
      <c r="A10764" s="59" t="s">
        <v>2874</v>
      </c>
      <c r="B10764" s="60" t="s">
        <v>953</v>
      </c>
    </row>
    <row r="10765" ht="12.75" customHeight="1">
      <c r="A10765" s="59" t="s">
        <v>2874</v>
      </c>
      <c r="B10765" s="60" t="s">
        <v>954</v>
      </c>
    </row>
    <row r="10766" ht="12.75" customHeight="1">
      <c r="A10766" s="59" t="s">
        <v>2874</v>
      </c>
      <c r="B10766" s="60" t="s">
        <v>955</v>
      </c>
    </row>
    <row r="10767" ht="12.75" customHeight="1">
      <c r="A10767" s="59" t="s">
        <v>2874</v>
      </c>
      <c r="B10767" s="60" t="s">
        <v>956</v>
      </c>
    </row>
    <row r="10768" ht="12.75" customHeight="1">
      <c r="A10768" s="59" t="s">
        <v>2874</v>
      </c>
      <c r="B10768" s="60" t="s">
        <v>957</v>
      </c>
    </row>
    <row r="10769" ht="12.75" customHeight="1">
      <c r="A10769" s="59" t="s">
        <v>2874</v>
      </c>
      <c r="B10769" s="60" t="s">
        <v>958</v>
      </c>
    </row>
    <row r="10770" ht="12.75" customHeight="1">
      <c r="A10770" s="59" t="s">
        <v>2874</v>
      </c>
      <c r="B10770" s="60" t="s">
        <v>959</v>
      </c>
    </row>
    <row r="10771" ht="12.75" customHeight="1">
      <c r="A10771" s="59" t="s">
        <v>2874</v>
      </c>
      <c r="B10771" s="60" t="s">
        <v>960</v>
      </c>
    </row>
    <row r="10772" ht="12.75" customHeight="1">
      <c r="A10772" s="59" t="s">
        <v>2874</v>
      </c>
      <c r="B10772" s="60" t="s">
        <v>961</v>
      </c>
    </row>
    <row r="10773" ht="12.75" customHeight="1">
      <c r="A10773" s="59" t="s">
        <v>2874</v>
      </c>
      <c r="B10773" s="60" t="s">
        <v>962</v>
      </c>
    </row>
    <row r="10774" ht="12.75" customHeight="1">
      <c r="A10774" s="59" t="s">
        <v>2874</v>
      </c>
      <c r="B10774" s="60" t="s">
        <v>963</v>
      </c>
    </row>
    <row r="10775" ht="12.75" customHeight="1">
      <c r="A10775" s="59" t="s">
        <v>2874</v>
      </c>
      <c r="B10775" s="60" t="s">
        <v>964</v>
      </c>
    </row>
    <row r="10776" ht="12.75" customHeight="1">
      <c r="A10776" s="59" t="s">
        <v>2874</v>
      </c>
      <c r="B10776" s="60" t="s">
        <v>965</v>
      </c>
    </row>
    <row r="10777" ht="12.75" customHeight="1">
      <c r="A10777" s="59" t="s">
        <v>2874</v>
      </c>
      <c r="B10777" s="60" t="s">
        <v>966</v>
      </c>
    </row>
    <row r="10778" ht="12.75" customHeight="1">
      <c r="A10778" s="59" t="s">
        <v>2874</v>
      </c>
      <c r="B10778" s="60" t="s">
        <v>967</v>
      </c>
    </row>
    <row r="10779" ht="12.75" customHeight="1">
      <c r="A10779" s="59" t="s">
        <v>2874</v>
      </c>
      <c r="B10779" s="60" t="s">
        <v>968</v>
      </c>
    </row>
    <row r="10780" ht="12.75" customHeight="1">
      <c r="A10780" s="59" t="s">
        <v>2874</v>
      </c>
      <c r="B10780" s="60" t="s">
        <v>969</v>
      </c>
    </row>
    <row r="10781" ht="12.75" customHeight="1">
      <c r="A10781" s="59" t="s">
        <v>2874</v>
      </c>
      <c r="B10781" s="60" t="s">
        <v>970</v>
      </c>
    </row>
    <row r="10782" ht="12.75" customHeight="1">
      <c r="A10782" s="59" t="s">
        <v>2874</v>
      </c>
      <c r="B10782" s="60" t="s">
        <v>971</v>
      </c>
    </row>
    <row r="10783" ht="12.75" customHeight="1">
      <c r="A10783" s="59" t="s">
        <v>2874</v>
      </c>
      <c r="B10783" s="60" t="s">
        <v>972</v>
      </c>
    </row>
    <row r="10784" ht="12.75" customHeight="1">
      <c r="A10784" s="59" t="s">
        <v>2874</v>
      </c>
      <c r="B10784" s="60" t="s">
        <v>973</v>
      </c>
    </row>
    <row r="10785" ht="12.75" customHeight="1">
      <c r="A10785" s="59" t="s">
        <v>2874</v>
      </c>
      <c r="B10785" s="60" t="s">
        <v>974</v>
      </c>
    </row>
    <row r="10786" ht="12.75" customHeight="1">
      <c r="A10786" s="59" t="s">
        <v>2874</v>
      </c>
      <c r="B10786" s="60" t="s">
        <v>975</v>
      </c>
    </row>
    <row r="10787" ht="12.75" customHeight="1">
      <c r="A10787" s="59" t="s">
        <v>2874</v>
      </c>
      <c r="B10787" s="60" t="s">
        <v>976</v>
      </c>
    </row>
    <row r="10788" ht="12.75" customHeight="1">
      <c r="A10788" s="59" t="s">
        <v>2874</v>
      </c>
      <c r="B10788" s="60" t="s">
        <v>977</v>
      </c>
    </row>
    <row r="10789" ht="12.75" customHeight="1">
      <c r="A10789" s="59" t="s">
        <v>2874</v>
      </c>
      <c r="B10789" s="60" t="s">
        <v>978</v>
      </c>
    </row>
    <row r="10790" ht="12.75" customHeight="1">
      <c r="A10790" s="59" t="s">
        <v>2874</v>
      </c>
      <c r="B10790" s="60" t="s">
        <v>979</v>
      </c>
    </row>
    <row r="10791" ht="12.75" customHeight="1">
      <c r="A10791" s="59" t="s">
        <v>2874</v>
      </c>
      <c r="B10791" s="60" t="s">
        <v>980</v>
      </c>
    </row>
    <row r="10792" ht="12.75" customHeight="1">
      <c r="A10792" s="59" t="s">
        <v>2874</v>
      </c>
      <c r="B10792" s="60" t="s">
        <v>981</v>
      </c>
    </row>
    <row r="10793" ht="12.75" customHeight="1">
      <c r="A10793" s="59" t="s">
        <v>2874</v>
      </c>
      <c r="B10793" s="60" t="s">
        <v>982</v>
      </c>
    </row>
    <row r="10794" ht="12.75" customHeight="1">
      <c r="A10794" s="59" t="s">
        <v>2874</v>
      </c>
      <c r="B10794" s="60" t="s">
        <v>983</v>
      </c>
    </row>
    <row r="10795" ht="12.75" customHeight="1">
      <c r="A10795" s="59" t="s">
        <v>2874</v>
      </c>
      <c r="B10795" s="60" t="s">
        <v>984</v>
      </c>
    </row>
    <row r="10796" ht="12.75" customHeight="1">
      <c r="A10796" s="59" t="s">
        <v>2874</v>
      </c>
      <c r="B10796" s="60" t="s">
        <v>985</v>
      </c>
    </row>
    <row r="10797" ht="12.75" customHeight="1">
      <c r="A10797" s="59" t="s">
        <v>2874</v>
      </c>
      <c r="B10797" s="60" t="s">
        <v>986</v>
      </c>
    </row>
    <row r="10798" ht="12.75" customHeight="1">
      <c r="A10798" s="59" t="s">
        <v>2874</v>
      </c>
      <c r="B10798" s="60" t="s">
        <v>987</v>
      </c>
    </row>
    <row r="10799" ht="12.75" customHeight="1">
      <c r="A10799" s="59" t="s">
        <v>2874</v>
      </c>
      <c r="B10799" s="60" t="s">
        <v>988</v>
      </c>
    </row>
    <row r="10800" ht="12.75" customHeight="1">
      <c r="A10800" s="59" t="s">
        <v>2874</v>
      </c>
      <c r="B10800" s="60" t="s">
        <v>989</v>
      </c>
    </row>
    <row r="10801" ht="12.75" customHeight="1">
      <c r="A10801" s="59" t="s">
        <v>2874</v>
      </c>
      <c r="B10801" s="60" t="s">
        <v>990</v>
      </c>
    </row>
    <row r="10802" ht="12.75" customHeight="1">
      <c r="A10802" s="59" t="s">
        <v>2874</v>
      </c>
      <c r="B10802" s="60" t="s">
        <v>991</v>
      </c>
    </row>
    <row r="10803" ht="12.75" customHeight="1">
      <c r="A10803" s="59" t="s">
        <v>2874</v>
      </c>
      <c r="B10803" s="60" t="s">
        <v>992</v>
      </c>
    </row>
    <row r="10804" ht="12.75" customHeight="1">
      <c r="A10804" s="59" t="s">
        <v>2874</v>
      </c>
      <c r="B10804" s="60" t="s">
        <v>993</v>
      </c>
    </row>
    <row r="10805" ht="12.75" customHeight="1">
      <c r="A10805" s="59" t="s">
        <v>2874</v>
      </c>
      <c r="B10805" s="60" t="s">
        <v>994</v>
      </c>
    </row>
    <row r="10806" ht="12.75" customHeight="1">
      <c r="A10806" s="59" t="s">
        <v>2874</v>
      </c>
      <c r="B10806" s="60" t="s">
        <v>995</v>
      </c>
    </row>
    <row r="10807" ht="12.75" customHeight="1">
      <c r="A10807" s="59" t="s">
        <v>2874</v>
      </c>
      <c r="B10807" s="60" t="s">
        <v>996</v>
      </c>
    </row>
    <row r="10808" ht="12.75" customHeight="1">
      <c r="A10808" s="59" t="s">
        <v>2874</v>
      </c>
      <c r="B10808" s="60" t="s">
        <v>997</v>
      </c>
    </row>
    <row r="10809" ht="12.75" customHeight="1">
      <c r="A10809" s="59" t="s">
        <v>2874</v>
      </c>
      <c r="B10809" s="60" t="s">
        <v>998</v>
      </c>
    </row>
    <row r="10810" ht="12.75" customHeight="1">
      <c r="A10810" s="59" t="s">
        <v>2874</v>
      </c>
      <c r="B10810" s="60" t="s">
        <v>999</v>
      </c>
    </row>
    <row r="10811" ht="12.75" customHeight="1">
      <c r="A10811" s="59" t="s">
        <v>2874</v>
      </c>
      <c r="B10811" s="60" t="s">
        <v>1000</v>
      </c>
    </row>
    <row r="10812" ht="12.75" customHeight="1">
      <c r="A10812" s="59" t="s">
        <v>2874</v>
      </c>
      <c r="B10812" s="60" t="s">
        <v>1001</v>
      </c>
    </row>
    <row r="10813" ht="12.75" customHeight="1">
      <c r="A10813" s="59" t="s">
        <v>2874</v>
      </c>
      <c r="B10813" s="60" t="s">
        <v>1002</v>
      </c>
    </row>
    <row r="10814" ht="12.75" customHeight="1">
      <c r="A10814" s="59" t="s">
        <v>2874</v>
      </c>
      <c r="B10814" s="60" t="s">
        <v>1003</v>
      </c>
    </row>
    <row r="10815" ht="12.75" customHeight="1">
      <c r="A10815" s="59" t="s">
        <v>2874</v>
      </c>
      <c r="B10815" s="60" t="s">
        <v>1004</v>
      </c>
    </row>
    <row r="10816" ht="12.75" customHeight="1">
      <c r="A10816" s="59" t="s">
        <v>2874</v>
      </c>
      <c r="B10816" s="60" t="s">
        <v>1005</v>
      </c>
    </row>
    <row r="10817" ht="12.75" customHeight="1">
      <c r="A10817" s="59" t="s">
        <v>2874</v>
      </c>
      <c r="B10817" s="60" t="s">
        <v>1006</v>
      </c>
    </row>
    <row r="10818" ht="12.75" customHeight="1">
      <c r="A10818" s="59" t="s">
        <v>2874</v>
      </c>
      <c r="B10818" s="60" t="s">
        <v>1007</v>
      </c>
    </row>
    <row r="10819" ht="12.75" customHeight="1">
      <c r="A10819" s="59" t="s">
        <v>2874</v>
      </c>
      <c r="B10819" s="60" t="s">
        <v>1008</v>
      </c>
    </row>
    <row r="10820" ht="12.75" customHeight="1">
      <c r="A10820" s="59" t="s">
        <v>2874</v>
      </c>
      <c r="B10820" s="60" t="s">
        <v>1009</v>
      </c>
    </row>
    <row r="10821" ht="12.75" customHeight="1">
      <c r="A10821" s="59" t="s">
        <v>2874</v>
      </c>
      <c r="B10821" s="60" t="s">
        <v>1010</v>
      </c>
    </row>
    <row r="10822" ht="12.75" customHeight="1">
      <c r="A10822" s="59" t="s">
        <v>2874</v>
      </c>
      <c r="B10822" s="60" t="s">
        <v>1011</v>
      </c>
    </row>
    <row r="10823" ht="12.75" customHeight="1">
      <c r="A10823" s="59" t="s">
        <v>2874</v>
      </c>
      <c r="B10823" s="60" t="s">
        <v>1012</v>
      </c>
    </row>
    <row r="10824" ht="12.75" customHeight="1">
      <c r="A10824" s="59" t="s">
        <v>2874</v>
      </c>
      <c r="B10824" s="60" t="s">
        <v>1013</v>
      </c>
    </row>
    <row r="10825" ht="12.75" customHeight="1">
      <c r="A10825" s="59" t="s">
        <v>2874</v>
      </c>
      <c r="B10825" s="60" t="s">
        <v>1014</v>
      </c>
    </row>
    <row r="10826" ht="12.75" customHeight="1">
      <c r="A10826" s="59" t="s">
        <v>2874</v>
      </c>
      <c r="B10826" s="60" t="s">
        <v>1015</v>
      </c>
    </row>
    <row r="10827" ht="12.75" customHeight="1">
      <c r="A10827" s="59" t="s">
        <v>2874</v>
      </c>
      <c r="B10827" s="60" t="s">
        <v>1016</v>
      </c>
    </row>
    <row r="10828" ht="12.75" customHeight="1">
      <c r="A10828" s="59" t="s">
        <v>2874</v>
      </c>
      <c r="B10828" s="60" t="s">
        <v>1017</v>
      </c>
    </row>
    <row r="10829" ht="12.75" customHeight="1">
      <c r="A10829" s="59" t="s">
        <v>2874</v>
      </c>
      <c r="B10829" s="60" t="s">
        <v>1018</v>
      </c>
    </row>
    <row r="10830" ht="12.75" customHeight="1">
      <c r="A10830" s="59" t="s">
        <v>2874</v>
      </c>
      <c r="B10830" s="60" t="s">
        <v>1019</v>
      </c>
    </row>
    <row r="10831" ht="12.75" customHeight="1">
      <c r="A10831" s="59" t="s">
        <v>2874</v>
      </c>
      <c r="B10831" s="60" t="s">
        <v>1020</v>
      </c>
    </row>
    <row r="10832" ht="12.75" customHeight="1">
      <c r="A10832" s="59" t="s">
        <v>2874</v>
      </c>
      <c r="B10832" s="60" t="s">
        <v>1021</v>
      </c>
    </row>
    <row r="10833" ht="12.75" customHeight="1">
      <c r="A10833" s="59" t="s">
        <v>2874</v>
      </c>
      <c r="B10833" s="60" t="s">
        <v>1022</v>
      </c>
    </row>
    <row r="10834" ht="12.75" customHeight="1">
      <c r="A10834" s="59" t="s">
        <v>2874</v>
      </c>
      <c r="B10834" s="60" t="s">
        <v>1023</v>
      </c>
    </row>
    <row r="10835" ht="12.75" customHeight="1">
      <c r="A10835" s="59" t="s">
        <v>2874</v>
      </c>
      <c r="B10835" s="60" t="s">
        <v>1024</v>
      </c>
    </row>
    <row r="10836" ht="12.75" customHeight="1">
      <c r="A10836" s="59" t="s">
        <v>2874</v>
      </c>
      <c r="B10836" s="60" t="s">
        <v>1025</v>
      </c>
    </row>
    <row r="10837" ht="12.75" customHeight="1">
      <c r="A10837" s="59" t="s">
        <v>2874</v>
      </c>
      <c r="B10837" s="60" t="s">
        <v>1026</v>
      </c>
    </row>
    <row r="10838" ht="12.75" customHeight="1">
      <c r="A10838" s="59" t="s">
        <v>2874</v>
      </c>
      <c r="B10838" s="60" t="s">
        <v>1027</v>
      </c>
    </row>
    <row r="10839" ht="12.75" customHeight="1">
      <c r="A10839" s="59" t="s">
        <v>2874</v>
      </c>
      <c r="B10839" s="60" t="s">
        <v>1028</v>
      </c>
    </row>
    <row r="10840" ht="12.75" customHeight="1">
      <c r="A10840" s="59" t="s">
        <v>2874</v>
      </c>
      <c r="B10840" s="60" t="s">
        <v>1029</v>
      </c>
    </row>
    <row r="10841" ht="12.75" customHeight="1">
      <c r="A10841" s="59" t="s">
        <v>2874</v>
      </c>
      <c r="B10841" s="60" t="s">
        <v>1030</v>
      </c>
    </row>
    <row r="10842" ht="12.75" customHeight="1">
      <c r="A10842" s="59" t="s">
        <v>2874</v>
      </c>
      <c r="B10842" s="60" t="s">
        <v>1031</v>
      </c>
    </row>
    <row r="10843" ht="12.75" customHeight="1">
      <c r="A10843" s="59" t="s">
        <v>2874</v>
      </c>
      <c r="B10843" s="60" t="s">
        <v>1032</v>
      </c>
    </row>
    <row r="10844" ht="12.75" customHeight="1">
      <c r="A10844" s="59" t="s">
        <v>2874</v>
      </c>
      <c r="B10844" s="60" t="s">
        <v>1033</v>
      </c>
    </row>
    <row r="10845" ht="12.75" customHeight="1">
      <c r="A10845" s="59" t="s">
        <v>2874</v>
      </c>
      <c r="B10845" s="60" t="s">
        <v>1034</v>
      </c>
    </row>
    <row r="10846" ht="12.75" customHeight="1">
      <c r="A10846" s="59" t="s">
        <v>2874</v>
      </c>
      <c r="B10846" s="60" t="s">
        <v>1035</v>
      </c>
    </row>
    <row r="10847" ht="12.75" customHeight="1">
      <c r="A10847" s="59" t="s">
        <v>2874</v>
      </c>
      <c r="B10847" s="60" t="s">
        <v>1036</v>
      </c>
    </row>
    <row r="10848" ht="12.75" customHeight="1">
      <c r="A10848" s="59" t="s">
        <v>2874</v>
      </c>
      <c r="B10848" s="60" t="s">
        <v>1037</v>
      </c>
    </row>
    <row r="10849" ht="12.75" customHeight="1">
      <c r="A10849" s="59" t="s">
        <v>2874</v>
      </c>
      <c r="B10849" s="60" t="s">
        <v>1038</v>
      </c>
    </row>
    <row r="10850" ht="12.75" customHeight="1">
      <c r="A10850" s="59" t="s">
        <v>2874</v>
      </c>
      <c r="B10850" s="60" t="s">
        <v>1039</v>
      </c>
    </row>
    <row r="10851" ht="12.75" customHeight="1">
      <c r="A10851" s="59" t="s">
        <v>2874</v>
      </c>
      <c r="B10851" s="60" t="s">
        <v>1040</v>
      </c>
    </row>
    <row r="10852" ht="12.75" customHeight="1">
      <c r="A10852" s="59" t="s">
        <v>2874</v>
      </c>
      <c r="B10852" s="60" t="s">
        <v>1041</v>
      </c>
    </row>
    <row r="10853" ht="12.75" customHeight="1">
      <c r="A10853" s="59" t="s">
        <v>2874</v>
      </c>
      <c r="B10853" s="60" t="s">
        <v>1042</v>
      </c>
    </row>
    <row r="10854" ht="12.75" customHeight="1">
      <c r="A10854" s="59" t="s">
        <v>2874</v>
      </c>
      <c r="B10854" s="60" t="s">
        <v>1043</v>
      </c>
    </row>
    <row r="10855" ht="12.75" customHeight="1">
      <c r="A10855" s="59" t="s">
        <v>2874</v>
      </c>
      <c r="B10855" s="60" t="s">
        <v>1044</v>
      </c>
    </row>
    <row r="10856" ht="12.75" customHeight="1">
      <c r="A10856" s="59" t="s">
        <v>2874</v>
      </c>
      <c r="B10856" s="60" t="s">
        <v>1045</v>
      </c>
    </row>
    <row r="10857" ht="12.75" customHeight="1">
      <c r="A10857" s="59" t="s">
        <v>2874</v>
      </c>
      <c r="B10857" s="60" t="s">
        <v>1046</v>
      </c>
    </row>
    <row r="10858" ht="12.75" customHeight="1">
      <c r="A10858" s="59" t="s">
        <v>2874</v>
      </c>
      <c r="B10858" s="60" t="s">
        <v>1047</v>
      </c>
    </row>
    <row r="10859" ht="12.75" customHeight="1">
      <c r="A10859" s="59" t="s">
        <v>2874</v>
      </c>
      <c r="B10859" s="60" t="s">
        <v>1048</v>
      </c>
    </row>
    <row r="10860" ht="12.75" customHeight="1">
      <c r="A10860" s="59" t="s">
        <v>2874</v>
      </c>
      <c r="B10860" s="60" t="s">
        <v>1049</v>
      </c>
    </row>
    <row r="10861" ht="12.75" customHeight="1">
      <c r="A10861" s="59" t="s">
        <v>2874</v>
      </c>
      <c r="B10861" s="60" t="s">
        <v>1050</v>
      </c>
    </row>
    <row r="10862" ht="12.75" customHeight="1">
      <c r="A10862" s="59" t="s">
        <v>2874</v>
      </c>
      <c r="B10862" s="60" t="s">
        <v>1051</v>
      </c>
    </row>
    <row r="10863" ht="12.75" customHeight="1">
      <c r="A10863" s="59" t="s">
        <v>2874</v>
      </c>
      <c r="B10863" s="60" t="s">
        <v>1052</v>
      </c>
    </row>
    <row r="10864" ht="12.75" customHeight="1">
      <c r="A10864" s="59" t="s">
        <v>2874</v>
      </c>
      <c r="B10864" s="60" t="s">
        <v>1053</v>
      </c>
    </row>
    <row r="10865" ht="12.75" customHeight="1">
      <c r="A10865" s="59" t="s">
        <v>2874</v>
      </c>
      <c r="B10865" s="60" t="s">
        <v>1054</v>
      </c>
    </row>
    <row r="10866" ht="12.75" customHeight="1">
      <c r="A10866" s="59" t="s">
        <v>2874</v>
      </c>
      <c r="B10866" s="60" t="s">
        <v>1055</v>
      </c>
    </row>
    <row r="10867" ht="12.75" customHeight="1">
      <c r="A10867" s="59" t="s">
        <v>2874</v>
      </c>
      <c r="B10867" s="60" t="s">
        <v>1056</v>
      </c>
    </row>
    <row r="10868" ht="12.75" customHeight="1">
      <c r="A10868" s="59" t="s">
        <v>2874</v>
      </c>
      <c r="B10868" s="60" t="s">
        <v>1057</v>
      </c>
    </row>
    <row r="10869" ht="12.75" customHeight="1">
      <c r="A10869" s="59" t="s">
        <v>2874</v>
      </c>
      <c r="B10869" s="60" t="s">
        <v>1058</v>
      </c>
    </row>
    <row r="10870" ht="12.75" customHeight="1">
      <c r="A10870" s="59" t="s">
        <v>2874</v>
      </c>
      <c r="B10870" s="60" t="s">
        <v>1059</v>
      </c>
    </row>
    <row r="10871" ht="12.75" customHeight="1">
      <c r="A10871" s="59" t="s">
        <v>2874</v>
      </c>
      <c r="B10871" s="60" t="s">
        <v>1060</v>
      </c>
    </row>
    <row r="10872" ht="12.75" customHeight="1">
      <c r="A10872" s="59" t="s">
        <v>2874</v>
      </c>
      <c r="B10872" s="60" t="s">
        <v>1061</v>
      </c>
    </row>
    <row r="10873" ht="12.75" customHeight="1">
      <c r="A10873" s="59" t="s">
        <v>2874</v>
      </c>
      <c r="B10873" s="60" t="s">
        <v>1062</v>
      </c>
    </row>
    <row r="10874" ht="12.75" customHeight="1">
      <c r="A10874" s="59" t="s">
        <v>2874</v>
      </c>
      <c r="B10874" s="60" t="s">
        <v>1063</v>
      </c>
    </row>
    <row r="10875" ht="12.75" customHeight="1">
      <c r="A10875" s="59" t="s">
        <v>2874</v>
      </c>
      <c r="B10875" s="60" t="s">
        <v>1064</v>
      </c>
    </row>
    <row r="10876" ht="12.75" customHeight="1">
      <c r="A10876" s="59" t="s">
        <v>2874</v>
      </c>
      <c r="B10876" s="60" t="s">
        <v>1065</v>
      </c>
    </row>
    <row r="10877" ht="12.75" customHeight="1">
      <c r="A10877" s="59" t="s">
        <v>2874</v>
      </c>
      <c r="B10877" s="60" t="s">
        <v>1066</v>
      </c>
    </row>
    <row r="10878" ht="12.75" customHeight="1">
      <c r="A10878" s="59" t="s">
        <v>2874</v>
      </c>
      <c r="B10878" s="60" t="s">
        <v>1067</v>
      </c>
    </row>
    <row r="10879" ht="12.75" customHeight="1">
      <c r="A10879" s="59" t="s">
        <v>2874</v>
      </c>
      <c r="B10879" s="60" t="s">
        <v>1068</v>
      </c>
    </row>
    <row r="10880" ht="12.75" customHeight="1">
      <c r="A10880" s="59" t="s">
        <v>2874</v>
      </c>
      <c r="B10880" s="60" t="s">
        <v>1069</v>
      </c>
    </row>
    <row r="10881" ht="12.75" customHeight="1">
      <c r="A10881" s="59" t="s">
        <v>2874</v>
      </c>
      <c r="B10881" s="60" t="s">
        <v>1070</v>
      </c>
    </row>
    <row r="10882" ht="12.75" customHeight="1">
      <c r="A10882" s="59" t="s">
        <v>2874</v>
      </c>
      <c r="B10882" s="60" t="s">
        <v>1071</v>
      </c>
    </row>
    <row r="10883" ht="12.75" customHeight="1">
      <c r="A10883" s="59" t="s">
        <v>2874</v>
      </c>
      <c r="B10883" s="60" t="s">
        <v>1072</v>
      </c>
    </row>
    <row r="10884" ht="12.75" customHeight="1">
      <c r="A10884" s="59" t="s">
        <v>2874</v>
      </c>
      <c r="B10884" s="60" t="s">
        <v>1073</v>
      </c>
    </row>
    <row r="10885" ht="12.75" customHeight="1">
      <c r="A10885" s="59" t="s">
        <v>2874</v>
      </c>
      <c r="B10885" s="60" t="s">
        <v>1074</v>
      </c>
    </row>
    <row r="10886" ht="12.75" customHeight="1">
      <c r="A10886" s="59" t="s">
        <v>2874</v>
      </c>
      <c r="B10886" s="60" t="s">
        <v>1075</v>
      </c>
    </row>
    <row r="10887" ht="12.75" customHeight="1">
      <c r="A10887" s="59" t="s">
        <v>2874</v>
      </c>
      <c r="B10887" s="60" t="s">
        <v>1076</v>
      </c>
    </row>
    <row r="10888" ht="12.75" customHeight="1">
      <c r="A10888" s="59" t="s">
        <v>2874</v>
      </c>
      <c r="B10888" s="60" t="s">
        <v>1077</v>
      </c>
    </row>
    <row r="10889" ht="12.75" customHeight="1">
      <c r="A10889" s="59" t="s">
        <v>2874</v>
      </c>
      <c r="B10889" s="60" t="s">
        <v>1078</v>
      </c>
    </row>
    <row r="10890" ht="12.75" customHeight="1">
      <c r="A10890" s="59" t="s">
        <v>2874</v>
      </c>
      <c r="B10890" s="60" t="s">
        <v>1079</v>
      </c>
    </row>
    <row r="10891" ht="12.75" customHeight="1">
      <c r="A10891" s="59" t="s">
        <v>2874</v>
      </c>
      <c r="B10891" s="60" t="s">
        <v>1080</v>
      </c>
    </row>
    <row r="10892" ht="12.75" customHeight="1">
      <c r="A10892" s="59" t="s">
        <v>2874</v>
      </c>
      <c r="B10892" s="60" t="s">
        <v>1081</v>
      </c>
    </row>
    <row r="10893" ht="12.75" customHeight="1">
      <c r="A10893" s="59" t="s">
        <v>2874</v>
      </c>
      <c r="B10893" s="60" t="s">
        <v>1082</v>
      </c>
    </row>
    <row r="10894" ht="12.75" customHeight="1">
      <c r="A10894" s="59" t="s">
        <v>2874</v>
      </c>
      <c r="B10894" s="60" t="s">
        <v>1083</v>
      </c>
    </row>
    <row r="10895" ht="12.75" customHeight="1">
      <c r="A10895" s="59" t="s">
        <v>2874</v>
      </c>
      <c r="B10895" s="60" t="s">
        <v>1084</v>
      </c>
    </row>
    <row r="10896" ht="12.75" customHeight="1">
      <c r="A10896" s="59" t="s">
        <v>2874</v>
      </c>
      <c r="B10896" s="60" t="s">
        <v>1085</v>
      </c>
    </row>
    <row r="10897" ht="12.75" customHeight="1">
      <c r="A10897" s="59" t="s">
        <v>2874</v>
      </c>
      <c r="B10897" s="60" t="s">
        <v>1086</v>
      </c>
    </row>
    <row r="10898" ht="12.75" customHeight="1">
      <c r="A10898" s="59" t="s">
        <v>2874</v>
      </c>
      <c r="B10898" s="60" t="s">
        <v>1087</v>
      </c>
    </row>
    <row r="10899" ht="12.75" customHeight="1">
      <c r="A10899" s="59" t="s">
        <v>2874</v>
      </c>
      <c r="B10899" s="60" t="s">
        <v>1088</v>
      </c>
    </row>
    <row r="10900" ht="12.75" customHeight="1">
      <c r="A10900" s="59" t="s">
        <v>2874</v>
      </c>
      <c r="B10900" s="60" t="s">
        <v>1089</v>
      </c>
    </row>
    <row r="10901" ht="12.75" customHeight="1">
      <c r="A10901" s="59" t="s">
        <v>2874</v>
      </c>
      <c r="B10901" s="60" t="s">
        <v>1090</v>
      </c>
    </row>
    <row r="10902" ht="12.75" customHeight="1">
      <c r="A10902" s="59" t="s">
        <v>2874</v>
      </c>
      <c r="B10902" s="60" t="s">
        <v>1091</v>
      </c>
    </row>
    <row r="10903" ht="12.75" customHeight="1">
      <c r="A10903" s="59" t="s">
        <v>2874</v>
      </c>
      <c r="B10903" s="60" t="s">
        <v>1092</v>
      </c>
    </row>
    <row r="10904" ht="12.75" customHeight="1">
      <c r="A10904" s="59" t="s">
        <v>2874</v>
      </c>
      <c r="B10904" s="60" t="s">
        <v>1093</v>
      </c>
    </row>
    <row r="10905" ht="12.75" customHeight="1">
      <c r="A10905" s="59" t="s">
        <v>2874</v>
      </c>
      <c r="B10905" s="60" t="s">
        <v>1094</v>
      </c>
    </row>
    <row r="10906" ht="12.75" customHeight="1">
      <c r="A10906" s="59" t="s">
        <v>2874</v>
      </c>
      <c r="B10906" s="60" t="s">
        <v>1095</v>
      </c>
    </row>
    <row r="10907" ht="12.75" customHeight="1">
      <c r="A10907" s="59" t="s">
        <v>2874</v>
      </c>
      <c r="B10907" s="60" t="s">
        <v>1096</v>
      </c>
    </row>
    <row r="10908" ht="12.75" customHeight="1">
      <c r="A10908" s="59" t="s">
        <v>2874</v>
      </c>
      <c r="B10908" s="60" t="s">
        <v>1097</v>
      </c>
    </row>
    <row r="10909" ht="12.75" customHeight="1">
      <c r="A10909" s="59" t="s">
        <v>2874</v>
      </c>
      <c r="B10909" s="60" t="s">
        <v>1098</v>
      </c>
    </row>
    <row r="10910" ht="12.75" customHeight="1">
      <c r="A10910" s="59" t="s">
        <v>2874</v>
      </c>
      <c r="B10910" s="60" t="s">
        <v>1099</v>
      </c>
    </row>
    <row r="10911" ht="12.75" customHeight="1">
      <c r="A10911" s="59" t="s">
        <v>2874</v>
      </c>
      <c r="B10911" s="60" t="s">
        <v>1100</v>
      </c>
    </row>
    <row r="10912" ht="12.75" customHeight="1">
      <c r="A10912" s="59" t="s">
        <v>2874</v>
      </c>
      <c r="B10912" s="60" t="s">
        <v>1101</v>
      </c>
    </row>
    <row r="10913" ht="12.75" customHeight="1">
      <c r="A10913" s="59" t="s">
        <v>2874</v>
      </c>
      <c r="B10913" s="60" t="s">
        <v>1102</v>
      </c>
    </row>
    <row r="10914" ht="12.75" customHeight="1">
      <c r="A10914" s="59" t="s">
        <v>2874</v>
      </c>
      <c r="B10914" s="60" t="s">
        <v>1103</v>
      </c>
    </row>
    <row r="10915" ht="12.75" customHeight="1">
      <c r="A10915" s="59" t="s">
        <v>2874</v>
      </c>
      <c r="B10915" s="60" t="s">
        <v>1104</v>
      </c>
    </row>
    <row r="10916" ht="12.75" customHeight="1">
      <c r="A10916" s="59" t="s">
        <v>2874</v>
      </c>
      <c r="B10916" s="60" t="s">
        <v>1105</v>
      </c>
    </row>
    <row r="10917" ht="12.75" customHeight="1">
      <c r="A10917" s="59" t="s">
        <v>2874</v>
      </c>
      <c r="B10917" s="60" t="s">
        <v>1106</v>
      </c>
    </row>
    <row r="10918" ht="12.75" customHeight="1">
      <c r="A10918" s="59" t="s">
        <v>2874</v>
      </c>
      <c r="B10918" s="60" t="s">
        <v>1107</v>
      </c>
    </row>
    <row r="10919" ht="12.75" customHeight="1">
      <c r="A10919" s="59" t="s">
        <v>2874</v>
      </c>
      <c r="B10919" s="60" t="s">
        <v>1108</v>
      </c>
    </row>
    <row r="10920" ht="12.75" customHeight="1">
      <c r="A10920" s="59" t="s">
        <v>2874</v>
      </c>
      <c r="B10920" s="60" t="s">
        <v>1109</v>
      </c>
    </row>
    <row r="10921" ht="12.75" customHeight="1">
      <c r="A10921" s="59" t="s">
        <v>2874</v>
      </c>
      <c r="B10921" s="60" t="s">
        <v>1110</v>
      </c>
    </row>
    <row r="10922" ht="12.75" customHeight="1">
      <c r="A10922" s="59" t="s">
        <v>2874</v>
      </c>
      <c r="B10922" s="60" t="s">
        <v>1111</v>
      </c>
    </row>
    <row r="10923" ht="12.75" customHeight="1">
      <c r="A10923" s="59" t="s">
        <v>2874</v>
      </c>
      <c r="B10923" s="60" t="s">
        <v>1112</v>
      </c>
    </row>
    <row r="10924" ht="12.75" customHeight="1">
      <c r="A10924" s="59" t="s">
        <v>2874</v>
      </c>
      <c r="B10924" s="60" t="s">
        <v>1113</v>
      </c>
    </row>
    <row r="10925" ht="12.75" customHeight="1">
      <c r="A10925" s="59" t="s">
        <v>2874</v>
      </c>
      <c r="B10925" s="60" t="s">
        <v>1114</v>
      </c>
    </row>
    <row r="10926" ht="12.75" customHeight="1">
      <c r="A10926" s="59" t="s">
        <v>2874</v>
      </c>
      <c r="B10926" s="60" t="s">
        <v>1115</v>
      </c>
    </row>
    <row r="10927" ht="12.75" customHeight="1">
      <c r="A10927" s="59" t="s">
        <v>2874</v>
      </c>
      <c r="B10927" s="60" t="s">
        <v>1116</v>
      </c>
    </row>
    <row r="10928" ht="12.75" customHeight="1">
      <c r="A10928" s="59" t="s">
        <v>2874</v>
      </c>
      <c r="B10928" s="60" t="s">
        <v>1117</v>
      </c>
    </row>
    <row r="10929" ht="12.75" customHeight="1">
      <c r="A10929" s="59" t="s">
        <v>2874</v>
      </c>
      <c r="B10929" s="60" t="s">
        <v>1118</v>
      </c>
    </row>
    <row r="10930" ht="12.75" customHeight="1">
      <c r="A10930" s="59" t="s">
        <v>2874</v>
      </c>
      <c r="B10930" s="60" t="s">
        <v>1119</v>
      </c>
    </row>
    <row r="10931" ht="12.75" customHeight="1">
      <c r="A10931" s="59" t="s">
        <v>2874</v>
      </c>
      <c r="B10931" s="60" t="s">
        <v>1120</v>
      </c>
    </row>
    <row r="10932" ht="12.75" customHeight="1">
      <c r="A10932" s="59" t="s">
        <v>2874</v>
      </c>
      <c r="B10932" s="60" t="s">
        <v>1121</v>
      </c>
    </row>
    <row r="10933" ht="12.75" customHeight="1">
      <c r="A10933" s="59" t="s">
        <v>2874</v>
      </c>
      <c r="B10933" s="60" t="s">
        <v>1122</v>
      </c>
    </row>
    <row r="10934" ht="12.75" customHeight="1">
      <c r="A10934" s="59" t="s">
        <v>2874</v>
      </c>
      <c r="B10934" s="60" t="s">
        <v>1123</v>
      </c>
    </row>
    <row r="10935" ht="12.75" customHeight="1">
      <c r="A10935" s="59" t="s">
        <v>2874</v>
      </c>
      <c r="B10935" s="60" t="s">
        <v>1124</v>
      </c>
    </row>
    <row r="10936" ht="12.75" customHeight="1">
      <c r="A10936" s="59" t="s">
        <v>2874</v>
      </c>
      <c r="B10936" s="60" t="s">
        <v>1125</v>
      </c>
    </row>
    <row r="10937" ht="12.75" customHeight="1">
      <c r="A10937" s="59" t="s">
        <v>2874</v>
      </c>
      <c r="B10937" s="60" t="s">
        <v>1126</v>
      </c>
    </row>
    <row r="10938" ht="12.75" customHeight="1">
      <c r="A10938" s="59" t="s">
        <v>2874</v>
      </c>
      <c r="B10938" s="60" t="s">
        <v>1127</v>
      </c>
    </row>
    <row r="10939" ht="12.75" customHeight="1">
      <c r="A10939" s="59" t="s">
        <v>2874</v>
      </c>
      <c r="B10939" s="60" t="s">
        <v>1128</v>
      </c>
    </row>
    <row r="10940" ht="12.75" customHeight="1">
      <c r="A10940" s="59" t="s">
        <v>2874</v>
      </c>
      <c r="B10940" s="60" t="s">
        <v>1129</v>
      </c>
    </row>
    <row r="10941" ht="12.75" customHeight="1">
      <c r="A10941" s="59" t="s">
        <v>2874</v>
      </c>
      <c r="B10941" s="60" t="s">
        <v>1130</v>
      </c>
    </row>
    <row r="10942" ht="12.75" customHeight="1">
      <c r="A10942" s="59" t="s">
        <v>2874</v>
      </c>
      <c r="B10942" s="60" t="s">
        <v>1131</v>
      </c>
    </row>
    <row r="10943" ht="12.75" customHeight="1">
      <c r="A10943" s="59" t="s">
        <v>2874</v>
      </c>
      <c r="B10943" s="60" t="s">
        <v>1132</v>
      </c>
    </row>
    <row r="10944" ht="12.75" customHeight="1">
      <c r="A10944" s="59" t="s">
        <v>2874</v>
      </c>
      <c r="B10944" s="60" t="s">
        <v>1133</v>
      </c>
    </row>
    <row r="10945" ht="12.75" customHeight="1">
      <c r="A10945" s="59" t="s">
        <v>2874</v>
      </c>
      <c r="B10945" s="60" t="s">
        <v>1134</v>
      </c>
    </row>
    <row r="10946" ht="12.75" customHeight="1">
      <c r="A10946" s="59" t="s">
        <v>2874</v>
      </c>
      <c r="B10946" s="60" t="s">
        <v>1135</v>
      </c>
    </row>
    <row r="10947" ht="12.75" customHeight="1">
      <c r="A10947" s="59" t="s">
        <v>2874</v>
      </c>
      <c r="B10947" s="60" t="s">
        <v>1136</v>
      </c>
    </row>
    <row r="10948" ht="12.75" customHeight="1">
      <c r="A10948" s="59" t="s">
        <v>2874</v>
      </c>
      <c r="B10948" s="60" t="s">
        <v>1137</v>
      </c>
    </row>
    <row r="10949" ht="12.75" customHeight="1">
      <c r="A10949" s="59" t="s">
        <v>2874</v>
      </c>
      <c r="B10949" s="60" t="s">
        <v>1138</v>
      </c>
    </row>
    <row r="10950" ht="12.75" customHeight="1">
      <c r="A10950" s="59" t="s">
        <v>2874</v>
      </c>
      <c r="B10950" s="60" t="s">
        <v>1139</v>
      </c>
    </row>
    <row r="10951" ht="12.75" customHeight="1">
      <c r="A10951" s="59" t="s">
        <v>2874</v>
      </c>
      <c r="B10951" s="60" t="s">
        <v>1140</v>
      </c>
    </row>
    <row r="10952" ht="12.75" customHeight="1">
      <c r="A10952" s="59" t="s">
        <v>2874</v>
      </c>
      <c r="B10952" s="60" t="s">
        <v>1141</v>
      </c>
    </row>
    <row r="10953" ht="12.75" customHeight="1">
      <c r="A10953" s="59" t="s">
        <v>2874</v>
      </c>
      <c r="B10953" s="60" t="s">
        <v>1142</v>
      </c>
    </row>
    <row r="10954" ht="12.75" customHeight="1">
      <c r="A10954" s="59" t="s">
        <v>2874</v>
      </c>
      <c r="B10954" s="60" t="s">
        <v>1143</v>
      </c>
    </row>
    <row r="10955" ht="12.75" customHeight="1">
      <c r="A10955" s="59" t="s">
        <v>2874</v>
      </c>
      <c r="B10955" s="60" t="s">
        <v>1144</v>
      </c>
    </row>
    <row r="10956" ht="12.75" customHeight="1">
      <c r="A10956" s="59" t="s">
        <v>2874</v>
      </c>
      <c r="B10956" s="60" t="s">
        <v>1145</v>
      </c>
    </row>
    <row r="10957" ht="12.75" customHeight="1">
      <c r="A10957" s="59" t="s">
        <v>2874</v>
      </c>
      <c r="B10957" s="60" t="s">
        <v>1146</v>
      </c>
    </row>
    <row r="10958" ht="12.75" customHeight="1">
      <c r="A10958" s="59" t="s">
        <v>2874</v>
      </c>
      <c r="B10958" s="60" t="s">
        <v>1147</v>
      </c>
    </row>
    <row r="10959" ht="12.75" customHeight="1">
      <c r="A10959" s="59" t="s">
        <v>2874</v>
      </c>
      <c r="B10959" s="60" t="s">
        <v>1148</v>
      </c>
    </row>
    <row r="10960" ht="12.75" customHeight="1">
      <c r="A10960" s="59" t="s">
        <v>2874</v>
      </c>
      <c r="B10960" s="60" t="s">
        <v>1149</v>
      </c>
    </row>
    <row r="10961" ht="12.75" customHeight="1">
      <c r="A10961" s="59" t="s">
        <v>2874</v>
      </c>
      <c r="B10961" s="60" t="s">
        <v>1150</v>
      </c>
    </row>
    <row r="10962" ht="12.75" customHeight="1">
      <c r="A10962" s="59" t="s">
        <v>2874</v>
      </c>
      <c r="B10962" s="60" t="s">
        <v>1151</v>
      </c>
    </row>
    <row r="10963" ht="12.75" customHeight="1">
      <c r="A10963" s="59" t="s">
        <v>2874</v>
      </c>
      <c r="B10963" s="60" t="s">
        <v>1152</v>
      </c>
    </row>
    <row r="10964" ht="12.75" customHeight="1">
      <c r="A10964" s="59" t="s">
        <v>2874</v>
      </c>
      <c r="B10964" s="60" t="s">
        <v>1153</v>
      </c>
    </row>
    <row r="10965" ht="12.75" customHeight="1">
      <c r="A10965" s="59" t="s">
        <v>2874</v>
      </c>
      <c r="B10965" s="60" t="s">
        <v>1154</v>
      </c>
    </row>
    <row r="10966" ht="12.75" customHeight="1">
      <c r="A10966" s="59" t="s">
        <v>2874</v>
      </c>
      <c r="B10966" s="60" t="s">
        <v>1155</v>
      </c>
    </row>
    <row r="10967" ht="12.75" customHeight="1">
      <c r="A10967" s="59" t="s">
        <v>2874</v>
      </c>
      <c r="B10967" s="60" t="s">
        <v>1156</v>
      </c>
    </row>
    <row r="10968" ht="12.75" customHeight="1">
      <c r="A10968" s="59" t="s">
        <v>2874</v>
      </c>
      <c r="B10968" s="60" t="s">
        <v>1157</v>
      </c>
    </row>
    <row r="10969" ht="12.75" customHeight="1">
      <c r="A10969" s="59" t="s">
        <v>2874</v>
      </c>
      <c r="B10969" s="60" t="s">
        <v>1158</v>
      </c>
    </row>
    <row r="10970" ht="12.75" customHeight="1">
      <c r="A10970" s="59" t="s">
        <v>2874</v>
      </c>
      <c r="B10970" s="60" t="s">
        <v>1159</v>
      </c>
    </row>
    <row r="10971" ht="12.75" customHeight="1">
      <c r="A10971" s="59" t="s">
        <v>2874</v>
      </c>
      <c r="B10971" s="60" t="s">
        <v>1160</v>
      </c>
    </row>
    <row r="10972" ht="12.75" customHeight="1">
      <c r="A10972" s="59" t="s">
        <v>2874</v>
      </c>
      <c r="B10972" s="60" t="s">
        <v>1161</v>
      </c>
    </row>
    <row r="10973" ht="12.75" customHeight="1">
      <c r="A10973" s="59" t="s">
        <v>2874</v>
      </c>
      <c r="B10973" s="60" t="s">
        <v>1162</v>
      </c>
    </row>
    <row r="10974" ht="12.75" customHeight="1">
      <c r="A10974" s="59" t="s">
        <v>2874</v>
      </c>
      <c r="B10974" s="60" t="s">
        <v>1163</v>
      </c>
    </row>
    <row r="10975" ht="12.75" customHeight="1">
      <c r="A10975" s="59" t="s">
        <v>2874</v>
      </c>
      <c r="B10975" s="60" t="s">
        <v>1164</v>
      </c>
    </row>
    <row r="10976" ht="12.75" customHeight="1">
      <c r="A10976" s="59" t="s">
        <v>2874</v>
      </c>
      <c r="B10976" s="60" t="s">
        <v>1165</v>
      </c>
    </row>
    <row r="10977" ht="12.75" customHeight="1">
      <c r="A10977" s="59" t="s">
        <v>2874</v>
      </c>
      <c r="B10977" s="60" t="s">
        <v>1166</v>
      </c>
    </row>
    <row r="10978" ht="12.75" customHeight="1">
      <c r="A10978" s="59" t="s">
        <v>2874</v>
      </c>
      <c r="B10978" s="60" t="s">
        <v>1167</v>
      </c>
    </row>
    <row r="10979" ht="12.75" customHeight="1">
      <c r="A10979" s="59" t="s">
        <v>2874</v>
      </c>
      <c r="B10979" s="60" t="s">
        <v>1168</v>
      </c>
    </row>
    <row r="10980" ht="12.75" customHeight="1">
      <c r="A10980" s="59" t="s">
        <v>2874</v>
      </c>
      <c r="B10980" s="60" t="s">
        <v>1169</v>
      </c>
    </row>
    <row r="10981" ht="12.75" customHeight="1">
      <c r="A10981" s="59" t="s">
        <v>2874</v>
      </c>
      <c r="B10981" s="60" t="s">
        <v>1170</v>
      </c>
    </row>
    <row r="10982" ht="12.75" customHeight="1">
      <c r="A10982" s="59" t="s">
        <v>2874</v>
      </c>
      <c r="B10982" s="60" t="s">
        <v>1171</v>
      </c>
    </row>
    <row r="10983" ht="12.75" customHeight="1">
      <c r="A10983" s="59" t="s">
        <v>2874</v>
      </c>
      <c r="B10983" s="60" t="s">
        <v>1172</v>
      </c>
    </row>
    <row r="10984" ht="12.75" customHeight="1">
      <c r="A10984" s="59" t="s">
        <v>2874</v>
      </c>
      <c r="B10984" s="60" t="s">
        <v>1173</v>
      </c>
    </row>
    <row r="10985" ht="12.75" customHeight="1">
      <c r="A10985" s="59" t="s">
        <v>2874</v>
      </c>
      <c r="B10985" s="60" t="s">
        <v>1174</v>
      </c>
    </row>
    <row r="10986" ht="12.75" customHeight="1">
      <c r="A10986" s="59" t="s">
        <v>2874</v>
      </c>
      <c r="B10986" s="60" t="s">
        <v>1175</v>
      </c>
    </row>
    <row r="10987" ht="12.75" customHeight="1">
      <c r="A10987" s="59" t="s">
        <v>2874</v>
      </c>
      <c r="B10987" s="60" t="s">
        <v>1176</v>
      </c>
    </row>
    <row r="10988" ht="12.75" customHeight="1">
      <c r="A10988" s="59" t="s">
        <v>2874</v>
      </c>
      <c r="B10988" s="60" t="s">
        <v>1177</v>
      </c>
    </row>
    <row r="10989" ht="12.75" customHeight="1">
      <c r="A10989" s="59" t="s">
        <v>2874</v>
      </c>
      <c r="B10989" s="60" t="s">
        <v>1178</v>
      </c>
    </row>
    <row r="10990" ht="12.75" customHeight="1">
      <c r="A10990" s="59" t="s">
        <v>2874</v>
      </c>
      <c r="B10990" s="60" t="s">
        <v>1179</v>
      </c>
    </row>
    <row r="10991" ht="12.75" customHeight="1">
      <c r="A10991" s="59" t="s">
        <v>2874</v>
      </c>
      <c r="B10991" s="60" t="s">
        <v>1180</v>
      </c>
    </row>
    <row r="10992" ht="12.75" customHeight="1">
      <c r="A10992" s="59" t="s">
        <v>2874</v>
      </c>
      <c r="B10992" s="60" t="s">
        <v>1181</v>
      </c>
    </row>
    <row r="10993" ht="12.75" customHeight="1">
      <c r="A10993" s="59" t="s">
        <v>2874</v>
      </c>
      <c r="B10993" s="60" t="s">
        <v>1182</v>
      </c>
    </row>
    <row r="10994" ht="12.75" customHeight="1">
      <c r="A10994" s="59" t="s">
        <v>2874</v>
      </c>
      <c r="B10994" s="60" t="s">
        <v>1183</v>
      </c>
    </row>
    <row r="10995" ht="12.75" customHeight="1">
      <c r="A10995" s="59" t="s">
        <v>2874</v>
      </c>
      <c r="B10995" s="60" t="s">
        <v>1184</v>
      </c>
    </row>
    <row r="10996" ht="12.75" customHeight="1">
      <c r="A10996" s="59" t="s">
        <v>2874</v>
      </c>
      <c r="B10996" s="60" t="s">
        <v>1185</v>
      </c>
    </row>
    <row r="10997" ht="12.75" customHeight="1">
      <c r="A10997" s="59" t="s">
        <v>2874</v>
      </c>
      <c r="B10997" s="60" t="s">
        <v>1186</v>
      </c>
    </row>
    <row r="10998" ht="12.75" customHeight="1">
      <c r="A10998" s="59" t="s">
        <v>2874</v>
      </c>
      <c r="B10998" s="60" t="s">
        <v>1187</v>
      </c>
    </row>
    <row r="10999" ht="12.75" customHeight="1">
      <c r="A10999" s="59" t="s">
        <v>2874</v>
      </c>
      <c r="B10999" s="60" t="s">
        <v>1188</v>
      </c>
    </row>
    <row r="11000" ht="12.75" customHeight="1">
      <c r="A11000" s="59" t="s">
        <v>2874</v>
      </c>
      <c r="B11000" s="60" t="s">
        <v>1189</v>
      </c>
    </row>
    <row r="11001" ht="12.75" customHeight="1">
      <c r="A11001" s="59" t="s">
        <v>2874</v>
      </c>
      <c r="B11001" s="60" t="s">
        <v>1190</v>
      </c>
    </row>
    <row r="11002" ht="12.75" customHeight="1">
      <c r="A11002" s="59" t="s">
        <v>2874</v>
      </c>
      <c r="B11002" s="60" t="s">
        <v>1191</v>
      </c>
    </row>
    <row r="11003" ht="12.75" customHeight="1">
      <c r="A11003" s="59" t="s">
        <v>2874</v>
      </c>
      <c r="B11003" s="60" t="s">
        <v>1192</v>
      </c>
    </row>
    <row r="11004" ht="12.75" customHeight="1">
      <c r="A11004" s="59" t="s">
        <v>2875</v>
      </c>
      <c r="B11004" s="60">
        <v>0.0</v>
      </c>
    </row>
    <row r="11005" ht="12.75" customHeight="1">
      <c r="A11005" s="59" t="s">
        <v>2875</v>
      </c>
      <c r="B11005" s="60">
        <v>0.0</v>
      </c>
    </row>
    <row r="11006" ht="12.75" customHeight="1">
      <c r="A11006" s="59" t="s">
        <v>2875</v>
      </c>
      <c r="B11006" s="60">
        <v>2.0</v>
      </c>
    </row>
    <row r="11007" ht="12.75" customHeight="1">
      <c r="A11007" s="59" t="s">
        <v>2875</v>
      </c>
      <c r="B11007" s="60">
        <v>4.0</v>
      </c>
    </row>
    <row r="11008" ht="12.75" customHeight="1">
      <c r="A11008" s="59" t="s">
        <v>2875</v>
      </c>
      <c r="B11008" s="60">
        <v>6.0</v>
      </c>
    </row>
    <row r="11009" ht="12.75" customHeight="1">
      <c r="A11009" s="59" t="s">
        <v>2875</v>
      </c>
      <c r="B11009" s="60">
        <v>8.0</v>
      </c>
    </row>
    <row r="11010" ht="12.75" customHeight="1">
      <c r="A11010" s="59" t="s">
        <v>2875</v>
      </c>
      <c r="B11010" s="60">
        <v>10.0</v>
      </c>
    </row>
    <row r="11011" ht="12.75" customHeight="1">
      <c r="A11011" s="59" t="s">
        <v>2875</v>
      </c>
      <c r="B11011" s="60">
        <v>12.0</v>
      </c>
    </row>
    <row r="11012" ht="12.75" customHeight="1">
      <c r="A11012" s="59" t="s">
        <v>2875</v>
      </c>
      <c r="B11012" s="60" t="s">
        <v>803</v>
      </c>
    </row>
    <row r="11013" ht="12.75" customHeight="1">
      <c r="A11013" s="59" t="s">
        <v>2875</v>
      </c>
      <c r="B11013" s="60" t="s">
        <v>804</v>
      </c>
    </row>
    <row r="11014" ht="12.75" customHeight="1">
      <c r="A11014" s="59" t="s">
        <v>2875</v>
      </c>
      <c r="B11014" s="60" t="s">
        <v>76</v>
      </c>
    </row>
    <row r="11015" ht="12.75" customHeight="1">
      <c r="A11015" s="59" t="s">
        <v>2875</v>
      </c>
      <c r="B11015" s="60" t="s">
        <v>80</v>
      </c>
    </row>
    <row r="11016" ht="12.75" customHeight="1">
      <c r="A11016" s="59" t="s">
        <v>2875</v>
      </c>
      <c r="B11016" s="60" t="s">
        <v>83</v>
      </c>
    </row>
    <row r="11017" ht="12.75" customHeight="1">
      <c r="A11017" s="59" t="s">
        <v>2875</v>
      </c>
      <c r="B11017" s="60" t="s">
        <v>85</v>
      </c>
    </row>
    <row r="11018" ht="12.75" customHeight="1">
      <c r="A11018" s="59" t="s">
        <v>2875</v>
      </c>
      <c r="B11018" s="60" t="s">
        <v>805</v>
      </c>
    </row>
    <row r="11019" ht="12.75" customHeight="1">
      <c r="A11019" s="59" t="s">
        <v>2875</v>
      </c>
      <c r="B11019" s="60" t="s">
        <v>806</v>
      </c>
    </row>
    <row r="11020" ht="12.75" customHeight="1">
      <c r="A11020" s="59" t="s">
        <v>2875</v>
      </c>
      <c r="B11020" s="60" t="s">
        <v>807</v>
      </c>
    </row>
    <row r="11021" ht="12.75" customHeight="1">
      <c r="A11021" s="59" t="s">
        <v>2875</v>
      </c>
      <c r="B11021" s="60" t="s">
        <v>753</v>
      </c>
    </row>
    <row r="11022" ht="12.75" customHeight="1">
      <c r="A11022" s="59" t="s">
        <v>2875</v>
      </c>
      <c r="B11022" s="60" t="s">
        <v>757</v>
      </c>
    </row>
    <row r="11023" ht="12.75" customHeight="1">
      <c r="A11023" s="59" t="s">
        <v>2875</v>
      </c>
      <c r="B11023" s="60" t="s">
        <v>761</v>
      </c>
    </row>
    <row r="11024" ht="12.75" customHeight="1">
      <c r="A11024" s="59" t="s">
        <v>2875</v>
      </c>
      <c r="B11024" s="60" t="s">
        <v>765</v>
      </c>
    </row>
    <row r="11025" ht="12.75" customHeight="1">
      <c r="A11025" s="59" t="s">
        <v>2875</v>
      </c>
      <c r="B11025" s="60" t="s">
        <v>808</v>
      </c>
    </row>
    <row r="11026" ht="12.75" customHeight="1">
      <c r="A11026" s="59" t="s">
        <v>2875</v>
      </c>
      <c r="B11026" s="60" t="s">
        <v>809</v>
      </c>
    </row>
    <row r="11027" ht="12.75" customHeight="1">
      <c r="A11027" s="59" t="s">
        <v>2875</v>
      </c>
      <c r="B11027" s="60" t="s">
        <v>810</v>
      </c>
    </row>
    <row r="11028" ht="12.75" customHeight="1">
      <c r="A11028" s="59" t="s">
        <v>2875</v>
      </c>
      <c r="B11028" s="60" t="s">
        <v>811</v>
      </c>
    </row>
    <row r="11029" ht="12.75" customHeight="1">
      <c r="A11029" s="59" t="s">
        <v>2875</v>
      </c>
      <c r="B11029" s="60" t="s">
        <v>812</v>
      </c>
    </row>
    <row r="11030" ht="12.75" customHeight="1">
      <c r="A11030" s="59" t="s">
        <v>2875</v>
      </c>
      <c r="B11030" s="60" t="s">
        <v>813</v>
      </c>
    </row>
    <row r="11031" ht="12.75" customHeight="1">
      <c r="A11031" s="59" t="s">
        <v>2875</v>
      </c>
      <c r="B11031" s="60" t="s">
        <v>814</v>
      </c>
    </row>
    <row r="11032" ht="12.75" customHeight="1">
      <c r="A11032" s="59" t="s">
        <v>2875</v>
      </c>
      <c r="B11032" s="60" t="s">
        <v>815</v>
      </c>
    </row>
    <row r="11033" ht="12.75" customHeight="1">
      <c r="A11033" s="59" t="s">
        <v>2875</v>
      </c>
      <c r="B11033" s="60" t="s">
        <v>816</v>
      </c>
    </row>
    <row r="11034" ht="12.75" customHeight="1">
      <c r="A11034" s="59" t="s">
        <v>2875</v>
      </c>
      <c r="B11034" s="60" t="s">
        <v>771</v>
      </c>
    </row>
    <row r="11035" ht="12.75" customHeight="1">
      <c r="A11035" s="59" t="s">
        <v>2875</v>
      </c>
      <c r="B11035" s="60" t="s">
        <v>775</v>
      </c>
    </row>
    <row r="11036" ht="12.75" customHeight="1">
      <c r="A11036" s="59" t="s">
        <v>2875</v>
      </c>
      <c r="B11036" s="60" t="s">
        <v>779</v>
      </c>
    </row>
    <row r="11037" ht="12.75" customHeight="1">
      <c r="A11037" s="59" t="s">
        <v>2875</v>
      </c>
      <c r="B11037" s="60" t="s">
        <v>783</v>
      </c>
    </row>
    <row r="11038" ht="12.75" customHeight="1">
      <c r="A11038" s="59" t="s">
        <v>2875</v>
      </c>
      <c r="B11038" s="60" t="s">
        <v>817</v>
      </c>
    </row>
    <row r="11039" ht="12.75" customHeight="1">
      <c r="A11039" s="59" t="s">
        <v>2875</v>
      </c>
      <c r="B11039" s="60" t="s">
        <v>818</v>
      </c>
    </row>
    <row r="11040" ht="12.75" customHeight="1">
      <c r="A11040" s="59" t="s">
        <v>2875</v>
      </c>
      <c r="B11040" s="60" t="s">
        <v>819</v>
      </c>
    </row>
    <row r="11041" ht="12.75" customHeight="1">
      <c r="A11041" s="59" t="s">
        <v>2875</v>
      </c>
      <c r="B11041" s="60" t="s">
        <v>820</v>
      </c>
    </row>
    <row r="11042" ht="12.75" customHeight="1">
      <c r="A11042" s="59" t="s">
        <v>2875</v>
      </c>
      <c r="B11042" s="60" t="s">
        <v>821</v>
      </c>
    </row>
    <row r="11043" ht="12.75" customHeight="1">
      <c r="A11043" s="59" t="s">
        <v>2875</v>
      </c>
      <c r="B11043" s="60" t="s">
        <v>822</v>
      </c>
    </row>
    <row r="11044" ht="12.75" customHeight="1">
      <c r="A11044" s="59" t="s">
        <v>2875</v>
      </c>
      <c r="B11044" s="60" t="s">
        <v>823</v>
      </c>
    </row>
    <row r="11045" ht="12.75" customHeight="1">
      <c r="A11045" s="59" t="s">
        <v>2875</v>
      </c>
      <c r="B11045" s="60" t="s">
        <v>824</v>
      </c>
    </row>
    <row r="11046" ht="12.75" customHeight="1">
      <c r="A11046" s="59" t="s">
        <v>2875</v>
      </c>
      <c r="B11046" s="60" t="s">
        <v>825</v>
      </c>
    </row>
    <row r="11047" ht="12.75" customHeight="1">
      <c r="A11047" s="59" t="s">
        <v>2875</v>
      </c>
      <c r="B11047" s="60" t="s">
        <v>788</v>
      </c>
    </row>
    <row r="11048" ht="12.75" customHeight="1">
      <c r="A11048" s="59" t="s">
        <v>2875</v>
      </c>
      <c r="B11048" s="60" t="s">
        <v>792</v>
      </c>
    </row>
    <row r="11049" ht="12.75" customHeight="1">
      <c r="A11049" s="59" t="s">
        <v>2875</v>
      </c>
      <c r="B11049" s="60" t="s">
        <v>796</v>
      </c>
    </row>
    <row r="11050" ht="12.75" customHeight="1">
      <c r="A11050" s="59" t="s">
        <v>2875</v>
      </c>
      <c r="B11050" s="60" t="s">
        <v>800</v>
      </c>
    </row>
    <row r="11051" ht="12.75" customHeight="1">
      <c r="A11051" s="59" t="s">
        <v>2875</v>
      </c>
      <c r="B11051" s="60" t="s">
        <v>826</v>
      </c>
    </row>
    <row r="11052" ht="12.75" customHeight="1">
      <c r="A11052" s="59" t="s">
        <v>2875</v>
      </c>
      <c r="B11052" s="60" t="s">
        <v>827</v>
      </c>
    </row>
    <row r="11053" ht="12.75" customHeight="1">
      <c r="A11053" s="59" t="s">
        <v>2875</v>
      </c>
      <c r="B11053" s="60" t="s">
        <v>828</v>
      </c>
    </row>
    <row r="11054" ht="12.75" customHeight="1">
      <c r="A11054" s="59" t="s">
        <v>2875</v>
      </c>
      <c r="B11054" s="60" t="s">
        <v>829</v>
      </c>
    </row>
    <row r="11055" ht="12.75" customHeight="1">
      <c r="A11055" s="59" t="s">
        <v>2875</v>
      </c>
      <c r="B11055" s="60" t="s">
        <v>830</v>
      </c>
    </row>
    <row r="11056" ht="12.75" customHeight="1">
      <c r="A11056" s="59" t="s">
        <v>2875</v>
      </c>
      <c r="B11056" s="60" t="s">
        <v>831</v>
      </c>
    </row>
    <row r="11057" ht="12.75" customHeight="1">
      <c r="A11057" s="59" t="s">
        <v>2875</v>
      </c>
      <c r="B11057" s="60" t="s">
        <v>832</v>
      </c>
    </row>
    <row r="11058" ht="12.75" customHeight="1">
      <c r="A11058" s="59" t="s">
        <v>2875</v>
      </c>
      <c r="B11058" s="60" t="s">
        <v>833</v>
      </c>
    </row>
    <row r="11059" ht="12.75" customHeight="1">
      <c r="A11059" s="59" t="s">
        <v>2875</v>
      </c>
      <c r="B11059" s="60" t="s">
        <v>834</v>
      </c>
    </row>
    <row r="11060" ht="12.75" customHeight="1">
      <c r="A11060" s="59" t="s">
        <v>2875</v>
      </c>
      <c r="B11060" s="60">
        <v>14.0</v>
      </c>
    </row>
    <row r="11061" ht="12.75" customHeight="1">
      <c r="A11061" s="59" t="s">
        <v>2875</v>
      </c>
      <c r="B11061" s="60" t="s">
        <v>835</v>
      </c>
    </row>
    <row r="11062" ht="12.75" customHeight="1">
      <c r="A11062" s="59" t="s">
        <v>2875</v>
      </c>
      <c r="B11062" s="60">
        <v>16.0</v>
      </c>
    </row>
    <row r="11063" ht="12.75" customHeight="1">
      <c r="A11063" s="59" t="s">
        <v>2875</v>
      </c>
      <c r="B11063" s="60" t="s">
        <v>836</v>
      </c>
    </row>
    <row r="11064" ht="12.75" customHeight="1">
      <c r="A11064" s="59" t="s">
        <v>2875</v>
      </c>
      <c r="B11064" s="60">
        <v>18.0</v>
      </c>
    </row>
    <row r="11065" ht="12.75" customHeight="1">
      <c r="A11065" s="59" t="s">
        <v>2875</v>
      </c>
      <c r="B11065" s="60" t="s">
        <v>837</v>
      </c>
    </row>
    <row r="11066" ht="12.75" customHeight="1">
      <c r="A11066" s="59" t="s">
        <v>2875</v>
      </c>
      <c r="B11066" s="60">
        <v>20.0</v>
      </c>
    </row>
    <row r="11067" ht="12.75" customHeight="1">
      <c r="A11067" s="59" t="s">
        <v>2875</v>
      </c>
      <c r="B11067" s="60" t="s">
        <v>838</v>
      </c>
    </row>
    <row r="11068" ht="12.75" customHeight="1">
      <c r="A11068" s="59" t="s">
        <v>2875</v>
      </c>
      <c r="B11068" s="60">
        <v>22.0</v>
      </c>
    </row>
    <row r="11069" ht="12.75" customHeight="1">
      <c r="A11069" s="59" t="s">
        <v>2875</v>
      </c>
      <c r="B11069" s="60" t="s">
        <v>839</v>
      </c>
    </row>
    <row r="11070" ht="12.75" customHeight="1">
      <c r="A11070" s="59" t="s">
        <v>2875</v>
      </c>
      <c r="B11070" s="60">
        <v>24.0</v>
      </c>
    </row>
    <row r="11071" ht="12.75" customHeight="1">
      <c r="A11071" s="59" t="s">
        <v>2875</v>
      </c>
      <c r="B11071" s="60" t="s">
        <v>840</v>
      </c>
    </row>
    <row r="11072" ht="12.75" customHeight="1">
      <c r="A11072" s="59" t="s">
        <v>2875</v>
      </c>
      <c r="B11072" s="60">
        <v>26.0</v>
      </c>
    </row>
    <row r="11073" ht="12.75" customHeight="1">
      <c r="A11073" s="59" t="s">
        <v>2875</v>
      </c>
      <c r="B11073" s="60" t="s">
        <v>841</v>
      </c>
    </row>
    <row r="11074" ht="12.75" customHeight="1">
      <c r="A11074" s="59" t="s">
        <v>2875</v>
      </c>
      <c r="B11074" s="60">
        <v>28.0</v>
      </c>
    </row>
    <row r="11075" ht="12.75" customHeight="1">
      <c r="A11075" s="59" t="s">
        <v>2875</v>
      </c>
      <c r="B11075" s="60" t="s">
        <v>842</v>
      </c>
    </row>
    <row r="11076" ht="12.75" customHeight="1">
      <c r="A11076" s="59" t="s">
        <v>2875</v>
      </c>
      <c r="B11076" s="60">
        <v>30.0</v>
      </c>
    </row>
    <row r="11077" ht="12.75" customHeight="1">
      <c r="A11077" s="59" t="s">
        <v>2875</v>
      </c>
      <c r="B11077" s="60" t="s">
        <v>843</v>
      </c>
    </row>
    <row r="11078" ht="12.75" customHeight="1">
      <c r="A11078" s="59" t="s">
        <v>2875</v>
      </c>
      <c r="B11078" s="60">
        <v>32.0</v>
      </c>
    </row>
    <row r="11079" ht="12.75" customHeight="1">
      <c r="A11079" s="59" t="s">
        <v>2875</v>
      </c>
      <c r="B11079" s="60" t="s">
        <v>844</v>
      </c>
    </row>
    <row r="11080" ht="12.75" customHeight="1">
      <c r="A11080" s="59" t="s">
        <v>2875</v>
      </c>
      <c r="B11080" s="60" t="s">
        <v>845</v>
      </c>
    </row>
    <row r="11081" ht="12.75" customHeight="1">
      <c r="A11081" s="59" t="s">
        <v>2875</v>
      </c>
      <c r="B11081" s="60" t="s">
        <v>846</v>
      </c>
    </row>
    <row r="11082" ht="12.75" customHeight="1">
      <c r="A11082" s="59" t="s">
        <v>2875</v>
      </c>
      <c r="B11082" s="60" t="s">
        <v>847</v>
      </c>
    </row>
    <row r="11083" ht="12.75" customHeight="1">
      <c r="A11083" s="59" t="s">
        <v>2875</v>
      </c>
      <c r="B11083" s="60" t="s">
        <v>848</v>
      </c>
    </row>
    <row r="11084" ht="12.75" customHeight="1">
      <c r="A11084" s="59" t="s">
        <v>2875</v>
      </c>
      <c r="B11084" s="60" t="s">
        <v>849</v>
      </c>
    </row>
    <row r="11085" ht="12.75" customHeight="1">
      <c r="A11085" s="59" t="s">
        <v>2875</v>
      </c>
      <c r="B11085" s="60" t="s">
        <v>850</v>
      </c>
    </row>
    <row r="11086" ht="12.75" customHeight="1">
      <c r="A11086" s="59" t="s">
        <v>2875</v>
      </c>
      <c r="B11086" s="60" t="s">
        <v>851</v>
      </c>
    </row>
    <row r="11087" ht="12.75" customHeight="1">
      <c r="A11087" s="59" t="s">
        <v>2875</v>
      </c>
      <c r="B11087" s="60" t="s">
        <v>852</v>
      </c>
    </row>
    <row r="11088" ht="12.75" customHeight="1">
      <c r="A11088" s="59" t="s">
        <v>2875</v>
      </c>
      <c r="B11088" s="60" t="s">
        <v>853</v>
      </c>
    </row>
    <row r="11089" ht="12.75" customHeight="1">
      <c r="A11089" s="59" t="s">
        <v>2875</v>
      </c>
      <c r="B11089" s="60" t="s">
        <v>854</v>
      </c>
    </row>
    <row r="11090" ht="12.75" customHeight="1">
      <c r="A11090" s="59" t="s">
        <v>2875</v>
      </c>
      <c r="B11090" s="60" t="s">
        <v>855</v>
      </c>
    </row>
    <row r="11091" ht="12.75" customHeight="1">
      <c r="A11091" s="59" t="s">
        <v>2875</v>
      </c>
      <c r="B11091" s="60" t="s">
        <v>856</v>
      </c>
    </row>
    <row r="11092" ht="12.75" customHeight="1">
      <c r="A11092" s="59" t="s">
        <v>2875</v>
      </c>
      <c r="B11092" s="60" t="s">
        <v>857</v>
      </c>
    </row>
    <row r="11093" ht="12.75" customHeight="1">
      <c r="A11093" s="59" t="s">
        <v>2875</v>
      </c>
      <c r="B11093" s="60" t="s">
        <v>858</v>
      </c>
    </row>
    <row r="11094" ht="12.75" customHeight="1">
      <c r="A11094" s="59" t="s">
        <v>2875</v>
      </c>
      <c r="B11094" s="60" t="s">
        <v>859</v>
      </c>
    </row>
    <row r="11095" ht="12.75" customHeight="1">
      <c r="A11095" s="59" t="s">
        <v>2875</v>
      </c>
      <c r="B11095" s="60" t="s">
        <v>860</v>
      </c>
    </row>
    <row r="11096" ht="12.75" customHeight="1">
      <c r="A11096" s="59" t="s">
        <v>2875</v>
      </c>
      <c r="B11096" s="60" t="s">
        <v>861</v>
      </c>
    </row>
    <row r="11097" ht="12.75" customHeight="1">
      <c r="A11097" s="59" t="s">
        <v>2875</v>
      </c>
      <c r="B11097" s="60" t="s">
        <v>862</v>
      </c>
    </row>
    <row r="11098" ht="12.75" customHeight="1">
      <c r="A11098" s="59" t="s">
        <v>2875</v>
      </c>
      <c r="B11098" s="60" t="s">
        <v>863</v>
      </c>
    </row>
    <row r="11099" ht="12.75" customHeight="1">
      <c r="A11099" s="59" t="s">
        <v>2875</v>
      </c>
      <c r="B11099" s="60" t="s">
        <v>864</v>
      </c>
    </row>
    <row r="11100" ht="12.75" customHeight="1">
      <c r="A11100" s="59" t="s">
        <v>2875</v>
      </c>
      <c r="B11100" s="60" t="s">
        <v>865</v>
      </c>
    </row>
    <row r="11101" ht="12.75" customHeight="1">
      <c r="A11101" s="59" t="s">
        <v>2875</v>
      </c>
      <c r="B11101" s="60" t="s">
        <v>866</v>
      </c>
    </row>
    <row r="11102" ht="12.75" customHeight="1">
      <c r="A11102" s="59" t="s">
        <v>2875</v>
      </c>
      <c r="B11102" s="60" t="s">
        <v>867</v>
      </c>
    </row>
    <row r="11103" ht="12.75" customHeight="1">
      <c r="A11103" s="59" t="s">
        <v>2875</v>
      </c>
      <c r="B11103" s="60" t="s">
        <v>868</v>
      </c>
    </row>
    <row r="11104" ht="12.75" customHeight="1">
      <c r="A11104" s="59" t="s">
        <v>2875</v>
      </c>
      <c r="B11104" s="60" t="s">
        <v>869</v>
      </c>
    </row>
    <row r="11105" ht="12.75" customHeight="1">
      <c r="A11105" s="59" t="s">
        <v>2875</v>
      </c>
      <c r="B11105" s="60" t="s">
        <v>870</v>
      </c>
    </row>
    <row r="11106" ht="12.75" customHeight="1">
      <c r="A11106" s="59" t="s">
        <v>2875</v>
      </c>
      <c r="B11106" s="60" t="s">
        <v>871</v>
      </c>
    </row>
    <row r="11107" ht="12.75" customHeight="1">
      <c r="A11107" s="59" t="s">
        <v>2875</v>
      </c>
      <c r="B11107" s="60" t="s">
        <v>872</v>
      </c>
    </row>
    <row r="11108" ht="12.75" customHeight="1">
      <c r="A11108" s="59" t="s">
        <v>2875</v>
      </c>
      <c r="B11108" s="60" t="s">
        <v>873</v>
      </c>
    </row>
    <row r="11109" ht="12.75" customHeight="1">
      <c r="A11109" s="59" t="s">
        <v>2875</v>
      </c>
      <c r="B11109" s="60" t="s">
        <v>874</v>
      </c>
    </row>
    <row r="11110" ht="12.75" customHeight="1">
      <c r="A11110" s="59" t="s">
        <v>2875</v>
      </c>
      <c r="B11110" s="60" t="s">
        <v>875</v>
      </c>
    </row>
    <row r="11111" ht="12.75" customHeight="1">
      <c r="A11111" s="59" t="s">
        <v>2875</v>
      </c>
      <c r="B11111" s="60" t="s">
        <v>876</v>
      </c>
    </row>
    <row r="11112" ht="12.75" customHeight="1">
      <c r="A11112" s="59" t="s">
        <v>2875</v>
      </c>
      <c r="B11112" s="60" t="s">
        <v>877</v>
      </c>
    </row>
    <row r="11113" ht="12.75" customHeight="1">
      <c r="A11113" s="59" t="s">
        <v>2875</v>
      </c>
      <c r="B11113" s="60" t="s">
        <v>878</v>
      </c>
    </row>
    <row r="11114" ht="12.75" customHeight="1">
      <c r="A11114" s="59" t="s">
        <v>2875</v>
      </c>
      <c r="B11114" s="60" t="s">
        <v>879</v>
      </c>
    </row>
    <row r="11115" ht="12.75" customHeight="1">
      <c r="A11115" s="59" t="s">
        <v>2875</v>
      </c>
      <c r="B11115" s="60" t="s">
        <v>880</v>
      </c>
    </row>
    <row r="11116" ht="12.75" customHeight="1">
      <c r="A11116" s="59" t="s">
        <v>2875</v>
      </c>
      <c r="B11116" s="60" t="s">
        <v>881</v>
      </c>
    </row>
    <row r="11117" ht="12.75" customHeight="1">
      <c r="A11117" s="59" t="s">
        <v>2875</v>
      </c>
      <c r="B11117" s="60" t="s">
        <v>882</v>
      </c>
    </row>
    <row r="11118" ht="12.75" customHeight="1">
      <c r="A11118" s="59" t="s">
        <v>2875</v>
      </c>
      <c r="B11118" s="60" t="s">
        <v>883</v>
      </c>
    </row>
    <row r="11119" ht="12.75" customHeight="1">
      <c r="A11119" s="59" t="s">
        <v>2875</v>
      </c>
      <c r="B11119" s="60" t="s">
        <v>884</v>
      </c>
    </row>
    <row r="11120" ht="12.75" customHeight="1">
      <c r="A11120" s="59" t="s">
        <v>2875</v>
      </c>
      <c r="B11120" s="60" t="s">
        <v>885</v>
      </c>
    </row>
    <row r="11121" ht="12.75" customHeight="1">
      <c r="A11121" s="59" t="s">
        <v>2875</v>
      </c>
      <c r="B11121" s="60" t="s">
        <v>886</v>
      </c>
    </row>
    <row r="11122" ht="12.75" customHeight="1">
      <c r="A11122" s="59" t="s">
        <v>2875</v>
      </c>
      <c r="B11122" s="60" t="s">
        <v>887</v>
      </c>
    </row>
    <row r="11123" ht="12.75" customHeight="1">
      <c r="A11123" s="59" t="s">
        <v>2875</v>
      </c>
      <c r="B11123" s="60" t="s">
        <v>888</v>
      </c>
    </row>
    <row r="11124" ht="12.75" customHeight="1">
      <c r="A11124" s="59" t="s">
        <v>2875</v>
      </c>
      <c r="B11124" s="60" t="s">
        <v>889</v>
      </c>
    </row>
    <row r="11125" ht="12.75" customHeight="1">
      <c r="A11125" s="59" t="s">
        <v>2875</v>
      </c>
      <c r="B11125" s="60" t="s">
        <v>890</v>
      </c>
    </row>
    <row r="11126" ht="12.75" customHeight="1">
      <c r="A11126" s="59" t="s">
        <v>2875</v>
      </c>
      <c r="B11126" s="60" t="s">
        <v>891</v>
      </c>
    </row>
    <row r="11127" ht="12.75" customHeight="1">
      <c r="A11127" s="59" t="s">
        <v>2875</v>
      </c>
      <c r="B11127" s="60" t="s">
        <v>892</v>
      </c>
    </row>
    <row r="11128" ht="12.75" customHeight="1">
      <c r="A11128" s="59" t="s">
        <v>2875</v>
      </c>
      <c r="B11128" s="60" t="s">
        <v>893</v>
      </c>
    </row>
    <row r="11129" ht="12.75" customHeight="1">
      <c r="A11129" s="59" t="s">
        <v>2875</v>
      </c>
      <c r="B11129" s="60" t="s">
        <v>894</v>
      </c>
    </row>
    <row r="11130" ht="12.75" customHeight="1">
      <c r="A11130" s="59" t="s">
        <v>2875</v>
      </c>
      <c r="B11130" s="60" t="s">
        <v>895</v>
      </c>
    </row>
    <row r="11131" ht="12.75" customHeight="1">
      <c r="A11131" s="59" t="s">
        <v>2875</v>
      </c>
      <c r="B11131" s="60" t="s">
        <v>896</v>
      </c>
    </row>
    <row r="11132" ht="12.75" customHeight="1">
      <c r="A11132" s="59" t="s">
        <v>2875</v>
      </c>
      <c r="B11132" s="60" t="s">
        <v>897</v>
      </c>
    </row>
    <row r="11133" ht="12.75" customHeight="1">
      <c r="A11133" s="59" t="s">
        <v>2875</v>
      </c>
      <c r="B11133" s="60" t="s">
        <v>898</v>
      </c>
    </row>
    <row r="11134" ht="12.75" customHeight="1">
      <c r="A11134" s="59" t="s">
        <v>2875</v>
      </c>
      <c r="B11134" s="60" t="s">
        <v>899</v>
      </c>
    </row>
    <row r="11135" ht="12.75" customHeight="1">
      <c r="A11135" s="59" t="s">
        <v>2875</v>
      </c>
      <c r="B11135" s="60" t="s">
        <v>900</v>
      </c>
    </row>
    <row r="11136" ht="12.75" customHeight="1">
      <c r="A11136" s="59" t="s">
        <v>2875</v>
      </c>
      <c r="B11136" s="60" t="s">
        <v>901</v>
      </c>
    </row>
    <row r="11137" ht="12.75" customHeight="1">
      <c r="A11137" s="59" t="s">
        <v>2875</v>
      </c>
      <c r="B11137" s="60" t="s">
        <v>902</v>
      </c>
    </row>
    <row r="11138" ht="12.75" customHeight="1">
      <c r="A11138" s="59" t="s">
        <v>2875</v>
      </c>
      <c r="B11138" s="60" t="s">
        <v>903</v>
      </c>
    </row>
    <row r="11139" ht="12.75" customHeight="1">
      <c r="A11139" s="59" t="s">
        <v>2875</v>
      </c>
      <c r="B11139" s="60" t="s">
        <v>904</v>
      </c>
    </row>
    <row r="11140" ht="12.75" customHeight="1">
      <c r="A11140" s="59" t="s">
        <v>2875</v>
      </c>
      <c r="B11140" s="60" t="s">
        <v>905</v>
      </c>
    </row>
    <row r="11141" ht="12.75" customHeight="1">
      <c r="A11141" s="59" t="s">
        <v>2875</v>
      </c>
      <c r="B11141" s="60" t="s">
        <v>906</v>
      </c>
    </row>
    <row r="11142" ht="12.75" customHeight="1">
      <c r="A11142" s="59" t="s">
        <v>2875</v>
      </c>
      <c r="B11142" s="60" t="s">
        <v>907</v>
      </c>
    </row>
    <row r="11143" ht="12.75" customHeight="1">
      <c r="A11143" s="59" t="s">
        <v>2875</v>
      </c>
      <c r="B11143" s="60" t="s">
        <v>908</v>
      </c>
    </row>
    <row r="11144" ht="12.75" customHeight="1">
      <c r="A11144" s="59" t="s">
        <v>2875</v>
      </c>
      <c r="B11144" s="60" t="s">
        <v>909</v>
      </c>
    </row>
    <row r="11145" ht="12.75" customHeight="1">
      <c r="A11145" s="59" t="s">
        <v>2875</v>
      </c>
      <c r="B11145" s="60" t="s">
        <v>910</v>
      </c>
    </row>
    <row r="11146" ht="12.75" customHeight="1">
      <c r="A11146" s="59" t="s">
        <v>2875</v>
      </c>
      <c r="B11146" s="60" t="s">
        <v>911</v>
      </c>
    </row>
    <row r="11147" ht="12.75" customHeight="1">
      <c r="A11147" s="59" t="s">
        <v>2875</v>
      </c>
      <c r="B11147" s="60" t="s">
        <v>912</v>
      </c>
    </row>
    <row r="11148" ht="12.75" customHeight="1">
      <c r="A11148" s="59" t="s">
        <v>2875</v>
      </c>
      <c r="B11148" s="60" t="s">
        <v>913</v>
      </c>
    </row>
    <row r="11149" ht="12.75" customHeight="1">
      <c r="A11149" s="59" t="s">
        <v>2875</v>
      </c>
      <c r="B11149" s="60" t="s">
        <v>914</v>
      </c>
    </row>
    <row r="11150" ht="12.75" customHeight="1">
      <c r="A11150" s="59" t="s">
        <v>2875</v>
      </c>
      <c r="B11150" s="60" t="s">
        <v>915</v>
      </c>
    </row>
    <row r="11151" ht="12.75" customHeight="1">
      <c r="A11151" s="59" t="s">
        <v>2875</v>
      </c>
      <c r="B11151" s="60" t="s">
        <v>916</v>
      </c>
    </row>
    <row r="11152" ht="12.75" customHeight="1">
      <c r="A11152" s="59" t="s">
        <v>2875</v>
      </c>
      <c r="B11152" s="60" t="s">
        <v>917</v>
      </c>
    </row>
    <row r="11153" ht="12.75" customHeight="1">
      <c r="A11153" s="59" t="s">
        <v>2875</v>
      </c>
      <c r="B11153" s="60" t="s">
        <v>918</v>
      </c>
    </row>
    <row r="11154" ht="12.75" customHeight="1">
      <c r="A11154" s="59" t="s">
        <v>2875</v>
      </c>
      <c r="B11154" s="60" t="s">
        <v>919</v>
      </c>
    </row>
    <row r="11155" ht="12.75" customHeight="1">
      <c r="A11155" s="59" t="s">
        <v>2875</v>
      </c>
      <c r="B11155" s="60" t="s">
        <v>920</v>
      </c>
    </row>
    <row r="11156" ht="12.75" customHeight="1">
      <c r="A11156" s="59" t="s">
        <v>2875</v>
      </c>
      <c r="B11156" s="60" t="s">
        <v>921</v>
      </c>
    </row>
    <row r="11157" ht="12.75" customHeight="1">
      <c r="A11157" s="59" t="s">
        <v>2875</v>
      </c>
      <c r="B11157" s="60" t="s">
        <v>922</v>
      </c>
    </row>
    <row r="11158" ht="12.75" customHeight="1">
      <c r="A11158" s="59" t="s">
        <v>2875</v>
      </c>
      <c r="B11158" s="60" t="s">
        <v>923</v>
      </c>
    </row>
    <row r="11159" ht="12.75" customHeight="1">
      <c r="A11159" s="59" t="s">
        <v>2875</v>
      </c>
      <c r="B11159" s="60" t="s">
        <v>924</v>
      </c>
    </row>
    <row r="11160" ht="12.75" customHeight="1">
      <c r="A11160" s="59" t="s">
        <v>2875</v>
      </c>
      <c r="B11160" s="60" t="s">
        <v>925</v>
      </c>
    </row>
    <row r="11161" ht="12.75" customHeight="1">
      <c r="A11161" s="59" t="s">
        <v>2875</v>
      </c>
      <c r="B11161" s="60" t="s">
        <v>926</v>
      </c>
    </row>
    <row r="11162" ht="12.75" customHeight="1">
      <c r="A11162" s="59" t="s">
        <v>2875</v>
      </c>
      <c r="B11162" s="60" t="s">
        <v>927</v>
      </c>
    </row>
    <row r="11163" ht="12.75" customHeight="1">
      <c r="A11163" s="59" t="s">
        <v>2875</v>
      </c>
      <c r="B11163" s="60" t="s">
        <v>928</v>
      </c>
    </row>
    <row r="11164" ht="12.75" customHeight="1">
      <c r="A11164" s="59" t="s">
        <v>2875</v>
      </c>
      <c r="B11164" s="60" t="s">
        <v>929</v>
      </c>
    </row>
    <row r="11165" ht="12.75" customHeight="1">
      <c r="A11165" s="59" t="s">
        <v>2875</v>
      </c>
      <c r="B11165" s="60" t="s">
        <v>930</v>
      </c>
    </row>
    <row r="11166" ht="12.75" customHeight="1">
      <c r="A11166" s="59" t="s">
        <v>2875</v>
      </c>
      <c r="B11166" s="60" t="s">
        <v>931</v>
      </c>
    </row>
    <row r="11167" ht="12.75" customHeight="1">
      <c r="A11167" s="59" t="s">
        <v>2875</v>
      </c>
      <c r="B11167" s="60" t="s">
        <v>932</v>
      </c>
    </row>
    <row r="11168" ht="12.75" customHeight="1">
      <c r="A11168" s="59" t="s">
        <v>2875</v>
      </c>
      <c r="B11168" s="60" t="s">
        <v>933</v>
      </c>
    </row>
    <row r="11169" ht="12.75" customHeight="1">
      <c r="A11169" s="59" t="s">
        <v>2875</v>
      </c>
      <c r="B11169" s="60" t="s">
        <v>934</v>
      </c>
    </row>
    <row r="11170" ht="12.75" customHeight="1">
      <c r="A11170" s="59" t="s">
        <v>2875</v>
      </c>
      <c r="B11170" s="60" t="s">
        <v>935</v>
      </c>
    </row>
    <row r="11171" ht="12.75" customHeight="1">
      <c r="A11171" s="59" t="s">
        <v>2875</v>
      </c>
      <c r="B11171" s="60" t="s">
        <v>936</v>
      </c>
    </row>
    <row r="11172" ht="12.75" customHeight="1">
      <c r="A11172" s="59" t="s">
        <v>2875</v>
      </c>
      <c r="B11172" s="60" t="s">
        <v>937</v>
      </c>
    </row>
    <row r="11173" ht="12.75" customHeight="1">
      <c r="A11173" s="59" t="s">
        <v>2875</v>
      </c>
      <c r="B11173" s="60" t="s">
        <v>938</v>
      </c>
    </row>
    <row r="11174" ht="12.75" customHeight="1">
      <c r="A11174" s="59" t="s">
        <v>2875</v>
      </c>
      <c r="B11174" s="60" t="s">
        <v>939</v>
      </c>
    </row>
    <row r="11175" ht="12.75" customHeight="1">
      <c r="A11175" s="59" t="s">
        <v>2875</v>
      </c>
      <c r="B11175" s="60" t="s">
        <v>940</v>
      </c>
    </row>
    <row r="11176" ht="12.75" customHeight="1">
      <c r="A11176" s="59" t="s">
        <v>2875</v>
      </c>
      <c r="B11176" s="60" t="s">
        <v>941</v>
      </c>
    </row>
    <row r="11177" ht="12.75" customHeight="1">
      <c r="A11177" s="59" t="s">
        <v>2875</v>
      </c>
      <c r="B11177" s="60" t="s">
        <v>942</v>
      </c>
    </row>
    <row r="11178" ht="12.75" customHeight="1">
      <c r="A11178" s="59" t="s">
        <v>2875</v>
      </c>
      <c r="B11178" s="60" t="s">
        <v>943</v>
      </c>
    </row>
    <row r="11179" ht="12.75" customHeight="1">
      <c r="A11179" s="59" t="s">
        <v>2875</v>
      </c>
      <c r="B11179" s="60" t="s">
        <v>944</v>
      </c>
    </row>
    <row r="11180" ht="12.75" customHeight="1">
      <c r="A11180" s="59" t="s">
        <v>2875</v>
      </c>
      <c r="B11180" s="60" t="s">
        <v>945</v>
      </c>
    </row>
    <row r="11181" ht="12.75" customHeight="1">
      <c r="A11181" s="59" t="s">
        <v>2875</v>
      </c>
      <c r="B11181" s="60" t="s">
        <v>946</v>
      </c>
    </row>
    <row r="11182" ht="12.75" customHeight="1">
      <c r="A11182" s="59" t="s">
        <v>2875</v>
      </c>
      <c r="B11182" s="60" t="s">
        <v>947</v>
      </c>
    </row>
    <row r="11183" ht="12.75" customHeight="1">
      <c r="A11183" s="59" t="s">
        <v>2875</v>
      </c>
      <c r="B11183" s="60" t="s">
        <v>948</v>
      </c>
    </row>
    <row r="11184" ht="12.75" customHeight="1">
      <c r="A11184" s="59" t="s">
        <v>2875</v>
      </c>
      <c r="B11184" s="60" t="s">
        <v>949</v>
      </c>
    </row>
    <row r="11185" ht="12.75" customHeight="1">
      <c r="A11185" s="59" t="s">
        <v>2875</v>
      </c>
      <c r="B11185" s="60" t="s">
        <v>950</v>
      </c>
    </row>
    <row r="11186" ht="12.75" customHeight="1">
      <c r="A11186" s="59" t="s">
        <v>2875</v>
      </c>
      <c r="B11186" s="60" t="s">
        <v>951</v>
      </c>
    </row>
    <row r="11187" ht="12.75" customHeight="1">
      <c r="A11187" s="59" t="s">
        <v>2875</v>
      </c>
      <c r="B11187" s="60" t="s">
        <v>952</v>
      </c>
    </row>
    <row r="11188" ht="12.75" customHeight="1">
      <c r="A11188" s="59" t="s">
        <v>2875</v>
      </c>
      <c r="B11188" s="60" t="s">
        <v>953</v>
      </c>
    </row>
    <row r="11189" ht="12.75" customHeight="1">
      <c r="A11189" s="59" t="s">
        <v>2875</v>
      </c>
      <c r="B11189" s="60" t="s">
        <v>954</v>
      </c>
    </row>
    <row r="11190" ht="12.75" customHeight="1">
      <c r="A11190" s="59" t="s">
        <v>2875</v>
      </c>
      <c r="B11190" s="60" t="s">
        <v>955</v>
      </c>
    </row>
    <row r="11191" ht="12.75" customHeight="1">
      <c r="A11191" s="59" t="s">
        <v>2875</v>
      </c>
      <c r="B11191" s="60" t="s">
        <v>956</v>
      </c>
    </row>
    <row r="11192" ht="12.75" customHeight="1">
      <c r="A11192" s="59" t="s">
        <v>2875</v>
      </c>
      <c r="B11192" s="60" t="s">
        <v>957</v>
      </c>
    </row>
    <row r="11193" ht="12.75" customHeight="1">
      <c r="A11193" s="59" t="s">
        <v>2875</v>
      </c>
      <c r="B11193" s="60" t="s">
        <v>958</v>
      </c>
    </row>
    <row r="11194" ht="12.75" customHeight="1">
      <c r="A11194" s="59" t="s">
        <v>2875</v>
      </c>
      <c r="B11194" s="60" t="s">
        <v>959</v>
      </c>
    </row>
    <row r="11195" ht="12.75" customHeight="1">
      <c r="A11195" s="59" t="s">
        <v>2875</v>
      </c>
      <c r="B11195" s="60" t="s">
        <v>960</v>
      </c>
    </row>
    <row r="11196" ht="12.75" customHeight="1">
      <c r="A11196" s="59" t="s">
        <v>2875</v>
      </c>
      <c r="B11196" s="60" t="s">
        <v>961</v>
      </c>
    </row>
    <row r="11197" ht="12.75" customHeight="1">
      <c r="A11197" s="59" t="s">
        <v>2875</v>
      </c>
      <c r="B11197" s="60" t="s">
        <v>962</v>
      </c>
    </row>
    <row r="11198" ht="12.75" customHeight="1">
      <c r="A11198" s="59" t="s">
        <v>2875</v>
      </c>
      <c r="B11198" s="60" t="s">
        <v>963</v>
      </c>
    </row>
    <row r="11199" ht="12.75" customHeight="1">
      <c r="A11199" s="59" t="s">
        <v>2875</v>
      </c>
      <c r="B11199" s="60" t="s">
        <v>964</v>
      </c>
    </row>
    <row r="11200" ht="12.75" customHeight="1">
      <c r="A11200" s="59" t="s">
        <v>2875</v>
      </c>
      <c r="B11200" s="60" t="s">
        <v>965</v>
      </c>
    </row>
    <row r="11201" ht="12.75" customHeight="1">
      <c r="A11201" s="59" t="s">
        <v>2875</v>
      </c>
      <c r="B11201" s="60" t="s">
        <v>966</v>
      </c>
    </row>
    <row r="11202" ht="12.75" customHeight="1">
      <c r="A11202" s="59" t="s">
        <v>2875</v>
      </c>
      <c r="B11202" s="60" t="s">
        <v>967</v>
      </c>
    </row>
    <row r="11203" ht="12.75" customHeight="1">
      <c r="A11203" s="59" t="s">
        <v>2875</v>
      </c>
      <c r="B11203" s="60" t="s">
        <v>968</v>
      </c>
    </row>
    <row r="11204" ht="12.75" customHeight="1">
      <c r="A11204" s="59" t="s">
        <v>2875</v>
      </c>
      <c r="B11204" s="60" t="s">
        <v>969</v>
      </c>
    </row>
    <row r="11205" ht="12.75" customHeight="1">
      <c r="A11205" s="59" t="s">
        <v>2875</v>
      </c>
      <c r="B11205" s="60" t="s">
        <v>970</v>
      </c>
    </row>
    <row r="11206" ht="12.75" customHeight="1">
      <c r="A11206" s="59" t="s">
        <v>2875</v>
      </c>
      <c r="B11206" s="60" t="s">
        <v>971</v>
      </c>
    </row>
    <row r="11207" ht="12.75" customHeight="1">
      <c r="A11207" s="59" t="s">
        <v>2875</v>
      </c>
      <c r="B11207" s="60" t="s">
        <v>972</v>
      </c>
    </row>
    <row r="11208" ht="12.75" customHeight="1">
      <c r="A11208" s="59" t="s">
        <v>2875</v>
      </c>
      <c r="B11208" s="60" t="s">
        <v>973</v>
      </c>
    </row>
    <row r="11209" ht="12.75" customHeight="1">
      <c r="A11209" s="59" t="s">
        <v>2875</v>
      </c>
      <c r="B11209" s="60" t="s">
        <v>974</v>
      </c>
    </row>
    <row r="11210" ht="12.75" customHeight="1">
      <c r="A11210" s="59" t="s">
        <v>2875</v>
      </c>
      <c r="B11210" s="60" t="s">
        <v>975</v>
      </c>
    </row>
    <row r="11211" ht="12.75" customHeight="1">
      <c r="A11211" s="59" t="s">
        <v>2875</v>
      </c>
      <c r="B11211" s="60" t="s">
        <v>976</v>
      </c>
    </row>
    <row r="11212" ht="12.75" customHeight="1">
      <c r="A11212" s="59" t="s">
        <v>2875</v>
      </c>
      <c r="B11212" s="60" t="s">
        <v>977</v>
      </c>
    </row>
    <row r="11213" ht="12.75" customHeight="1">
      <c r="A11213" s="59" t="s">
        <v>2875</v>
      </c>
      <c r="B11213" s="60" t="s">
        <v>978</v>
      </c>
    </row>
    <row r="11214" ht="12.75" customHeight="1">
      <c r="A11214" s="59" t="s">
        <v>2875</v>
      </c>
      <c r="B11214" s="60" t="s">
        <v>979</v>
      </c>
    </row>
    <row r="11215" ht="12.75" customHeight="1">
      <c r="A11215" s="59" t="s">
        <v>2875</v>
      </c>
      <c r="B11215" s="60" t="s">
        <v>980</v>
      </c>
    </row>
    <row r="11216" ht="12.75" customHeight="1">
      <c r="A11216" s="59" t="s">
        <v>2875</v>
      </c>
      <c r="B11216" s="60" t="s">
        <v>981</v>
      </c>
    </row>
    <row r="11217" ht="12.75" customHeight="1">
      <c r="A11217" s="59" t="s">
        <v>2875</v>
      </c>
      <c r="B11217" s="60" t="s">
        <v>982</v>
      </c>
    </row>
    <row r="11218" ht="12.75" customHeight="1">
      <c r="A11218" s="59" t="s">
        <v>2875</v>
      </c>
      <c r="B11218" s="60" t="s">
        <v>983</v>
      </c>
    </row>
    <row r="11219" ht="12.75" customHeight="1">
      <c r="A11219" s="59" t="s">
        <v>2875</v>
      </c>
      <c r="B11219" s="60" t="s">
        <v>984</v>
      </c>
    </row>
    <row r="11220" ht="12.75" customHeight="1">
      <c r="A11220" s="59" t="s">
        <v>2875</v>
      </c>
      <c r="B11220" s="60" t="s">
        <v>985</v>
      </c>
    </row>
    <row r="11221" ht="12.75" customHeight="1">
      <c r="A11221" s="59" t="s">
        <v>2875</v>
      </c>
      <c r="B11221" s="60" t="s">
        <v>986</v>
      </c>
    </row>
    <row r="11222" ht="12.75" customHeight="1">
      <c r="A11222" s="59" t="s">
        <v>2875</v>
      </c>
      <c r="B11222" s="60" t="s">
        <v>987</v>
      </c>
    </row>
    <row r="11223" ht="12.75" customHeight="1">
      <c r="A11223" s="59" t="s">
        <v>2875</v>
      </c>
      <c r="B11223" s="60" t="s">
        <v>988</v>
      </c>
    </row>
    <row r="11224" ht="12.75" customHeight="1">
      <c r="A11224" s="59" t="s">
        <v>2875</v>
      </c>
      <c r="B11224" s="60" t="s">
        <v>989</v>
      </c>
    </row>
    <row r="11225" ht="12.75" customHeight="1">
      <c r="A11225" s="59" t="s">
        <v>2875</v>
      </c>
      <c r="B11225" s="60" t="s">
        <v>990</v>
      </c>
    </row>
    <row r="11226" ht="12.75" customHeight="1">
      <c r="A11226" s="59" t="s">
        <v>2875</v>
      </c>
      <c r="B11226" s="60" t="s">
        <v>991</v>
      </c>
    </row>
    <row r="11227" ht="12.75" customHeight="1">
      <c r="A11227" s="59" t="s">
        <v>2875</v>
      </c>
      <c r="B11227" s="60" t="s">
        <v>992</v>
      </c>
    </row>
    <row r="11228" ht="12.75" customHeight="1">
      <c r="A11228" s="59" t="s">
        <v>2875</v>
      </c>
      <c r="B11228" s="60" t="s">
        <v>993</v>
      </c>
    </row>
    <row r="11229" ht="12.75" customHeight="1">
      <c r="A11229" s="59" t="s">
        <v>2875</v>
      </c>
      <c r="B11229" s="60" t="s">
        <v>994</v>
      </c>
    </row>
    <row r="11230" ht="12.75" customHeight="1">
      <c r="A11230" s="59" t="s">
        <v>2875</v>
      </c>
      <c r="B11230" s="60" t="s">
        <v>995</v>
      </c>
    </row>
    <row r="11231" ht="12.75" customHeight="1">
      <c r="A11231" s="59" t="s">
        <v>2875</v>
      </c>
      <c r="B11231" s="60" t="s">
        <v>996</v>
      </c>
    </row>
    <row r="11232" ht="12.75" customHeight="1">
      <c r="A11232" s="59" t="s">
        <v>2875</v>
      </c>
      <c r="B11232" s="60" t="s">
        <v>997</v>
      </c>
    </row>
    <row r="11233" ht="12.75" customHeight="1">
      <c r="A11233" s="59" t="s">
        <v>2875</v>
      </c>
      <c r="B11233" s="60" t="s">
        <v>998</v>
      </c>
    </row>
    <row r="11234" ht="12.75" customHeight="1">
      <c r="A11234" s="59" t="s">
        <v>2875</v>
      </c>
      <c r="B11234" s="60" t="s">
        <v>999</v>
      </c>
    </row>
    <row r="11235" ht="12.75" customHeight="1">
      <c r="A11235" s="59" t="s">
        <v>2875</v>
      </c>
      <c r="B11235" s="60" t="s">
        <v>1000</v>
      </c>
    </row>
    <row r="11236" ht="12.75" customHeight="1">
      <c r="A11236" s="59" t="s">
        <v>2875</v>
      </c>
      <c r="B11236" s="60" t="s">
        <v>1001</v>
      </c>
    </row>
    <row r="11237" ht="12.75" customHeight="1">
      <c r="A11237" s="59" t="s">
        <v>2875</v>
      </c>
      <c r="B11237" s="60" t="s">
        <v>1002</v>
      </c>
    </row>
    <row r="11238" ht="12.75" customHeight="1">
      <c r="A11238" s="59" t="s">
        <v>2875</v>
      </c>
      <c r="B11238" s="60" t="s">
        <v>1003</v>
      </c>
    </row>
    <row r="11239" ht="12.75" customHeight="1">
      <c r="A11239" s="59" t="s">
        <v>2875</v>
      </c>
      <c r="B11239" s="60" t="s">
        <v>1004</v>
      </c>
    </row>
    <row r="11240" ht="12.75" customHeight="1">
      <c r="A11240" s="59" t="s">
        <v>2875</v>
      </c>
      <c r="B11240" s="60" t="s">
        <v>1005</v>
      </c>
    </row>
    <row r="11241" ht="12.75" customHeight="1">
      <c r="A11241" s="59" t="s">
        <v>2875</v>
      </c>
      <c r="B11241" s="60" t="s">
        <v>1006</v>
      </c>
    </row>
    <row r="11242" ht="12.75" customHeight="1">
      <c r="A11242" s="59" t="s">
        <v>2875</v>
      </c>
      <c r="B11242" s="60" t="s">
        <v>1007</v>
      </c>
    </row>
    <row r="11243" ht="12.75" customHeight="1">
      <c r="A11243" s="59" t="s">
        <v>2875</v>
      </c>
      <c r="B11243" s="60" t="s">
        <v>1008</v>
      </c>
    </row>
    <row r="11244" ht="12.75" customHeight="1">
      <c r="A11244" s="59" t="s">
        <v>2875</v>
      </c>
      <c r="B11244" s="60" t="s">
        <v>1009</v>
      </c>
    </row>
    <row r="11245" ht="12.75" customHeight="1">
      <c r="A11245" s="59" t="s">
        <v>2875</v>
      </c>
      <c r="B11245" s="60" t="s">
        <v>1010</v>
      </c>
    </row>
    <row r="11246" ht="12.75" customHeight="1">
      <c r="A11246" s="59" t="s">
        <v>2875</v>
      </c>
      <c r="B11246" s="60" t="s">
        <v>1011</v>
      </c>
    </row>
    <row r="11247" ht="12.75" customHeight="1">
      <c r="A11247" s="59" t="s">
        <v>2875</v>
      </c>
      <c r="B11247" s="60" t="s">
        <v>1012</v>
      </c>
    </row>
    <row r="11248" ht="12.75" customHeight="1">
      <c r="A11248" s="59" t="s">
        <v>2875</v>
      </c>
      <c r="B11248" s="60" t="s">
        <v>1013</v>
      </c>
    </row>
    <row r="11249" ht="12.75" customHeight="1">
      <c r="A11249" s="59" t="s">
        <v>2875</v>
      </c>
      <c r="B11249" s="60" t="s">
        <v>1014</v>
      </c>
    </row>
    <row r="11250" ht="12.75" customHeight="1">
      <c r="A11250" s="59" t="s">
        <v>2875</v>
      </c>
      <c r="B11250" s="60" t="s">
        <v>1015</v>
      </c>
    </row>
    <row r="11251" ht="12.75" customHeight="1">
      <c r="A11251" s="59" t="s">
        <v>2875</v>
      </c>
      <c r="B11251" s="60" t="s">
        <v>1016</v>
      </c>
    </row>
    <row r="11252" ht="12.75" customHeight="1">
      <c r="A11252" s="59" t="s">
        <v>2875</v>
      </c>
      <c r="B11252" s="60" t="s">
        <v>1017</v>
      </c>
    </row>
    <row r="11253" ht="12.75" customHeight="1">
      <c r="A11253" s="59" t="s">
        <v>2875</v>
      </c>
      <c r="B11253" s="60" t="s">
        <v>1018</v>
      </c>
    </row>
    <row r="11254" ht="12.75" customHeight="1">
      <c r="A11254" s="59" t="s">
        <v>2875</v>
      </c>
      <c r="B11254" s="60" t="s">
        <v>1019</v>
      </c>
    </row>
    <row r="11255" ht="12.75" customHeight="1">
      <c r="A11255" s="59" t="s">
        <v>2875</v>
      </c>
      <c r="B11255" s="60" t="s">
        <v>1020</v>
      </c>
    </row>
    <row r="11256" ht="12.75" customHeight="1">
      <c r="A11256" s="59" t="s">
        <v>2875</v>
      </c>
      <c r="B11256" s="60" t="s">
        <v>1021</v>
      </c>
    </row>
    <row r="11257" ht="12.75" customHeight="1">
      <c r="A11257" s="59" t="s">
        <v>2875</v>
      </c>
      <c r="B11257" s="60" t="s">
        <v>1022</v>
      </c>
    </row>
    <row r="11258" ht="12.75" customHeight="1">
      <c r="A11258" s="59" t="s">
        <v>2875</v>
      </c>
      <c r="B11258" s="60" t="s">
        <v>1023</v>
      </c>
    </row>
    <row r="11259" ht="12.75" customHeight="1">
      <c r="A11259" s="59" t="s">
        <v>2875</v>
      </c>
      <c r="B11259" s="60" t="s">
        <v>1024</v>
      </c>
    </row>
    <row r="11260" ht="12.75" customHeight="1">
      <c r="A11260" s="59" t="s">
        <v>2875</v>
      </c>
      <c r="B11260" s="60" t="s">
        <v>1025</v>
      </c>
    </row>
    <row r="11261" ht="12.75" customHeight="1">
      <c r="A11261" s="59" t="s">
        <v>2875</v>
      </c>
      <c r="B11261" s="60" t="s">
        <v>1026</v>
      </c>
    </row>
    <row r="11262" ht="12.75" customHeight="1">
      <c r="A11262" s="59" t="s">
        <v>2875</v>
      </c>
      <c r="B11262" s="60" t="s">
        <v>1027</v>
      </c>
    </row>
    <row r="11263" ht="12.75" customHeight="1">
      <c r="A11263" s="59" t="s">
        <v>2875</v>
      </c>
      <c r="B11263" s="60" t="s">
        <v>1028</v>
      </c>
    </row>
    <row r="11264" ht="12.75" customHeight="1">
      <c r="A11264" s="59" t="s">
        <v>2875</v>
      </c>
      <c r="B11264" s="60" t="s">
        <v>1029</v>
      </c>
    </row>
    <row r="11265" ht="12.75" customHeight="1">
      <c r="A11265" s="59" t="s">
        <v>2875</v>
      </c>
      <c r="B11265" s="60" t="s">
        <v>1030</v>
      </c>
    </row>
    <row r="11266" ht="12.75" customHeight="1">
      <c r="A11266" s="59" t="s">
        <v>2875</v>
      </c>
      <c r="B11266" s="60" t="s">
        <v>1031</v>
      </c>
    </row>
    <row r="11267" ht="12.75" customHeight="1">
      <c r="A11267" s="59" t="s">
        <v>2875</v>
      </c>
      <c r="B11267" s="60" t="s">
        <v>1032</v>
      </c>
    </row>
    <row r="11268" ht="12.75" customHeight="1">
      <c r="A11268" s="59" t="s">
        <v>2875</v>
      </c>
      <c r="B11268" s="60" t="s">
        <v>1033</v>
      </c>
    </row>
    <row r="11269" ht="12.75" customHeight="1">
      <c r="A11269" s="59" t="s">
        <v>2875</v>
      </c>
      <c r="B11269" s="60" t="s">
        <v>1034</v>
      </c>
    </row>
    <row r="11270" ht="12.75" customHeight="1">
      <c r="A11270" s="59" t="s">
        <v>2875</v>
      </c>
      <c r="B11270" s="60" t="s">
        <v>1035</v>
      </c>
    </row>
    <row r="11271" ht="12.75" customHeight="1">
      <c r="A11271" s="59" t="s">
        <v>2875</v>
      </c>
      <c r="B11271" s="60" t="s">
        <v>1036</v>
      </c>
    </row>
    <row r="11272" ht="12.75" customHeight="1">
      <c r="A11272" s="59" t="s">
        <v>2875</v>
      </c>
      <c r="B11272" s="60" t="s">
        <v>1037</v>
      </c>
    </row>
    <row r="11273" ht="12.75" customHeight="1">
      <c r="A11273" s="59" t="s">
        <v>2875</v>
      </c>
      <c r="B11273" s="60" t="s">
        <v>1038</v>
      </c>
    </row>
    <row r="11274" ht="12.75" customHeight="1">
      <c r="A11274" s="59" t="s">
        <v>2875</v>
      </c>
      <c r="B11274" s="60" t="s">
        <v>1039</v>
      </c>
    </row>
    <row r="11275" ht="12.75" customHeight="1">
      <c r="A11275" s="59" t="s">
        <v>2875</v>
      </c>
      <c r="B11275" s="60" t="s">
        <v>1040</v>
      </c>
    </row>
    <row r="11276" ht="12.75" customHeight="1">
      <c r="A11276" s="59" t="s">
        <v>2875</v>
      </c>
      <c r="B11276" s="60" t="s">
        <v>1041</v>
      </c>
    </row>
    <row r="11277" ht="12.75" customHeight="1">
      <c r="A11277" s="59" t="s">
        <v>2875</v>
      </c>
      <c r="B11277" s="60" t="s">
        <v>1042</v>
      </c>
    </row>
    <row r="11278" ht="12.75" customHeight="1">
      <c r="A11278" s="59" t="s">
        <v>2875</v>
      </c>
      <c r="B11278" s="60" t="s">
        <v>1043</v>
      </c>
    </row>
    <row r="11279" ht="12.75" customHeight="1">
      <c r="A11279" s="59" t="s">
        <v>2875</v>
      </c>
      <c r="B11279" s="60" t="s">
        <v>1044</v>
      </c>
    </row>
    <row r="11280" ht="12.75" customHeight="1">
      <c r="A11280" s="59" t="s">
        <v>2875</v>
      </c>
      <c r="B11280" s="60" t="s">
        <v>1045</v>
      </c>
    </row>
    <row r="11281" ht="12.75" customHeight="1">
      <c r="A11281" s="59" t="s">
        <v>2875</v>
      </c>
      <c r="B11281" s="60" t="s">
        <v>1046</v>
      </c>
    </row>
    <row r="11282" ht="12.75" customHeight="1">
      <c r="A11282" s="59" t="s">
        <v>2875</v>
      </c>
      <c r="B11282" s="60" t="s">
        <v>1047</v>
      </c>
    </row>
    <row r="11283" ht="12.75" customHeight="1">
      <c r="A11283" s="59" t="s">
        <v>2875</v>
      </c>
      <c r="B11283" s="60" t="s">
        <v>1048</v>
      </c>
    </row>
    <row r="11284" ht="12.75" customHeight="1">
      <c r="A11284" s="59" t="s">
        <v>2875</v>
      </c>
      <c r="B11284" s="60" t="s">
        <v>1049</v>
      </c>
    </row>
    <row r="11285" ht="12.75" customHeight="1">
      <c r="A11285" s="59" t="s">
        <v>2875</v>
      </c>
      <c r="B11285" s="60" t="s">
        <v>1050</v>
      </c>
    </row>
    <row r="11286" ht="12.75" customHeight="1">
      <c r="A11286" s="59" t="s">
        <v>2875</v>
      </c>
      <c r="B11286" s="60" t="s">
        <v>1051</v>
      </c>
    </row>
    <row r="11287" ht="12.75" customHeight="1">
      <c r="A11287" s="59" t="s">
        <v>2875</v>
      </c>
      <c r="B11287" s="60" t="s">
        <v>1052</v>
      </c>
    </row>
    <row r="11288" ht="12.75" customHeight="1">
      <c r="A11288" s="59" t="s">
        <v>2875</v>
      </c>
      <c r="B11288" s="60" t="s">
        <v>1053</v>
      </c>
    </row>
    <row r="11289" ht="12.75" customHeight="1">
      <c r="A11289" s="59" t="s">
        <v>2875</v>
      </c>
      <c r="B11289" s="60" t="s">
        <v>1054</v>
      </c>
    </row>
    <row r="11290" ht="12.75" customHeight="1">
      <c r="A11290" s="59" t="s">
        <v>2875</v>
      </c>
      <c r="B11290" s="60" t="s">
        <v>1055</v>
      </c>
    </row>
    <row r="11291" ht="12.75" customHeight="1">
      <c r="A11291" s="59" t="s">
        <v>2875</v>
      </c>
      <c r="B11291" s="60" t="s">
        <v>1056</v>
      </c>
    </row>
    <row r="11292" ht="12.75" customHeight="1">
      <c r="A11292" s="59" t="s">
        <v>2875</v>
      </c>
      <c r="B11292" s="60" t="s">
        <v>1057</v>
      </c>
    </row>
    <row r="11293" ht="12.75" customHeight="1">
      <c r="A11293" s="59" t="s">
        <v>2875</v>
      </c>
      <c r="B11293" s="60" t="s">
        <v>1058</v>
      </c>
    </row>
    <row r="11294" ht="12.75" customHeight="1">
      <c r="A11294" s="59" t="s">
        <v>2875</v>
      </c>
      <c r="B11294" s="60" t="s">
        <v>1059</v>
      </c>
    </row>
    <row r="11295" ht="12.75" customHeight="1">
      <c r="A11295" s="59" t="s">
        <v>2875</v>
      </c>
      <c r="B11295" s="60" t="s">
        <v>1060</v>
      </c>
    </row>
    <row r="11296" ht="12.75" customHeight="1">
      <c r="A11296" s="59" t="s">
        <v>2875</v>
      </c>
      <c r="B11296" s="60" t="s">
        <v>1061</v>
      </c>
    </row>
    <row r="11297" ht="12.75" customHeight="1">
      <c r="A11297" s="59" t="s">
        <v>2875</v>
      </c>
      <c r="B11297" s="60" t="s">
        <v>1062</v>
      </c>
    </row>
    <row r="11298" ht="12.75" customHeight="1">
      <c r="A11298" s="59" t="s">
        <v>2875</v>
      </c>
      <c r="B11298" s="60" t="s">
        <v>1063</v>
      </c>
    </row>
    <row r="11299" ht="12.75" customHeight="1">
      <c r="A11299" s="59" t="s">
        <v>2875</v>
      </c>
      <c r="B11299" s="60" t="s">
        <v>1064</v>
      </c>
    </row>
    <row r="11300" ht="12.75" customHeight="1">
      <c r="A11300" s="59" t="s">
        <v>2875</v>
      </c>
      <c r="B11300" s="60" t="s">
        <v>1065</v>
      </c>
    </row>
    <row r="11301" ht="12.75" customHeight="1">
      <c r="A11301" s="59" t="s">
        <v>2875</v>
      </c>
      <c r="B11301" s="60" t="s">
        <v>1066</v>
      </c>
    </row>
    <row r="11302" ht="12.75" customHeight="1">
      <c r="A11302" s="59" t="s">
        <v>2875</v>
      </c>
      <c r="B11302" s="60" t="s">
        <v>1067</v>
      </c>
    </row>
    <row r="11303" ht="12.75" customHeight="1">
      <c r="A11303" s="59" t="s">
        <v>2875</v>
      </c>
      <c r="B11303" s="60" t="s">
        <v>1068</v>
      </c>
    </row>
    <row r="11304" ht="12.75" customHeight="1">
      <c r="A11304" s="59" t="s">
        <v>2875</v>
      </c>
      <c r="B11304" s="60" t="s">
        <v>1069</v>
      </c>
    </row>
    <row r="11305" ht="12.75" customHeight="1">
      <c r="A11305" s="59" t="s">
        <v>2875</v>
      </c>
      <c r="B11305" s="60" t="s">
        <v>1070</v>
      </c>
    </row>
    <row r="11306" ht="12.75" customHeight="1">
      <c r="A11306" s="59" t="s">
        <v>2875</v>
      </c>
      <c r="B11306" s="60" t="s">
        <v>1071</v>
      </c>
    </row>
    <row r="11307" ht="12.75" customHeight="1">
      <c r="A11307" s="59" t="s">
        <v>2875</v>
      </c>
      <c r="B11307" s="60" t="s">
        <v>1072</v>
      </c>
    </row>
    <row r="11308" ht="12.75" customHeight="1">
      <c r="A11308" s="59" t="s">
        <v>2875</v>
      </c>
      <c r="B11308" s="60" t="s">
        <v>1073</v>
      </c>
    </row>
    <row r="11309" ht="12.75" customHeight="1">
      <c r="A11309" s="59" t="s">
        <v>2875</v>
      </c>
      <c r="B11309" s="60" t="s">
        <v>1074</v>
      </c>
    </row>
    <row r="11310" ht="12.75" customHeight="1">
      <c r="A11310" s="59" t="s">
        <v>2875</v>
      </c>
      <c r="B11310" s="60" t="s">
        <v>1075</v>
      </c>
    </row>
    <row r="11311" ht="12.75" customHeight="1">
      <c r="A11311" s="59" t="s">
        <v>2875</v>
      </c>
      <c r="B11311" s="60" t="s">
        <v>1076</v>
      </c>
    </row>
    <row r="11312" ht="12.75" customHeight="1">
      <c r="A11312" s="59" t="s">
        <v>2875</v>
      </c>
      <c r="B11312" s="60" t="s">
        <v>1077</v>
      </c>
    </row>
    <row r="11313" ht="12.75" customHeight="1">
      <c r="A11313" s="59" t="s">
        <v>2875</v>
      </c>
      <c r="B11313" s="60" t="s">
        <v>1078</v>
      </c>
    </row>
    <row r="11314" ht="12.75" customHeight="1">
      <c r="A11314" s="59" t="s">
        <v>2875</v>
      </c>
      <c r="B11314" s="60" t="s">
        <v>1079</v>
      </c>
    </row>
    <row r="11315" ht="12.75" customHeight="1">
      <c r="A11315" s="59" t="s">
        <v>2875</v>
      </c>
      <c r="B11315" s="60" t="s">
        <v>1080</v>
      </c>
    </row>
    <row r="11316" ht="12.75" customHeight="1">
      <c r="A11316" s="59" t="s">
        <v>2875</v>
      </c>
      <c r="B11316" s="60" t="s">
        <v>1081</v>
      </c>
    </row>
    <row r="11317" ht="12.75" customHeight="1">
      <c r="A11317" s="59" t="s">
        <v>2875</v>
      </c>
      <c r="B11317" s="60" t="s">
        <v>1082</v>
      </c>
    </row>
    <row r="11318" ht="12.75" customHeight="1">
      <c r="A11318" s="59" t="s">
        <v>2875</v>
      </c>
      <c r="B11318" s="60" t="s">
        <v>1083</v>
      </c>
    </row>
    <row r="11319" ht="12.75" customHeight="1">
      <c r="A11319" s="59" t="s">
        <v>2875</v>
      </c>
      <c r="B11319" s="60" t="s">
        <v>1084</v>
      </c>
    </row>
    <row r="11320" ht="12.75" customHeight="1">
      <c r="A11320" s="59" t="s">
        <v>2875</v>
      </c>
      <c r="B11320" s="60" t="s">
        <v>1085</v>
      </c>
    </row>
    <row r="11321" ht="12.75" customHeight="1">
      <c r="A11321" s="59" t="s">
        <v>2875</v>
      </c>
      <c r="B11321" s="60" t="s">
        <v>1086</v>
      </c>
    </row>
    <row r="11322" ht="12.75" customHeight="1">
      <c r="A11322" s="59" t="s">
        <v>2875</v>
      </c>
      <c r="B11322" s="60" t="s">
        <v>1087</v>
      </c>
    </row>
    <row r="11323" ht="12.75" customHeight="1">
      <c r="A11323" s="59" t="s">
        <v>2875</v>
      </c>
      <c r="B11323" s="60" t="s">
        <v>1088</v>
      </c>
    </row>
    <row r="11324" ht="12.75" customHeight="1">
      <c r="A11324" s="59" t="s">
        <v>2875</v>
      </c>
      <c r="B11324" s="60" t="s">
        <v>1089</v>
      </c>
    </row>
    <row r="11325" ht="12.75" customHeight="1">
      <c r="A11325" s="59" t="s">
        <v>2875</v>
      </c>
      <c r="B11325" s="60" t="s">
        <v>1090</v>
      </c>
    </row>
    <row r="11326" ht="12.75" customHeight="1">
      <c r="A11326" s="59" t="s">
        <v>2875</v>
      </c>
      <c r="B11326" s="60" t="s">
        <v>1091</v>
      </c>
    </row>
    <row r="11327" ht="12.75" customHeight="1">
      <c r="A11327" s="59" t="s">
        <v>2875</v>
      </c>
      <c r="B11327" s="60" t="s">
        <v>1092</v>
      </c>
    </row>
    <row r="11328" ht="12.75" customHeight="1">
      <c r="A11328" s="59" t="s">
        <v>2875</v>
      </c>
      <c r="B11328" s="60" t="s">
        <v>1093</v>
      </c>
    </row>
    <row r="11329" ht="12.75" customHeight="1">
      <c r="A11329" s="59" t="s">
        <v>2875</v>
      </c>
      <c r="B11329" s="60" t="s">
        <v>1094</v>
      </c>
    </row>
    <row r="11330" ht="12.75" customHeight="1">
      <c r="A11330" s="59" t="s">
        <v>2875</v>
      </c>
      <c r="B11330" s="60" t="s">
        <v>1095</v>
      </c>
    </row>
    <row r="11331" ht="12.75" customHeight="1">
      <c r="A11331" s="59" t="s">
        <v>2875</v>
      </c>
      <c r="B11331" s="60" t="s">
        <v>1096</v>
      </c>
    </row>
    <row r="11332" ht="12.75" customHeight="1">
      <c r="A11332" s="59" t="s">
        <v>2875</v>
      </c>
      <c r="B11332" s="60" t="s">
        <v>1097</v>
      </c>
    </row>
    <row r="11333" ht="12.75" customHeight="1">
      <c r="A11333" s="59" t="s">
        <v>2875</v>
      </c>
      <c r="B11333" s="60" t="s">
        <v>1098</v>
      </c>
    </row>
    <row r="11334" ht="12.75" customHeight="1">
      <c r="A11334" s="59" t="s">
        <v>2875</v>
      </c>
      <c r="B11334" s="60" t="s">
        <v>1099</v>
      </c>
    </row>
    <row r="11335" ht="12.75" customHeight="1">
      <c r="A11335" s="59" t="s">
        <v>2875</v>
      </c>
      <c r="B11335" s="60" t="s">
        <v>1100</v>
      </c>
    </row>
    <row r="11336" ht="12.75" customHeight="1">
      <c r="A11336" s="59" t="s">
        <v>2875</v>
      </c>
      <c r="B11336" s="60" t="s">
        <v>1101</v>
      </c>
    </row>
    <row r="11337" ht="12.75" customHeight="1">
      <c r="A11337" s="59" t="s">
        <v>2875</v>
      </c>
      <c r="B11337" s="60" t="s">
        <v>1102</v>
      </c>
    </row>
    <row r="11338" ht="12.75" customHeight="1">
      <c r="A11338" s="59" t="s">
        <v>2875</v>
      </c>
      <c r="B11338" s="60" t="s">
        <v>1103</v>
      </c>
    </row>
    <row r="11339" ht="12.75" customHeight="1">
      <c r="A11339" s="59" t="s">
        <v>2875</v>
      </c>
      <c r="B11339" s="60" t="s">
        <v>1104</v>
      </c>
    </row>
    <row r="11340" ht="12.75" customHeight="1">
      <c r="A11340" s="59" t="s">
        <v>2875</v>
      </c>
      <c r="B11340" s="60" t="s">
        <v>1105</v>
      </c>
    </row>
    <row r="11341" ht="12.75" customHeight="1">
      <c r="A11341" s="59" t="s">
        <v>2875</v>
      </c>
      <c r="B11341" s="60" t="s">
        <v>1106</v>
      </c>
    </row>
    <row r="11342" ht="12.75" customHeight="1">
      <c r="A11342" s="59" t="s">
        <v>2875</v>
      </c>
      <c r="B11342" s="60" t="s">
        <v>1107</v>
      </c>
    </row>
    <row r="11343" ht="12.75" customHeight="1">
      <c r="A11343" s="59" t="s">
        <v>2875</v>
      </c>
      <c r="B11343" s="60" t="s">
        <v>1108</v>
      </c>
    </row>
    <row r="11344" ht="12.75" customHeight="1">
      <c r="A11344" s="59" t="s">
        <v>2875</v>
      </c>
      <c r="B11344" s="60" t="s">
        <v>1109</v>
      </c>
    </row>
    <row r="11345" ht="12.75" customHeight="1">
      <c r="A11345" s="59" t="s">
        <v>2875</v>
      </c>
      <c r="B11345" s="60" t="s">
        <v>1110</v>
      </c>
    </row>
    <row r="11346" ht="12.75" customHeight="1">
      <c r="A11346" s="59" t="s">
        <v>2875</v>
      </c>
      <c r="B11346" s="60" t="s">
        <v>1111</v>
      </c>
    </row>
    <row r="11347" ht="12.75" customHeight="1">
      <c r="A11347" s="59" t="s">
        <v>2875</v>
      </c>
      <c r="B11347" s="60" t="s">
        <v>1112</v>
      </c>
    </row>
    <row r="11348" ht="12.75" customHeight="1">
      <c r="A11348" s="59" t="s">
        <v>2875</v>
      </c>
      <c r="B11348" s="60" t="s">
        <v>1113</v>
      </c>
    </row>
    <row r="11349" ht="12.75" customHeight="1">
      <c r="A11349" s="59" t="s">
        <v>2875</v>
      </c>
      <c r="B11349" s="60" t="s">
        <v>1114</v>
      </c>
    </row>
    <row r="11350" ht="12.75" customHeight="1">
      <c r="A11350" s="59" t="s">
        <v>2875</v>
      </c>
      <c r="B11350" s="60" t="s">
        <v>1115</v>
      </c>
    </row>
    <row r="11351" ht="12.75" customHeight="1">
      <c r="A11351" s="59" t="s">
        <v>2875</v>
      </c>
      <c r="B11351" s="60" t="s">
        <v>1116</v>
      </c>
    </row>
    <row r="11352" ht="12.75" customHeight="1">
      <c r="A11352" s="59" t="s">
        <v>2875</v>
      </c>
      <c r="B11352" s="60" t="s">
        <v>1117</v>
      </c>
    </row>
    <row r="11353" ht="12.75" customHeight="1">
      <c r="A11353" s="59" t="s">
        <v>2875</v>
      </c>
      <c r="B11353" s="60" t="s">
        <v>1118</v>
      </c>
    </row>
    <row r="11354" ht="12.75" customHeight="1">
      <c r="A11354" s="59" t="s">
        <v>2875</v>
      </c>
      <c r="B11354" s="60" t="s">
        <v>1119</v>
      </c>
    </row>
    <row r="11355" ht="12.75" customHeight="1">
      <c r="A11355" s="59" t="s">
        <v>2875</v>
      </c>
      <c r="B11355" s="60" t="s">
        <v>1120</v>
      </c>
    </row>
    <row r="11356" ht="12.75" customHeight="1">
      <c r="A11356" s="59" t="s">
        <v>2875</v>
      </c>
      <c r="B11356" s="60" t="s">
        <v>1121</v>
      </c>
    </row>
    <row r="11357" ht="12.75" customHeight="1">
      <c r="A11357" s="59" t="s">
        <v>2875</v>
      </c>
      <c r="B11357" s="60" t="s">
        <v>1122</v>
      </c>
    </row>
    <row r="11358" ht="12.75" customHeight="1">
      <c r="A11358" s="59" t="s">
        <v>2875</v>
      </c>
      <c r="B11358" s="60" t="s">
        <v>1123</v>
      </c>
    </row>
    <row r="11359" ht="12.75" customHeight="1">
      <c r="A11359" s="59" t="s">
        <v>2875</v>
      </c>
      <c r="B11359" s="60" t="s">
        <v>1124</v>
      </c>
    </row>
    <row r="11360" ht="12.75" customHeight="1">
      <c r="A11360" s="59" t="s">
        <v>2875</v>
      </c>
      <c r="B11360" s="60" t="s">
        <v>1125</v>
      </c>
    </row>
    <row r="11361" ht="12.75" customHeight="1">
      <c r="A11361" s="59" t="s">
        <v>2875</v>
      </c>
      <c r="B11361" s="60" t="s">
        <v>1126</v>
      </c>
    </row>
    <row r="11362" ht="12.75" customHeight="1">
      <c r="A11362" s="59" t="s">
        <v>2875</v>
      </c>
      <c r="B11362" s="60" t="s">
        <v>1127</v>
      </c>
    </row>
    <row r="11363" ht="12.75" customHeight="1">
      <c r="A11363" s="59" t="s">
        <v>2875</v>
      </c>
      <c r="B11363" s="60" t="s">
        <v>1128</v>
      </c>
    </row>
    <row r="11364" ht="12.75" customHeight="1">
      <c r="A11364" s="59" t="s">
        <v>2875</v>
      </c>
      <c r="B11364" s="60" t="s">
        <v>1129</v>
      </c>
    </row>
    <row r="11365" ht="12.75" customHeight="1">
      <c r="A11365" s="59" t="s">
        <v>2875</v>
      </c>
      <c r="B11365" s="60" t="s">
        <v>1130</v>
      </c>
    </row>
    <row r="11366" ht="12.75" customHeight="1">
      <c r="A11366" s="59" t="s">
        <v>2875</v>
      </c>
      <c r="B11366" s="60" t="s">
        <v>1131</v>
      </c>
    </row>
    <row r="11367" ht="12.75" customHeight="1">
      <c r="A11367" s="59" t="s">
        <v>2875</v>
      </c>
      <c r="B11367" s="60" t="s">
        <v>1132</v>
      </c>
    </row>
    <row r="11368" ht="12.75" customHeight="1">
      <c r="A11368" s="59" t="s">
        <v>2875</v>
      </c>
      <c r="B11368" s="60" t="s">
        <v>1133</v>
      </c>
    </row>
    <row r="11369" ht="12.75" customHeight="1">
      <c r="A11369" s="59" t="s">
        <v>2875</v>
      </c>
      <c r="B11369" s="60" t="s">
        <v>1134</v>
      </c>
    </row>
    <row r="11370" ht="12.75" customHeight="1">
      <c r="A11370" s="59" t="s">
        <v>2875</v>
      </c>
      <c r="B11370" s="60" t="s">
        <v>1135</v>
      </c>
    </row>
    <row r="11371" ht="12.75" customHeight="1">
      <c r="A11371" s="59" t="s">
        <v>2875</v>
      </c>
      <c r="B11371" s="60" t="s">
        <v>1136</v>
      </c>
    </row>
    <row r="11372" ht="12.75" customHeight="1">
      <c r="A11372" s="59" t="s">
        <v>2875</v>
      </c>
      <c r="B11372" s="60" t="s">
        <v>1137</v>
      </c>
    </row>
    <row r="11373" ht="12.75" customHeight="1">
      <c r="A11373" s="59" t="s">
        <v>2875</v>
      </c>
      <c r="B11373" s="60" t="s">
        <v>1138</v>
      </c>
    </row>
    <row r="11374" ht="12.75" customHeight="1">
      <c r="A11374" s="59" t="s">
        <v>2875</v>
      </c>
      <c r="B11374" s="60" t="s">
        <v>1139</v>
      </c>
    </row>
    <row r="11375" ht="12.75" customHeight="1">
      <c r="A11375" s="59" t="s">
        <v>2875</v>
      </c>
      <c r="B11375" s="60" t="s">
        <v>1140</v>
      </c>
    </row>
    <row r="11376" ht="12.75" customHeight="1">
      <c r="A11376" s="59" t="s">
        <v>2875</v>
      </c>
      <c r="B11376" s="60" t="s">
        <v>1141</v>
      </c>
    </row>
    <row r="11377" ht="12.75" customHeight="1">
      <c r="A11377" s="59" t="s">
        <v>2875</v>
      </c>
      <c r="B11377" s="60" t="s">
        <v>1142</v>
      </c>
    </row>
    <row r="11378" ht="12.75" customHeight="1">
      <c r="A11378" s="59" t="s">
        <v>2875</v>
      </c>
      <c r="B11378" s="60" t="s">
        <v>1143</v>
      </c>
    </row>
    <row r="11379" ht="12.75" customHeight="1">
      <c r="A11379" s="59" t="s">
        <v>2875</v>
      </c>
      <c r="B11379" s="60" t="s">
        <v>1144</v>
      </c>
    </row>
    <row r="11380" ht="12.75" customHeight="1">
      <c r="A11380" s="59" t="s">
        <v>2875</v>
      </c>
      <c r="B11380" s="60" t="s">
        <v>1145</v>
      </c>
    </row>
    <row r="11381" ht="12.75" customHeight="1">
      <c r="A11381" s="59" t="s">
        <v>2875</v>
      </c>
      <c r="B11381" s="60" t="s">
        <v>1146</v>
      </c>
    </row>
    <row r="11382" ht="12.75" customHeight="1">
      <c r="A11382" s="59" t="s">
        <v>2875</v>
      </c>
      <c r="B11382" s="60" t="s">
        <v>1147</v>
      </c>
    </row>
    <row r="11383" ht="12.75" customHeight="1">
      <c r="A11383" s="59" t="s">
        <v>2875</v>
      </c>
      <c r="B11383" s="60" t="s">
        <v>1148</v>
      </c>
    </row>
    <row r="11384" ht="12.75" customHeight="1">
      <c r="A11384" s="59" t="s">
        <v>2875</v>
      </c>
      <c r="B11384" s="60" t="s">
        <v>1149</v>
      </c>
    </row>
    <row r="11385" ht="12.75" customHeight="1">
      <c r="A11385" s="59" t="s">
        <v>2875</v>
      </c>
      <c r="B11385" s="60" t="s">
        <v>1150</v>
      </c>
    </row>
    <row r="11386" ht="12.75" customHeight="1">
      <c r="A11386" s="59" t="s">
        <v>2875</v>
      </c>
      <c r="B11386" s="60" t="s">
        <v>1151</v>
      </c>
    </row>
    <row r="11387" ht="12.75" customHeight="1">
      <c r="A11387" s="59" t="s">
        <v>2875</v>
      </c>
      <c r="B11387" s="60" t="s">
        <v>1152</v>
      </c>
    </row>
    <row r="11388" ht="12.75" customHeight="1">
      <c r="A11388" s="59" t="s">
        <v>2875</v>
      </c>
      <c r="B11388" s="60" t="s">
        <v>1153</v>
      </c>
    </row>
    <row r="11389" ht="12.75" customHeight="1">
      <c r="A11389" s="59" t="s">
        <v>2875</v>
      </c>
      <c r="B11389" s="60" t="s">
        <v>1154</v>
      </c>
    </row>
    <row r="11390" ht="12.75" customHeight="1">
      <c r="A11390" s="59" t="s">
        <v>2875</v>
      </c>
      <c r="B11390" s="60" t="s">
        <v>1155</v>
      </c>
    </row>
    <row r="11391" ht="12.75" customHeight="1">
      <c r="A11391" s="59" t="s">
        <v>2875</v>
      </c>
      <c r="B11391" s="60" t="s">
        <v>1156</v>
      </c>
    </row>
    <row r="11392" ht="12.75" customHeight="1">
      <c r="A11392" s="59" t="s">
        <v>2875</v>
      </c>
      <c r="B11392" s="60" t="s">
        <v>1157</v>
      </c>
    </row>
    <row r="11393" ht="12.75" customHeight="1">
      <c r="A11393" s="59" t="s">
        <v>2875</v>
      </c>
      <c r="B11393" s="60" t="s">
        <v>1158</v>
      </c>
    </row>
    <row r="11394" ht="12.75" customHeight="1">
      <c r="A11394" s="59" t="s">
        <v>2875</v>
      </c>
      <c r="B11394" s="60" t="s">
        <v>1159</v>
      </c>
    </row>
    <row r="11395" ht="12.75" customHeight="1">
      <c r="A11395" s="59" t="s">
        <v>2875</v>
      </c>
      <c r="B11395" s="60" t="s">
        <v>1160</v>
      </c>
    </row>
    <row r="11396" ht="12.75" customHeight="1">
      <c r="A11396" s="59" t="s">
        <v>2875</v>
      </c>
      <c r="B11396" s="60" t="s">
        <v>1161</v>
      </c>
    </row>
    <row r="11397" ht="12.75" customHeight="1">
      <c r="A11397" s="59" t="s">
        <v>2875</v>
      </c>
      <c r="B11397" s="60" t="s">
        <v>1162</v>
      </c>
    </row>
    <row r="11398" ht="12.75" customHeight="1">
      <c r="A11398" s="59" t="s">
        <v>2875</v>
      </c>
      <c r="B11398" s="60" t="s">
        <v>1163</v>
      </c>
    </row>
    <row r="11399" ht="12.75" customHeight="1">
      <c r="A11399" s="59" t="s">
        <v>2875</v>
      </c>
      <c r="B11399" s="60" t="s">
        <v>1164</v>
      </c>
    </row>
    <row r="11400" ht="12.75" customHeight="1">
      <c r="A11400" s="59" t="s">
        <v>2875</v>
      </c>
      <c r="B11400" s="60" t="s">
        <v>1165</v>
      </c>
    </row>
    <row r="11401" ht="12.75" customHeight="1">
      <c r="A11401" s="59" t="s">
        <v>2875</v>
      </c>
      <c r="B11401" s="60" t="s">
        <v>1166</v>
      </c>
    </row>
    <row r="11402" ht="12.75" customHeight="1">
      <c r="A11402" s="59" t="s">
        <v>2875</v>
      </c>
      <c r="B11402" s="60" t="s">
        <v>1167</v>
      </c>
    </row>
    <row r="11403" ht="12.75" customHeight="1">
      <c r="A11403" s="59" t="s">
        <v>2875</v>
      </c>
      <c r="B11403" s="60" t="s">
        <v>1168</v>
      </c>
    </row>
    <row r="11404" ht="12.75" customHeight="1">
      <c r="A11404" s="59" t="s">
        <v>2875</v>
      </c>
      <c r="B11404" s="60" t="s">
        <v>1169</v>
      </c>
    </row>
    <row r="11405" ht="12.75" customHeight="1">
      <c r="A11405" s="59" t="s">
        <v>2875</v>
      </c>
      <c r="B11405" s="60" t="s">
        <v>1170</v>
      </c>
    </row>
    <row r="11406" ht="12.75" customHeight="1">
      <c r="A11406" s="59" t="s">
        <v>2875</v>
      </c>
      <c r="B11406" s="60" t="s">
        <v>1171</v>
      </c>
    </row>
    <row r="11407" ht="12.75" customHeight="1">
      <c r="A11407" s="59" t="s">
        <v>2875</v>
      </c>
      <c r="B11407" s="60" t="s">
        <v>1172</v>
      </c>
    </row>
    <row r="11408" ht="12.75" customHeight="1">
      <c r="A11408" s="59" t="s">
        <v>2875</v>
      </c>
      <c r="B11408" s="60" t="s">
        <v>1173</v>
      </c>
    </row>
    <row r="11409" ht="12.75" customHeight="1">
      <c r="A11409" s="59" t="s">
        <v>2875</v>
      </c>
      <c r="B11409" s="60" t="s">
        <v>1174</v>
      </c>
    </row>
    <row r="11410" ht="12.75" customHeight="1">
      <c r="A11410" s="59" t="s">
        <v>2875</v>
      </c>
      <c r="B11410" s="60" t="s">
        <v>1175</v>
      </c>
    </row>
    <row r="11411" ht="12.75" customHeight="1">
      <c r="A11411" s="59" t="s">
        <v>2875</v>
      </c>
      <c r="B11411" s="60" t="s">
        <v>1176</v>
      </c>
    </row>
    <row r="11412" ht="12.75" customHeight="1">
      <c r="A11412" s="59" t="s">
        <v>2875</v>
      </c>
      <c r="B11412" s="60" t="s">
        <v>1177</v>
      </c>
    </row>
    <row r="11413" ht="12.75" customHeight="1">
      <c r="A11413" s="59" t="s">
        <v>2875</v>
      </c>
      <c r="B11413" s="60" t="s">
        <v>1178</v>
      </c>
    </row>
    <row r="11414" ht="12.75" customHeight="1">
      <c r="A11414" s="59" t="s">
        <v>2875</v>
      </c>
      <c r="B11414" s="60" t="s">
        <v>1179</v>
      </c>
    </row>
    <row r="11415" ht="12.75" customHeight="1">
      <c r="A11415" s="59" t="s">
        <v>2875</v>
      </c>
      <c r="B11415" s="60" t="s">
        <v>1180</v>
      </c>
    </row>
    <row r="11416" ht="12.75" customHeight="1">
      <c r="A11416" s="59" t="s">
        <v>2875</v>
      </c>
      <c r="B11416" s="60" t="s">
        <v>1181</v>
      </c>
    </row>
    <row r="11417" ht="12.75" customHeight="1">
      <c r="A11417" s="59" t="s">
        <v>2875</v>
      </c>
      <c r="B11417" s="60" t="s">
        <v>1182</v>
      </c>
    </row>
    <row r="11418" ht="12.75" customHeight="1">
      <c r="A11418" s="59" t="s">
        <v>2875</v>
      </c>
      <c r="B11418" s="60" t="s">
        <v>1183</v>
      </c>
    </row>
    <row r="11419" ht="12.75" customHeight="1">
      <c r="A11419" s="59" t="s">
        <v>2875</v>
      </c>
      <c r="B11419" s="60" t="s">
        <v>1184</v>
      </c>
    </row>
    <row r="11420" ht="12.75" customHeight="1">
      <c r="A11420" s="59" t="s">
        <v>2875</v>
      </c>
      <c r="B11420" s="60" t="s">
        <v>1185</v>
      </c>
    </row>
    <row r="11421" ht="12.75" customHeight="1">
      <c r="A11421" s="59" t="s">
        <v>2875</v>
      </c>
      <c r="B11421" s="60" t="s">
        <v>1186</v>
      </c>
    </row>
    <row r="11422" ht="12.75" customHeight="1">
      <c r="A11422" s="59" t="s">
        <v>2875</v>
      </c>
      <c r="B11422" s="60" t="s">
        <v>1187</v>
      </c>
    </row>
    <row r="11423" ht="12.75" customHeight="1">
      <c r="A11423" s="59" t="s">
        <v>2875</v>
      </c>
      <c r="B11423" s="60" t="s">
        <v>1188</v>
      </c>
    </row>
    <row r="11424" ht="12.75" customHeight="1">
      <c r="A11424" s="59" t="s">
        <v>2875</v>
      </c>
      <c r="B11424" s="60" t="s">
        <v>1189</v>
      </c>
    </row>
    <row r="11425" ht="12.75" customHeight="1">
      <c r="A11425" s="59" t="s">
        <v>2875</v>
      </c>
      <c r="B11425" s="60" t="s">
        <v>1190</v>
      </c>
    </row>
    <row r="11426" ht="12.75" customHeight="1">
      <c r="A11426" s="59" t="s">
        <v>2875</v>
      </c>
      <c r="B11426" s="60" t="s">
        <v>1191</v>
      </c>
    </row>
    <row r="11427" ht="12.75" customHeight="1">
      <c r="A11427" s="59" t="s">
        <v>2875</v>
      </c>
      <c r="B11427" s="60" t="s">
        <v>1192</v>
      </c>
    </row>
    <row r="11428" ht="12.75" customHeight="1">
      <c r="A11428" s="59" t="s">
        <v>2876</v>
      </c>
      <c r="B11428" s="60" t="s">
        <v>745</v>
      </c>
    </row>
    <row r="11429" ht="12.75" customHeight="1">
      <c r="A11429" s="59" t="s">
        <v>2876</v>
      </c>
      <c r="B11429" s="60" t="s">
        <v>746</v>
      </c>
    </row>
    <row r="11430" ht="12.75" customHeight="1">
      <c r="A11430" s="59" t="s">
        <v>2876</v>
      </c>
      <c r="B11430" s="60" t="s">
        <v>747</v>
      </c>
    </row>
    <row r="11431" ht="12.75" customHeight="1">
      <c r="A11431" s="59" t="s">
        <v>2876</v>
      </c>
      <c r="B11431" s="60" t="s">
        <v>748</v>
      </c>
    </row>
    <row r="11432" ht="12.75" customHeight="1">
      <c r="A11432" s="59" t="s">
        <v>2877</v>
      </c>
      <c r="B11432" s="60">
        <v>0.0</v>
      </c>
    </row>
    <row r="11433" ht="12.75" customHeight="1">
      <c r="A11433" s="59" t="s">
        <v>2877</v>
      </c>
      <c r="B11433" s="60">
        <v>0.0</v>
      </c>
    </row>
    <row r="11434" ht="12.75" customHeight="1">
      <c r="A11434" s="59" t="s">
        <v>2877</v>
      </c>
      <c r="B11434" s="60">
        <v>2.0</v>
      </c>
    </row>
    <row r="11435" ht="12.75" customHeight="1">
      <c r="A11435" s="59" t="s">
        <v>2877</v>
      </c>
      <c r="B11435" s="60">
        <v>4.0</v>
      </c>
    </row>
    <row r="11436" ht="12.75" customHeight="1">
      <c r="A11436" s="59" t="s">
        <v>2877</v>
      </c>
      <c r="B11436" s="60">
        <v>6.0</v>
      </c>
    </row>
    <row r="11437" ht="12.75" customHeight="1">
      <c r="A11437" s="59" t="s">
        <v>2877</v>
      </c>
      <c r="B11437" s="60">
        <v>8.0</v>
      </c>
    </row>
    <row r="11438" ht="12.75" customHeight="1">
      <c r="A11438" s="59" t="s">
        <v>2877</v>
      </c>
      <c r="B11438" s="60">
        <v>10.0</v>
      </c>
    </row>
    <row r="11439" ht="12.75" customHeight="1">
      <c r="A11439" s="59" t="s">
        <v>2877</v>
      </c>
      <c r="B11439" s="60">
        <v>12.0</v>
      </c>
    </row>
    <row r="11440" ht="12.75" customHeight="1">
      <c r="A11440" s="59" t="s">
        <v>2877</v>
      </c>
      <c r="B11440" s="60" t="s">
        <v>803</v>
      </c>
    </row>
    <row r="11441" ht="12.75" customHeight="1">
      <c r="A11441" s="59" t="s">
        <v>2877</v>
      </c>
      <c r="B11441" s="60" t="s">
        <v>804</v>
      </c>
    </row>
    <row r="11442" ht="12.75" customHeight="1">
      <c r="A11442" s="59" t="s">
        <v>2877</v>
      </c>
      <c r="B11442" s="60" t="s">
        <v>76</v>
      </c>
    </row>
    <row r="11443" ht="12.75" customHeight="1">
      <c r="A11443" s="59" t="s">
        <v>2877</v>
      </c>
      <c r="B11443" s="60" t="s">
        <v>80</v>
      </c>
    </row>
    <row r="11444" ht="12.75" customHeight="1">
      <c r="A11444" s="59" t="s">
        <v>2877</v>
      </c>
      <c r="B11444" s="60" t="s">
        <v>83</v>
      </c>
    </row>
    <row r="11445" ht="12.75" customHeight="1">
      <c r="A11445" s="59" t="s">
        <v>2877</v>
      </c>
      <c r="B11445" s="60" t="s">
        <v>85</v>
      </c>
    </row>
    <row r="11446" ht="12.75" customHeight="1">
      <c r="A11446" s="59" t="s">
        <v>2877</v>
      </c>
      <c r="B11446" s="60" t="s">
        <v>805</v>
      </c>
    </row>
    <row r="11447" ht="12.75" customHeight="1">
      <c r="A11447" s="59" t="s">
        <v>2877</v>
      </c>
      <c r="B11447" s="60" t="s">
        <v>806</v>
      </c>
    </row>
    <row r="11448" ht="12.75" customHeight="1">
      <c r="A11448" s="59" t="s">
        <v>2877</v>
      </c>
      <c r="B11448" s="60" t="s">
        <v>807</v>
      </c>
    </row>
    <row r="11449" ht="12.75" customHeight="1">
      <c r="A11449" s="59" t="s">
        <v>2877</v>
      </c>
      <c r="B11449" s="60" t="s">
        <v>753</v>
      </c>
    </row>
    <row r="11450" ht="12.75" customHeight="1">
      <c r="A11450" s="59" t="s">
        <v>2877</v>
      </c>
      <c r="B11450" s="60" t="s">
        <v>757</v>
      </c>
    </row>
    <row r="11451" ht="12.75" customHeight="1">
      <c r="A11451" s="59" t="s">
        <v>2877</v>
      </c>
      <c r="B11451" s="60" t="s">
        <v>761</v>
      </c>
    </row>
    <row r="11452" ht="12.75" customHeight="1">
      <c r="A11452" s="59" t="s">
        <v>2877</v>
      </c>
      <c r="B11452" s="60" t="s">
        <v>765</v>
      </c>
    </row>
    <row r="11453" ht="12.75" customHeight="1">
      <c r="A11453" s="59" t="s">
        <v>2877</v>
      </c>
      <c r="B11453" s="60" t="s">
        <v>808</v>
      </c>
    </row>
    <row r="11454" ht="12.75" customHeight="1">
      <c r="A11454" s="59" t="s">
        <v>2877</v>
      </c>
      <c r="B11454" s="60" t="s">
        <v>809</v>
      </c>
    </row>
    <row r="11455" ht="12.75" customHeight="1">
      <c r="A11455" s="59" t="s">
        <v>2877</v>
      </c>
      <c r="B11455" s="60" t="s">
        <v>810</v>
      </c>
    </row>
    <row r="11456" ht="12.75" customHeight="1">
      <c r="A11456" s="59" t="s">
        <v>2877</v>
      </c>
      <c r="B11456" s="60" t="s">
        <v>811</v>
      </c>
    </row>
    <row r="11457" ht="12.75" customHeight="1">
      <c r="A11457" s="59" t="s">
        <v>2877</v>
      </c>
      <c r="B11457" s="60" t="s">
        <v>812</v>
      </c>
    </row>
    <row r="11458" ht="12.75" customHeight="1">
      <c r="A11458" s="59" t="s">
        <v>2877</v>
      </c>
      <c r="B11458" s="60" t="s">
        <v>813</v>
      </c>
    </row>
    <row r="11459" ht="12.75" customHeight="1">
      <c r="A11459" s="59" t="s">
        <v>2877</v>
      </c>
      <c r="B11459" s="60" t="s">
        <v>814</v>
      </c>
    </row>
    <row r="11460" ht="12.75" customHeight="1">
      <c r="A11460" s="59" t="s">
        <v>2877</v>
      </c>
      <c r="B11460" s="60" t="s">
        <v>815</v>
      </c>
    </row>
    <row r="11461" ht="12.75" customHeight="1">
      <c r="A11461" s="59" t="s">
        <v>2877</v>
      </c>
      <c r="B11461" s="60" t="s">
        <v>816</v>
      </c>
    </row>
    <row r="11462" ht="12.75" customHeight="1">
      <c r="A11462" s="59" t="s">
        <v>2877</v>
      </c>
      <c r="B11462" s="60" t="s">
        <v>771</v>
      </c>
    </row>
    <row r="11463" ht="12.75" customHeight="1">
      <c r="A11463" s="59" t="s">
        <v>2877</v>
      </c>
      <c r="B11463" s="60" t="s">
        <v>775</v>
      </c>
    </row>
    <row r="11464" ht="12.75" customHeight="1">
      <c r="A11464" s="59" t="s">
        <v>2877</v>
      </c>
      <c r="B11464" s="60" t="s">
        <v>779</v>
      </c>
    </row>
    <row r="11465" ht="12.75" customHeight="1">
      <c r="A11465" s="59" t="s">
        <v>2877</v>
      </c>
      <c r="B11465" s="60" t="s">
        <v>783</v>
      </c>
    </row>
    <row r="11466" ht="12.75" customHeight="1">
      <c r="A11466" s="59" t="s">
        <v>2877</v>
      </c>
      <c r="B11466" s="60" t="s">
        <v>817</v>
      </c>
    </row>
    <row r="11467" ht="12.75" customHeight="1">
      <c r="A11467" s="59" t="s">
        <v>2877</v>
      </c>
      <c r="B11467" s="60" t="s">
        <v>818</v>
      </c>
    </row>
    <row r="11468" ht="12.75" customHeight="1">
      <c r="A11468" s="59" t="s">
        <v>2877</v>
      </c>
      <c r="B11468" s="60" t="s">
        <v>819</v>
      </c>
    </row>
    <row r="11469" ht="12.75" customHeight="1">
      <c r="A11469" s="59" t="s">
        <v>2877</v>
      </c>
      <c r="B11469" s="60" t="s">
        <v>820</v>
      </c>
    </row>
    <row r="11470" ht="12.75" customHeight="1">
      <c r="A11470" s="59" t="s">
        <v>2877</v>
      </c>
      <c r="B11470" s="60" t="s">
        <v>821</v>
      </c>
    </row>
    <row r="11471" ht="12.75" customHeight="1">
      <c r="A11471" s="59" t="s">
        <v>2877</v>
      </c>
      <c r="B11471" s="60" t="s">
        <v>822</v>
      </c>
    </row>
    <row r="11472" ht="12.75" customHeight="1">
      <c r="A11472" s="59" t="s">
        <v>2877</v>
      </c>
      <c r="B11472" s="60" t="s">
        <v>823</v>
      </c>
    </row>
    <row r="11473" ht="12.75" customHeight="1">
      <c r="A11473" s="59" t="s">
        <v>2877</v>
      </c>
      <c r="B11473" s="60" t="s">
        <v>824</v>
      </c>
    </row>
    <row r="11474" ht="12.75" customHeight="1">
      <c r="A11474" s="59" t="s">
        <v>2877</v>
      </c>
      <c r="B11474" s="60" t="s">
        <v>825</v>
      </c>
    </row>
    <row r="11475" ht="12.75" customHeight="1">
      <c r="A11475" s="59" t="s">
        <v>2877</v>
      </c>
      <c r="B11475" s="60" t="s">
        <v>788</v>
      </c>
    </row>
    <row r="11476" ht="12.75" customHeight="1">
      <c r="A11476" s="59" t="s">
        <v>2877</v>
      </c>
      <c r="B11476" s="60" t="s">
        <v>792</v>
      </c>
    </row>
    <row r="11477" ht="12.75" customHeight="1">
      <c r="A11477" s="59" t="s">
        <v>2877</v>
      </c>
      <c r="B11477" s="60" t="s">
        <v>796</v>
      </c>
    </row>
    <row r="11478" ht="12.75" customHeight="1">
      <c r="A11478" s="59" t="s">
        <v>2877</v>
      </c>
      <c r="B11478" s="60" t="s">
        <v>800</v>
      </c>
    </row>
    <row r="11479" ht="12.75" customHeight="1">
      <c r="A11479" s="59" t="s">
        <v>2877</v>
      </c>
      <c r="B11479" s="60" t="s">
        <v>826</v>
      </c>
    </row>
    <row r="11480" ht="12.75" customHeight="1">
      <c r="A11480" s="59" t="s">
        <v>2877</v>
      </c>
      <c r="B11480" s="60" t="s">
        <v>827</v>
      </c>
    </row>
    <row r="11481" ht="12.75" customHeight="1">
      <c r="A11481" s="59" t="s">
        <v>2877</v>
      </c>
      <c r="B11481" s="60" t="s">
        <v>828</v>
      </c>
    </row>
    <row r="11482" ht="12.75" customHeight="1">
      <c r="A11482" s="59" t="s">
        <v>2877</v>
      </c>
      <c r="B11482" s="60" t="s">
        <v>829</v>
      </c>
    </row>
    <row r="11483" ht="12.75" customHeight="1">
      <c r="A11483" s="59" t="s">
        <v>2877</v>
      </c>
      <c r="B11483" s="60" t="s">
        <v>830</v>
      </c>
    </row>
    <row r="11484" ht="12.75" customHeight="1">
      <c r="A11484" s="59" t="s">
        <v>2877</v>
      </c>
      <c r="B11484" s="60" t="s">
        <v>831</v>
      </c>
    </row>
    <row r="11485" ht="12.75" customHeight="1">
      <c r="A11485" s="59" t="s">
        <v>2877</v>
      </c>
      <c r="B11485" s="60" t="s">
        <v>832</v>
      </c>
    </row>
    <row r="11486" ht="12.75" customHeight="1">
      <c r="A11486" s="59" t="s">
        <v>2877</v>
      </c>
      <c r="B11486" s="60" t="s">
        <v>833</v>
      </c>
    </row>
    <row r="11487" ht="12.75" customHeight="1">
      <c r="A11487" s="59" t="s">
        <v>2877</v>
      </c>
      <c r="B11487" s="60" t="s">
        <v>834</v>
      </c>
    </row>
    <row r="11488" ht="12.75" customHeight="1">
      <c r="A11488" s="59" t="s">
        <v>2877</v>
      </c>
      <c r="B11488" s="60">
        <v>14.0</v>
      </c>
    </row>
    <row r="11489" ht="12.75" customHeight="1">
      <c r="A11489" s="59" t="s">
        <v>2877</v>
      </c>
      <c r="B11489" s="60" t="s">
        <v>835</v>
      </c>
    </row>
    <row r="11490" ht="12.75" customHeight="1">
      <c r="A11490" s="59" t="s">
        <v>2877</v>
      </c>
      <c r="B11490" s="60">
        <v>16.0</v>
      </c>
    </row>
    <row r="11491" ht="12.75" customHeight="1">
      <c r="A11491" s="59" t="s">
        <v>2877</v>
      </c>
      <c r="B11491" s="60" t="s">
        <v>836</v>
      </c>
    </row>
    <row r="11492" ht="12.75" customHeight="1">
      <c r="A11492" s="59" t="s">
        <v>2877</v>
      </c>
      <c r="B11492" s="60">
        <v>18.0</v>
      </c>
    </row>
    <row r="11493" ht="12.75" customHeight="1">
      <c r="A11493" s="59" t="s">
        <v>2877</v>
      </c>
      <c r="B11493" s="60" t="s">
        <v>837</v>
      </c>
    </row>
    <row r="11494" ht="12.75" customHeight="1">
      <c r="A11494" s="59" t="s">
        <v>2877</v>
      </c>
      <c r="B11494" s="60">
        <v>20.0</v>
      </c>
    </row>
    <row r="11495" ht="12.75" customHeight="1">
      <c r="A11495" s="59" t="s">
        <v>2877</v>
      </c>
      <c r="B11495" s="60" t="s">
        <v>838</v>
      </c>
    </row>
    <row r="11496" ht="12.75" customHeight="1">
      <c r="A11496" s="59" t="s">
        <v>2877</v>
      </c>
      <c r="B11496" s="60">
        <v>22.0</v>
      </c>
    </row>
    <row r="11497" ht="12.75" customHeight="1">
      <c r="A11497" s="59" t="s">
        <v>2877</v>
      </c>
      <c r="B11497" s="60" t="s">
        <v>839</v>
      </c>
    </row>
    <row r="11498" ht="12.75" customHeight="1">
      <c r="A11498" s="59" t="s">
        <v>2877</v>
      </c>
      <c r="B11498" s="60">
        <v>24.0</v>
      </c>
    </row>
    <row r="11499" ht="12.75" customHeight="1">
      <c r="A11499" s="59" t="s">
        <v>2877</v>
      </c>
      <c r="B11499" s="60" t="s">
        <v>840</v>
      </c>
    </row>
    <row r="11500" ht="12.75" customHeight="1">
      <c r="A11500" s="59" t="s">
        <v>2877</v>
      </c>
      <c r="B11500" s="60">
        <v>26.0</v>
      </c>
    </row>
    <row r="11501" ht="12.75" customHeight="1">
      <c r="A11501" s="59" t="s">
        <v>2877</v>
      </c>
      <c r="B11501" s="60" t="s">
        <v>841</v>
      </c>
    </row>
    <row r="11502" ht="12.75" customHeight="1">
      <c r="A11502" s="59" t="s">
        <v>2877</v>
      </c>
      <c r="B11502" s="60">
        <v>28.0</v>
      </c>
    </row>
    <row r="11503" ht="12.75" customHeight="1">
      <c r="A11503" s="59" t="s">
        <v>2877</v>
      </c>
      <c r="B11503" s="60" t="s">
        <v>842</v>
      </c>
    </row>
    <row r="11504" ht="12.75" customHeight="1">
      <c r="A11504" s="59" t="s">
        <v>2877</v>
      </c>
      <c r="B11504" s="60">
        <v>30.0</v>
      </c>
    </row>
    <row r="11505" ht="12.75" customHeight="1">
      <c r="A11505" s="59" t="s">
        <v>2877</v>
      </c>
      <c r="B11505" s="60" t="s">
        <v>843</v>
      </c>
    </row>
    <row r="11506" ht="12.75" customHeight="1">
      <c r="A11506" s="59" t="s">
        <v>2877</v>
      </c>
      <c r="B11506" s="60">
        <v>32.0</v>
      </c>
    </row>
    <row r="11507" ht="12.75" customHeight="1">
      <c r="A11507" s="59" t="s">
        <v>2877</v>
      </c>
      <c r="B11507" s="60" t="s">
        <v>844</v>
      </c>
    </row>
    <row r="11508" ht="12.75" customHeight="1">
      <c r="A11508" s="59" t="s">
        <v>2877</v>
      </c>
      <c r="B11508" s="60" t="s">
        <v>845</v>
      </c>
    </row>
    <row r="11509" ht="12.75" customHeight="1">
      <c r="A11509" s="59" t="s">
        <v>2877</v>
      </c>
      <c r="B11509" s="60" t="s">
        <v>846</v>
      </c>
    </row>
    <row r="11510" ht="12.75" customHeight="1">
      <c r="A11510" s="59" t="s">
        <v>2877</v>
      </c>
      <c r="B11510" s="60" t="s">
        <v>847</v>
      </c>
    </row>
    <row r="11511" ht="12.75" customHeight="1">
      <c r="A11511" s="59" t="s">
        <v>2877</v>
      </c>
      <c r="B11511" s="60" t="s">
        <v>848</v>
      </c>
    </row>
    <row r="11512" ht="12.75" customHeight="1">
      <c r="A11512" s="59" t="s">
        <v>2877</v>
      </c>
      <c r="B11512" s="60" t="s">
        <v>849</v>
      </c>
    </row>
    <row r="11513" ht="12.75" customHeight="1">
      <c r="A11513" s="59" t="s">
        <v>2877</v>
      </c>
      <c r="B11513" s="60" t="s">
        <v>850</v>
      </c>
    </row>
    <row r="11514" ht="12.75" customHeight="1">
      <c r="A11514" s="59" t="s">
        <v>2877</v>
      </c>
      <c r="B11514" s="60" t="s">
        <v>851</v>
      </c>
    </row>
    <row r="11515" ht="12.75" customHeight="1">
      <c r="A11515" s="59" t="s">
        <v>2877</v>
      </c>
      <c r="B11515" s="60" t="s">
        <v>852</v>
      </c>
    </row>
    <row r="11516" ht="12.75" customHeight="1">
      <c r="A11516" s="59" t="s">
        <v>2877</v>
      </c>
      <c r="B11516" s="60" t="s">
        <v>853</v>
      </c>
    </row>
    <row r="11517" ht="12.75" customHeight="1">
      <c r="A11517" s="59" t="s">
        <v>2877</v>
      </c>
      <c r="B11517" s="60" t="s">
        <v>854</v>
      </c>
    </row>
    <row r="11518" ht="12.75" customHeight="1">
      <c r="A11518" s="59" t="s">
        <v>2877</v>
      </c>
      <c r="B11518" s="60" t="s">
        <v>855</v>
      </c>
    </row>
    <row r="11519" ht="12.75" customHeight="1">
      <c r="A11519" s="59" t="s">
        <v>2877</v>
      </c>
      <c r="B11519" s="60" t="s">
        <v>856</v>
      </c>
    </row>
    <row r="11520" ht="12.75" customHeight="1">
      <c r="A11520" s="59" t="s">
        <v>2877</v>
      </c>
      <c r="B11520" s="60" t="s">
        <v>857</v>
      </c>
    </row>
    <row r="11521" ht="12.75" customHeight="1">
      <c r="A11521" s="59" t="s">
        <v>2877</v>
      </c>
      <c r="B11521" s="60" t="s">
        <v>858</v>
      </c>
    </row>
    <row r="11522" ht="12.75" customHeight="1">
      <c r="A11522" s="59" t="s">
        <v>2877</v>
      </c>
      <c r="B11522" s="60" t="s">
        <v>859</v>
      </c>
    </row>
    <row r="11523" ht="12.75" customHeight="1">
      <c r="A11523" s="59" t="s">
        <v>2877</v>
      </c>
      <c r="B11523" s="60" t="s">
        <v>860</v>
      </c>
    </row>
    <row r="11524" ht="12.75" customHeight="1">
      <c r="A11524" s="59" t="s">
        <v>2877</v>
      </c>
      <c r="B11524" s="60" t="s">
        <v>861</v>
      </c>
    </row>
    <row r="11525" ht="12.75" customHeight="1">
      <c r="A11525" s="59" t="s">
        <v>2877</v>
      </c>
      <c r="B11525" s="60" t="s">
        <v>862</v>
      </c>
    </row>
    <row r="11526" ht="12.75" customHeight="1">
      <c r="A11526" s="59" t="s">
        <v>2877</v>
      </c>
      <c r="B11526" s="60" t="s">
        <v>863</v>
      </c>
    </row>
    <row r="11527" ht="12.75" customHeight="1">
      <c r="A11527" s="59" t="s">
        <v>2877</v>
      </c>
      <c r="B11527" s="60" t="s">
        <v>864</v>
      </c>
    </row>
    <row r="11528" ht="12.75" customHeight="1">
      <c r="A11528" s="59" t="s">
        <v>2877</v>
      </c>
      <c r="B11528" s="60" t="s">
        <v>865</v>
      </c>
    </row>
    <row r="11529" ht="12.75" customHeight="1">
      <c r="A11529" s="59" t="s">
        <v>2877</v>
      </c>
      <c r="B11529" s="60" t="s">
        <v>866</v>
      </c>
    </row>
    <row r="11530" ht="12.75" customHeight="1">
      <c r="A11530" s="59" t="s">
        <v>2877</v>
      </c>
      <c r="B11530" s="60" t="s">
        <v>867</v>
      </c>
    </row>
    <row r="11531" ht="12.75" customHeight="1">
      <c r="A11531" s="59" t="s">
        <v>2877</v>
      </c>
      <c r="B11531" s="60" t="s">
        <v>868</v>
      </c>
    </row>
    <row r="11532" ht="12.75" customHeight="1">
      <c r="A11532" s="59" t="s">
        <v>2877</v>
      </c>
      <c r="B11532" s="60" t="s">
        <v>869</v>
      </c>
    </row>
    <row r="11533" ht="12.75" customHeight="1">
      <c r="A11533" s="59" t="s">
        <v>2877</v>
      </c>
      <c r="B11533" s="60" t="s">
        <v>870</v>
      </c>
    </row>
    <row r="11534" ht="12.75" customHeight="1">
      <c r="A11534" s="59" t="s">
        <v>2877</v>
      </c>
      <c r="B11534" s="60" t="s">
        <v>871</v>
      </c>
    </row>
    <row r="11535" ht="12.75" customHeight="1">
      <c r="A11535" s="59" t="s">
        <v>2877</v>
      </c>
      <c r="B11535" s="60" t="s">
        <v>872</v>
      </c>
    </row>
    <row r="11536" ht="12.75" customHeight="1">
      <c r="A11536" s="59" t="s">
        <v>2877</v>
      </c>
      <c r="B11536" s="60" t="s">
        <v>873</v>
      </c>
    </row>
    <row r="11537" ht="12.75" customHeight="1">
      <c r="A11537" s="59" t="s">
        <v>2877</v>
      </c>
      <c r="B11537" s="60" t="s">
        <v>874</v>
      </c>
    </row>
    <row r="11538" ht="12.75" customHeight="1">
      <c r="A11538" s="59" t="s">
        <v>2877</v>
      </c>
      <c r="B11538" s="60" t="s">
        <v>875</v>
      </c>
    </row>
    <row r="11539" ht="12.75" customHeight="1">
      <c r="A11539" s="59" t="s">
        <v>2877</v>
      </c>
      <c r="B11539" s="60" t="s">
        <v>876</v>
      </c>
    </row>
    <row r="11540" ht="12.75" customHeight="1">
      <c r="A11540" s="59" t="s">
        <v>2877</v>
      </c>
      <c r="B11540" s="60" t="s">
        <v>877</v>
      </c>
    </row>
    <row r="11541" ht="12.75" customHeight="1">
      <c r="A11541" s="59" t="s">
        <v>2877</v>
      </c>
      <c r="B11541" s="60" t="s">
        <v>878</v>
      </c>
    </row>
    <row r="11542" ht="12.75" customHeight="1">
      <c r="A11542" s="59" t="s">
        <v>2877</v>
      </c>
      <c r="B11542" s="60" t="s">
        <v>879</v>
      </c>
    </row>
    <row r="11543" ht="12.75" customHeight="1">
      <c r="A11543" s="59" t="s">
        <v>2877</v>
      </c>
      <c r="B11543" s="60" t="s">
        <v>880</v>
      </c>
    </row>
    <row r="11544" ht="12.75" customHeight="1">
      <c r="A11544" s="59" t="s">
        <v>2877</v>
      </c>
      <c r="B11544" s="60" t="s">
        <v>881</v>
      </c>
    </row>
    <row r="11545" ht="12.75" customHeight="1">
      <c r="A11545" s="59" t="s">
        <v>2877</v>
      </c>
      <c r="B11545" s="60" t="s">
        <v>882</v>
      </c>
    </row>
    <row r="11546" ht="12.75" customHeight="1">
      <c r="A11546" s="59" t="s">
        <v>2877</v>
      </c>
      <c r="B11546" s="60" t="s">
        <v>883</v>
      </c>
    </row>
    <row r="11547" ht="12.75" customHeight="1">
      <c r="A11547" s="59" t="s">
        <v>2877</v>
      </c>
      <c r="B11547" s="60" t="s">
        <v>884</v>
      </c>
    </row>
    <row r="11548" ht="12.75" customHeight="1">
      <c r="A11548" s="59" t="s">
        <v>2877</v>
      </c>
      <c r="B11548" s="60" t="s">
        <v>885</v>
      </c>
    </row>
    <row r="11549" ht="12.75" customHeight="1">
      <c r="A11549" s="59" t="s">
        <v>2877</v>
      </c>
      <c r="B11549" s="60" t="s">
        <v>886</v>
      </c>
    </row>
    <row r="11550" ht="12.75" customHeight="1">
      <c r="A11550" s="59" t="s">
        <v>2877</v>
      </c>
      <c r="B11550" s="60" t="s">
        <v>887</v>
      </c>
    </row>
    <row r="11551" ht="12.75" customHeight="1">
      <c r="A11551" s="59" t="s">
        <v>2877</v>
      </c>
      <c r="B11551" s="60" t="s">
        <v>888</v>
      </c>
    </row>
    <row r="11552" ht="12.75" customHeight="1">
      <c r="A11552" s="59" t="s">
        <v>2877</v>
      </c>
      <c r="B11552" s="60" t="s">
        <v>889</v>
      </c>
    </row>
    <row r="11553" ht="12.75" customHeight="1">
      <c r="A11553" s="59" t="s">
        <v>2877</v>
      </c>
      <c r="B11553" s="60" t="s">
        <v>890</v>
      </c>
    </row>
    <row r="11554" ht="12.75" customHeight="1">
      <c r="A11554" s="59" t="s">
        <v>2877</v>
      </c>
      <c r="B11554" s="60" t="s">
        <v>891</v>
      </c>
    </row>
    <row r="11555" ht="12.75" customHeight="1">
      <c r="A11555" s="59" t="s">
        <v>2877</v>
      </c>
      <c r="B11555" s="60" t="s">
        <v>892</v>
      </c>
    </row>
    <row r="11556" ht="12.75" customHeight="1">
      <c r="A11556" s="59" t="s">
        <v>2877</v>
      </c>
      <c r="B11556" s="60" t="s">
        <v>893</v>
      </c>
    </row>
    <row r="11557" ht="12.75" customHeight="1">
      <c r="A11557" s="59" t="s">
        <v>2877</v>
      </c>
      <c r="B11557" s="60" t="s">
        <v>894</v>
      </c>
    </row>
    <row r="11558" ht="12.75" customHeight="1">
      <c r="A11558" s="59" t="s">
        <v>2877</v>
      </c>
      <c r="B11558" s="60" t="s">
        <v>895</v>
      </c>
    </row>
    <row r="11559" ht="12.75" customHeight="1">
      <c r="A11559" s="59" t="s">
        <v>2877</v>
      </c>
      <c r="B11559" s="60" t="s">
        <v>896</v>
      </c>
    </row>
    <row r="11560" ht="12.75" customHeight="1">
      <c r="A11560" s="59" t="s">
        <v>2877</v>
      </c>
      <c r="B11560" s="60" t="s">
        <v>897</v>
      </c>
    </row>
    <row r="11561" ht="12.75" customHeight="1">
      <c r="A11561" s="59" t="s">
        <v>2877</v>
      </c>
      <c r="B11561" s="60" t="s">
        <v>898</v>
      </c>
    </row>
    <row r="11562" ht="12.75" customHeight="1">
      <c r="A11562" s="59" t="s">
        <v>2877</v>
      </c>
      <c r="B11562" s="60" t="s">
        <v>899</v>
      </c>
    </row>
    <row r="11563" ht="12.75" customHeight="1">
      <c r="A11563" s="59" t="s">
        <v>2877</v>
      </c>
      <c r="B11563" s="60" t="s">
        <v>900</v>
      </c>
    </row>
    <row r="11564" ht="12.75" customHeight="1">
      <c r="A11564" s="59" t="s">
        <v>2877</v>
      </c>
      <c r="B11564" s="60" t="s">
        <v>901</v>
      </c>
    </row>
    <row r="11565" ht="12.75" customHeight="1">
      <c r="A11565" s="59" t="s">
        <v>2877</v>
      </c>
      <c r="B11565" s="60" t="s">
        <v>902</v>
      </c>
    </row>
    <row r="11566" ht="12.75" customHeight="1">
      <c r="A11566" s="59" t="s">
        <v>2877</v>
      </c>
      <c r="B11566" s="60" t="s">
        <v>903</v>
      </c>
    </row>
    <row r="11567" ht="12.75" customHeight="1">
      <c r="A11567" s="59" t="s">
        <v>2877</v>
      </c>
      <c r="B11567" s="60" t="s">
        <v>904</v>
      </c>
    </row>
    <row r="11568" ht="12.75" customHeight="1">
      <c r="A11568" s="59" t="s">
        <v>2877</v>
      </c>
      <c r="B11568" s="60" t="s">
        <v>905</v>
      </c>
    </row>
    <row r="11569" ht="12.75" customHeight="1">
      <c r="A11569" s="59" t="s">
        <v>2877</v>
      </c>
      <c r="B11569" s="60" t="s">
        <v>906</v>
      </c>
    </row>
    <row r="11570" ht="12.75" customHeight="1">
      <c r="A11570" s="59" t="s">
        <v>2877</v>
      </c>
      <c r="B11570" s="60" t="s">
        <v>907</v>
      </c>
    </row>
    <row r="11571" ht="12.75" customHeight="1">
      <c r="A11571" s="59" t="s">
        <v>2877</v>
      </c>
      <c r="B11571" s="60" t="s">
        <v>908</v>
      </c>
    </row>
    <row r="11572" ht="12.75" customHeight="1">
      <c r="A11572" s="59" t="s">
        <v>2877</v>
      </c>
      <c r="B11572" s="60" t="s">
        <v>909</v>
      </c>
    </row>
    <row r="11573" ht="12.75" customHeight="1">
      <c r="A11573" s="59" t="s">
        <v>2877</v>
      </c>
      <c r="B11573" s="60" t="s">
        <v>910</v>
      </c>
    </row>
    <row r="11574" ht="12.75" customHeight="1">
      <c r="A11574" s="59" t="s">
        <v>2877</v>
      </c>
      <c r="B11574" s="60" t="s">
        <v>911</v>
      </c>
    </row>
    <row r="11575" ht="12.75" customHeight="1">
      <c r="A11575" s="59" t="s">
        <v>2877</v>
      </c>
      <c r="B11575" s="60" t="s">
        <v>912</v>
      </c>
    </row>
    <row r="11576" ht="12.75" customHeight="1">
      <c r="A11576" s="59" t="s">
        <v>2877</v>
      </c>
      <c r="B11576" s="60" t="s">
        <v>913</v>
      </c>
    </row>
    <row r="11577" ht="12.75" customHeight="1">
      <c r="A11577" s="59" t="s">
        <v>2877</v>
      </c>
      <c r="B11577" s="60" t="s">
        <v>914</v>
      </c>
    </row>
    <row r="11578" ht="12.75" customHeight="1">
      <c r="A11578" s="59" t="s">
        <v>2877</v>
      </c>
      <c r="B11578" s="60" t="s">
        <v>915</v>
      </c>
    </row>
    <row r="11579" ht="12.75" customHeight="1">
      <c r="A11579" s="59" t="s">
        <v>2877</v>
      </c>
      <c r="B11579" s="60" t="s">
        <v>916</v>
      </c>
    </row>
    <row r="11580" ht="12.75" customHeight="1">
      <c r="A11580" s="59" t="s">
        <v>2877</v>
      </c>
      <c r="B11580" s="60" t="s">
        <v>917</v>
      </c>
    </row>
    <row r="11581" ht="12.75" customHeight="1">
      <c r="A11581" s="59" t="s">
        <v>2877</v>
      </c>
      <c r="B11581" s="60" t="s">
        <v>918</v>
      </c>
    </row>
    <row r="11582" ht="12.75" customHeight="1">
      <c r="A11582" s="59" t="s">
        <v>2877</v>
      </c>
      <c r="B11582" s="60" t="s">
        <v>919</v>
      </c>
    </row>
    <row r="11583" ht="12.75" customHeight="1">
      <c r="A11583" s="59" t="s">
        <v>2877</v>
      </c>
      <c r="B11583" s="60" t="s">
        <v>920</v>
      </c>
    </row>
    <row r="11584" ht="12.75" customHeight="1">
      <c r="A11584" s="59" t="s">
        <v>2877</v>
      </c>
      <c r="B11584" s="60" t="s">
        <v>921</v>
      </c>
    </row>
    <row r="11585" ht="12.75" customHeight="1">
      <c r="A11585" s="59" t="s">
        <v>2877</v>
      </c>
      <c r="B11585" s="60" t="s">
        <v>922</v>
      </c>
    </row>
    <row r="11586" ht="12.75" customHeight="1">
      <c r="A11586" s="59" t="s">
        <v>2877</v>
      </c>
      <c r="B11586" s="60" t="s">
        <v>923</v>
      </c>
    </row>
    <row r="11587" ht="12.75" customHeight="1">
      <c r="A11587" s="59" t="s">
        <v>2877</v>
      </c>
      <c r="B11587" s="60" t="s">
        <v>924</v>
      </c>
    </row>
    <row r="11588" ht="12.75" customHeight="1">
      <c r="A11588" s="59" t="s">
        <v>2877</v>
      </c>
      <c r="B11588" s="60" t="s">
        <v>925</v>
      </c>
    </row>
    <row r="11589" ht="12.75" customHeight="1">
      <c r="A11589" s="59" t="s">
        <v>2877</v>
      </c>
      <c r="B11589" s="60" t="s">
        <v>926</v>
      </c>
    </row>
    <row r="11590" ht="12.75" customHeight="1">
      <c r="A11590" s="59" t="s">
        <v>2877</v>
      </c>
      <c r="B11590" s="60" t="s">
        <v>927</v>
      </c>
    </row>
    <row r="11591" ht="12.75" customHeight="1">
      <c r="A11591" s="59" t="s">
        <v>2877</v>
      </c>
      <c r="B11591" s="60" t="s">
        <v>928</v>
      </c>
    </row>
    <row r="11592" ht="12.75" customHeight="1">
      <c r="A11592" s="59" t="s">
        <v>2877</v>
      </c>
      <c r="B11592" s="60" t="s">
        <v>929</v>
      </c>
    </row>
    <row r="11593" ht="12.75" customHeight="1">
      <c r="A11593" s="59" t="s">
        <v>2877</v>
      </c>
      <c r="B11593" s="60" t="s">
        <v>930</v>
      </c>
    </row>
    <row r="11594" ht="12.75" customHeight="1">
      <c r="A11594" s="59" t="s">
        <v>2877</v>
      </c>
      <c r="B11594" s="60" t="s">
        <v>931</v>
      </c>
    </row>
    <row r="11595" ht="12.75" customHeight="1">
      <c r="A11595" s="59" t="s">
        <v>2877</v>
      </c>
      <c r="B11595" s="60" t="s">
        <v>932</v>
      </c>
    </row>
    <row r="11596" ht="12.75" customHeight="1">
      <c r="A11596" s="59" t="s">
        <v>2877</v>
      </c>
      <c r="B11596" s="60" t="s">
        <v>933</v>
      </c>
    </row>
    <row r="11597" ht="12.75" customHeight="1">
      <c r="A11597" s="59" t="s">
        <v>2877</v>
      </c>
      <c r="B11597" s="60" t="s">
        <v>934</v>
      </c>
    </row>
    <row r="11598" ht="12.75" customHeight="1">
      <c r="A11598" s="59" t="s">
        <v>2877</v>
      </c>
      <c r="B11598" s="60" t="s">
        <v>935</v>
      </c>
    </row>
    <row r="11599" ht="12.75" customHeight="1">
      <c r="A11599" s="59" t="s">
        <v>2877</v>
      </c>
      <c r="B11599" s="60" t="s">
        <v>936</v>
      </c>
    </row>
    <row r="11600" ht="12.75" customHeight="1">
      <c r="A11600" s="59" t="s">
        <v>2877</v>
      </c>
      <c r="B11600" s="60" t="s">
        <v>937</v>
      </c>
    </row>
    <row r="11601" ht="12.75" customHeight="1">
      <c r="A11601" s="59" t="s">
        <v>2877</v>
      </c>
      <c r="B11601" s="60" t="s">
        <v>938</v>
      </c>
    </row>
    <row r="11602" ht="12.75" customHeight="1">
      <c r="A11602" s="59" t="s">
        <v>2877</v>
      </c>
      <c r="B11602" s="60" t="s">
        <v>939</v>
      </c>
    </row>
    <row r="11603" ht="12.75" customHeight="1">
      <c r="A11603" s="59" t="s">
        <v>2877</v>
      </c>
      <c r="B11603" s="60" t="s">
        <v>940</v>
      </c>
    </row>
    <row r="11604" ht="12.75" customHeight="1">
      <c r="A11604" s="59" t="s">
        <v>2877</v>
      </c>
      <c r="B11604" s="60" t="s">
        <v>941</v>
      </c>
    </row>
    <row r="11605" ht="12.75" customHeight="1">
      <c r="A11605" s="59" t="s">
        <v>2877</v>
      </c>
      <c r="B11605" s="60" t="s">
        <v>942</v>
      </c>
    </row>
    <row r="11606" ht="12.75" customHeight="1">
      <c r="A11606" s="59" t="s">
        <v>2877</v>
      </c>
      <c r="B11606" s="60" t="s">
        <v>943</v>
      </c>
    </row>
    <row r="11607" ht="12.75" customHeight="1">
      <c r="A11607" s="59" t="s">
        <v>2877</v>
      </c>
      <c r="B11607" s="60" t="s">
        <v>944</v>
      </c>
    </row>
    <row r="11608" ht="12.75" customHeight="1">
      <c r="A11608" s="59" t="s">
        <v>2877</v>
      </c>
      <c r="B11608" s="60" t="s">
        <v>945</v>
      </c>
    </row>
    <row r="11609" ht="12.75" customHeight="1">
      <c r="A11609" s="59" t="s">
        <v>2877</v>
      </c>
      <c r="B11609" s="60" t="s">
        <v>946</v>
      </c>
    </row>
    <row r="11610" ht="12.75" customHeight="1">
      <c r="A11610" s="59" t="s">
        <v>2877</v>
      </c>
      <c r="B11610" s="60" t="s">
        <v>947</v>
      </c>
    </row>
    <row r="11611" ht="12.75" customHeight="1">
      <c r="A11611" s="59" t="s">
        <v>2877</v>
      </c>
      <c r="B11611" s="60" t="s">
        <v>948</v>
      </c>
    </row>
    <row r="11612" ht="12.75" customHeight="1">
      <c r="A11612" s="59" t="s">
        <v>2877</v>
      </c>
      <c r="B11612" s="60" t="s">
        <v>949</v>
      </c>
    </row>
    <row r="11613" ht="12.75" customHeight="1">
      <c r="A11613" s="59" t="s">
        <v>2877</v>
      </c>
      <c r="B11613" s="60" t="s">
        <v>950</v>
      </c>
    </row>
    <row r="11614" ht="12.75" customHeight="1">
      <c r="A11614" s="59" t="s">
        <v>2877</v>
      </c>
      <c r="B11614" s="60" t="s">
        <v>951</v>
      </c>
    </row>
    <row r="11615" ht="12.75" customHeight="1">
      <c r="A11615" s="59" t="s">
        <v>2877</v>
      </c>
      <c r="B11615" s="60" t="s">
        <v>952</v>
      </c>
    </row>
    <row r="11616" ht="12.75" customHeight="1">
      <c r="A11616" s="59" t="s">
        <v>2877</v>
      </c>
      <c r="B11616" s="60" t="s">
        <v>953</v>
      </c>
    </row>
    <row r="11617" ht="12.75" customHeight="1">
      <c r="A11617" s="59" t="s">
        <v>2877</v>
      </c>
      <c r="B11617" s="60" t="s">
        <v>954</v>
      </c>
    </row>
    <row r="11618" ht="12.75" customHeight="1">
      <c r="A11618" s="59" t="s">
        <v>2877</v>
      </c>
      <c r="B11618" s="60" t="s">
        <v>955</v>
      </c>
    </row>
    <row r="11619" ht="12.75" customHeight="1">
      <c r="A11619" s="59" t="s">
        <v>2877</v>
      </c>
      <c r="B11619" s="60" t="s">
        <v>956</v>
      </c>
    </row>
    <row r="11620" ht="12.75" customHeight="1">
      <c r="A11620" s="59" t="s">
        <v>2877</v>
      </c>
      <c r="B11620" s="60" t="s">
        <v>957</v>
      </c>
    </row>
    <row r="11621" ht="12.75" customHeight="1">
      <c r="A11621" s="59" t="s">
        <v>2877</v>
      </c>
      <c r="B11621" s="60" t="s">
        <v>958</v>
      </c>
    </row>
    <row r="11622" ht="12.75" customHeight="1">
      <c r="A11622" s="59" t="s">
        <v>2877</v>
      </c>
      <c r="B11622" s="60" t="s">
        <v>959</v>
      </c>
    </row>
    <row r="11623" ht="12.75" customHeight="1">
      <c r="A11623" s="59" t="s">
        <v>2877</v>
      </c>
      <c r="B11623" s="60" t="s">
        <v>960</v>
      </c>
    </row>
    <row r="11624" ht="12.75" customHeight="1">
      <c r="A11624" s="59" t="s">
        <v>2877</v>
      </c>
      <c r="B11624" s="60" t="s">
        <v>961</v>
      </c>
    </row>
    <row r="11625" ht="12.75" customHeight="1">
      <c r="A11625" s="59" t="s">
        <v>2877</v>
      </c>
      <c r="B11625" s="60" t="s">
        <v>962</v>
      </c>
    </row>
    <row r="11626" ht="12.75" customHeight="1">
      <c r="A11626" s="59" t="s">
        <v>2877</v>
      </c>
      <c r="B11626" s="60" t="s">
        <v>963</v>
      </c>
    </row>
    <row r="11627" ht="12.75" customHeight="1">
      <c r="A11627" s="59" t="s">
        <v>2877</v>
      </c>
      <c r="B11627" s="60" t="s">
        <v>964</v>
      </c>
    </row>
    <row r="11628" ht="12.75" customHeight="1">
      <c r="A11628" s="59" t="s">
        <v>2877</v>
      </c>
      <c r="B11628" s="60" t="s">
        <v>965</v>
      </c>
    </row>
    <row r="11629" ht="12.75" customHeight="1">
      <c r="A11629" s="59" t="s">
        <v>2877</v>
      </c>
      <c r="B11629" s="60" t="s">
        <v>966</v>
      </c>
    </row>
    <row r="11630" ht="12.75" customHeight="1">
      <c r="A11630" s="59" t="s">
        <v>2877</v>
      </c>
      <c r="B11630" s="60" t="s">
        <v>967</v>
      </c>
    </row>
    <row r="11631" ht="12.75" customHeight="1">
      <c r="A11631" s="59" t="s">
        <v>2877</v>
      </c>
      <c r="B11631" s="60" t="s">
        <v>968</v>
      </c>
    </row>
    <row r="11632" ht="12.75" customHeight="1">
      <c r="A11632" s="59" t="s">
        <v>2877</v>
      </c>
      <c r="B11632" s="60" t="s">
        <v>969</v>
      </c>
    </row>
    <row r="11633" ht="12.75" customHeight="1">
      <c r="A11633" s="59" t="s">
        <v>2877</v>
      </c>
      <c r="B11633" s="60" t="s">
        <v>970</v>
      </c>
    </row>
    <row r="11634" ht="12.75" customHeight="1">
      <c r="A11634" s="59" t="s">
        <v>2877</v>
      </c>
      <c r="B11634" s="60" t="s">
        <v>971</v>
      </c>
    </row>
    <row r="11635" ht="12.75" customHeight="1">
      <c r="A11635" s="59" t="s">
        <v>2877</v>
      </c>
      <c r="B11635" s="60" t="s">
        <v>972</v>
      </c>
    </row>
    <row r="11636" ht="12.75" customHeight="1">
      <c r="A11636" s="59" t="s">
        <v>2877</v>
      </c>
      <c r="B11636" s="60" t="s">
        <v>973</v>
      </c>
    </row>
    <row r="11637" ht="12.75" customHeight="1">
      <c r="A11637" s="59" t="s">
        <v>2877</v>
      </c>
      <c r="B11637" s="60" t="s">
        <v>974</v>
      </c>
    </row>
    <row r="11638" ht="12.75" customHeight="1">
      <c r="A11638" s="59" t="s">
        <v>2877</v>
      </c>
      <c r="B11638" s="60" t="s">
        <v>975</v>
      </c>
    </row>
    <row r="11639" ht="12.75" customHeight="1">
      <c r="A11639" s="59" t="s">
        <v>2877</v>
      </c>
      <c r="B11639" s="60" t="s">
        <v>976</v>
      </c>
    </row>
    <row r="11640" ht="12.75" customHeight="1">
      <c r="A11640" s="59" t="s">
        <v>2877</v>
      </c>
      <c r="B11640" s="60" t="s">
        <v>977</v>
      </c>
    </row>
    <row r="11641" ht="12.75" customHeight="1">
      <c r="A11641" s="59" t="s">
        <v>2877</v>
      </c>
      <c r="B11641" s="60" t="s">
        <v>978</v>
      </c>
    </row>
    <row r="11642" ht="12.75" customHeight="1">
      <c r="A11642" s="59" t="s">
        <v>2877</v>
      </c>
      <c r="B11642" s="60" t="s">
        <v>979</v>
      </c>
    </row>
    <row r="11643" ht="12.75" customHeight="1">
      <c r="A11643" s="59" t="s">
        <v>2877</v>
      </c>
      <c r="B11643" s="60" t="s">
        <v>980</v>
      </c>
    </row>
    <row r="11644" ht="12.75" customHeight="1">
      <c r="A11644" s="59" t="s">
        <v>2877</v>
      </c>
      <c r="B11644" s="60" t="s">
        <v>981</v>
      </c>
    </row>
    <row r="11645" ht="12.75" customHeight="1">
      <c r="A11645" s="59" t="s">
        <v>2877</v>
      </c>
      <c r="B11645" s="60" t="s">
        <v>982</v>
      </c>
    </row>
    <row r="11646" ht="12.75" customHeight="1">
      <c r="A11646" s="59" t="s">
        <v>2877</v>
      </c>
      <c r="B11646" s="60" t="s">
        <v>983</v>
      </c>
    </row>
    <row r="11647" ht="12.75" customHeight="1">
      <c r="A11647" s="59" t="s">
        <v>2877</v>
      </c>
      <c r="B11647" s="60" t="s">
        <v>984</v>
      </c>
    </row>
    <row r="11648" ht="12.75" customHeight="1">
      <c r="A11648" s="59" t="s">
        <v>2877</v>
      </c>
      <c r="B11648" s="60" t="s">
        <v>985</v>
      </c>
    </row>
    <row r="11649" ht="12.75" customHeight="1">
      <c r="A11649" s="59" t="s">
        <v>2877</v>
      </c>
      <c r="B11649" s="60" t="s">
        <v>986</v>
      </c>
    </row>
    <row r="11650" ht="12.75" customHeight="1">
      <c r="A11650" s="59" t="s">
        <v>2877</v>
      </c>
      <c r="B11650" s="60" t="s">
        <v>987</v>
      </c>
    </row>
    <row r="11651" ht="12.75" customHeight="1">
      <c r="A11651" s="59" t="s">
        <v>2877</v>
      </c>
      <c r="B11651" s="60" t="s">
        <v>988</v>
      </c>
    </row>
    <row r="11652" ht="12.75" customHeight="1">
      <c r="A11652" s="59" t="s">
        <v>2877</v>
      </c>
      <c r="B11652" s="60" t="s">
        <v>989</v>
      </c>
    </row>
    <row r="11653" ht="12.75" customHeight="1">
      <c r="A11653" s="59" t="s">
        <v>2877</v>
      </c>
      <c r="B11653" s="60" t="s">
        <v>990</v>
      </c>
    </row>
    <row r="11654" ht="12.75" customHeight="1">
      <c r="A11654" s="59" t="s">
        <v>2877</v>
      </c>
      <c r="B11654" s="60" t="s">
        <v>991</v>
      </c>
    </row>
    <row r="11655" ht="12.75" customHeight="1">
      <c r="A11655" s="59" t="s">
        <v>2877</v>
      </c>
      <c r="B11655" s="60" t="s">
        <v>992</v>
      </c>
    </row>
    <row r="11656" ht="12.75" customHeight="1">
      <c r="A11656" s="59" t="s">
        <v>2877</v>
      </c>
      <c r="B11656" s="60" t="s">
        <v>993</v>
      </c>
    </row>
    <row r="11657" ht="12.75" customHeight="1">
      <c r="A11657" s="59" t="s">
        <v>2877</v>
      </c>
      <c r="B11657" s="60" t="s">
        <v>994</v>
      </c>
    </row>
    <row r="11658" ht="12.75" customHeight="1">
      <c r="A11658" s="59" t="s">
        <v>2877</v>
      </c>
      <c r="B11658" s="60" t="s">
        <v>995</v>
      </c>
    </row>
    <row r="11659" ht="12.75" customHeight="1">
      <c r="A11659" s="59" t="s">
        <v>2877</v>
      </c>
      <c r="B11659" s="60" t="s">
        <v>996</v>
      </c>
    </row>
    <row r="11660" ht="12.75" customHeight="1">
      <c r="A11660" s="59" t="s">
        <v>2877</v>
      </c>
      <c r="B11660" s="60" t="s">
        <v>997</v>
      </c>
    </row>
    <row r="11661" ht="12.75" customHeight="1">
      <c r="A11661" s="59" t="s">
        <v>2877</v>
      </c>
      <c r="B11661" s="60" t="s">
        <v>998</v>
      </c>
    </row>
    <row r="11662" ht="12.75" customHeight="1">
      <c r="A11662" s="59" t="s">
        <v>2877</v>
      </c>
      <c r="B11662" s="60" t="s">
        <v>999</v>
      </c>
    </row>
    <row r="11663" ht="12.75" customHeight="1">
      <c r="A11663" s="59" t="s">
        <v>2877</v>
      </c>
      <c r="B11663" s="60" t="s">
        <v>1000</v>
      </c>
    </row>
    <row r="11664" ht="12.75" customHeight="1">
      <c r="A11664" s="59" t="s">
        <v>2877</v>
      </c>
      <c r="B11664" s="60" t="s">
        <v>1001</v>
      </c>
    </row>
    <row r="11665" ht="12.75" customHeight="1">
      <c r="A11665" s="59" t="s">
        <v>2877</v>
      </c>
      <c r="B11665" s="60" t="s">
        <v>1002</v>
      </c>
    </row>
    <row r="11666" ht="12.75" customHeight="1">
      <c r="A11666" s="59" t="s">
        <v>2877</v>
      </c>
      <c r="B11666" s="60" t="s">
        <v>1003</v>
      </c>
    </row>
    <row r="11667" ht="12.75" customHeight="1">
      <c r="A11667" s="59" t="s">
        <v>2877</v>
      </c>
      <c r="B11667" s="60" t="s">
        <v>1004</v>
      </c>
    </row>
    <row r="11668" ht="12.75" customHeight="1">
      <c r="A11668" s="59" t="s">
        <v>2877</v>
      </c>
      <c r="B11668" s="60" t="s">
        <v>1005</v>
      </c>
    </row>
    <row r="11669" ht="12.75" customHeight="1">
      <c r="A11669" s="59" t="s">
        <v>2877</v>
      </c>
      <c r="B11669" s="60" t="s">
        <v>1006</v>
      </c>
    </row>
    <row r="11670" ht="12.75" customHeight="1">
      <c r="A11670" s="59" t="s">
        <v>2877</v>
      </c>
      <c r="B11670" s="60" t="s">
        <v>1007</v>
      </c>
    </row>
    <row r="11671" ht="12.75" customHeight="1">
      <c r="A11671" s="59" t="s">
        <v>2877</v>
      </c>
      <c r="B11671" s="60" t="s">
        <v>1008</v>
      </c>
    </row>
    <row r="11672" ht="12.75" customHeight="1">
      <c r="A11672" s="59" t="s">
        <v>2877</v>
      </c>
      <c r="B11672" s="60" t="s">
        <v>1009</v>
      </c>
    </row>
    <row r="11673" ht="12.75" customHeight="1">
      <c r="A11673" s="59" t="s">
        <v>2877</v>
      </c>
      <c r="B11673" s="60" t="s">
        <v>1010</v>
      </c>
    </row>
    <row r="11674" ht="12.75" customHeight="1">
      <c r="A11674" s="59" t="s">
        <v>2877</v>
      </c>
      <c r="B11674" s="60" t="s">
        <v>1011</v>
      </c>
    </row>
    <row r="11675" ht="12.75" customHeight="1">
      <c r="A11675" s="59" t="s">
        <v>2877</v>
      </c>
      <c r="B11675" s="60" t="s">
        <v>1012</v>
      </c>
    </row>
    <row r="11676" ht="12.75" customHeight="1">
      <c r="A11676" s="59" t="s">
        <v>2877</v>
      </c>
      <c r="B11676" s="60" t="s">
        <v>1013</v>
      </c>
    </row>
    <row r="11677" ht="12.75" customHeight="1">
      <c r="A11677" s="59" t="s">
        <v>2877</v>
      </c>
      <c r="B11677" s="60" t="s">
        <v>1014</v>
      </c>
    </row>
    <row r="11678" ht="12.75" customHeight="1">
      <c r="A11678" s="59" t="s">
        <v>2877</v>
      </c>
      <c r="B11678" s="60" t="s">
        <v>1015</v>
      </c>
    </row>
    <row r="11679" ht="12.75" customHeight="1">
      <c r="A11679" s="59" t="s">
        <v>2877</v>
      </c>
      <c r="B11679" s="60" t="s">
        <v>1016</v>
      </c>
    </row>
    <row r="11680" ht="12.75" customHeight="1">
      <c r="A11680" s="59" t="s">
        <v>2877</v>
      </c>
      <c r="B11680" s="60" t="s">
        <v>1017</v>
      </c>
    </row>
    <row r="11681" ht="12.75" customHeight="1">
      <c r="A11681" s="59" t="s">
        <v>2877</v>
      </c>
      <c r="B11681" s="60" t="s">
        <v>1018</v>
      </c>
    </row>
    <row r="11682" ht="12.75" customHeight="1">
      <c r="A11682" s="59" t="s">
        <v>2877</v>
      </c>
      <c r="B11682" s="60" t="s">
        <v>1019</v>
      </c>
    </row>
    <row r="11683" ht="12.75" customHeight="1">
      <c r="A11683" s="59" t="s">
        <v>2877</v>
      </c>
      <c r="B11683" s="60" t="s">
        <v>1020</v>
      </c>
    </row>
    <row r="11684" ht="12.75" customHeight="1">
      <c r="A11684" s="59" t="s">
        <v>2877</v>
      </c>
      <c r="B11684" s="60" t="s">
        <v>1021</v>
      </c>
    </row>
    <row r="11685" ht="12.75" customHeight="1">
      <c r="A11685" s="59" t="s">
        <v>2877</v>
      </c>
      <c r="B11685" s="60" t="s">
        <v>1022</v>
      </c>
    </row>
    <row r="11686" ht="12.75" customHeight="1">
      <c r="A11686" s="59" t="s">
        <v>2877</v>
      </c>
      <c r="B11686" s="60" t="s">
        <v>1023</v>
      </c>
    </row>
    <row r="11687" ht="12.75" customHeight="1">
      <c r="A11687" s="59" t="s">
        <v>2877</v>
      </c>
      <c r="B11687" s="60" t="s">
        <v>1024</v>
      </c>
    </row>
    <row r="11688" ht="12.75" customHeight="1">
      <c r="A11688" s="59" t="s">
        <v>2877</v>
      </c>
      <c r="B11688" s="60" t="s">
        <v>1025</v>
      </c>
    </row>
    <row r="11689" ht="12.75" customHeight="1">
      <c r="A11689" s="59" t="s">
        <v>2877</v>
      </c>
      <c r="B11689" s="60" t="s">
        <v>1026</v>
      </c>
    </row>
    <row r="11690" ht="12.75" customHeight="1">
      <c r="A11690" s="59" t="s">
        <v>2877</v>
      </c>
      <c r="B11690" s="60" t="s">
        <v>1027</v>
      </c>
    </row>
    <row r="11691" ht="12.75" customHeight="1">
      <c r="A11691" s="59" t="s">
        <v>2877</v>
      </c>
      <c r="B11691" s="60" t="s">
        <v>1028</v>
      </c>
    </row>
    <row r="11692" ht="12.75" customHeight="1">
      <c r="A11692" s="59" t="s">
        <v>2877</v>
      </c>
      <c r="B11692" s="60" t="s">
        <v>1029</v>
      </c>
    </row>
    <row r="11693" ht="12.75" customHeight="1">
      <c r="A11693" s="59" t="s">
        <v>2877</v>
      </c>
      <c r="B11693" s="60" t="s">
        <v>1030</v>
      </c>
    </row>
    <row r="11694" ht="12.75" customHeight="1">
      <c r="A11694" s="59" t="s">
        <v>2877</v>
      </c>
      <c r="B11694" s="60" t="s">
        <v>1031</v>
      </c>
    </row>
    <row r="11695" ht="12.75" customHeight="1">
      <c r="A11695" s="59" t="s">
        <v>2877</v>
      </c>
      <c r="B11695" s="60" t="s">
        <v>1032</v>
      </c>
    </row>
    <row r="11696" ht="12.75" customHeight="1">
      <c r="A11696" s="59" t="s">
        <v>2877</v>
      </c>
      <c r="B11696" s="60" t="s">
        <v>1033</v>
      </c>
    </row>
    <row r="11697" ht="12.75" customHeight="1">
      <c r="A11697" s="59" t="s">
        <v>2877</v>
      </c>
      <c r="B11697" s="60" t="s">
        <v>1034</v>
      </c>
    </row>
    <row r="11698" ht="12.75" customHeight="1">
      <c r="A11698" s="59" t="s">
        <v>2877</v>
      </c>
      <c r="B11698" s="60" t="s">
        <v>1035</v>
      </c>
    </row>
    <row r="11699" ht="12.75" customHeight="1">
      <c r="A11699" s="59" t="s">
        <v>2877</v>
      </c>
      <c r="B11699" s="60" t="s">
        <v>1036</v>
      </c>
    </row>
    <row r="11700" ht="12.75" customHeight="1">
      <c r="A11700" s="59" t="s">
        <v>2877</v>
      </c>
      <c r="B11700" s="60" t="s">
        <v>1037</v>
      </c>
    </row>
    <row r="11701" ht="12.75" customHeight="1">
      <c r="A11701" s="59" t="s">
        <v>2877</v>
      </c>
      <c r="B11701" s="60" t="s">
        <v>1038</v>
      </c>
    </row>
    <row r="11702" ht="12.75" customHeight="1">
      <c r="A11702" s="59" t="s">
        <v>2877</v>
      </c>
      <c r="B11702" s="60" t="s">
        <v>1039</v>
      </c>
    </row>
    <row r="11703" ht="12.75" customHeight="1">
      <c r="A11703" s="59" t="s">
        <v>2877</v>
      </c>
      <c r="B11703" s="60" t="s">
        <v>1040</v>
      </c>
    </row>
    <row r="11704" ht="12.75" customHeight="1">
      <c r="A11704" s="59" t="s">
        <v>2877</v>
      </c>
      <c r="B11704" s="60" t="s">
        <v>1041</v>
      </c>
    </row>
    <row r="11705" ht="12.75" customHeight="1">
      <c r="A11705" s="59" t="s">
        <v>2877</v>
      </c>
      <c r="B11705" s="60" t="s">
        <v>1042</v>
      </c>
    </row>
    <row r="11706" ht="12.75" customHeight="1">
      <c r="A11706" s="59" t="s">
        <v>2877</v>
      </c>
      <c r="B11706" s="60" t="s">
        <v>1043</v>
      </c>
    </row>
    <row r="11707" ht="12.75" customHeight="1">
      <c r="A11707" s="59" t="s">
        <v>2877</v>
      </c>
      <c r="B11707" s="60" t="s">
        <v>1044</v>
      </c>
    </row>
    <row r="11708" ht="12.75" customHeight="1">
      <c r="A11708" s="59" t="s">
        <v>2877</v>
      </c>
      <c r="B11708" s="60" t="s">
        <v>1045</v>
      </c>
    </row>
    <row r="11709" ht="12.75" customHeight="1">
      <c r="A11709" s="59" t="s">
        <v>2877</v>
      </c>
      <c r="B11709" s="60" t="s">
        <v>1046</v>
      </c>
    </row>
    <row r="11710" ht="12.75" customHeight="1">
      <c r="A11710" s="59" t="s">
        <v>2877</v>
      </c>
      <c r="B11710" s="60" t="s">
        <v>1047</v>
      </c>
    </row>
    <row r="11711" ht="12.75" customHeight="1">
      <c r="A11711" s="59" t="s">
        <v>2877</v>
      </c>
      <c r="B11711" s="60" t="s">
        <v>1048</v>
      </c>
    </row>
    <row r="11712" ht="12.75" customHeight="1">
      <c r="A11712" s="59" t="s">
        <v>2877</v>
      </c>
      <c r="B11712" s="60" t="s">
        <v>1049</v>
      </c>
    </row>
    <row r="11713" ht="12.75" customHeight="1">
      <c r="A11713" s="59" t="s">
        <v>2877</v>
      </c>
      <c r="B11713" s="60" t="s">
        <v>1050</v>
      </c>
    </row>
    <row r="11714" ht="12.75" customHeight="1">
      <c r="A11714" s="59" t="s">
        <v>2877</v>
      </c>
      <c r="B11714" s="60" t="s">
        <v>1051</v>
      </c>
    </row>
    <row r="11715" ht="12.75" customHeight="1">
      <c r="A11715" s="59" t="s">
        <v>2877</v>
      </c>
      <c r="B11715" s="60" t="s">
        <v>1052</v>
      </c>
    </row>
    <row r="11716" ht="12.75" customHeight="1">
      <c r="A11716" s="59" t="s">
        <v>2877</v>
      </c>
      <c r="B11716" s="60" t="s">
        <v>1053</v>
      </c>
    </row>
    <row r="11717" ht="12.75" customHeight="1">
      <c r="A11717" s="59" t="s">
        <v>2877</v>
      </c>
      <c r="B11717" s="60" t="s">
        <v>1054</v>
      </c>
    </row>
    <row r="11718" ht="12.75" customHeight="1">
      <c r="A11718" s="59" t="s">
        <v>2877</v>
      </c>
      <c r="B11718" s="60" t="s">
        <v>1055</v>
      </c>
    </row>
    <row r="11719" ht="12.75" customHeight="1">
      <c r="A11719" s="59" t="s">
        <v>2877</v>
      </c>
      <c r="B11719" s="60" t="s">
        <v>1056</v>
      </c>
    </row>
    <row r="11720" ht="12.75" customHeight="1">
      <c r="A11720" s="59" t="s">
        <v>2877</v>
      </c>
      <c r="B11720" s="60" t="s">
        <v>1057</v>
      </c>
    </row>
    <row r="11721" ht="12.75" customHeight="1">
      <c r="A11721" s="59" t="s">
        <v>2877</v>
      </c>
      <c r="B11721" s="60" t="s">
        <v>1058</v>
      </c>
    </row>
    <row r="11722" ht="12.75" customHeight="1">
      <c r="A11722" s="59" t="s">
        <v>2877</v>
      </c>
      <c r="B11722" s="60" t="s">
        <v>1059</v>
      </c>
    </row>
    <row r="11723" ht="12.75" customHeight="1">
      <c r="A11723" s="59" t="s">
        <v>2877</v>
      </c>
      <c r="B11723" s="60" t="s">
        <v>1060</v>
      </c>
    </row>
    <row r="11724" ht="12.75" customHeight="1">
      <c r="A11724" s="59" t="s">
        <v>2877</v>
      </c>
      <c r="B11724" s="60" t="s">
        <v>1061</v>
      </c>
    </row>
    <row r="11725" ht="12.75" customHeight="1">
      <c r="A11725" s="59" t="s">
        <v>2877</v>
      </c>
      <c r="B11725" s="60" t="s">
        <v>1062</v>
      </c>
    </row>
    <row r="11726" ht="12.75" customHeight="1">
      <c r="A11726" s="59" t="s">
        <v>2877</v>
      </c>
      <c r="B11726" s="60" t="s">
        <v>1063</v>
      </c>
    </row>
    <row r="11727" ht="12.75" customHeight="1">
      <c r="A11727" s="59" t="s">
        <v>2877</v>
      </c>
      <c r="B11727" s="60" t="s">
        <v>1064</v>
      </c>
    </row>
    <row r="11728" ht="12.75" customHeight="1">
      <c r="A11728" s="59" t="s">
        <v>2877</v>
      </c>
      <c r="B11728" s="60" t="s">
        <v>1065</v>
      </c>
    </row>
    <row r="11729" ht="12.75" customHeight="1">
      <c r="A11729" s="59" t="s">
        <v>2877</v>
      </c>
      <c r="B11729" s="60" t="s">
        <v>1066</v>
      </c>
    </row>
    <row r="11730" ht="12.75" customHeight="1">
      <c r="A11730" s="59" t="s">
        <v>2877</v>
      </c>
      <c r="B11730" s="60" t="s">
        <v>1067</v>
      </c>
    </row>
    <row r="11731" ht="12.75" customHeight="1">
      <c r="A11731" s="59" t="s">
        <v>2877</v>
      </c>
      <c r="B11731" s="60" t="s">
        <v>1068</v>
      </c>
    </row>
    <row r="11732" ht="12.75" customHeight="1">
      <c r="A11732" s="59" t="s">
        <v>2877</v>
      </c>
      <c r="B11732" s="60" t="s">
        <v>1069</v>
      </c>
    </row>
    <row r="11733" ht="12.75" customHeight="1">
      <c r="A11733" s="59" t="s">
        <v>2877</v>
      </c>
      <c r="B11733" s="60" t="s">
        <v>1070</v>
      </c>
    </row>
    <row r="11734" ht="12.75" customHeight="1">
      <c r="A11734" s="59" t="s">
        <v>2877</v>
      </c>
      <c r="B11734" s="60" t="s">
        <v>1071</v>
      </c>
    </row>
    <row r="11735" ht="12.75" customHeight="1">
      <c r="A11735" s="59" t="s">
        <v>2877</v>
      </c>
      <c r="B11735" s="60" t="s">
        <v>1072</v>
      </c>
    </row>
    <row r="11736" ht="12.75" customHeight="1">
      <c r="A11736" s="59" t="s">
        <v>2877</v>
      </c>
      <c r="B11736" s="60" t="s">
        <v>1073</v>
      </c>
    </row>
    <row r="11737" ht="12.75" customHeight="1">
      <c r="A11737" s="59" t="s">
        <v>2877</v>
      </c>
      <c r="B11737" s="60" t="s">
        <v>1074</v>
      </c>
    </row>
    <row r="11738" ht="12.75" customHeight="1">
      <c r="A11738" s="59" t="s">
        <v>2877</v>
      </c>
      <c r="B11738" s="60" t="s">
        <v>1075</v>
      </c>
    </row>
    <row r="11739" ht="12.75" customHeight="1">
      <c r="A11739" s="59" t="s">
        <v>2877</v>
      </c>
      <c r="B11739" s="60" t="s">
        <v>1076</v>
      </c>
    </row>
    <row r="11740" ht="12.75" customHeight="1">
      <c r="A11740" s="59" t="s">
        <v>2877</v>
      </c>
      <c r="B11740" s="60" t="s">
        <v>1077</v>
      </c>
    </row>
    <row r="11741" ht="12.75" customHeight="1">
      <c r="A11741" s="59" t="s">
        <v>2877</v>
      </c>
      <c r="B11741" s="60" t="s">
        <v>1078</v>
      </c>
    </row>
    <row r="11742" ht="12.75" customHeight="1">
      <c r="A11742" s="59" t="s">
        <v>2877</v>
      </c>
      <c r="B11742" s="60" t="s">
        <v>1079</v>
      </c>
    </row>
    <row r="11743" ht="12.75" customHeight="1">
      <c r="A11743" s="59" t="s">
        <v>2877</v>
      </c>
      <c r="B11743" s="60" t="s">
        <v>1080</v>
      </c>
    </row>
    <row r="11744" ht="12.75" customHeight="1">
      <c r="A11744" s="59" t="s">
        <v>2877</v>
      </c>
      <c r="B11744" s="60" t="s">
        <v>1081</v>
      </c>
    </row>
    <row r="11745" ht="12.75" customHeight="1">
      <c r="A11745" s="59" t="s">
        <v>2877</v>
      </c>
      <c r="B11745" s="60" t="s">
        <v>1082</v>
      </c>
    </row>
    <row r="11746" ht="12.75" customHeight="1">
      <c r="A11746" s="59" t="s">
        <v>2877</v>
      </c>
      <c r="B11746" s="60" t="s">
        <v>1083</v>
      </c>
    </row>
    <row r="11747" ht="12.75" customHeight="1">
      <c r="A11747" s="59" t="s">
        <v>2877</v>
      </c>
      <c r="B11747" s="60" t="s">
        <v>1084</v>
      </c>
    </row>
    <row r="11748" ht="12.75" customHeight="1">
      <c r="A11748" s="59" t="s">
        <v>2877</v>
      </c>
      <c r="B11748" s="60" t="s">
        <v>1085</v>
      </c>
    </row>
    <row r="11749" ht="12.75" customHeight="1">
      <c r="A11749" s="59" t="s">
        <v>2877</v>
      </c>
      <c r="B11749" s="60" t="s">
        <v>1086</v>
      </c>
    </row>
    <row r="11750" ht="12.75" customHeight="1">
      <c r="A11750" s="59" t="s">
        <v>2877</v>
      </c>
      <c r="B11750" s="60" t="s">
        <v>1087</v>
      </c>
    </row>
    <row r="11751" ht="12.75" customHeight="1">
      <c r="A11751" s="59" t="s">
        <v>2877</v>
      </c>
      <c r="B11751" s="60" t="s">
        <v>1088</v>
      </c>
    </row>
    <row r="11752" ht="12.75" customHeight="1">
      <c r="A11752" s="59" t="s">
        <v>2877</v>
      </c>
      <c r="B11752" s="60" t="s">
        <v>1089</v>
      </c>
    </row>
    <row r="11753" ht="12.75" customHeight="1">
      <c r="A11753" s="59" t="s">
        <v>2877</v>
      </c>
      <c r="B11753" s="60" t="s">
        <v>1090</v>
      </c>
    </row>
    <row r="11754" ht="12.75" customHeight="1">
      <c r="A11754" s="59" t="s">
        <v>2877</v>
      </c>
      <c r="B11754" s="60" t="s">
        <v>1091</v>
      </c>
    </row>
    <row r="11755" ht="12.75" customHeight="1">
      <c r="A11755" s="59" t="s">
        <v>2877</v>
      </c>
      <c r="B11755" s="60" t="s">
        <v>1092</v>
      </c>
    </row>
    <row r="11756" ht="12.75" customHeight="1">
      <c r="A11756" s="59" t="s">
        <v>2877</v>
      </c>
      <c r="B11756" s="60" t="s">
        <v>1093</v>
      </c>
    </row>
    <row r="11757" ht="12.75" customHeight="1">
      <c r="A11757" s="59" t="s">
        <v>2877</v>
      </c>
      <c r="B11757" s="60" t="s">
        <v>1094</v>
      </c>
    </row>
    <row r="11758" ht="12.75" customHeight="1">
      <c r="A11758" s="59" t="s">
        <v>2877</v>
      </c>
      <c r="B11758" s="60" t="s">
        <v>1095</v>
      </c>
    </row>
    <row r="11759" ht="12.75" customHeight="1">
      <c r="A11759" s="59" t="s">
        <v>2877</v>
      </c>
      <c r="B11759" s="60" t="s">
        <v>1096</v>
      </c>
    </row>
    <row r="11760" ht="12.75" customHeight="1">
      <c r="A11760" s="59" t="s">
        <v>2877</v>
      </c>
      <c r="B11760" s="60" t="s">
        <v>1097</v>
      </c>
    </row>
    <row r="11761" ht="12.75" customHeight="1">
      <c r="A11761" s="59" t="s">
        <v>2877</v>
      </c>
      <c r="B11761" s="60" t="s">
        <v>1098</v>
      </c>
    </row>
    <row r="11762" ht="12.75" customHeight="1">
      <c r="A11762" s="59" t="s">
        <v>2877</v>
      </c>
      <c r="B11762" s="60" t="s">
        <v>1099</v>
      </c>
    </row>
    <row r="11763" ht="12.75" customHeight="1">
      <c r="A11763" s="59" t="s">
        <v>2877</v>
      </c>
      <c r="B11763" s="60" t="s">
        <v>1100</v>
      </c>
    </row>
    <row r="11764" ht="12.75" customHeight="1">
      <c r="A11764" s="59" t="s">
        <v>2877</v>
      </c>
      <c r="B11764" s="60" t="s">
        <v>1101</v>
      </c>
    </row>
    <row r="11765" ht="12.75" customHeight="1">
      <c r="A11765" s="59" t="s">
        <v>2877</v>
      </c>
      <c r="B11765" s="60" t="s">
        <v>1102</v>
      </c>
    </row>
    <row r="11766" ht="12.75" customHeight="1">
      <c r="A11766" s="59" t="s">
        <v>2877</v>
      </c>
      <c r="B11766" s="60" t="s">
        <v>1103</v>
      </c>
    </row>
    <row r="11767" ht="12.75" customHeight="1">
      <c r="A11767" s="59" t="s">
        <v>2877</v>
      </c>
      <c r="B11767" s="60" t="s">
        <v>1104</v>
      </c>
    </row>
    <row r="11768" ht="12.75" customHeight="1">
      <c r="A11768" s="59" t="s">
        <v>2877</v>
      </c>
      <c r="B11768" s="60" t="s">
        <v>1105</v>
      </c>
    </row>
    <row r="11769" ht="12.75" customHeight="1">
      <c r="A11769" s="59" t="s">
        <v>2877</v>
      </c>
      <c r="B11769" s="60" t="s">
        <v>1106</v>
      </c>
    </row>
    <row r="11770" ht="12.75" customHeight="1">
      <c r="A11770" s="59" t="s">
        <v>2877</v>
      </c>
      <c r="B11770" s="60" t="s">
        <v>1107</v>
      </c>
    </row>
    <row r="11771" ht="12.75" customHeight="1">
      <c r="A11771" s="59" t="s">
        <v>2877</v>
      </c>
      <c r="B11771" s="60" t="s">
        <v>1108</v>
      </c>
    </row>
    <row r="11772" ht="12.75" customHeight="1">
      <c r="A11772" s="59" t="s">
        <v>2877</v>
      </c>
      <c r="B11772" s="60" t="s">
        <v>1109</v>
      </c>
    </row>
    <row r="11773" ht="12.75" customHeight="1">
      <c r="A11773" s="59" t="s">
        <v>2877</v>
      </c>
      <c r="B11773" s="60" t="s">
        <v>1110</v>
      </c>
    </row>
    <row r="11774" ht="12.75" customHeight="1">
      <c r="A11774" s="59" t="s">
        <v>2877</v>
      </c>
      <c r="B11774" s="60" t="s">
        <v>1111</v>
      </c>
    </row>
    <row r="11775" ht="12.75" customHeight="1">
      <c r="A11775" s="59" t="s">
        <v>2877</v>
      </c>
      <c r="B11775" s="60" t="s">
        <v>1112</v>
      </c>
    </row>
    <row r="11776" ht="12.75" customHeight="1">
      <c r="A11776" s="59" t="s">
        <v>2877</v>
      </c>
      <c r="B11776" s="60" t="s">
        <v>1113</v>
      </c>
    </row>
    <row r="11777" ht="12.75" customHeight="1">
      <c r="A11777" s="59" t="s">
        <v>2877</v>
      </c>
      <c r="B11777" s="60" t="s">
        <v>1114</v>
      </c>
    </row>
    <row r="11778" ht="12.75" customHeight="1">
      <c r="A11778" s="59" t="s">
        <v>2877</v>
      </c>
      <c r="B11778" s="60" t="s">
        <v>1115</v>
      </c>
    </row>
    <row r="11779" ht="12.75" customHeight="1">
      <c r="A11779" s="59" t="s">
        <v>2877</v>
      </c>
      <c r="B11779" s="60" t="s">
        <v>1116</v>
      </c>
    </row>
    <row r="11780" ht="12.75" customHeight="1">
      <c r="A11780" s="59" t="s">
        <v>2877</v>
      </c>
      <c r="B11780" s="60" t="s">
        <v>1117</v>
      </c>
    </row>
    <row r="11781" ht="12.75" customHeight="1">
      <c r="A11781" s="59" t="s">
        <v>2877</v>
      </c>
      <c r="B11781" s="60" t="s">
        <v>1118</v>
      </c>
    </row>
    <row r="11782" ht="12.75" customHeight="1">
      <c r="A11782" s="59" t="s">
        <v>2877</v>
      </c>
      <c r="B11782" s="60" t="s">
        <v>1119</v>
      </c>
    </row>
    <row r="11783" ht="12.75" customHeight="1">
      <c r="A11783" s="59" t="s">
        <v>2877</v>
      </c>
      <c r="B11783" s="60" t="s">
        <v>1120</v>
      </c>
    </row>
    <row r="11784" ht="12.75" customHeight="1">
      <c r="A11784" s="59" t="s">
        <v>2877</v>
      </c>
      <c r="B11784" s="60" t="s">
        <v>1121</v>
      </c>
    </row>
    <row r="11785" ht="12.75" customHeight="1">
      <c r="A11785" s="59" t="s">
        <v>2877</v>
      </c>
      <c r="B11785" s="60" t="s">
        <v>1122</v>
      </c>
    </row>
    <row r="11786" ht="12.75" customHeight="1">
      <c r="A11786" s="59" t="s">
        <v>2877</v>
      </c>
      <c r="B11786" s="60" t="s">
        <v>1123</v>
      </c>
    </row>
    <row r="11787" ht="12.75" customHeight="1">
      <c r="A11787" s="59" t="s">
        <v>2877</v>
      </c>
      <c r="B11787" s="60" t="s">
        <v>1124</v>
      </c>
    </row>
    <row r="11788" ht="12.75" customHeight="1">
      <c r="A11788" s="59" t="s">
        <v>2877</v>
      </c>
      <c r="B11788" s="60" t="s">
        <v>1125</v>
      </c>
    </row>
    <row r="11789" ht="12.75" customHeight="1">
      <c r="A11789" s="59" t="s">
        <v>2877</v>
      </c>
      <c r="B11789" s="60" t="s">
        <v>1126</v>
      </c>
    </row>
    <row r="11790" ht="12.75" customHeight="1">
      <c r="A11790" s="59" t="s">
        <v>2877</v>
      </c>
      <c r="B11790" s="60" t="s">
        <v>1127</v>
      </c>
    </row>
    <row r="11791" ht="12.75" customHeight="1">
      <c r="A11791" s="59" t="s">
        <v>2877</v>
      </c>
      <c r="B11791" s="60" t="s">
        <v>1128</v>
      </c>
    </row>
    <row r="11792" ht="12.75" customHeight="1">
      <c r="A11792" s="59" t="s">
        <v>2877</v>
      </c>
      <c r="B11792" s="60" t="s">
        <v>1129</v>
      </c>
    </row>
    <row r="11793" ht="12.75" customHeight="1">
      <c r="A11793" s="59" t="s">
        <v>2877</v>
      </c>
      <c r="B11793" s="60" t="s">
        <v>1130</v>
      </c>
    </row>
    <row r="11794" ht="12.75" customHeight="1">
      <c r="A11794" s="59" t="s">
        <v>2877</v>
      </c>
      <c r="B11794" s="60" t="s">
        <v>1131</v>
      </c>
    </row>
    <row r="11795" ht="12.75" customHeight="1">
      <c r="A11795" s="59" t="s">
        <v>2877</v>
      </c>
      <c r="B11795" s="60" t="s">
        <v>1132</v>
      </c>
    </row>
    <row r="11796" ht="12.75" customHeight="1">
      <c r="A11796" s="59" t="s">
        <v>2877</v>
      </c>
      <c r="B11796" s="60" t="s">
        <v>1133</v>
      </c>
    </row>
    <row r="11797" ht="12.75" customHeight="1">
      <c r="A11797" s="59" t="s">
        <v>2877</v>
      </c>
      <c r="B11797" s="60" t="s">
        <v>1134</v>
      </c>
    </row>
    <row r="11798" ht="12.75" customHeight="1">
      <c r="A11798" s="59" t="s">
        <v>2877</v>
      </c>
      <c r="B11798" s="60" t="s">
        <v>1135</v>
      </c>
    </row>
    <row r="11799" ht="12.75" customHeight="1">
      <c r="A11799" s="59" t="s">
        <v>2877</v>
      </c>
      <c r="B11799" s="60" t="s">
        <v>1136</v>
      </c>
    </row>
    <row r="11800" ht="12.75" customHeight="1">
      <c r="A11800" s="59" t="s">
        <v>2877</v>
      </c>
      <c r="B11800" s="60" t="s">
        <v>1137</v>
      </c>
    </row>
    <row r="11801" ht="12.75" customHeight="1">
      <c r="A11801" s="59" t="s">
        <v>2877</v>
      </c>
      <c r="B11801" s="60" t="s">
        <v>1138</v>
      </c>
    </row>
    <row r="11802" ht="12.75" customHeight="1">
      <c r="A11802" s="59" t="s">
        <v>2877</v>
      </c>
      <c r="B11802" s="60" t="s">
        <v>1139</v>
      </c>
    </row>
    <row r="11803" ht="12.75" customHeight="1">
      <c r="A11803" s="59" t="s">
        <v>2877</v>
      </c>
      <c r="B11803" s="60" t="s">
        <v>1140</v>
      </c>
    </row>
    <row r="11804" ht="12.75" customHeight="1">
      <c r="A11804" s="59" t="s">
        <v>2877</v>
      </c>
      <c r="B11804" s="60" t="s">
        <v>1141</v>
      </c>
    </row>
    <row r="11805" ht="12.75" customHeight="1">
      <c r="A11805" s="59" t="s">
        <v>2877</v>
      </c>
      <c r="B11805" s="60" t="s">
        <v>1142</v>
      </c>
    </row>
    <row r="11806" ht="12.75" customHeight="1">
      <c r="A11806" s="59" t="s">
        <v>2877</v>
      </c>
      <c r="B11806" s="60" t="s">
        <v>1143</v>
      </c>
    </row>
    <row r="11807" ht="12.75" customHeight="1">
      <c r="A11807" s="59" t="s">
        <v>2877</v>
      </c>
      <c r="B11807" s="60" t="s">
        <v>1144</v>
      </c>
    </row>
    <row r="11808" ht="12.75" customHeight="1">
      <c r="A11808" s="59" t="s">
        <v>2877</v>
      </c>
      <c r="B11808" s="60" t="s">
        <v>1145</v>
      </c>
    </row>
    <row r="11809" ht="12.75" customHeight="1">
      <c r="A11809" s="59" t="s">
        <v>2877</v>
      </c>
      <c r="B11809" s="60" t="s">
        <v>1146</v>
      </c>
    </row>
    <row r="11810" ht="12.75" customHeight="1">
      <c r="A11810" s="59" t="s">
        <v>2877</v>
      </c>
      <c r="B11810" s="60" t="s">
        <v>1147</v>
      </c>
    </row>
    <row r="11811" ht="12.75" customHeight="1">
      <c r="A11811" s="59" t="s">
        <v>2877</v>
      </c>
      <c r="B11811" s="60" t="s">
        <v>1148</v>
      </c>
    </row>
    <row r="11812" ht="12.75" customHeight="1">
      <c r="A11812" s="59" t="s">
        <v>2877</v>
      </c>
      <c r="B11812" s="60" t="s">
        <v>1149</v>
      </c>
    </row>
    <row r="11813" ht="12.75" customHeight="1">
      <c r="A11813" s="59" t="s">
        <v>2877</v>
      </c>
      <c r="B11813" s="60" t="s">
        <v>1150</v>
      </c>
    </row>
    <row r="11814" ht="12.75" customHeight="1">
      <c r="A11814" s="59" t="s">
        <v>2877</v>
      </c>
      <c r="B11814" s="60" t="s">
        <v>1151</v>
      </c>
    </row>
    <row r="11815" ht="12.75" customHeight="1">
      <c r="A11815" s="59" t="s">
        <v>2877</v>
      </c>
      <c r="B11815" s="60" t="s">
        <v>1152</v>
      </c>
    </row>
    <row r="11816" ht="12.75" customHeight="1">
      <c r="A11816" s="59" t="s">
        <v>2877</v>
      </c>
      <c r="B11816" s="60" t="s">
        <v>1153</v>
      </c>
    </row>
    <row r="11817" ht="12.75" customHeight="1">
      <c r="A11817" s="59" t="s">
        <v>2877</v>
      </c>
      <c r="B11817" s="60" t="s">
        <v>1154</v>
      </c>
    </row>
    <row r="11818" ht="12.75" customHeight="1">
      <c r="A11818" s="59" t="s">
        <v>2877</v>
      </c>
      <c r="B11818" s="60" t="s">
        <v>1155</v>
      </c>
    </row>
    <row r="11819" ht="12.75" customHeight="1">
      <c r="A11819" s="59" t="s">
        <v>2877</v>
      </c>
      <c r="B11819" s="60" t="s">
        <v>1156</v>
      </c>
    </row>
    <row r="11820" ht="12.75" customHeight="1">
      <c r="A11820" s="59" t="s">
        <v>2877</v>
      </c>
      <c r="B11820" s="60" t="s">
        <v>1157</v>
      </c>
    </row>
    <row r="11821" ht="12.75" customHeight="1">
      <c r="A11821" s="59" t="s">
        <v>2877</v>
      </c>
      <c r="B11821" s="60" t="s">
        <v>1158</v>
      </c>
    </row>
    <row r="11822" ht="12.75" customHeight="1">
      <c r="A11822" s="59" t="s">
        <v>2877</v>
      </c>
      <c r="B11822" s="60" t="s">
        <v>1159</v>
      </c>
    </row>
    <row r="11823" ht="12.75" customHeight="1">
      <c r="A11823" s="59" t="s">
        <v>2877</v>
      </c>
      <c r="B11823" s="60" t="s">
        <v>1160</v>
      </c>
    </row>
    <row r="11824" ht="12.75" customHeight="1">
      <c r="A11824" s="59" t="s">
        <v>2877</v>
      </c>
      <c r="B11824" s="60" t="s">
        <v>1161</v>
      </c>
    </row>
    <row r="11825" ht="12.75" customHeight="1">
      <c r="A11825" s="59" t="s">
        <v>2877</v>
      </c>
      <c r="B11825" s="60" t="s">
        <v>1162</v>
      </c>
    </row>
    <row r="11826" ht="12.75" customHeight="1">
      <c r="A11826" s="59" t="s">
        <v>2877</v>
      </c>
      <c r="B11826" s="60" t="s">
        <v>1163</v>
      </c>
    </row>
    <row r="11827" ht="12.75" customHeight="1">
      <c r="A11827" s="59" t="s">
        <v>2877</v>
      </c>
      <c r="B11827" s="60" t="s">
        <v>1164</v>
      </c>
    </row>
    <row r="11828" ht="12.75" customHeight="1">
      <c r="A11828" s="59" t="s">
        <v>2877</v>
      </c>
      <c r="B11828" s="60" t="s">
        <v>1165</v>
      </c>
    </row>
    <row r="11829" ht="12.75" customHeight="1">
      <c r="A11829" s="59" t="s">
        <v>2877</v>
      </c>
      <c r="B11829" s="60" t="s">
        <v>1166</v>
      </c>
    </row>
    <row r="11830" ht="12.75" customHeight="1">
      <c r="A11830" s="59" t="s">
        <v>2877</v>
      </c>
      <c r="B11830" s="60" t="s">
        <v>1167</v>
      </c>
    </row>
    <row r="11831" ht="12.75" customHeight="1">
      <c r="A11831" s="59" t="s">
        <v>2877</v>
      </c>
      <c r="B11831" s="60" t="s">
        <v>1168</v>
      </c>
    </row>
    <row r="11832" ht="12.75" customHeight="1">
      <c r="A11832" s="59" t="s">
        <v>2877</v>
      </c>
      <c r="B11832" s="60" t="s">
        <v>1169</v>
      </c>
    </row>
    <row r="11833" ht="12.75" customHeight="1">
      <c r="A11833" s="59" t="s">
        <v>2877</v>
      </c>
      <c r="B11833" s="60" t="s">
        <v>1170</v>
      </c>
    </row>
    <row r="11834" ht="12.75" customHeight="1">
      <c r="A11834" s="59" t="s">
        <v>2877</v>
      </c>
      <c r="B11834" s="60" t="s">
        <v>1171</v>
      </c>
    </row>
    <row r="11835" ht="12.75" customHeight="1">
      <c r="A11835" s="59" t="s">
        <v>2877</v>
      </c>
      <c r="B11835" s="60" t="s">
        <v>1172</v>
      </c>
    </row>
    <row r="11836" ht="12.75" customHeight="1">
      <c r="A11836" s="59" t="s">
        <v>2877</v>
      </c>
      <c r="B11836" s="60" t="s">
        <v>1173</v>
      </c>
    </row>
    <row r="11837" ht="12.75" customHeight="1">
      <c r="A11837" s="59" t="s">
        <v>2877</v>
      </c>
      <c r="B11837" s="60" t="s">
        <v>1174</v>
      </c>
    </row>
    <row r="11838" ht="12.75" customHeight="1">
      <c r="A11838" s="59" t="s">
        <v>2877</v>
      </c>
      <c r="B11838" s="60" t="s">
        <v>1175</v>
      </c>
    </row>
    <row r="11839" ht="12.75" customHeight="1">
      <c r="A11839" s="59" t="s">
        <v>2877</v>
      </c>
      <c r="B11839" s="60" t="s">
        <v>1176</v>
      </c>
    </row>
    <row r="11840" ht="12.75" customHeight="1">
      <c r="A11840" s="59" t="s">
        <v>2877</v>
      </c>
      <c r="B11840" s="60" t="s">
        <v>1177</v>
      </c>
    </row>
    <row r="11841" ht="12.75" customHeight="1">
      <c r="A11841" s="59" t="s">
        <v>2877</v>
      </c>
      <c r="B11841" s="60" t="s">
        <v>1178</v>
      </c>
    </row>
    <row r="11842" ht="12.75" customHeight="1">
      <c r="A11842" s="59" t="s">
        <v>2877</v>
      </c>
      <c r="B11842" s="60" t="s">
        <v>1179</v>
      </c>
    </row>
    <row r="11843" ht="12.75" customHeight="1">
      <c r="A11843" s="59" t="s">
        <v>2877</v>
      </c>
      <c r="B11843" s="60" t="s">
        <v>1180</v>
      </c>
    </row>
    <row r="11844" ht="12.75" customHeight="1">
      <c r="A11844" s="59" t="s">
        <v>2877</v>
      </c>
      <c r="B11844" s="60" t="s">
        <v>1181</v>
      </c>
    </row>
    <row r="11845" ht="12.75" customHeight="1">
      <c r="A11845" s="59" t="s">
        <v>2877</v>
      </c>
      <c r="B11845" s="60" t="s">
        <v>1182</v>
      </c>
    </row>
    <row r="11846" ht="12.75" customHeight="1">
      <c r="A11846" s="59" t="s">
        <v>2877</v>
      </c>
      <c r="B11846" s="60" t="s">
        <v>1183</v>
      </c>
    </row>
    <row r="11847" ht="12.75" customHeight="1">
      <c r="A11847" s="59" t="s">
        <v>2877</v>
      </c>
      <c r="B11847" s="60" t="s">
        <v>1184</v>
      </c>
    </row>
    <row r="11848" ht="12.75" customHeight="1">
      <c r="A11848" s="59" t="s">
        <v>2877</v>
      </c>
      <c r="B11848" s="60" t="s">
        <v>1185</v>
      </c>
    </row>
    <row r="11849" ht="12.75" customHeight="1">
      <c r="A11849" s="59" t="s">
        <v>2877</v>
      </c>
      <c r="B11849" s="60" t="s">
        <v>1186</v>
      </c>
    </row>
    <row r="11850" ht="12.75" customHeight="1">
      <c r="A11850" s="59" t="s">
        <v>2877</v>
      </c>
      <c r="B11850" s="60" t="s">
        <v>1187</v>
      </c>
    </row>
    <row r="11851" ht="12.75" customHeight="1">
      <c r="A11851" s="59" t="s">
        <v>2877</v>
      </c>
      <c r="B11851" s="60" t="s">
        <v>1188</v>
      </c>
    </row>
    <row r="11852" ht="12.75" customHeight="1">
      <c r="A11852" s="59" t="s">
        <v>2877</v>
      </c>
      <c r="B11852" s="60" t="s">
        <v>1189</v>
      </c>
    </row>
    <row r="11853" ht="12.75" customHeight="1">
      <c r="A11853" s="59" t="s">
        <v>2877</v>
      </c>
      <c r="B11853" s="60" t="s">
        <v>1190</v>
      </c>
    </row>
    <row r="11854" ht="12.75" customHeight="1">
      <c r="A11854" s="59" t="s">
        <v>2877</v>
      </c>
      <c r="B11854" s="60" t="s">
        <v>1191</v>
      </c>
    </row>
    <row r="11855" ht="12.75" customHeight="1">
      <c r="A11855" s="59" t="s">
        <v>2877</v>
      </c>
      <c r="B11855" s="60" t="s">
        <v>1192</v>
      </c>
    </row>
    <row r="11856" ht="12.75" customHeight="1">
      <c r="A11856" s="59" t="s">
        <v>2878</v>
      </c>
      <c r="B11856" s="60">
        <v>0.0</v>
      </c>
    </row>
    <row r="11857" ht="12.75" customHeight="1">
      <c r="A11857" s="59" t="s">
        <v>2878</v>
      </c>
      <c r="B11857" s="60">
        <v>0.0</v>
      </c>
    </row>
    <row r="11858" ht="12.75" customHeight="1">
      <c r="A11858" s="59" t="s">
        <v>2878</v>
      </c>
      <c r="B11858" s="60">
        <v>2.0</v>
      </c>
    </row>
    <row r="11859" ht="12.75" customHeight="1">
      <c r="A11859" s="59" t="s">
        <v>2878</v>
      </c>
      <c r="B11859" s="60">
        <v>4.0</v>
      </c>
    </row>
    <row r="11860" ht="12.75" customHeight="1">
      <c r="A11860" s="59" t="s">
        <v>2878</v>
      </c>
      <c r="B11860" s="60">
        <v>6.0</v>
      </c>
    </row>
    <row r="11861" ht="12.75" customHeight="1">
      <c r="A11861" s="59" t="s">
        <v>2878</v>
      </c>
      <c r="B11861" s="60">
        <v>8.0</v>
      </c>
    </row>
    <row r="11862" ht="12.75" customHeight="1">
      <c r="A11862" s="59" t="s">
        <v>2878</v>
      </c>
      <c r="B11862" s="60">
        <v>10.0</v>
      </c>
    </row>
    <row r="11863" ht="12.75" customHeight="1">
      <c r="A11863" s="59" t="s">
        <v>2878</v>
      </c>
      <c r="B11863" s="60">
        <v>12.0</v>
      </c>
    </row>
    <row r="11864" ht="12.75" customHeight="1">
      <c r="A11864" s="59" t="s">
        <v>2878</v>
      </c>
      <c r="B11864" s="60" t="s">
        <v>803</v>
      </c>
    </row>
    <row r="11865" ht="12.75" customHeight="1">
      <c r="A11865" s="59" t="s">
        <v>2878</v>
      </c>
      <c r="B11865" s="60" t="s">
        <v>804</v>
      </c>
    </row>
    <row r="11866" ht="12.75" customHeight="1">
      <c r="A11866" s="59" t="s">
        <v>2878</v>
      </c>
      <c r="B11866" s="60" t="s">
        <v>76</v>
      </c>
    </row>
    <row r="11867" ht="12.75" customHeight="1">
      <c r="A11867" s="59" t="s">
        <v>2878</v>
      </c>
      <c r="B11867" s="60" t="s">
        <v>80</v>
      </c>
    </row>
    <row r="11868" ht="12.75" customHeight="1">
      <c r="A11868" s="59" t="s">
        <v>2878</v>
      </c>
      <c r="B11868" s="60" t="s">
        <v>83</v>
      </c>
    </row>
    <row r="11869" ht="12.75" customHeight="1">
      <c r="A11869" s="59" t="s">
        <v>2878</v>
      </c>
      <c r="B11869" s="60" t="s">
        <v>85</v>
      </c>
    </row>
    <row r="11870" ht="12.75" customHeight="1">
      <c r="A11870" s="59" t="s">
        <v>2878</v>
      </c>
      <c r="B11870" s="60" t="s">
        <v>805</v>
      </c>
    </row>
    <row r="11871" ht="12.75" customHeight="1">
      <c r="A11871" s="59" t="s">
        <v>2878</v>
      </c>
      <c r="B11871" s="60" t="s">
        <v>806</v>
      </c>
    </row>
    <row r="11872" ht="12.75" customHeight="1">
      <c r="A11872" s="59" t="s">
        <v>2878</v>
      </c>
      <c r="B11872" s="60" t="s">
        <v>807</v>
      </c>
    </row>
    <row r="11873" ht="12.75" customHeight="1">
      <c r="A11873" s="59" t="s">
        <v>2878</v>
      </c>
      <c r="B11873" s="60" t="s">
        <v>753</v>
      </c>
    </row>
    <row r="11874" ht="12.75" customHeight="1">
      <c r="A11874" s="59" t="s">
        <v>2878</v>
      </c>
      <c r="B11874" s="60" t="s">
        <v>757</v>
      </c>
    </row>
    <row r="11875" ht="12.75" customHeight="1">
      <c r="A11875" s="59" t="s">
        <v>2878</v>
      </c>
      <c r="B11875" s="60" t="s">
        <v>761</v>
      </c>
    </row>
    <row r="11876" ht="12.75" customHeight="1">
      <c r="A11876" s="59" t="s">
        <v>2878</v>
      </c>
      <c r="B11876" s="60" t="s">
        <v>765</v>
      </c>
    </row>
    <row r="11877" ht="12.75" customHeight="1">
      <c r="A11877" s="59" t="s">
        <v>2878</v>
      </c>
      <c r="B11877" s="60" t="s">
        <v>808</v>
      </c>
    </row>
    <row r="11878" ht="12.75" customHeight="1">
      <c r="A11878" s="59" t="s">
        <v>2878</v>
      </c>
      <c r="B11878" s="60" t="s">
        <v>809</v>
      </c>
    </row>
    <row r="11879" ht="12.75" customHeight="1">
      <c r="A11879" s="59" t="s">
        <v>2878</v>
      </c>
      <c r="B11879" s="60" t="s">
        <v>810</v>
      </c>
    </row>
    <row r="11880" ht="12.75" customHeight="1">
      <c r="A11880" s="59" t="s">
        <v>2878</v>
      </c>
      <c r="B11880" s="60" t="s">
        <v>811</v>
      </c>
    </row>
    <row r="11881" ht="12.75" customHeight="1">
      <c r="A11881" s="59" t="s">
        <v>2878</v>
      </c>
      <c r="B11881" s="60" t="s">
        <v>812</v>
      </c>
    </row>
    <row r="11882" ht="12.75" customHeight="1">
      <c r="A11882" s="59" t="s">
        <v>2878</v>
      </c>
      <c r="B11882" s="60" t="s">
        <v>813</v>
      </c>
    </row>
    <row r="11883" ht="12.75" customHeight="1">
      <c r="A11883" s="59" t="s">
        <v>2878</v>
      </c>
      <c r="B11883" s="60" t="s">
        <v>814</v>
      </c>
    </row>
    <row r="11884" ht="12.75" customHeight="1">
      <c r="A11884" s="59" t="s">
        <v>2878</v>
      </c>
      <c r="B11884" s="60" t="s">
        <v>815</v>
      </c>
    </row>
    <row r="11885" ht="12.75" customHeight="1">
      <c r="A11885" s="59" t="s">
        <v>2878</v>
      </c>
      <c r="B11885" s="60" t="s">
        <v>816</v>
      </c>
    </row>
    <row r="11886" ht="12.75" customHeight="1">
      <c r="A11886" s="59" t="s">
        <v>2878</v>
      </c>
      <c r="B11886" s="60" t="s">
        <v>771</v>
      </c>
    </row>
    <row r="11887" ht="12.75" customHeight="1">
      <c r="A11887" s="59" t="s">
        <v>2878</v>
      </c>
      <c r="B11887" s="60" t="s">
        <v>775</v>
      </c>
    </row>
    <row r="11888" ht="12.75" customHeight="1">
      <c r="A11888" s="59" t="s">
        <v>2878</v>
      </c>
      <c r="B11888" s="60" t="s">
        <v>779</v>
      </c>
    </row>
    <row r="11889" ht="12.75" customHeight="1">
      <c r="A11889" s="59" t="s">
        <v>2878</v>
      </c>
      <c r="B11889" s="60" t="s">
        <v>783</v>
      </c>
    </row>
    <row r="11890" ht="12.75" customHeight="1">
      <c r="A11890" s="59" t="s">
        <v>2878</v>
      </c>
      <c r="B11890" s="60" t="s">
        <v>817</v>
      </c>
    </row>
    <row r="11891" ht="12.75" customHeight="1">
      <c r="A11891" s="59" t="s">
        <v>2878</v>
      </c>
      <c r="B11891" s="60" t="s">
        <v>818</v>
      </c>
    </row>
    <row r="11892" ht="12.75" customHeight="1">
      <c r="A11892" s="59" t="s">
        <v>2878</v>
      </c>
      <c r="B11892" s="60" t="s">
        <v>819</v>
      </c>
    </row>
    <row r="11893" ht="12.75" customHeight="1">
      <c r="A11893" s="59" t="s">
        <v>2878</v>
      </c>
      <c r="B11893" s="60" t="s">
        <v>820</v>
      </c>
    </row>
    <row r="11894" ht="12.75" customHeight="1">
      <c r="A11894" s="59" t="s">
        <v>2878</v>
      </c>
      <c r="B11894" s="60" t="s">
        <v>821</v>
      </c>
    </row>
    <row r="11895" ht="12.75" customHeight="1">
      <c r="A11895" s="59" t="s">
        <v>2878</v>
      </c>
      <c r="B11895" s="60" t="s">
        <v>822</v>
      </c>
    </row>
    <row r="11896" ht="12.75" customHeight="1">
      <c r="A11896" s="59" t="s">
        <v>2878</v>
      </c>
      <c r="B11896" s="60" t="s">
        <v>823</v>
      </c>
    </row>
    <row r="11897" ht="12.75" customHeight="1">
      <c r="A11897" s="59" t="s">
        <v>2878</v>
      </c>
      <c r="B11897" s="60" t="s">
        <v>824</v>
      </c>
    </row>
    <row r="11898" ht="12.75" customHeight="1">
      <c r="A11898" s="59" t="s">
        <v>2878</v>
      </c>
      <c r="B11898" s="60" t="s">
        <v>825</v>
      </c>
    </row>
    <row r="11899" ht="12.75" customHeight="1">
      <c r="A11899" s="59" t="s">
        <v>2878</v>
      </c>
      <c r="B11899" s="60" t="s">
        <v>788</v>
      </c>
    </row>
    <row r="11900" ht="12.75" customHeight="1">
      <c r="A11900" s="59" t="s">
        <v>2878</v>
      </c>
      <c r="B11900" s="60" t="s">
        <v>792</v>
      </c>
    </row>
    <row r="11901" ht="12.75" customHeight="1">
      <c r="A11901" s="59" t="s">
        <v>2878</v>
      </c>
      <c r="B11901" s="60" t="s">
        <v>796</v>
      </c>
    </row>
    <row r="11902" ht="12.75" customHeight="1">
      <c r="A11902" s="59" t="s">
        <v>2878</v>
      </c>
      <c r="B11902" s="60" t="s">
        <v>800</v>
      </c>
    </row>
    <row r="11903" ht="12.75" customHeight="1">
      <c r="A11903" s="59" t="s">
        <v>2878</v>
      </c>
      <c r="B11903" s="60" t="s">
        <v>826</v>
      </c>
    </row>
    <row r="11904" ht="12.75" customHeight="1">
      <c r="A11904" s="59" t="s">
        <v>2878</v>
      </c>
      <c r="B11904" s="60" t="s">
        <v>827</v>
      </c>
    </row>
    <row r="11905" ht="12.75" customHeight="1">
      <c r="A11905" s="59" t="s">
        <v>2878</v>
      </c>
      <c r="B11905" s="60" t="s">
        <v>828</v>
      </c>
    </row>
    <row r="11906" ht="12.75" customHeight="1">
      <c r="A11906" s="59" t="s">
        <v>2878</v>
      </c>
      <c r="B11906" s="60" t="s">
        <v>829</v>
      </c>
    </row>
    <row r="11907" ht="12.75" customHeight="1">
      <c r="A11907" s="59" t="s">
        <v>2878</v>
      </c>
      <c r="B11907" s="60" t="s">
        <v>830</v>
      </c>
    </row>
    <row r="11908" ht="12.75" customHeight="1">
      <c r="A11908" s="59" t="s">
        <v>2878</v>
      </c>
      <c r="B11908" s="60" t="s">
        <v>831</v>
      </c>
    </row>
    <row r="11909" ht="12.75" customHeight="1">
      <c r="A11909" s="59" t="s">
        <v>2878</v>
      </c>
      <c r="B11909" s="60" t="s">
        <v>832</v>
      </c>
    </row>
    <row r="11910" ht="12.75" customHeight="1">
      <c r="A11910" s="59" t="s">
        <v>2878</v>
      </c>
      <c r="B11910" s="60" t="s">
        <v>833</v>
      </c>
    </row>
    <row r="11911" ht="12.75" customHeight="1">
      <c r="A11911" s="59" t="s">
        <v>2878</v>
      </c>
      <c r="B11911" s="60" t="s">
        <v>834</v>
      </c>
    </row>
    <row r="11912" ht="12.75" customHeight="1">
      <c r="A11912" s="59" t="s">
        <v>2878</v>
      </c>
      <c r="B11912" s="60">
        <v>14.0</v>
      </c>
    </row>
    <row r="11913" ht="12.75" customHeight="1">
      <c r="A11913" s="59" t="s">
        <v>2878</v>
      </c>
      <c r="B11913" s="60" t="s">
        <v>835</v>
      </c>
    </row>
    <row r="11914" ht="12.75" customHeight="1">
      <c r="A11914" s="59" t="s">
        <v>2878</v>
      </c>
      <c r="B11914" s="60">
        <v>16.0</v>
      </c>
    </row>
    <row r="11915" ht="12.75" customHeight="1">
      <c r="A11915" s="59" t="s">
        <v>2878</v>
      </c>
      <c r="B11915" s="60" t="s">
        <v>836</v>
      </c>
    </row>
    <row r="11916" ht="12.75" customHeight="1">
      <c r="A11916" s="59" t="s">
        <v>2878</v>
      </c>
      <c r="B11916" s="60">
        <v>18.0</v>
      </c>
    </row>
    <row r="11917" ht="12.75" customHeight="1">
      <c r="A11917" s="59" t="s">
        <v>2878</v>
      </c>
      <c r="B11917" s="60" t="s">
        <v>837</v>
      </c>
    </row>
    <row r="11918" ht="12.75" customHeight="1">
      <c r="A11918" s="59" t="s">
        <v>2878</v>
      </c>
      <c r="B11918" s="60">
        <v>20.0</v>
      </c>
    </row>
    <row r="11919" ht="12.75" customHeight="1">
      <c r="A11919" s="59" t="s">
        <v>2878</v>
      </c>
      <c r="B11919" s="60" t="s">
        <v>838</v>
      </c>
    </row>
    <row r="11920" ht="12.75" customHeight="1">
      <c r="A11920" s="59" t="s">
        <v>2878</v>
      </c>
      <c r="B11920" s="60">
        <v>22.0</v>
      </c>
    </row>
    <row r="11921" ht="12.75" customHeight="1">
      <c r="A11921" s="59" t="s">
        <v>2878</v>
      </c>
      <c r="B11921" s="60" t="s">
        <v>839</v>
      </c>
    </row>
    <row r="11922" ht="12.75" customHeight="1">
      <c r="A11922" s="59" t="s">
        <v>2878</v>
      </c>
      <c r="B11922" s="60">
        <v>24.0</v>
      </c>
    </row>
    <row r="11923" ht="12.75" customHeight="1">
      <c r="A11923" s="59" t="s">
        <v>2878</v>
      </c>
      <c r="B11923" s="60" t="s">
        <v>840</v>
      </c>
    </row>
    <row r="11924" ht="12.75" customHeight="1">
      <c r="A11924" s="59" t="s">
        <v>2878</v>
      </c>
      <c r="B11924" s="60">
        <v>26.0</v>
      </c>
    </row>
    <row r="11925" ht="12.75" customHeight="1">
      <c r="A11925" s="59" t="s">
        <v>2878</v>
      </c>
      <c r="B11925" s="60" t="s">
        <v>841</v>
      </c>
    </row>
    <row r="11926" ht="12.75" customHeight="1">
      <c r="A11926" s="59" t="s">
        <v>2878</v>
      </c>
      <c r="B11926" s="60">
        <v>28.0</v>
      </c>
    </row>
    <row r="11927" ht="12.75" customHeight="1">
      <c r="A11927" s="59" t="s">
        <v>2878</v>
      </c>
      <c r="B11927" s="60" t="s">
        <v>842</v>
      </c>
    </row>
    <row r="11928" ht="12.75" customHeight="1">
      <c r="A11928" s="59" t="s">
        <v>2878</v>
      </c>
      <c r="B11928" s="60">
        <v>30.0</v>
      </c>
    </row>
    <row r="11929" ht="12.75" customHeight="1">
      <c r="A11929" s="59" t="s">
        <v>2878</v>
      </c>
      <c r="B11929" s="60" t="s">
        <v>843</v>
      </c>
    </row>
    <row r="11930" ht="12.75" customHeight="1">
      <c r="A11930" s="59" t="s">
        <v>2878</v>
      </c>
      <c r="B11930" s="60">
        <v>32.0</v>
      </c>
    </row>
    <row r="11931" ht="12.75" customHeight="1">
      <c r="A11931" s="59" t="s">
        <v>2878</v>
      </c>
      <c r="B11931" s="60" t="s">
        <v>844</v>
      </c>
    </row>
    <row r="11932" ht="12.75" customHeight="1">
      <c r="A11932" s="59" t="s">
        <v>2878</v>
      </c>
      <c r="B11932" s="60" t="s">
        <v>845</v>
      </c>
    </row>
    <row r="11933" ht="12.75" customHeight="1">
      <c r="A11933" s="59" t="s">
        <v>2878</v>
      </c>
      <c r="B11933" s="60" t="s">
        <v>846</v>
      </c>
    </row>
    <row r="11934" ht="12.75" customHeight="1">
      <c r="A11934" s="59" t="s">
        <v>2878</v>
      </c>
      <c r="B11934" s="60" t="s">
        <v>847</v>
      </c>
    </row>
    <row r="11935" ht="12.75" customHeight="1">
      <c r="A11935" s="59" t="s">
        <v>2878</v>
      </c>
      <c r="B11935" s="60" t="s">
        <v>848</v>
      </c>
    </row>
    <row r="11936" ht="12.75" customHeight="1">
      <c r="A11936" s="59" t="s">
        <v>2878</v>
      </c>
      <c r="B11936" s="60" t="s">
        <v>849</v>
      </c>
    </row>
    <row r="11937" ht="12.75" customHeight="1">
      <c r="A11937" s="59" t="s">
        <v>2878</v>
      </c>
      <c r="B11937" s="60" t="s">
        <v>850</v>
      </c>
    </row>
    <row r="11938" ht="12.75" customHeight="1">
      <c r="A11938" s="59" t="s">
        <v>2878</v>
      </c>
      <c r="B11938" s="60" t="s">
        <v>851</v>
      </c>
    </row>
    <row r="11939" ht="12.75" customHeight="1">
      <c r="A11939" s="59" t="s">
        <v>2878</v>
      </c>
      <c r="B11939" s="60" t="s">
        <v>852</v>
      </c>
    </row>
    <row r="11940" ht="12.75" customHeight="1">
      <c r="A11940" s="59" t="s">
        <v>2878</v>
      </c>
      <c r="B11940" s="60" t="s">
        <v>853</v>
      </c>
    </row>
    <row r="11941" ht="12.75" customHeight="1">
      <c r="A11941" s="59" t="s">
        <v>2878</v>
      </c>
      <c r="B11941" s="60" t="s">
        <v>854</v>
      </c>
    </row>
    <row r="11942" ht="12.75" customHeight="1">
      <c r="A11942" s="59" t="s">
        <v>2878</v>
      </c>
      <c r="B11942" s="60" t="s">
        <v>855</v>
      </c>
    </row>
    <row r="11943" ht="12.75" customHeight="1">
      <c r="A11943" s="59" t="s">
        <v>2878</v>
      </c>
      <c r="B11943" s="60" t="s">
        <v>856</v>
      </c>
    </row>
    <row r="11944" ht="12.75" customHeight="1">
      <c r="A11944" s="59" t="s">
        <v>2878</v>
      </c>
      <c r="B11944" s="60" t="s">
        <v>857</v>
      </c>
    </row>
    <row r="11945" ht="12.75" customHeight="1">
      <c r="A11945" s="59" t="s">
        <v>2878</v>
      </c>
      <c r="B11945" s="60" t="s">
        <v>858</v>
      </c>
    </row>
    <row r="11946" ht="12.75" customHeight="1">
      <c r="A11946" s="59" t="s">
        <v>2878</v>
      </c>
      <c r="B11946" s="60" t="s">
        <v>859</v>
      </c>
    </row>
    <row r="11947" ht="12.75" customHeight="1">
      <c r="A11947" s="59" t="s">
        <v>2878</v>
      </c>
      <c r="B11947" s="60" t="s">
        <v>860</v>
      </c>
    </row>
    <row r="11948" ht="12.75" customHeight="1">
      <c r="A11948" s="59" t="s">
        <v>2878</v>
      </c>
      <c r="B11948" s="60" t="s">
        <v>861</v>
      </c>
    </row>
    <row r="11949" ht="12.75" customHeight="1">
      <c r="A11949" s="59" t="s">
        <v>2878</v>
      </c>
      <c r="B11949" s="60" t="s">
        <v>862</v>
      </c>
    </row>
    <row r="11950" ht="12.75" customHeight="1">
      <c r="A11950" s="59" t="s">
        <v>2878</v>
      </c>
      <c r="B11950" s="60" t="s">
        <v>863</v>
      </c>
    </row>
    <row r="11951" ht="12.75" customHeight="1">
      <c r="A11951" s="59" t="s">
        <v>2878</v>
      </c>
      <c r="B11951" s="60" t="s">
        <v>864</v>
      </c>
    </row>
    <row r="11952" ht="12.75" customHeight="1">
      <c r="A11952" s="59" t="s">
        <v>2878</v>
      </c>
      <c r="B11952" s="60" t="s">
        <v>865</v>
      </c>
    </row>
    <row r="11953" ht="12.75" customHeight="1">
      <c r="A11953" s="59" t="s">
        <v>2878</v>
      </c>
      <c r="B11953" s="60" t="s">
        <v>866</v>
      </c>
    </row>
    <row r="11954" ht="12.75" customHeight="1">
      <c r="A11954" s="59" t="s">
        <v>2878</v>
      </c>
      <c r="B11954" s="60" t="s">
        <v>867</v>
      </c>
    </row>
    <row r="11955" ht="12.75" customHeight="1">
      <c r="A11955" s="59" t="s">
        <v>2878</v>
      </c>
      <c r="B11955" s="60" t="s">
        <v>868</v>
      </c>
    </row>
    <row r="11956" ht="12.75" customHeight="1">
      <c r="A11956" s="59" t="s">
        <v>2878</v>
      </c>
      <c r="B11956" s="60" t="s">
        <v>869</v>
      </c>
    </row>
    <row r="11957" ht="12.75" customHeight="1">
      <c r="A11957" s="59" t="s">
        <v>2878</v>
      </c>
      <c r="B11957" s="60" t="s">
        <v>870</v>
      </c>
    </row>
    <row r="11958" ht="12.75" customHeight="1">
      <c r="A11958" s="59" t="s">
        <v>2878</v>
      </c>
      <c r="B11958" s="60" t="s">
        <v>871</v>
      </c>
    </row>
    <row r="11959" ht="12.75" customHeight="1">
      <c r="A11959" s="59" t="s">
        <v>2878</v>
      </c>
      <c r="B11959" s="60" t="s">
        <v>872</v>
      </c>
    </row>
    <row r="11960" ht="12.75" customHeight="1">
      <c r="A11960" s="59" t="s">
        <v>2878</v>
      </c>
      <c r="B11960" s="60" t="s">
        <v>873</v>
      </c>
    </row>
    <row r="11961" ht="12.75" customHeight="1">
      <c r="A11961" s="59" t="s">
        <v>2878</v>
      </c>
      <c r="B11961" s="60" t="s">
        <v>874</v>
      </c>
    </row>
    <row r="11962" ht="12.75" customHeight="1">
      <c r="A11962" s="59" t="s">
        <v>2878</v>
      </c>
      <c r="B11962" s="60" t="s">
        <v>875</v>
      </c>
    </row>
    <row r="11963" ht="12.75" customHeight="1">
      <c r="A11963" s="59" t="s">
        <v>2878</v>
      </c>
      <c r="B11963" s="60" t="s">
        <v>876</v>
      </c>
    </row>
    <row r="11964" ht="12.75" customHeight="1">
      <c r="A11964" s="59" t="s">
        <v>2878</v>
      </c>
      <c r="B11964" s="60" t="s">
        <v>877</v>
      </c>
    </row>
    <row r="11965" ht="12.75" customHeight="1">
      <c r="A11965" s="59" t="s">
        <v>2878</v>
      </c>
      <c r="B11965" s="60" t="s">
        <v>878</v>
      </c>
    </row>
    <row r="11966" ht="12.75" customHeight="1">
      <c r="A11966" s="59" t="s">
        <v>2878</v>
      </c>
      <c r="B11966" s="60" t="s">
        <v>879</v>
      </c>
    </row>
    <row r="11967" ht="12.75" customHeight="1">
      <c r="A11967" s="59" t="s">
        <v>2878</v>
      </c>
      <c r="B11967" s="60" t="s">
        <v>880</v>
      </c>
    </row>
    <row r="11968" ht="12.75" customHeight="1">
      <c r="A11968" s="59" t="s">
        <v>2878</v>
      </c>
      <c r="B11968" s="60" t="s">
        <v>881</v>
      </c>
    </row>
    <row r="11969" ht="12.75" customHeight="1">
      <c r="A11969" s="59" t="s">
        <v>2878</v>
      </c>
      <c r="B11969" s="60" t="s">
        <v>882</v>
      </c>
    </row>
    <row r="11970" ht="12.75" customHeight="1">
      <c r="A11970" s="59" t="s">
        <v>2878</v>
      </c>
      <c r="B11970" s="60" t="s">
        <v>883</v>
      </c>
    </row>
    <row r="11971" ht="12.75" customHeight="1">
      <c r="A11971" s="59" t="s">
        <v>2878</v>
      </c>
      <c r="B11971" s="60" t="s">
        <v>884</v>
      </c>
    </row>
    <row r="11972" ht="12.75" customHeight="1">
      <c r="A11972" s="59" t="s">
        <v>2878</v>
      </c>
      <c r="B11972" s="60" t="s">
        <v>885</v>
      </c>
    </row>
    <row r="11973" ht="12.75" customHeight="1">
      <c r="A11973" s="59" t="s">
        <v>2878</v>
      </c>
      <c r="B11973" s="60" t="s">
        <v>886</v>
      </c>
    </row>
    <row r="11974" ht="12.75" customHeight="1">
      <c r="A11974" s="59" t="s">
        <v>2878</v>
      </c>
      <c r="B11974" s="60" t="s">
        <v>887</v>
      </c>
    </row>
    <row r="11975" ht="12.75" customHeight="1">
      <c r="A11975" s="59" t="s">
        <v>2878</v>
      </c>
      <c r="B11975" s="60" t="s">
        <v>888</v>
      </c>
    </row>
    <row r="11976" ht="12.75" customHeight="1">
      <c r="A11976" s="59" t="s">
        <v>2878</v>
      </c>
      <c r="B11976" s="60" t="s">
        <v>889</v>
      </c>
    </row>
    <row r="11977" ht="12.75" customHeight="1">
      <c r="A11977" s="59" t="s">
        <v>2878</v>
      </c>
      <c r="B11977" s="60" t="s">
        <v>890</v>
      </c>
    </row>
    <row r="11978" ht="12.75" customHeight="1">
      <c r="A11978" s="59" t="s">
        <v>2878</v>
      </c>
      <c r="B11978" s="60" t="s">
        <v>891</v>
      </c>
    </row>
    <row r="11979" ht="12.75" customHeight="1">
      <c r="A11979" s="59" t="s">
        <v>2878</v>
      </c>
      <c r="B11979" s="60" t="s">
        <v>892</v>
      </c>
    </row>
    <row r="11980" ht="12.75" customHeight="1">
      <c r="A11980" s="59" t="s">
        <v>2878</v>
      </c>
      <c r="B11980" s="60" t="s">
        <v>893</v>
      </c>
    </row>
    <row r="11981" ht="12.75" customHeight="1">
      <c r="A11981" s="59" t="s">
        <v>2878</v>
      </c>
      <c r="B11981" s="60" t="s">
        <v>894</v>
      </c>
    </row>
    <row r="11982" ht="12.75" customHeight="1">
      <c r="A11982" s="59" t="s">
        <v>2878</v>
      </c>
      <c r="B11982" s="60" t="s">
        <v>895</v>
      </c>
    </row>
    <row r="11983" ht="12.75" customHeight="1">
      <c r="A11983" s="59" t="s">
        <v>2878</v>
      </c>
      <c r="B11983" s="60" t="s">
        <v>896</v>
      </c>
    </row>
    <row r="11984" ht="12.75" customHeight="1">
      <c r="A11984" s="59" t="s">
        <v>2878</v>
      </c>
      <c r="B11984" s="60" t="s">
        <v>897</v>
      </c>
    </row>
    <row r="11985" ht="12.75" customHeight="1">
      <c r="A11985" s="59" t="s">
        <v>2878</v>
      </c>
      <c r="B11985" s="60" t="s">
        <v>898</v>
      </c>
    </row>
    <row r="11986" ht="12.75" customHeight="1">
      <c r="A11986" s="59" t="s">
        <v>2878</v>
      </c>
      <c r="B11986" s="60" t="s">
        <v>899</v>
      </c>
    </row>
    <row r="11987" ht="12.75" customHeight="1">
      <c r="A11987" s="59" t="s">
        <v>2878</v>
      </c>
      <c r="B11987" s="60" t="s">
        <v>900</v>
      </c>
    </row>
    <row r="11988" ht="12.75" customHeight="1">
      <c r="A11988" s="59" t="s">
        <v>2878</v>
      </c>
      <c r="B11988" s="60" t="s">
        <v>901</v>
      </c>
    </row>
    <row r="11989" ht="12.75" customHeight="1">
      <c r="A11989" s="59" t="s">
        <v>2878</v>
      </c>
      <c r="B11989" s="60" t="s">
        <v>902</v>
      </c>
    </row>
    <row r="11990" ht="12.75" customHeight="1">
      <c r="A11990" s="59" t="s">
        <v>2878</v>
      </c>
      <c r="B11990" s="60" t="s">
        <v>903</v>
      </c>
    </row>
    <row r="11991" ht="12.75" customHeight="1">
      <c r="A11991" s="59" t="s">
        <v>2878</v>
      </c>
      <c r="B11991" s="60" t="s">
        <v>904</v>
      </c>
    </row>
    <row r="11992" ht="12.75" customHeight="1">
      <c r="A11992" s="59" t="s">
        <v>2878</v>
      </c>
      <c r="B11992" s="60" t="s">
        <v>905</v>
      </c>
    </row>
    <row r="11993" ht="12.75" customHeight="1">
      <c r="A11993" s="59" t="s">
        <v>2878</v>
      </c>
      <c r="B11993" s="60" t="s">
        <v>906</v>
      </c>
    </row>
    <row r="11994" ht="12.75" customHeight="1">
      <c r="A11994" s="59" t="s">
        <v>2878</v>
      </c>
      <c r="B11994" s="60" t="s">
        <v>907</v>
      </c>
    </row>
    <row r="11995" ht="12.75" customHeight="1">
      <c r="A11995" s="59" t="s">
        <v>2878</v>
      </c>
      <c r="B11995" s="60" t="s">
        <v>908</v>
      </c>
    </row>
    <row r="11996" ht="12.75" customHeight="1">
      <c r="A11996" s="59" t="s">
        <v>2878</v>
      </c>
      <c r="B11996" s="60" t="s">
        <v>909</v>
      </c>
    </row>
    <row r="11997" ht="12.75" customHeight="1">
      <c r="A11997" s="59" t="s">
        <v>2878</v>
      </c>
      <c r="B11997" s="60" t="s">
        <v>910</v>
      </c>
    </row>
    <row r="11998" ht="12.75" customHeight="1">
      <c r="A11998" s="59" t="s">
        <v>2878</v>
      </c>
      <c r="B11998" s="60" t="s">
        <v>911</v>
      </c>
    </row>
    <row r="11999" ht="12.75" customHeight="1">
      <c r="A11999" s="59" t="s">
        <v>2878</v>
      </c>
      <c r="B11999" s="60" t="s">
        <v>912</v>
      </c>
    </row>
    <row r="12000" ht="12.75" customHeight="1">
      <c r="A12000" s="59" t="s">
        <v>2878</v>
      </c>
      <c r="B12000" s="60" t="s">
        <v>913</v>
      </c>
    </row>
    <row r="12001" ht="12.75" customHeight="1">
      <c r="A12001" s="59" t="s">
        <v>2878</v>
      </c>
      <c r="B12001" s="60" t="s">
        <v>914</v>
      </c>
    </row>
    <row r="12002" ht="12.75" customHeight="1">
      <c r="A12002" s="59" t="s">
        <v>2878</v>
      </c>
      <c r="B12002" s="60" t="s">
        <v>915</v>
      </c>
    </row>
    <row r="12003" ht="12.75" customHeight="1">
      <c r="A12003" s="59" t="s">
        <v>2878</v>
      </c>
      <c r="B12003" s="60" t="s">
        <v>916</v>
      </c>
    </row>
    <row r="12004" ht="12.75" customHeight="1">
      <c r="A12004" s="59" t="s">
        <v>2878</v>
      </c>
      <c r="B12004" s="60" t="s">
        <v>917</v>
      </c>
    </row>
    <row r="12005" ht="12.75" customHeight="1">
      <c r="A12005" s="59" t="s">
        <v>2878</v>
      </c>
      <c r="B12005" s="60" t="s">
        <v>918</v>
      </c>
    </row>
    <row r="12006" ht="12.75" customHeight="1">
      <c r="A12006" s="59" t="s">
        <v>2878</v>
      </c>
      <c r="B12006" s="60" t="s">
        <v>919</v>
      </c>
    </row>
    <row r="12007" ht="12.75" customHeight="1">
      <c r="A12007" s="59" t="s">
        <v>2878</v>
      </c>
      <c r="B12007" s="60" t="s">
        <v>920</v>
      </c>
    </row>
    <row r="12008" ht="12.75" customHeight="1">
      <c r="A12008" s="59" t="s">
        <v>2878</v>
      </c>
      <c r="B12008" s="60" t="s">
        <v>921</v>
      </c>
    </row>
    <row r="12009" ht="12.75" customHeight="1">
      <c r="A12009" s="59" t="s">
        <v>2878</v>
      </c>
      <c r="B12009" s="60" t="s">
        <v>922</v>
      </c>
    </row>
    <row r="12010" ht="12.75" customHeight="1">
      <c r="A12010" s="59" t="s">
        <v>2878</v>
      </c>
      <c r="B12010" s="60" t="s">
        <v>923</v>
      </c>
    </row>
    <row r="12011" ht="12.75" customHeight="1">
      <c r="A12011" s="59" t="s">
        <v>2878</v>
      </c>
      <c r="B12011" s="60" t="s">
        <v>924</v>
      </c>
    </row>
    <row r="12012" ht="12.75" customHeight="1">
      <c r="A12012" s="59" t="s">
        <v>2878</v>
      </c>
      <c r="B12012" s="60" t="s">
        <v>925</v>
      </c>
    </row>
    <row r="12013" ht="12.75" customHeight="1">
      <c r="A12013" s="59" t="s">
        <v>2878</v>
      </c>
      <c r="B12013" s="60" t="s">
        <v>926</v>
      </c>
    </row>
    <row r="12014" ht="12.75" customHeight="1">
      <c r="A12014" s="59" t="s">
        <v>2878</v>
      </c>
      <c r="B12014" s="60" t="s">
        <v>927</v>
      </c>
    </row>
    <row r="12015" ht="12.75" customHeight="1">
      <c r="A12015" s="59" t="s">
        <v>2878</v>
      </c>
      <c r="B12015" s="60" t="s">
        <v>928</v>
      </c>
    </row>
    <row r="12016" ht="12.75" customHeight="1">
      <c r="A12016" s="59" t="s">
        <v>2878</v>
      </c>
      <c r="B12016" s="60" t="s">
        <v>929</v>
      </c>
    </row>
    <row r="12017" ht="12.75" customHeight="1">
      <c r="A12017" s="59" t="s">
        <v>2878</v>
      </c>
      <c r="B12017" s="60" t="s">
        <v>930</v>
      </c>
    </row>
    <row r="12018" ht="12.75" customHeight="1">
      <c r="A12018" s="59" t="s">
        <v>2878</v>
      </c>
      <c r="B12018" s="60" t="s">
        <v>931</v>
      </c>
    </row>
    <row r="12019" ht="12.75" customHeight="1">
      <c r="A12019" s="59" t="s">
        <v>2878</v>
      </c>
      <c r="B12019" s="60" t="s">
        <v>932</v>
      </c>
    </row>
    <row r="12020" ht="12.75" customHeight="1">
      <c r="A12020" s="59" t="s">
        <v>2878</v>
      </c>
      <c r="B12020" s="60" t="s">
        <v>933</v>
      </c>
    </row>
    <row r="12021" ht="12.75" customHeight="1">
      <c r="A12021" s="59" t="s">
        <v>2878</v>
      </c>
      <c r="B12021" s="60" t="s">
        <v>934</v>
      </c>
    </row>
    <row r="12022" ht="12.75" customHeight="1">
      <c r="A12022" s="59" t="s">
        <v>2878</v>
      </c>
      <c r="B12022" s="60" t="s">
        <v>935</v>
      </c>
    </row>
    <row r="12023" ht="12.75" customHeight="1">
      <c r="A12023" s="59" t="s">
        <v>2878</v>
      </c>
      <c r="B12023" s="60" t="s">
        <v>936</v>
      </c>
    </row>
    <row r="12024" ht="12.75" customHeight="1">
      <c r="A12024" s="59" t="s">
        <v>2878</v>
      </c>
      <c r="B12024" s="60" t="s">
        <v>937</v>
      </c>
    </row>
    <row r="12025" ht="12.75" customHeight="1">
      <c r="A12025" s="59" t="s">
        <v>2878</v>
      </c>
      <c r="B12025" s="60" t="s">
        <v>938</v>
      </c>
    </row>
    <row r="12026" ht="12.75" customHeight="1">
      <c r="A12026" s="59" t="s">
        <v>2878</v>
      </c>
      <c r="B12026" s="60" t="s">
        <v>939</v>
      </c>
    </row>
    <row r="12027" ht="12.75" customHeight="1">
      <c r="A12027" s="59" t="s">
        <v>2878</v>
      </c>
      <c r="B12027" s="60" t="s">
        <v>940</v>
      </c>
    </row>
    <row r="12028" ht="12.75" customHeight="1">
      <c r="A12028" s="59" t="s">
        <v>2878</v>
      </c>
      <c r="B12028" s="60" t="s">
        <v>941</v>
      </c>
    </row>
    <row r="12029" ht="12.75" customHeight="1">
      <c r="A12029" s="59" t="s">
        <v>2878</v>
      </c>
      <c r="B12029" s="60" t="s">
        <v>942</v>
      </c>
    </row>
    <row r="12030" ht="12.75" customHeight="1">
      <c r="A12030" s="59" t="s">
        <v>2878</v>
      </c>
      <c r="B12030" s="60" t="s">
        <v>943</v>
      </c>
    </row>
    <row r="12031" ht="12.75" customHeight="1">
      <c r="A12031" s="59" t="s">
        <v>2878</v>
      </c>
      <c r="B12031" s="60" t="s">
        <v>944</v>
      </c>
    </row>
    <row r="12032" ht="12.75" customHeight="1">
      <c r="A12032" s="59" t="s">
        <v>2878</v>
      </c>
      <c r="B12032" s="60" t="s">
        <v>945</v>
      </c>
    </row>
    <row r="12033" ht="12.75" customHeight="1">
      <c r="A12033" s="59" t="s">
        <v>2878</v>
      </c>
      <c r="B12033" s="60" t="s">
        <v>946</v>
      </c>
    </row>
    <row r="12034" ht="12.75" customHeight="1">
      <c r="A12034" s="59" t="s">
        <v>2878</v>
      </c>
      <c r="B12034" s="60" t="s">
        <v>947</v>
      </c>
    </row>
    <row r="12035" ht="12.75" customHeight="1">
      <c r="A12035" s="59" t="s">
        <v>2878</v>
      </c>
      <c r="B12035" s="60" t="s">
        <v>948</v>
      </c>
    </row>
    <row r="12036" ht="12.75" customHeight="1">
      <c r="A12036" s="59" t="s">
        <v>2878</v>
      </c>
      <c r="B12036" s="60" t="s">
        <v>949</v>
      </c>
    </row>
    <row r="12037" ht="12.75" customHeight="1">
      <c r="A12037" s="59" t="s">
        <v>2878</v>
      </c>
      <c r="B12037" s="60" t="s">
        <v>950</v>
      </c>
    </row>
    <row r="12038" ht="12.75" customHeight="1">
      <c r="A12038" s="59" t="s">
        <v>2878</v>
      </c>
      <c r="B12038" s="60" t="s">
        <v>951</v>
      </c>
    </row>
    <row r="12039" ht="12.75" customHeight="1">
      <c r="A12039" s="59" t="s">
        <v>2878</v>
      </c>
      <c r="B12039" s="60" t="s">
        <v>952</v>
      </c>
    </row>
    <row r="12040" ht="12.75" customHeight="1">
      <c r="A12040" s="59" t="s">
        <v>2878</v>
      </c>
      <c r="B12040" s="60" t="s">
        <v>953</v>
      </c>
    </row>
    <row r="12041" ht="12.75" customHeight="1">
      <c r="A12041" s="59" t="s">
        <v>2878</v>
      </c>
      <c r="B12041" s="60" t="s">
        <v>954</v>
      </c>
    </row>
    <row r="12042" ht="12.75" customHeight="1">
      <c r="A12042" s="59" t="s">
        <v>2878</v>
      </c>
      <c r="B12042" s="60" t="s">
        <v>955</v>
      </c>
    </row>
    <row r="12043" ht="12.75" customHeight="1">
      <c r="A12043" s="59" t="s">
        <v>2878</v>
      </c>
      <c r="B12043" s="60" t="s">
        <v>956</v>
      </c>
    </row>
    <row r="12044" ht="12.75" customHeight="1">
      <c r="A12044" s="59" t="s">
        <v>2878</v>
      </c>
      <c r="B12044" s="60" t="s">
        <v>957</v>
      </c>
    </row>
    <row r="12045" ht="12.75" customHeight="1">
      <c r="A12045" s="59" t="s">
        <v>2878</v>
      </c>
      <c r="B12045" s="60" t="s">
        <v>958</v>
      </c>
    </row>
    <row r="12046" ht="12.75" customHeight="1">
      <c r="A12046" s="59" t="s">
        <v>2878</v>
      </c>
      <c r="B12046" s="60" t="s">
        <v>959</v>
      </c>
    </row>
    <row r="12047" ht="12.75" customHeight="1">
      <c r="A12047" s="59" t="s">
        <v>2878</v>
      </c>
      <c r="B12047" s="60" t="s">
        <v>960</v>
      </c>
    </row>
    <row r="12048" ht="12.75" customHeight="1">
      <c r="A12048" s="59" t="s">
        <v>2878</v>
      </c>
      <c r="B12048" s="60" t="s">
        <v>961</v>
      </c>
    </row>
    <row r="12049" ht="12.75" customHeight="1">
      <c r="A12049" s="59" t="s">
        <v>2878</v>
      </c>
      <c r="B12049" s="60" t="s">
        <v>962</v>
      </c>
    </row>
    <row r="12050" ht="12.75" customHeight="1">
      <c r="A12050" s="59" t="s">
        <v>2878</v>
      </c>
      <c r="B12050" s="60" t="s">
        <v>963</v>
      </c>
    </row>
    <row r="12051" ht="12.75" customHeight="1">
      <c r="A12051" s="59" t="s">
        <v>2878</v>
      </c>
      <c r="B12051" s="60" t="s">
        <v>964</v>
      </c>
    </row>
    <row r="12052" ht="12.75" customHeight="1">
      <c r="A12052" s="59" t="s">
        <v>2878</v>
      </c>
      <c r="B12052" s="60" t="s">
        <v>965</v>
      </c>
    </row>
    <row r="12053" ht="12.75" customHeight="1">
      <c r="A12053" s="59" t="s">
        <v>2878</v>
      </c>
      <c r="B12053" s="60" t="s">
        <v>966</v>
      </c>
    </row>
    <row r="12054" ht="12.75" customHeight="1">
      <c r="A12054" s="59" t="s">
        <v>2878</v>
      </c>
      <c r="B12054" s="60" t="s">
        <v>967</v>
      </c>
    </row>
    <row r="12055" ht="12.75" customHeight="1">
      <c r="A12055" s="59" t="s">
        <v>2878</v>
      </c>
      <c r="B12055" s="60" t="s">
        <v>968</v>
      </c>
    </row>
    <row r="12056" ht="12.75" customHeight="1">
      <c r="A12056" s="59" t="s">
        <v>2878</v>
      </c>
      <c r="B12056" s="60" t="s">
        <v>969</v>
      </c>
    </row>
    <row r="12057" ht="12.75" customHeight="1">
      <c r="A12057" s="59" t="s">
        <v>2878</v>
      </c>
      <c r="B12057" s="60" t="s">
        <v>970</v>
      </c>
    </row>
    <row r="12058" ht="12.75" customHeight="1">
      <c r="A12058" s="59" t="s">
        <v>2878</v>
      </c>
      <c r="B12058" s="60" t="s">
        <v>971</v>
      </c>
    </row>
    <row r="12059" ht="12.75" customHeight="1">
      <c r="A12059" s="59" t="s">
        <v>2878</v>
      </c>
      <c r="B12059" s="60" t="s">
        <v>972</v>
      </c>
    </row>
    <row r="12060" ht="12.75" customHeight="1">
      <c r="A12060" s="59" t="s">
        <v>2878</v>
      </c>
      <c r="B12060" s="60" t="s">
        <v>973</v>
      </c>
    </row>
    <row r="12061" ht="12.75" customHeight="1">
      <c r="A12061" s="59" t="s">
        <v>2878</v>
      </c>
      <c r="B12061" s="60" t="s">
        <v>974</v>
      </c>
    </row>
    <row r="12062" ht="12.75" customHeight="1">
      <c r="A12062" s="59" t="s">
        <v>2878</v>
      </c>
      <c r="B12062" s="60" t="s">
        <v>975</v>
      </c>
    </row>
    <row r="12063" ht="12.75" customHeight="1">
      <c r="A12063" s="59" t="s">
        <v>2878</v>
      </c>
      <c r="B12063" s="60" t="s">
        <v>976</v>
      </c>
    </row>
    <row r="12064" ht="12.75" customHeight="1">
      <c r="A12064" s="59" t="s">
        <v>2878</v>
      </c>
      <c r="B12064" s="60" t="s">
        <v>977</v>
      </c>
    </row>
    <row r="12065" ht="12.75" customHeight="1">
      <c r="A12065" s="59" t="s">
        <v>2878</v>
      </c>
      <c r="B12065" s="60" t="s">
        <v>978</v>
      </c>
    </row>
    <row r="12066" ht="12.75" customHeight="1">
      <c r="A12066" s="59" t="s">
        <v>2878</v>
      </c>
      <c r="B12066" s="60" t="s">
        <v>979</v>
      </c>
    </row>
    <row r="12067" ht="12.75" customHeight="1">
      <c r="A12067" s="59" t="s">
        <v>2878</v>
      </c>
      <c r="B12067" s="60" t="s">
        <v>980</v>
      </c>
    </row>
    <row r="12068" ht="12.75" customHeight="1">
      <c r="A12068" s="59" t="s">
        <v>2878</v>
      </c>
      <c r="B12068" s="60" t="s">
        <v>981</v>
      </c>
    </row>
    <row r="12069" ht="12.75" customHeight="1">
      <c r="A12069" s="59" t="s">
        <v>2878</v>
      </c>
      <c r="B12069" s="60" t="s">
        <v>982</v>
      </c>
    </row>
    <row r="12070" ht="12.75" customHeight="1">
      <c r="A12070" s="59" t="s">
        <v>2878</v>
      </c>
      <c r="B12070" s="60" t="s">
        <v>983</v>
      </c>
    </row>
    <row r="12071" ht="12.75" customHeight="1">
      <c r="A12071" s="59" t="s">
        <v>2878</v>
      </c>
      <c r="B12071" s="60" t="s">
        <v>984</v>
      </c>
    </row>
    <row r="12072" ht="12.75" customHeight="1">
      <c r="A12072" s="59" t="s">
        <v>2878</v>
      </c>
      <c r="B12072" s="60" t="s">
        <v>985</v>
      </c>
    </row>
    <row r="12073" ht="12.75" customHeight="1">
      <c r="A12073" s="59" t="s">
        <v>2878</v>
      </c>
      <c r="B12073" s="60" t="s">
        <v>986</v>
      </c>
    </row>
    <row r="12074" ht="12.75" customHeight="1">
      <c r="A12074" s="59" t="s">
        <v>2878</v>
      </c>
      <c r="B12074" s="60" t="s">
        <v>987</v>
      </c>
    </row>
    <row r="12075" ht="12.75" customHeight="1">
      <c r="A12075" s="59" t="s">
        <v>2878</v>
      </c>
      <c r="B12075" s="60" t="s">
        <v>988</v>
      </c>
    </row>
    <row r="12076" ht="12.75" customHeight="1">
      <c r="A12076" s="59" t="s">
        <v>2878</v>
      </c>
      <c r="B12076" s="60" t="s">
        <v>989</v>
      </c>
    </row>
    <row r="12077" ht="12.75" customHeight="1">
      <c r="A12077" s="59" t="s">
        <v>2878</v>
      </c>
      <c r="B12077" s="60" t="s">
        <v>990</v>
      </c>
    </row>
    <row r="12078" ht="12.75" customHeight="1">
      <c r="A12078" s="59" t="s">
        <v>2878</v>
      </c>
      <c r="B12078" s="60" t="s">
        <v>991</v>
      </c>
    </row>
    <row r="12079" ht="12.75" customHeight="1">
      <c r="A12079" s="59" t="s">
        <v>2878</v>
      </c>
      <c r="B12079" s="60" t="s">
        <v>992</v>
      </c>
    </row>
    <row r="12080" ht="12.75" customHeight="1">
      <c r="A12080" s="59" t="s">
        <v>2878</v>
      </c>
      <c r="B12080" s="60" t="s">
        <v>993</v>
      </c>
    </row>
    <row r="12081" ht="12.75" customHeight="1">
      <c r="A12081" s="59" t="s">
        <v>2878</v>
      </c>
      <c r="B12081" s="60" t="s">
        <v>994</v>
      </c>
    </row>
    <row r="12082" ht="12.75" customHeight="1">
      <c r="A12082" s="59" t="s">
        <v>2878</v>
      </c>
      <c r="B12082" s="60" t="s">
        <v>995</v>
      </c>
    </row>
    <row r="12083" ht="12.75" customHeight="1">
      <c r="A12083" s="59" t="s">
        <v>2878</v>
      </c>
      <c r="B12083" s="60" t="s">
        <v>996</v>
      </c>
    </row>
    <row r="12084" ht="12.75" customHeight="1">
      <c r="A12084" s="59" t="s">
        <v>2878</v>
      </c>
      <c r="B12084" s="60" t="s">
        <v>997</v>
      </c>
    </row>
    <row r="12085" ht="12.75" customHeight="1">
      <c r="A12085" s="59" t="s">
        <v>2878</v>
      </c>
      <c r="B12085" s="60" t="s">
        <v>998</v>
      </c>
    </row>
    <row r="12086" ht="12.75" customHeight="1">
      <c r="A12086" s="59" t="s">
        <v>2878</v>
      </c>
      <c r="B12086" s="60" t="s">
        <v>999</v>
      </c>
    </row>
    <row r="12087" ht="12.75" customHeight="1">
      <c r="A12087" s="59" t="s">
        <v>2878</v>
      </c>
      <c r="B12087" s="60" t="s">
        <v>1000</v>
      </c>
    </row>
    <row r="12088" ht="12.75" customHeight="1">
      <c r="A12088" s="59" t="s">
        <v>2878</v>
      </c>
      <c r="B12088" s="60" t="s">
        <v>1001</v>
      </c>
    </row>
    <row r="12089" ht="12.75" customHeight="1">
      <c r="A12089" s="59" t="s">
        <v>2878</v>
      </c>
      <c r="B12089" s="60" t="s">
        <v>1002</v>
      </c>
    </row>
    <row r="12090" ht="12.75" customHeight="1">
      <c r="A12090" s="59" t="s">
        <v>2878</v>
      </c>
      <c r="B12090" s="60" t="s">
        <v>1003</v>
      </c>
    </row>
    <row r="12091" ht="12.75" customHeight="1">
      <c r="A12091" s="59" t="s">
        <v>2878</v>
      </c>
      <c r="B12091" s="60" t="s">
        <v>1004</v>
      </c>
    </row>
    <row r="12092" ht="12.75" customHeight="1">
      <c r="A12092" s="59" t="s">
        <v>2878</v>
      </c>
      <c r="B12092" s="60" t="s">
        <v>1005</v>
      </c>
    </row>
    <row r="12093" ht="12.75" customHeight="1">
      <c r="A12093" s="59" t="s">
        <v>2878</v>
      </c>
      <c r="B12093" s="60" t="s">
        <v>1006</v>
      </c>
    </row>
    <row r="12094" ht="12.75" customHeight="1">
      <c r="A12094" s="59" t="s">
        <v>2878</v>
      </c>
      <c r="B12094" s="60" t="s">
        <v>1007</v>
      </c>
    </row>
    <row r="12095" ht="12.75" customHeight="1">
      <c r="A12095" s="59" t="s">
        <v>2878</v>
      </c>
      <c r="B12095" s="60" t="s">
        <v>1008</v>
      </c>
    </row>
    <row r="12096" ht="12.75" customHeight="1">
      <c r="A12096" s="59" t="s">
        <v>2878</v>
      </c>
      <c r="B12096" s="60" t="s">
        <v>1009</v>
      </c>
    </row>
    <row r="12097" ht="12.75" customHeight="1">
      <c r="A12097" s="59" t="s">
        <v>2878</v>
      </c>
      <c r="B12097" s="60" t="s">
        <v>1010</v>
      </c>
    </row>
    <row r="12098" ht="12.75" customHeight="1">
      <c r="A12098" s="59" t="s">
        <v>2878</v>
      </c>
      <c r="B12098" s="60" t="s">
        <v>1011</v>
      </c>
    </row>
    <row r="12099" ht="12.75" customHeight="1">
      <c r="A12099" s="59" t="s">
        <v>2878</v>
      </c>
      <c r="B12099" s="60" t="s">
        <v>1012</v>
      </c>
    </row>
    <row r="12100" ht="12.75" customHeight="1">
      <c r="A12100" s="59" t="s">
        <v>2878</v>
      </c>
      <c r="B12100" s="60" t="s">
        <v>1013</v>
      </c>
    </row>
    <row r="12101" ht="12.75" customHeight="1">
      <c r="A12101" s="59" t="s">
        <v>2878</v>
      </c>
      <c r="B12101" s="60" t="s">
        <v>1014</v>
      </c>
    </row>
    <row r="12102" ht="12.75" customHeight="1">
      <c r="A12102" s="59" t="s">
        <v>2878</v>
      </c>
      <c r="B12102" s="60" t="s">
        <v>1015</v>
      </c>
    </row>
    <row r="12103" ht="12.75" customHeight="1">
      <c r="A12103" s="59" t="s">
        <v>2878</v>
      </c>
      <c r="B12103" s="60" t="s">
        <v>1016</v>
      </c>
    </row>
    <row r="12104" ht="12.75" customHeight="1">
      <c r="A12104" s="59" t="s">
        <v>2878</v>
      </c>
      <c r="B12104" s="60" t="s">
        <v>1017</v>
      </c>
    </row>
    <row r="12105" ht="12.75" customHeight="1">
      <c r="A12105" s="59" t="s">
        <v>2878</v>
      </c>
      <c r="B12105" s="60" t="s">
        <v>1018</v>
      </c>
    </row>
    <row r="12106" ht="12.75" customHeight="1">
      <c r="A12106" s="59" t="s">
        <v>2878</v>
      </c>
      <c r="B12106" s="60" t="s">
        <v>1019</v>
      </c>
    </row>
    <row r="12107" ht="12.75" customHeight="1">
      <c r="A12107" s="59" t="s">
        <v>2878</v>
      </c>
      <c r="B12107" s="60" t="s">
        <v>1020</v>
      </c>
    </row>
    <row r="12108" ht="12.75" customHeight="1">
      <c r="A12108" s="59" t="s">
        <v>2878</v>
      </c>
      <c r="B12108" s="60" t="s">
        <v>1021</v>
      </c>
    </row>
    <row r="12109" ht="12.75" customHeight="1">
      <c r="A12109" s="59" t="s">
        <v>2878</v>
      </c>
      <c r="B12109" s="60" t="s">
        <v>1022</v>
      </c>
    </row>
    <row r="12110" ht="12.75" customHeight="1">
      <c r="A12110" s="59" t="s">
        <v>2878</v>
      </c>
      <c r="B12110" s="60" t="s">
        <v>1023</v>
      </c>
    </row>
    <row r="12111" ht="12.75" customHeight="1">
      <c r="A12111" s="59" t="s">
        <v>2878</v>
      </c>
      <c r="B12111" s="60" t="s">
        <v>1024</v>
      </c>
    </row>
    <row r="12112" ht="12.75" customHeight="1">
      <c r="A12112" s="59" t="s">
        <v>2878</v>
      </c>
      <c r="B12112" s="60" t="s">
        <v>1025</v>
      </c>
    </row>
    <row r="12113" ht="12.75" customHeight="1">
      <c r="A12113" s="59" t="s">
        <v>2878</v>
      </c>
      <c r="B12113" s="60" t="s">
        <v>1026</v>
      </c>
    </row>
    <row r="12114" ht="12.75" customHeight="1">
      <c r="A12114" s="59" t="s">
        <v>2878</v>
      </c>
      <c r="B12114" s="60" t="s">
        <v>1027</v>
      </c>
    </row>
    <row r="12115" ht="12.75" customHeight="1">
      <c r="A12115" s="59" t="s">
        <v>2878</v>
      </c>
      <c r="B12115" s="60" t="s">
        <v>1028</v>
      </c>
    </row>
    <row r="12116" ht="12.75" customHeight="1">
      <c r="A12116" s="59" t="s">
        <v>2878</v>
      </c>
      <c r="B12116" s="60" t="s">
        <v>1029</v>
      </c>
    </row>
    <row r="12117" ht="12.75" customHeight="1">
      <c r="A12117" s="59" t="s">
        <v>2878</v>
      </c>
      <c r="B12117" s="60" t="s">
        <v>1030</v>
      </c>
    </row>
    <row r="12118" ht="12.75" customHeight="1">
      <c r="A12118" s="59" t="s">
        <v>2878</v>
      </c>
      <c r="B12118" s="60" t="s">
        <v>1031</v>
      </c>
    </row>
    <row r="12119" ht="12.75" customHeight="1">
      <c r="A12119" s="59" t="s">
        <v>2878</v>
      </c>
      <c r="B12119" s="60" t="s">
        <v>1032</v>
      </c>
    </row>
    <row r="12120" ht="12.75" customHeight="1">
      <c r="A12120" s="59" t="s">
        <v>2878</v>
      </c>
      <c r="B12120" s="60" t="s">
        <v>1033</v>
      </c>
    </row>
    <row r="12121" ht="12.75" customHeight="1">
      <c r="A12121" s="59" t="s">
        <v>2878</v>
      </c>
      <c r="B12121" s="60" t="s">
        <v>1034</v>
      </c>
    </row>
    <row r="12122" ht="12.75" customHeight="1">
      <c r="A12122" s="59" t="s">
        <v>2878</v>
      </c>
      <c r="B12122" s="60" t="s">
        <v>1035</v>
      </c>
    </row>
    <row r="12123" ht="12.75" customHeight="1">
      <c r="A12123" s="59" t="s">
        <v>2878</v>
      </c>
      <c r="B12123" s="60" t="s">
        <v>1036</v>
      </c>
    </row>
    <row r="12124" ht="12.75" customHeight="1">
      <c r="A12124" s="59" t="s">
        <v>2878</v>
      </c>
      <c r="B12124" s="60" t="s">
        <v>1037</v>
      </c>
    </row>
    <row r="12125" ht="12.75" customHeight="1">
      <c r="A12125" s="59" t="s">
        <v>2878</v>
      </c>
      <c r="B12125" s="60" t="s">
        <v>1038</v>
      </c>
    </row>
    <row r="12126" ht="12.75" customHeight="1">
      <c r="A12126" s="59" t="s">
        <v>2878</v>
      </c>
      <c r="B12126" s="60" t="s">
        <v>1039</v>
      </c>
    </row>
    <row r="12127" ht="12.75" customHeight="1">
      <c r="A12127" s="59" t="s">
        <v>2878</v>
      </c>
      <c r="B12127" s="60" t="s">
        <v>1040</v>
      </c>
    </row>
    <row r="12128" ht="12.75" customHeight="1">
      <c r="A12128" s="59" t="s">
        <v>2878</v>
      </c>
      <c r="B12128" s="60" t="s">
        <v>1041</v>
      </c>
    </row>
    <row r="12129" ht="12.75" customHeight="1">
      <c r="A12129" s="59" t="s">
        <v>2878</v>
      </c>
      <c r="B12129" s="60" t="s">
        <v>1042</v>
      </c>
    </row>
    <row r="12130" ht="12.75" customHeight="1">
      <c r="A12130" s="59" t="s">
        <v>2878</v>
      </c>
      <c r="B12130" s="60" t="s">
        <v>1043</v>
      </c>
    </row>
    <row r="12131" ht="12.75" customHeight="1">
      <c r="A12131" s="59" t="s">
        <v>2878</v>
      </c>
      <c r="B12131" s="60" t="s">
        <v>1044</v>
      </c>
    </row>
    <row r="12132" ht="12.75" customHeight="1">
      <c r="A12132" s="59" t="s">
        <v>2878</v>
      </c>
      <c r="B12132" s="60" t="s">
        <v>1045</v>
      </c>
    </row>
    <row r="12133" ht="12.75" customHeight="1">
      <c r="A12133" s="59" t="s">
        <v>2878</v>
      </c>
      <c r="B12133" s="60" t="s">
        <v>1046</v>
      </c>
    </row>
    <row r="12134" ht="12.75" customHeight="1">
      <c r="A12134" s="59" t="s">
        <v>2878</v>
      </c>
      <c r="B12134" s="60" t="s">
        <v>1047</v>
      </c>
    </row>
    <row r="12135" ht="12.75" customHeight="1">
      <c r="A12135" s="59" t="s">
        <v>2878</v>
      </c>
      <c r="B12135" s="60" t="s">
        <v>1048</v>
      </c>
    </row>
    <row r="12136" ht="12.75" customHeight="1">
      <c r="A12136" s="59" t="s">
        <v>2878</v>
      </c>
      <c r="B12136" s="60" t="s">
        <v>1049</v>
      </c>
    </row>
    <row r="12137" ht="12.75" customHeight="1">
      <c r="A12137" s="59" t="s">
        <v>2878</v>
      </c>
      <c r="B12137" s="60" t="s">
        <v>1050</v>
      </c>
    </row>
    <row r="12138" ht="12.75" customHeight="1">
      <c r="A12138" s="59" t="s">
        <v>2878</v>
      </c>
      <c r="B12138" s="60" t="s">
        <v>1051</v>
      </c>
    </row>
    <row r="12139" ht="12.75" customHeight="1">
      <c r="A12139" s="59" t="s">
        <v>2878</v>
      </c>
      <c r="B12139" s="60" t="s">
        <v>1052</v>
      </c>
    </row>
    <row r="12140" ht="12.75" customHeight="1">
      <c r="A12140" s="59" t="s">
        <v>2878</v>
      </c>
      <c r="B12140" s="60" t="s">
        <v>1053</v>
      </c>
    </row>
    <row r="12141" ht="12.75" customHeight="1">
      <c r="A12141" s="59" t="s">
        <v>2878</v>
      </c>
      <c r="B12141" s="60" t="s">
        <v>1054</v>
      </c>
    </row>
    <row r="12142" ht="12.75" customHeight="1">
      <c r="A12142" s="59" t="s">
        <v>2878</v>
      </c>
      <c r="B12142" s="60" t="s">
        <v>1055</v>
      </c>
    </row>
    <row r="12143" ht="12.75" customHeight="1">
      <c r="A12143" s="59" t="s">
        <v>2878</v>
      </c>
      <c r="B12143" s="60" t="s">
        <v>1056</v>
      </c>
    </row>
    <row r="12144" ht="12.75" customHeight="1">
      <c r="A12144" s="59" t="s">
        <v>2878</v>
      </c>
      <c r="B12144" s="60" t="s">
        <v>1057</v>
      </c>
    </row>
    <row r="12145" ht="12.75" customHeight="1">
      <c r="A12145" s="59" t="s">
        <v>2878</v>
      </c>
      <c r="B12145" s="60" t="s">
        <v>1058</v>
      </c>
    </row>
    <row r="12146" ht="12.75" customHeight="1">
      <c r="A12146" s="59" t="s">
        <v>2878</v>
      </c>
      <c r="B12146" s="60" t="s">
        <v>1059</v>
      </c>
    </row>
    <row r="12147" ht="12.75" customHeight="1">
      <c r="A12147" s="59" t="s">
        <v>2878</v>
      </c>
      <c r="B12147" s="60" t="s">
        <v>1060</v>
      </c>
    </row>
    <row r="12148" ht="12.75" customHeight="1">
      <c r="A12148" s="59" t="s">
        <v>2878</v>
      </c>
      <c r="B12148" s="60" t="s">
        <v>1061</v>
      </c>
    </row>
    <row r="12149" ht="12.75" customHeight="1">
      <c r="A12149" s="59" t="s">
        <v>2878</v>
      </c>
      <c r="B12149" s="60" t="s">
        <v>1062</v>
      </c>
    </row>
    <row r="12150" ht="12.75" customHeight="1">
      <c r="A12150" s="59" t="s">
        <v>2878</v>
      </c>
      <c r="B12150" s="60" t="s">
        <v>1063</v>
      </c>
    </row>
    <row r="12151" ht="12.75" customHeight="1">
      <c r="A12151" s="59" t="s">
        <v>2878</v>
      </c>
      <c r="B12151" s="60" t="s">
        <v>1064</v>
      </c>
    </row>
    <row r="12152" ht="12.75" customHeight="1">
      <c r="A12152" s="59" t="s">
        <v>2878</v>
      </c>
      <c r="B12152" s="60" t="s">
        <v>1065</v>
      </c>
    </row>
    <row r="12153" ht="12.75" customHeight="1">
      <c r="A12153" s="59" t="s">
        <v>2878</v>
      </c>
      <c r="B12153" s="60" t="s">
        <v>1066</v>
      </c>
    </row>
    <row r="12154" ht="12.75" customHeight="1">
      <c r="A12154" s="59" t="s">
        <v>2878</v>
      </c>
      <c r="B12154" s="60" t="s">
        <v>1067</v>
      </c>
    </row>
    <row r="12155" ht="12.75" customHeight="1">
      <c r="A12155" s="59" t="s">
        <v>2878</v>
      </c>
      <c r="B12155" s="60" t="s">
        <v>1068</v>
      </c>
    </row>
    <row r="12156" ht="12.75" customHeight="1">
      <c r="A12156" s="59" t="s">
        <v>2878</v>
      </c>
      <c r="B12156" s="60" t="s">
        <v>1069</v>
      </c>
    </row>
    <row r="12157" ht="12.75" customHeight="1">
      <c r="A12157" s="59" t="s">
        <v>2878</v>
      </c>
      <c r="B12157" s="60" t="s">
        <v>1070</v>
      </c>
    </row>
    <row r="12158" ht="12.75" customHeight="1">
      <c r="A12158" s="59" t="s">
        <v>2878</v>
      </c>
      <c r="B12158" s="60" t="s">
        <v>1071</v>
      </c>
    </row>
    <row r="12159" ht="12.75" customHeight="1">
      <c r="A12159" s="59" t="s">
        <v>2878</v>
      </c>
      <c r="B12159" s="60" t="s">
        <v>1072</v>
      </c>
    </row>
    <row r="12160" ht="12.75" customHeight="1">
      <c r="A12160" s="59" t="s">
        <v>2878</v>
      </c>
      <c r="B12160" s="60" t="s">
        <v>1073</v>
      </c>
    </row>
    <row r="12161" ht="12.75" customHeight="1">
      <c r="A12161" s="59" t="s">
        <v>2878</v>
      </c>
      <c r="B12161" s="60" t="s">
        <v>1074</v>
      </c>
    </row>
    <row r="12162" ht="12.75" customHeight="1">
      <c r="A12162" s="59" t="s">
        <v>2878</v>
      </c>
      <c r="B12162" s="60" t="s">
        <v>1075</v>
      </c>
    </row>
    <row r="12163" ht="12.75" customHeight="1">
      <c r="A12163" s="59" t="s">
        <v>2878</v>
      </c>
      <c r="B12163" s="60" t="s">
        <v>1076</v>
      </c>
    </row>
    <row r="12164" ht="12.75" customHeight="1">
      <c r="A12164" s="59" t="s">
        <v>2878</v>
      </c>
      <c r="B12164" s="60" t="s">
        <v>1077</v>
      </c>
    </row>
    <row r="12165" ht="12.75" customHeight="1">
      <c r="A12165" s="59" t="s">
        <v>2878</v>
      </c>
      <c r="B12165" s="60" t="s">
        <v>1078</v>
      </c>
    </row>
    <row r="12166" ht="12.75" customHeight="1">
      <c r="A12166" s="59" t="s">
        <v>2878</v>
      </c>
      <c r="B12166" s="60" t="s">
        <v>1079</v>
      </c>
    </row>
    <row r="12167" ht="12.75" customHeight="1">
      <c r="A12167" s="59" t="s">
        <v>2878</v>
      </c>
      <c r="B12167" s="60" t="s">
        <v>1080</v>
      </c>
    </row>
    <row r="12168" ht="12.75" customHeight="1">
      <c r="A12168" s="59" t="s">
        <v>2878</v>
      </c>
      <c r="B12168" s="60" t="s">
        <v>1081</v>
      </c>
    </row>
    <row r="12169" ht="12.75" customHeight="1">
      <c r="A12169" s="59" t="s">
        <v>2878</v>
      </c>
      <c r="B12169" s="60" t="s">
        <v>1082</v>
      </c>
    </row>
    <row r="12170" ht="12.75" customHeight="1">
      <c r="A12170" s="59" t="s">
        <v>2878</v>
      </c>
      <c r="B12170" s="60" t="s">
        <v>1083</v>
      </c>
    </row>
    <row r="12171" ht="12.75" customHeight="1">
      <c r="A12171" s="59" t="s">
        <v>2878</v>
      </c>
      <c r="B12171" s="60" t="s">
        <v>1084</v>
      </c>
    </row>
    <row r="12172" ht="12.75" customHeight="1">
      <c r="A12172" s="59" t="s">
        <v>2878</v>
      </c>
      <c r="B12172" s="60" t="s">
        <v>1085</v>
      </c>
    </row>
    <row r="12173" ht="12.75" customHeight="1">
      <c r="A12173" s="59" t="s">
        <v>2878</v>
      </c>
      <c r="B12173" s="60" t="s">
        <v>1086</v>
      </c>
    </row>
    <row r="12174" ht="12.75" customHeight="1">
      <c r="A12174" s="59" t="s">
        <v>2878</v>
      </c>
      <c r="B12174" s="60" t="s">
        <v>1087</v>
      </c>
    </row>
    <row r="12175" ht="12.75" customHeight="1">
      <c r="A12175" s="59" t="s">
        <v>2878</v>
      </c>
      <c r="B12175" s="60" t="s">
        <v>1088</v>
      </c>
    </row>
    <row r="12176" ht="12.75" customHeight="1">
      <c r="A12176" s="59" t="s">
        <v>2878</v>
      </c>
      <c r="B12176" s="60" t="s">
        <v>1089</v>
      </c>
    </row>
    <row r="12177" ht="12.75" customHeight="1">
      <c r="A12177" s="59" t="s">
        <v>2878</v>
      </c>
      <c r="B12177" s="60" t="s">
        <v>1090</v>
      </c>
    </row>
    <row r="12178" ht="12.75" customHeight="1">
      <c r="A12178" s="59" t="s">
        <v>2878</v>
      </c>
      <c r="B12178" s="60" t="s">
        <v>1091</v>
      </c>
    </row>
    <row r="12179" ht="12.75" customHeight="1">
      <c r="A12179" s="59" t="s">
        <v>2878</v>
      </c>
      <c r="B12179" s="60" t="s">
        <v>1092</v>
      </c>
    </row>
    <row r="12180" ht="12.75" customHeight="1">
      <c r="A12180" s="59" t="s">
        <v>2878</v>
      </c>
      <c r="B12180" s="60" t="s">
        <v>1093</v>
      </c>
    </row>
    <row r="12181" ht="12.75" customHeight="1">
      <c r="A12181" s="59" t="s">
        <v>2878</v>
      </c>
      <c r="B12181" s="60" t="s">
        <v>1094</v>
      </c>
    </row>
    <row r="12182" ht="12.75" customHeight="1">
      <c r="A12182" s="59" t="s">
        <v>2878</v>
      </c>
      <c r="B12182" s="60" t="s">
        <v>1095</v>
      </c>
    </row>
    <row r="12183" ht="12.75" customHeight="1">
      <c r="A12183" s="59" t="s">
        <v>2878</v>
      </c>
      <c r="B12183" s="60" t="s">
        <v>1096</v>
      </c>
    </row>
    <row r="12184" ht="12.75" customHeight="1">
      <c r="A12184" s="59" t="s">
        <v>2878</v>
      </c>
      <c r="B12184" s="60" t="s">
        <v>1097</v>
      </c>
    </row>
    <row r="12185" ht="12.75" customHeight="1">
      <c r="A12185" s="59" t="s">
        <v>2878</v>
      </c>
      <c r="B12185" s="60" t="s">
        <v>1098</v>
      </c>
    </row>
    <row r="12186" ht="12.75" customHeight="1">
      <c r="A12186" s="59" t="s">
        <v>2878</v>
      </c>
      <c r="B12186" s="60" t="s">
        <v>1099</v>
      </c>
    </row>
    <row r="12187" ht="12.75" customHeight="1">
      <c r="A12187" s="59" t="s">
        <v>2878</v>
      </c>
      <c r="B12187" s="60" t="s">
        <v>1100</v>
      </c>
    </row>
    <row r="12188" ht="12.75" customHeight="1">
      <c r="A12188" s="59" t="s">
        <v>2878</v>
      </c>
      <c r="B12188" s="60" t="s">
        <v>1101</v>
      </c>
    </row>
    <row r="12189" ht="12.75" customHeight="1">
      <c r="A12189" s="59" t="s">
        <v>2878</v>
      </c>
      <c r="B12189" s="60" t="s">
        <v>1102</v>
      </c>
    </row>
    <row r="12190" ht="12.75" customHeight="1">
      <c r="A12190" s="59" t="s">
        <v>2878</v>
      </c>
      <c r="B12190" s="60" t="s">
        <v>1103</v>
      </c>
    </row>
    <row r="12191" ht="12.75" customHeight="1">
      <c r="A12191" s="59" t="s">
        <v>2878</v>
      </c>
      <c r="B12191" s="60" t="s">
        <v>1104</v>
      </c>
    </row>
    <row r="12192" ht="12.75" customHeight="1">
      <c r="A12192" s="59" t="s">
        <v>2878</v>
      </c>
      <c r="B12192" s="60" t="s">
        <v>1105</v>
      </c>
    </row>
    <row r="12193" ht="12.75" customHeight="1">
      <c r="A12193" s="59" t="s">
        <v>2878</v>
      </c>
      <c r="B12193" s="60" t="s">
        <v>1106</v>
      </c>
    </row>
    <row r="12194" ht="12.75" customHeight="1">
      <c r="A12194" s="59" t="s">
        <v>2878</v>
      </c>
      <c r="B12194" s="60" t="s">
        <v>1107</v>
      </c>
    </row>
    <row r="12195" ht="12.75" customHeight="1">
      <c r="A12195" s="59" t="s">
        <v>2878</v>
      </c>
      <c r="B12195" s="60" t="s">
        <v>1108</v>
      </c>
    </row>
    <row r="12196" ht="12.75" customHeight="1">
      <c r="A12196" s="59" t="s">
        <v>2878</v>
      </c>
      <c r="B12196" s="60" t="s">
        <v>1109</v>
      </c>
    </row>
    <row r="12197" ht="12.75" customHeight="1">
      <c r="A12197" s="59" t="s">
        <v>2878</v>
      </c>
      <c r="B12197" s="60" t="s">
        <v>1110</v>
      </c>
    </row>
    <row r="12198" ht="12.75" customHeight="1">
      <c r="A12198" s="59" t="s">
        <v>2878</v>
      </c>
      <c r="B12198" s="60" t="s">
        <v>1111</v>
      </c>
    </row>
    <row r="12199" ht="12.75" customHeight="1">
      <c r="A12199" s="59" t="s">
        <v>2878</v>
      </c>
      <c r="B12199" s="60" t="s">
        <v>1112</v>
      </c>
    </row>
    <row r="12200" ht="12.75" customHeight="1">
      <c r="A12200" s="59" t="s">
        <v>2878</v>
      </c>
      <c r="B12200" s="60" t="s">
        <v>1113</v>
      </c>
    </row>
    <row r="12201" ht="12.75" customHeight="1">
      <c r="A12201" s="59" t="s">
        <v>2878</v>
      </c>
      <c r="B12201" s="60" t="s">
        <v>1114</v>
      </c>
    </row>
    <row r="12202" ht="12.75" customHeight="1">
      <c r="A12202" s="59" t="s">
        <v>2878</v>
      </c>
      <c r="B12202" s="60" t="s">
        <v>1115</v>
      </c>
    </row>
    <row r="12203" ht="12.75" customHeight="1">
      <c r="A12203" s="59" t="s">
        <v>2878</v>
      </c>
      <c r="B12203" s="60" t="s">
        <v>1116</v>
      </c>
    </row>
    <row r="12204" ht="12.75" customHeight="1">
      <c r="A12204" s="59" t="s">
        <v>2878</v>
      </c>
      <c r="B12204" s="60" t="s">
        <v>1117</v>
      </c>
    </row>
    <row r="12205" ht="12.75" customHeight="1">
      <c r="A12205" s="59" t="s">
        <v>2878</v>
      </c>
      <c r="B12205" s="60" t="s">
        <v>1118</v>
      </c>
    </row>
    <row r="12206" ht="12.75" customHeight="1">
      <c r="A12206" s="59" t="s">
        <v>2878</v>
      </c>
      <c r="B12206" s="60" t="s">
        <v>1119</v>
      </c>
    </row>
    <row r="12207" ht="12.75" customHeight="1">
      <c r="A12207" s="59" t="s">
        <v>2878</v>
      </c>
      <c r="B12207" s="60" t="s">
        <v>1120</v>
      </c>
    </row>
    <row r="12208" ht="12.75" customHeight="1">
      <c r="A12208" s="59" t="s">
        <v>2878</v>
      </c>
      <c r="B12208" s="60" t="s">
        <v>1121</v>
      </c>
    </row>
    <row r="12209" ht="12.75" customHeight="1">
      <c r="A12209" s="59" t="s">
        <v>2878</v>
      </c>
      <c r="B12209" s="60" t="s">
        <v>1122</v>
      </c>
    </row>
    <row r="12210" ht="12.75" customHeight="1">
      <c r="A12210" s="59" t="s">
        <v>2878</v>
      </c>
      <c r="B12210" s="60" t="s">
        <v>1123</v>
      </c>
    </row>
    <row r="12211" ht="12.75" customHeight="1">
      <c r="A12211" s="59" t="s">
        <v>2878</v>
      </c>
      <c r="B12211" s="60" t="s">
        <v>1124</v>
      </c>
    </row>
    <row r="12212" ht="12.75" customHeight="1">
      <c r="A12212" s="59" t="s">
        <v>2878</v>
      </c>
      <c r="B12212" s="60" t="s">
        <v>1125</v>
      </c>
    </row>
    <row r="12213" ht="12.75" customHeight="1">
      <c r="A12213" s="59" t="s">
        <v>2878</v>
      </c>
      <c r="B12213" s="60" t="s">
        <v>1126</v>
      </c>
    </row>
    <row r="12214" ht="12.75" customHeight="1">
      <c r="A12214" s="59" t="s">
        <v>2878</v>
      </c>
      <c r="B12214" s="60" t="s">
        <v>1127</v>
      </c>
    </row>
    <row r="12215" ht="12.75" customHeight="1">
      <c r="A12215" s="59" t="s">
        <v>2878</v>
      </c>
      <c r="B12215" s="60" t="s">
        <v>1128</v>
      </c>
    </row>
    <row r="12216" ht="12.75" customHeight="1">
      <c r="A12216" s="59" t="s">
        <v>2878</v>
      </c>
      <c r="B12216" s="60" t="s">
        <v>1129</v>
      </c>
    </row>
    <row r="12217" ht="12.75" customHeight="1">
      <c r="A12217" s="59" t="s">
        <v>2878</v>
      </c>
      <c r="B12217" s="60" t="s">
        <v>1130</v>
      </c>
    </row>
    <row r="12218" ht="12.75" customHeight="1">
      <c r="A12218" s="59" t="s">
        <v>2878</v>
      </c>
      <c r="B12218" s="60" t="s">
        <v>1131</v>
      </c>
    </row>
    <row r="12219" ht="12.75" customHeight="1">
      <c r="A12219" s="59" t="s">
        <v>2878</v>
      </c>
      <c r="B12219" s="60" t="s">
        <v>1132</v>
      </c>
    </row>
    <row r="12220" ht="12.75" customHeight="1">
      <c r="A12220" s="59" t="s">
        <v>2878</v>
      </c>
      <c r="B12220" s="60" t="s">
        <v>1133</v>
      </c>
    </row>
    <row r="12221" ht="12.75" customHeight="1">
      <c r="A12221" s="59" t="s">
        <v>2878</v>
      </c>
      <c r="B12221" s="60" t="s">
        <v>1134</v>
      </c>
    </row>
    <row r="12222" ht="12.75" customHeight="1">
      <c r="A12222" s="59" t="s">
        <v>2878</v>
      </c>
      <c r="B12222" s="60" t="s">
        <v>1135</v>
      </c>
    </row>
    <row r="12223" ht="12.75" customHeight="1">
      <c r="A12223" s="59" t="s">
        <v>2878</v>
      </c>
      <c r="B12223" s="60" t="s">
        <v>1136</v>
      </c>
    </row>
    <row r="12224" ht="12.75" customHeight="1">
      <c r="A12224" s="59" t="s">
        <v>2878</v>
      </c>
      <c r="B12224" s="60" t="s">
        <v>1137</v>
      </c>
    </row>
    <row r="12225" ht="12.75" customHeight="1">
      <c r="A12225" s="59" t="s">
        <v>2878</v>
      </c>
      <c r="B12225" s="60" t="s">
        <v>1138</v>
      </c>
    </row>
    <row r="12226" ht="12.75" customHeight="1">
      <c r="A12226" s="59" t="s">
        <v>2878</v>
      </c>
      <c r="B12226" s="60" t="s">
        <v>1139</v>
      </c>
    </row>
    <row r="12227" ht="12.75" customHeight="1">
      <c r="A12227" s="59" t="s">
        <v>2878</v>
      </c>
      <c r="B12227" s="60" t="s">
        <v>1140</v>
      </c>
    </row>
    <row r="12228" ht="12.75" customHeight="1">
      <c r="A12228" s="59" t="s">
        <v>2878</v>
      </c>
      <c r="B12228" s="60" t="s">
        <v>1141</v>
      </c>
    </row>
    <row r="12229" ht="12.75" customHeight="1">
      <c r="A12229" s="59" t="s">
        <v>2878</v>
      </c>
      <c r="B12229" s="60" t="s">
        <v>1142</v>
      </c>
    </row>
    <row r="12230" ht="12.75" customHeight="1">
      <c r="A12230" s="59" t="s">
        <v>2878</v>
      </c>
      <c r="B12230" s="60" t="s">
        <v>1143</v>
      </c>
    </row>
    <row r="12231" ht="12.75" customHeight="1">
      <c r="A12231" s="59" t="s">
        <v>2878</v>
      </c>
      <c r="B12231" s="60" t="s">
        <v>1144</v>
      </c>
    </row>
    <row r="12232" ht="12.75" customHeight="1">
      <c r="A12232" s="59" t="s">
        <v>2878</v>
      </c>
      <c r="B12232" s="60" t="s">
        <v>1145</v>
      </c>
    </row>
    <row r="12233" ht="12.75" customHeight="1">
      <c r="A12233" s="59" t="s">
        <v>2878</v>
      </c>
      <c r="B12233" s="60" t="s">
        <v>1146</v>
      </c>
    </row>
    <row r="12234" ht="12.75" customHeight="1">
      <c r="A12234" s="59" t="s">
        <v>2878</v>
      </c>
      <c r="B12234" s="60" t="s">
        <v>1147</v>
      </c>
    </row>
    <row r="12235" ht="12.75" customHeight="1">
      <c r="A12235" s="59" t="s">
        <v>2878</v>
      </c>
      <c r="B12235" s="60" t="s">
        <v>1148</v>
      </c>
    </row>
    <row r="12236" ht="12.75" customHeight="1">
      <c r="A12236" s="59" t="s">
        <v>2878</v>
      </c>
      <c r="B12236" s="60" t="s">
        <v>1149</v>
      </c>
    </row>
    <row r="12237" ht="12.75" customHeight="1">
      <c r="A12237" s="59" t="s">
        <v>2878</v>
      </c>
      <c r="B12237" s="60" t="s">
        <v>1150</v>
      </c>
    </row>
    <row r="12238" ht="12.75" customHeight="1">
      <c r="A12238" s="59" t="s">
        <v>2878</v>
      </c>
      <c r="B12238" s="60" t="s">
        <v>1151</v>
      </c>
    </row>
    <row r="12239" ht="12.75" customHeight="1">
      <c r="A12239" s="59" t="s">
        <v>2878</v>
      </c>
      <c r="B12239" s="60" t="s">
        <v>1152</v>
      </c>
    </row>
    <row r="12240" ht="12.75" customHeight="1">
      <c r="A12240" s="59" t="s">
        <v>2878</v>
      </c>
      <c r="B12240" s="60" t="s">
        <v>1153</v>
      </c>
    </row>
    <row r="12241" ht="12.75" customHeight="1">
      <c r="A12241" s="59" t="s">
        <v>2878</v>
      </c>
      <c r="B12241" s="60" t="s">
        <v>1154</v>
      </c>
    </row>
    <row r="12242" ht="12.75" customHeight="1">
      <c r="A12242" s="59" t="s">
        <v>2878</v>
      </c>
      <c r="B12242" s="60" t="s">
        <v>1155</v>
      </c>
    </row>
    <row r="12243" ht="12.75" customHeight="1">
      <c r="A12243" s="59" t="s">
        <v>2878</v>
      </c>
      <c r="B12243" s="60" t="s">
        <v>1156</v>
      </c>
    </row>
    <row r="12244" ht="12.75" customHeight="1">
      <c r="A12244" s="59" t="s">
        <v>2878</v>
      </c>
      <c r="B12244" s="60" t="s">
        <v>1157</v>
      </c>
    </row>
    <row r="12245" ht="12.75" customHeight="1">
      <c r="A12245" s="59" t="s">
        <v>2878</v>
      </c>
      <c r="B12245" s="60" t="s">
        <v>1158</v>
      </c>
    </row>
    <row r="12246" ht="12.75" customHeight="1">
      <c r="A12246" s="59" t="s">
        <v>2878</v>
      </c>
      <c r="B12246" s="60" t="s">
        <v>1159</v>
      </c>
    </row>
    <row r="12247" ht="12.75" customHeight="1">
      <c r="A12247" s="59" t="s">
        <v>2878</v>
      </c>
      <c r="B12247" s="60" t="s">
        <v>1160</v>
      </c>
    </row>
    <row r="12248" ht="12.75" customHeight="1">
      <c r="A12248" s="59" t="s">
        <v>2878</v>
      </c>
      <c r="B12248" s="60" t="s">
        <v>1161</v>
      </c>
    </row>
    <row r="12249" ht="12.75" customHeight="1">
      <c r="A12249" s="59" t="s">
        <v>2878</v>
      </c>
      <c r="B12249" s="60" t="s">
        <v>1162</v>
      </c>
    </row>
    <row r="12250" ht="12.75" customHeight="1">
      <c r="A12250" s="59" t="s">
        <v>2878</v>
      </c>
      <c r="B12250" s="60" t="s">
        <v>1163</v>
      </c>
    </row>
    <row r="12251" ht="12.75" customHeight="1">
      <c r="A12251" s="59" t="s">
        <v>2878</v>
      </c>
      <c r="B12251" s="60" t="s">
        <v>1164</v>
      </c>
    </row>
    <row r="12252" ht="12.75" customHeight="1">
      <c r="A12252" s="59" t="s">
        <v>2878</v>
      </c>
      <c r="B12252" s="60" t="s">
        <v>1165</v>
      </c>
    </row>
    <row r="12253" ht="12.75" customHeight="1">
      <c r="A12253" s="59" t="s">
        <v>2878</v>
      </c>
      <c r="B12253" s="60" t="s">
        <v>1166</v>
      </c>
    </row>
    <row r="12254" ht="12.75" customHeight="1">
      <c r="A12254" s="59" t="s">
        <v>2878</v>
      </c>
      <c r="B12254" s="60" t="s">
        <v>1167</v>
      </c>
    </row>
    <row r="12255" ht="12.75" customHeight="1">
      <c r="A12255" s="59" t="s">
        <v>2878</v>
      </c>
      <c r="B12255" s="60" t="s">
        <v>1168</v>
      </c>
    </row>
    <row r="12256" ht="12.75" customHeight="1">
      <c r="A12256" s="59" t="s">
        <v>2878</v>
      </c>
      <c r="B12256" s="60" t="s">
        <v>1169</v>
      </c>
    </row>
    <row r="12257" ht="12.75" customHeight="1">
      <c r="A12257" s="59" t="s">
        <v>2878</v>
      </c>
      <c r="B12257" s="60" t="s">
        <v>1170</v>
      </c>
    </row>
    <row r="12258" ht="12.75" customHeight="1">
      <c r="A12258" s="59" t="s">
        <v>2878</v>
      </c>
      <c r="B12258" s="60" t="s">
        <v>1171</v>
      </c>
    </row>
    <row r="12259" ht="12.75" customHeight="1">
      <c r="A12259" s="59" t="s">
        <v>2878</v>
      </c>
      <c r="B12259" s="60" t="s">
        <v>1172</v>
      </c>
    </row>
    <row r="12260" ht="12.75" customHeight="1">
      <c r="A12260" s="59" t="s">
        <v>2878</v>
      </c>
      <c r="B12260" s="60" t="s">
        <v>1173</v>
      </c>
    </row>
    <row r="12261" ht="12.75" customHeight="1">
      <c r="A12261" s="59" t="s">
        <v>2878</v>
      </c>
      <c r="B12261" s="60" t="s">
        <v>1174</v>
      </c>
    </row>
    <row r="12262" ht="12.75" customHeight="1">
      <c r="A12262" s="59" t="s">
        <v>2878</v>
      </c>
      <c r="B12262" s="60" t="s">
        <v>1175</v>
      </c>
    </row>
    <row r="12263" ht="12.75" customHeight="1">
      <c r="A12263" s="59" t="s">
        <v>2878</v>
      </c>
      <c r="B12263" s="60" t="s">
        <v>1176</v>
      </c>
    </row>
    <row r="12264" ht="12.75" customHeight="1">
      <c r="A12264" s="59" t="s">
        <v>2878</v>
      </c>
      <c r="B12264" s="60" t="s">
        <v>1177</v>
      </c>
    </row>
    <row r="12265" ht="12.75" customHeight="1">
      <c r="A12265" s="59" t="s">
        <v>2878</v>
      </c>
      <c r="B12265" s="60" t="s">
        <v>1178</v>
      </c>
    </row>
    <row r="12266" ht="12.75" customHeight="1">
      <c r="A12266" s="59" t="s">
        <v>2878</v>
      </c>
      <c r="B12266" s="60" t="s">
        <v>1179</v>
      </c>
    </row>
    <row r="12267" ht="12.75" customHeight="1">
      <c r="A12267" s="59" t="s">
        <v>2878</v>
      </c>
      <c r="B12267" s="60" t="s">
        <v>1180</v>
      </c>
    </row>
    <row r="12268" ht="12.75" customHeight="1">
      <c r="A12268" s="59" t="s">
        <v>2878</v>
      </c>
      <c r="B12268" s="60" t="s">
        <v>1181</v>
      </c>
    </row>
    <row r="12269" ht="12.75" customHeight="1">
      <c r="A12269" s="59" t="s">
        <v>2878</v>
      </c>
      <c r="B12269" s="60" t="s">
        <v>1182</v>
      </c>
    </row>
    <row r="12270" ht="12.75" customHeight="1">
      <c r="A12270" s="59" t="s">
        <v>2878</v>
      </c>
      <c r="B12270" s="60" t="s">
        <v>1183</v>
      </c>
    </row>
    <row r="12271" ht="12.75" customHeight="1">
      <c r="A12271" s="59" t="s">
        <v>2878</v>
      </c>
      <c r="B12271" s="60" t="s">
        <v>1184</v>
      </c>
    </row>
    <row r="12272" ht="12.75" customHeight="1">
      <c r="A12272" s="59" t="s">
        <v>2878</v>
      </c>
      <c r="B12272" s="60" t="s">
        <v>1185</v>
      </c>
    </row>
    <row r="12273" ht="12.75" customHeight="1">
      <c r="A12273" s="59" t="s">
        <v>2878</v>
      </c>
      <c r="B12273" s="60" t="s">
        <v>1186</v>
      </c>
    </row>
    <row r="12274" ht="12.75" customHeight="1">
      <c r="A12274" s="59" t="s">
        <v>2878</v>
      </c>
      <c r="B12274" s="60" t="s">
        <v>1187</v>
      </c>
    </row>
    <row r="12275" ht="12.75" customHeight="1">
      <c r="A12275" s="59" t="s">
        <v>2878</v>
      </c>
      <c r="B12275" s="60" t="s">
        <v>1188</v>
      </c>
    </row>
    <row r="12276" ht="12.75" customHeight="1">
      <c r="A12276" s="59" t="s">
        <v>2878</v>
      </c>
      <c r="B12276" s="60" t="s">
        <v>1189</v>
      </c>
    </row>
    <row r="12277" ht="12.75" customHeight="1">
      <c r="A12277" s="59" t="s">
        <v>2878</v>
      </c>
      <c r="B12277" s="60" t="s">
        <v>1190</v>
      </c>
    </row>
    <row r="12278" ht="12.75" customHeight="1">
      <c r="A12278" s="59" t="s">
        <v>2878</v>
      </c>
      <c r="B12278" s="60" t="s">
        <v>1191</v>
      </c>
    </row>
    <row r="12279" ht="12.75" customHeight="1">
      <c r="A12279" s="59" t="s">
        <v>2878</v>
      </c>
      <c r="B12279" s="60" t="s">
        <v>1192</v>
      </c>
    </row>
    <row r="12280" ht="12.75" customHeight="1">
      <c r="A12280" s="59" t="s">
        <v>2879</v>
      </c>
      <c r="B12280" s="60">
        <v>0.0</v>
      </c>
    </row>
    <row r="12281" ht="12.75" customHeight="1">
      <c r="A12281" s="59" t="s">
        <v>2879</v>
      </c>
      <c r="B12281" s="60">
        <v>0.0</v>
      </c>
    </row>
    <row r="12282" ht="12.75" customHeight="1">
      <c r="A12282" s="59" t="s">
        <v>2879</v>
      </c>
      <c r="B12282" s="60">
        <v>2.0</v>
      </c>
    </row>
    <row r="12283" ht="12.75" customHeight="1">
      <c r="A12283" s="59" t="s">
        <v>2879</v>
      </c>
      <c r="B12283" s="60">
        <v>4.0</v>
      </c>
    </row>
    <row r="12284" ht="12.75" customHeight="1">
      <c r="A12284" s="59" t="s">
        <v>2879</v>
      </c>
      <c r="B12284" s="60">
        <v>6.0</v>
      </c>
    </row>
    <row r="12285" ht="12.75" customHeight="1">
      <c r="A12285" s="59" t="s">
        <v>2879</v>
      </c>
      <c r="B12285" s="60">
        <v>8.0</v>
      </c>
    </row>
    <row r="12286" ht="12.75" customHeight="1">
      <c r="A12286" s="59" t="s">
        <v>2879</v>
      </c>
      <c r="B12286" s="60">
        <v>10.0</v>
      </c>
    </row>
    <row r="12287" ht="12.75" customHeight="1">
      <c r="A12287" s="59" t="s">
        <v>2879</v>
      </c>
      <c r="B12287" s="60">
        <v>12.0</v>
      </c>
    </row>
    <row r="12288" ht="12.75" customHeight="1">
      <c r="A12288" s="59" t="s">
        <v>2879</v>
      </c>
      <c r="B12288" s="60" t="s">
        <v>803</v>
      </c>
    </row>
    <row r="12289" ht="12.75" customHeight="1">
      <c r="A12289" s="59" t="s">
        <v>2879</v>
      </c>
      <c r="B12289" s="60" t="s">
        <v>804</v>
      </c>
    </row>
    <row r="12290" ht="12.75" customHeight="1">
      <c r="A12290" s="59" t="s">
        <v>2879</v>
      </c>
      <c r="B12290" s="60" t="s">
        <v>76</v>
      </c>
    </row>
    <row r="12291" ht="12.75" customHeight="1">
      <c r="A12291" s="59" t="s">
        <v>2879</v>
      </c>
      <c r="B12291" s="60" t="s">
        <v>80</v>
      </c>
    </row>
    <row r="12292" ht="12.75" customHeight="1">
      <c r="A12292" s="59" t="s">
        <v>2879</v>
      </c>
      <c r="B12292" s="60" t="s">
        <v>83</v>
      </c>
    </row>
    <row r="12293" ht="12.75" customHeight="1">
      <c r="A12293" s="59" t="s">
        <v>2879</v>
      </c>
      <c r="B12293" s="60" t="s">
        <v>85</v>
      </c>
    </row>
    <row r="12294" ht="12.75" customHeight="1">
      <c r="A12294" s="59" t="s">
        <v>2879</v>
      </c>
      <c r="B12294" s="60" t="s">
        <v>805</v>
      </c>
    </row>
    <row r="12295" ht="12.75" customHeight="1">
      <c r="A12295" s="59" t="s">
        <v>2879</v>
      </c>
      <c r="B12295" s="60" t="s">
        <v>806</v>
      </c>
    </row>
    <row r="12296" ht="12.75" customHeight="1">
      <c r="A12296" s="59" t="s">
        <v>2879</v>
      </c>
      <c r="B12296" s="60" t="s">
        <v>807</v>
      </c>
    </row>
    <row r="12297" ht="12.75" customHeight="1">
      <c r="A12297" s="59" t="s">
        <v>2879</v>
      </c>
      <c r="B12297" s="60" t="s">
        <v>753</v>
      </c>
    </row>
    <row r="12298" ht="12.75" customHeight="1">
      <c r="A12298" s="59" t="s">
        <v>2879</v>
      </c>
      <c r="B12298" s="60" t="s">
        <v>757</v>
      </c>
    </row>
    <row r="12299" ht="12.75" customHeight="1">
      <c r="A12299" s="59" t="s">
        <v>2879</v>
      </c>
      <c r="B12299" s="60" t="s">
        <v>761</v>
      </c>
    </row>
    <row r="12300" ht="12.75" customHeight="1">
      <c r="A12300" s="59" t="s">
        <v>2879</v>
      </c>
      <c r="B12300" s="60" t="s">
        <v>765</v>
      </c>
    </row>
    <row r="12301" ht="12.75" customHeight="1">
      <c r="A12301" s="59" t="s">
        <v>2879</v>
      </c>
      <c r="B12301" s="60" t="s">
        <v>808</v>
      </c>
    </row>
    <row r="12302" ht="12.75" customHeight="1">
      <c r="A12302" s="59" t="s">
        <v>2879</v>
      </c>
      <c r="B12302" s="60" t="s">
        <v>809</v>
      </c>
    </row>
    <row r="12303" ht="12.75" customHeight="1">
      <c r="A12303" s="59" t="s">
        <v>2879</v>
      </c>
      <c r="B12303" s="60" t="s">
        <v>810</v>
      </c>
    </row>
    <row r="12304" ht="12.75" customHeight="1">
      <c r="A12304" s="59" t="s">
        <v>2879</v>
      </c>
      <c r="B12304" s="60" t="s">
        <v>811</v>
      </c>
    </row>
    <row r="12305" ht="12.75" customHeight="1">
      <c r="A12305" s="59" t="s">
        <v>2879</v>
      </c>
      <c r="B12305" s="60" t="s">
        <v>812</v>
      </c>
    </row>
    <row r="12306" ht="12.75" customHeight="1">
      <c r="A12306" s="59" t="s">
        <v>2879</v>
      </c>
      <c r="B12306" s="60" t="s">
        <v>813</v>
      </c>
    </row>
    <row r="12307" ht="12.75" customHeight="1">
      <c r="A12307" s="59" t="s">
        <v>2879</v>
      </c>
      <c r="B12307" s="60" t="s">
        <v>814</v>
      </c>
    </row>
    <row r="12308" ht="12.75" customHeight="1">
      <c r="A12308" s="59" t="s">
        <v>2879</v>
      </c>
      <c r="B12308" s="60" t="s">
        <v>815</v>
      </c>
    </row>
    <row r="12309" ht="12.75" customHeight="1">
      <c r="A12309" s="59" t="s">
        <v>2879</v>
      </c>
      <c r="B12309" s="60" t="s">
        <v>816</v>
      </c>
    </row>
    <row r="12310" ht="12.75" customHeight="1">
      <c r="A12310" s="59" t="s">
        <v>2879</v>
      </c>
      <c r="B12310" s="60" t="s">
        <v>771</v>
      </c>
    </row>
    <row r="12311" ht="12.75" customHeight="1">
      <c r="A12311" s="59" t="s">
        <v>2879</v>
      </c>
      <c r="B12311" s="60" t="s">
        <v>775</v>
      </c>
    </row>
    <row r="12312" ht="12.75" customHeight="1">
      <c r="A12312" s="59" t="s">
        <v>2879</v>
      </c>
      <c r="B12312" s="60" t="s">
        <v>779</v>
      </c>
    </row>
    <row r="12313" ht="12.75" customHeight="1">
      <c r="A12313" s="59" t="s">
        <v>2879</v>
      </c>
      <c r="B12313" s="60" t="s">
        <v>783</v>
      </c>
    </row>
    <row r="12314" ht="12.75" customHeight="1">
      <c r="A12314" s="59" t="s">
        <v>2879</v>
      </c>
      <c r="B12314" s="60" t="s">
        <v>817</v>
      </c>
    </row>
    <row r="12315" ht="12.75" customHeight="1">
      <c r="A12315" s="59" t="s">
        <v>2879</v>
      </c>
      <c r="B12315" s="60" t="s">
        <v>818</v>
      </c>
    </row>
    <row r="12316" ht="12.75" customHeight="1">
      <c r="A12316" s="59" t="s">
        <v>2879</v>
      </c>
      <c r="B12316" s="60" t="s">
        <v>819</v>
      </c>
    </row>
    <row r="12317" ht="12.75" customHeight="1">
      <c r="A12317" s="59" t="s">
        <v>2879</v>
      </c>
      <c r="B12317" s="60" t="s">
        <v>820</v>
      </c>
    </row>
    <row r="12318" ht="12.75" customHeight="1">
      <c r="A12318" s="59" t="s">
        <v>2879</v>
      </c>
      <c r="B12318" s="60" t="s">
        <v>821</v>
      </c>
    </row>
    <row r="12319" ht="12.75" customHeight="1">
      <c r="A12319" s="59" t="s">
        <v>2879</v>
      </c>
      <c r="B12319" s="60" t="s">
        <v>822</v>
      </c>
    </row>
    <row r="12320" ht="12.75" customHeight="1">
      <c r="A12320" s="59" t="s">
        <v>2879</v>
      </c>
      <c r="B12320" s="60" t="s">
        <v>823</v>
      </c>
    </row>
    <row r="12321" ht="12.75" customHeight="1">
      <c r="A12321" s="59" t="s">
        <v>2879</v>
      </c>
      <c r="B12321" s="60" t="s">
        <v>824</v>
      </c>
    </row>
    <row r="12322" ht="12.75" customHeight="1">
      <c r="A12322" s="59" t="s">
        <v>2879</v>
      </c>
      <c r="B12322" s="60" t="s">
        <v>825</v>
      </c>
    </row>
    <row r="12323" ht="12.75" customHeight="1">
      <c r="A12323" s="59" t="s">
        <v>2879</v>
      </c>
      <c r="B12323" s="60" t="s">
        <v>788</v>
      </c>
    </row>
    <row r="12324" ht="12.75" customHeight="1">
      <c r="A12324" s="59" t="s">
        <v>2879</v>
      </c>
      <c r="B12324" s="60" t="s">
        <v>792</v>
      </c>
    </row>
    <row r="12325" ht="12.75" customHeight="1">
      <c r="A12325" s="59" t="s">
        <v>2879</v>
      </c>
      <c r="B12325" s="60" t="s">
        <v>796</v>
      </c>
    </row>
    <row r="12326" ht="12.75" customHeight="1">
      <c r="A12326" s="59" t="s">
        <v>2879</v>
      </c>
      <c r="B12326" s="60" t="s">
        <v>800</v>
      </c>
    </row>
    <row r="12327" ht="12.75" customHeight="1">
      <c r="A12327" s="59" t="s">
        <v>2879</v>
      </c>
      <c r="B12327" s="60" t="s">
        <v>826</v>
      </c>
    </row>
    <row r="12328" ht="12.75" customHeight="1">
      <c r="A12328" s="59" t="s">
        <v>2879</v>
      </c>
      <c r="B12328" s="60" t="s">
        <v>827</v>
      </c>
    </row>
    <row r="12329" ht="12.75" customHeight="1">
      <c r="A12329" s="59" t="s">
        <v>2879</v>
      </c>
      <c r="B12329" s="60" t="s">
        <v>828</v>
      </c>
    </row>
    <row r="12330" ht="12.75" customHeight="1">
      <c r="A12330" s="59" t="s">
        <v>2879</v>
      </c>
      <c r="B12330" s="60" t="s">
        <v>829</v>
      </c>
    </row>
    <row r="12331" ht="12.75" customHeight="1">
      <c r="A12331" s="59" t="s">
        <v>2879</v>
      </c>
      <c r="B12331" s="60" t="s">
        <v>830</v>
      </c>
    </row>
    <row r="12332" ht="12.75" customHeight="1">
      <c r="A12332" s="59" t="s">
        <v>2879</v>
      </c>
      <c r="B12332" s="60" t="s">
        <v>831</v>
      </c>
    </row>
    <row r="12333" ht="12.75" customHeight="1">
      <c r="A12333" s="59" t="s">
        <v>2879</v>
      </c>
      <c r="B12333" s="60" t="s">
        <v>832</v>
      </c>
    </row>
    <row r="12334" ht="12.75" customHeight="1">
      <c r="A12334" s="59" t="s">
        <v>2879</v>
      </c>
      <c r="B12334" s="60" t="s">
        <v>833</v>
      </c>
    </row>
    <row r="12335" ht="12.75" customHeight="1">
      <c r="A12335" s="59" t="s">
        <v>2879</v>
      </c>
      <c r="B12335" s="60" t="s">
        <v>834</v>
      </c>
    </row>
    <row r="12336" ht="12.75" customHeight="1">
      <c r="A12336" s="59" t="s">
        <v>2879</v>
      </c>
      <c r="B12336" s="60">
        <v>14.0</v>
      </c>
    </row>
    <row r="12337" ht="12.75" customHeight="1">
      <c r="A12337" s="59" t="s">
        <v>2879</v>
      </c>
      <c r="B12337" s="60" t="s">
        <v>835</v>
      </c>
    </row>
    <row r="12338" ht="12.75" customHeight="1">
      <c r="A12338" s="59" t="s">
        <v>2879</v>
      </c>
      <c r="B12338" s="60">
        <v>16.0</v>
      </c>
    </row>
    <row r="12339" ht="12.75" customHeight="1">
      <c r="A12339" s="59" t="s">
        <v>2879</v>
      </c>
      <c r="B12339" s="60" t="s">
        <v>836</v>
      </c>
    </row>
    <row r="12340" ht="12.75" customHeight="1">
      <c r="A12340" s="59" t="s">
        <v>2879</v>
      </c>
      <c r="B12340" s="60">
        <v>18.0</v>
      </c>
    </row>
    <row r="12341" ht="12.75" customHeight="1">
      <c r="A12341" s="59" t="s">
        <v>2879</v>
      </c>
      <c r="B12341" s="60" t="s">
        <v>837</v>
      </c>
    </row>
    <row r="12342" ht="12.75" customHeight="1">
      <c r="A12342" s="59" t="s">
        <v>2879</v>
      </c>
      <c r="B12342" s="60">
        <v>20.0</v>
      </c>
    </row>
    <row r="12343" ht="12.75" customHeight="1">
      <c r="A12343" s="59" t="s">
        <v>2879</v>
      </c>
      <c r="B12343" s="60" t="s">
        <v>838</v>
      </c>
    </row>
    <row r="12344" ht="12.75" customHeight="1">
      <c r="A12344" s="59" t="s">
        <v>2879</v>
      </c>
      <c r="B12344" s="60">
        <v>22.0</v>
      </c>
    </row>
    <row r="12345" ht="12.75" customHeight="1">
      <c r="A12345" s="59" t="s">
        <v>2879</v>
      </c>
      <c r="B12345" s="60" t="s">
        <v>839</v>
      </c>
    </row>
    <row r="12346" ht="12.75" customHeight="1">
      <c r="A12346" s="59" t="s">
        <v>2879</v>
      </c>
      <c r="B12346" s="60">
        <v>24.0</v>
      </c>
    </row>
    <row r="12347" ht="12.75" customHeight="1">
      <c r="A12347" s="59" t="s">
        <v>2879</v>
      </c>
      <c r="B12347" s="60" t="s">
        <v>840</v>
      </c>
    </row>
    <row r="12348" ht="12.75" customHeight="1">
      <c r="A12348" s="59" t="s">
        <v>2879</v>
      </c>
      <c r="B12348" s="60">
        <v>26.0</v>
      </c>
    </row>
    <row r="12349" ht="12.75" customHeight="1">
      <c r="A12349" s="59" t="s">
        <v>2879</v>
      </c>
      <c r="B12349" s="60" t="s">
        <v>841</v>
      </c>
    </row>
    <row r="12350" ht="12.75" customHeight="1">
      <c r="A12350" s="59" t="s">
        <v>2879</v>
      </c>
      <c r="B12350" s="60">
        <v>28.0</v>
      </c>
    </row>
    <row r="12351" ht="12.75" customHeight="1">
      <c r="A12351" s="59" t="s">
        <v>2879</v>
      </c>
      <c r="B12351" s="60" t="s">
        <v>842</v>
      </c>
    </row>
    <row r="12352" ht="12.75" customHeight="1">
      <c r="A12352" s="59" t="s">
        <v>2879</v>
      </c>
      <c r="B12352" s="60">
        <v>30.0</v>
      </c>
    </row>
    <row r="12353" ht="12.75" customHeight="1">
      <c r="A12353" s="59" t="s">
        <v>2879</v>
      </c>
      <c r="B12353" s="60" t="s">
        <v>843</v>
      </c>
    </row>
    <row r="12354" ht="12.75" customHeight="1">
      <c r="A12354" s="59" t="s">
        <v>2879</v>
      </c>
      <c r="B12354" s="60">
        <v>32.0</v>
      </c>
    </row>
    <row r="12355" ht="12.75" customHeight="1">
      <c r="A12355" s="59" t="s">
        <v>2879</v>
      </c>
      <c r="B12355" s="60" t="s">
        <v>844</v>
      </c>
    </row>
    <row r="12356" ht="12.75" customHeight="1">
      <c r="A12356" s="59" t="s">
        <v>2879</v>
      </c>
      <c r="B12356" s="60" t="s">
        <v>845</v>
      </c>
    </row>
    <row r="12357" ht="12.75" customHeight="1">
      <c r="A12357" s="59" t="s">
        <v>2879</v>
      </c>
      <c r="B12357" s="60" t="s">
        <v>846</v>
      </c>
    </row>
    <row r="12358" ht="12.75" customHeight="1">
      <c r="A12358" s="59" t="s">
        <v>2879</v>
      </c>
      <c r="B12358" s="60" t="s">
        <v>847</v>
      </c>
    </row>
    <row r="12359" ht="12.75" customHeight="1">
      <c r="A12359" s="59" t="s">
        <v>2879</v>
      </c>
      <c r="B12359" s="60" t="s">
        <v>848</v>
      </c>
    </row>
    <row r="12360" ht="12.75" customHeight="1">
      <c r="A12360" s="59" t="s">
        <v>2879</v>
      </c>
      <c r="B12360" s="60" t="s">
        <v>849</v>
      </c>
    </row>
    <row r="12361" ht="12.75" customHeight="1">
      <c r="A12361" s="59" t="s">
        <v>2879</v>
      </c>
      <c r="B12361" s="60" t="s">
        <v>850</v>
      </c>
    </row>
    <row r="12362" ht="12.75" customHeight="1">
      <c r="A12362" s="59" t="s">
        <v>2879</v>
      </c>
      <c r="B12362" s="60" t="s">
        <v>851</v>
      </c>
    </row>
    <row r="12363" ht="12.75" customHeight="1">
      <c r="A12363" s="59" t="s">
        <v>2879</v>
      </c>
      <c r="B12363" s="60" t="s">
        <v>852</v>
      </c>
    </row>
    <row r="12364" ht="12.75" customHeight="1">
      <c r="A12364" s="59" t="s">
        <v>2879</v>
      </c>
      <c r="B12364" s="60" t="s">
        <v>853</v>
      </c>
    </row>
    <row r="12365" ht="12.75" customHeight="1">
      <c r="A12365" s="59" t="s">
        <v>2879</v>
      </c>
      <c r="B12365" s="60" t="s">
        <v>854</v>
      </c>
    </row>
    <row r="12366" ht="12.75" customHeight="1">
      <c r="A12366" s="59" t="s">
        <v>2879</v>
      </c>
      <c r="B12366" s="60" t="s">
        <v>855</v>
      </c>
    </row>
    <row r="12367" ht="12.75" customHeight="1">
      <c r="A12367" s="59" t="s">
        <v>2879</v>
      </c>
      <c r="B12367" s="60" t="s">
        <v>856</v>
      </c>
    </row>
    <row r="12368" ht="12.75" customHeight="1">
      <c r="A12368" s="59" t="s">
        <v>2879</v>
      </c>
      <c r="B12368" s="60" t="s">
        <v>857</v>
      </c>
    </row>
    <row r="12369" ht="12.75" customHeight="1">
      <c r="A12369" s="59" t="s">
        <v>2879</v>
      </c>
      <c r="B12369" s="60" t="s">
        <v>858</v>
      </c>
    </row>
    <row r="12370" ht="12.75" customHeight="1">
      <c r="A12370" s="59" t="s">
        <v>2879</v>
      </c>
      <c r="B12370" s="60" t="s">
        <v>859</v>
      </c>
    </row>
    <row r="12371" ht="12.75" customHeight="1">
      <c r="A12371" s="59" t="s">
        <v>2879</v>
      </c>
      <c r="B12371" s="60" t="s">
        <v>860</v>
      </c>
    </row>
    <row r="12372" ht="12.75" customHeight="1">
      <c r="A12372" s="59" t="s">
        <v>2879</v>
      </c>
      <c r="B12372" s="60" t="s">
        <v>861</v>
      </c>
    </row>
    <row r="12373" ht="12.75" customHeight="1">
      <c r="A12373" s="59" t="s">
        <v>2879</v>
      </c>
      <c r="B12373" s="60" t="s">
        <v>862</v>
      </c>
    </row>
    <row r="12374" ht="12.75" customHeight="1">
      <c r="A12374" s="59" t="s">
        <v>2879</v>
      </c>
      <c r="B12374" s="60" t="s">
        <v>863</v>
      </c>
    </row>
    <row r="12375" ht="12.75" customHeight="1">
      <c r="A12375" s="59" t="s">
        <v>2879</v>
      </c>
      <c r="B12375" s="60" t="s">
        <v>864</v>
      </c>
    </row>
    <row r="12376" ht="12.75" customHeight="1">
      <c r="A12376" s="59" t="s">
        <v>2879</v>
      </c>
      <c r="B12376" s="60" t="s">
        <v>865</v>
      </c>
    </row>
    <row r="12377" ht="12.75" customHeight="1">
      <c r="A12377" s="59" t="s">
        <v>2879</v>
      </c>
      <c r="B12377" s="60" t="s">
        <v>866</v>
      </c>
    </row>
    <row r="12378" ht="12.75" customHeight="1">
      <c r="A12378" s="59" t="s">
        <v>2879</v>
      </c>
      <c r="B12378" s="60" t="s">
        <v>867</v>
      </c>
    </row>
    <row r="12379" ht="12.75" customHeight="1">
      <c r="A12379" s="59" t="s">
        <v>2879</v>
      </c>
      <c r="B12379" s="60" t="s">
        <v>868</v>
      </c>
    </row>
    <row r="12380" ht="12.75" customHeight="1">
      <c r="A12380" s="59" t="s">
        <v>2879</v>
      </c>
      <c r="B12380" s="60" t="s">
        <v>869</v>
      </c>
    </row>
    <row r="12381" ht="12.75" customHeight="1">
      <c r="A12381" s="59" t="s">
        <v>2879</v>
      </c>
      <c r="B12381" s="60" t="s">
        <v>870</v>
      </c>
    </row>
    <row r="12382" ht="12.75" customHeight="1">
      <c r="A12382" s="59" t="s">
        <v>2879</v>
      </c>
      <c r="B12382" s="60" t="s">
        <v>871</v>
      </c>
    </row>
    <row r="12383" ht="12.75" customHeight="1">
      <c r="A12383" s="59" t="s">
        <v>2879</v>
      </c>
      <c r="B12383" s="60" t="s">
        <v>872</v>
      </c>
    </row>
    <row r="12384" ht="12.75" customHeight="1">
      <c r="A12384" s="59" t="s">
        <v>2879</v>
      </c>
      <c r="B12384" s="60" t="s">
        <v>873</v>
      </c>
    </row>
    <row r="12385" ht="12.75" customHeight="1">
      <c r="A12385" s="59" t="s">
        <v>2879</v>
      </c>
      <c r="B12385" s="60" t="s">
        <v>874</v>
      </c>
    </row>
    <row r="12386" ht="12.75" customHeight="1">
      <c r="A12386" s="59" t="s">
        <v>2879</v>
      </c>
      <c r="B12386" s="60" t="s">
        <v>875</v>
      </c>
    </row>
    <row r="12387" ht="12.75" customHeight="1">
      <c r="A12387" s="59" t="s">
        <v>2879</v>
      </c>
      <c r="B12387" s="60" t="s">
        <v>876</v>
      </c>
    </row>
    <row r="12388" ht="12.75" customHeight="1">
      <c r="A12388" s="59" t="s">
        <v>2879</v>
      </c>
      <c r="B12388" s="60" t="s">
        <v>877</v>
      </c>
    </row>
    <row r="12389" ht="12.75" customHeight="1">
      <c r="A12389" s="59" t="s">
        <v>2879</v>
      </c>
      <c r="B12389" s="60" t="s">
        <v>878</v>
      </c>
    </row>
    <row r="12390" ht="12.75" customHeight="1">
      <c r="A12390" s="59" t="s">
        <v>2879</v>
      </c>
      <c r="B12390" s="60" t="s">
        <v>879</v>
      </c>
    </row>
    <row r="12391" ht="12.75" customHeight="1">
      <c r="A12391" s="59" t="s">
        <v>2879</v>
      </c>
      <c r="B12391" s="60" t="s">
        <v>880</v>
      </c>
    </row>
    <row r="12392" ht="12.75" customHeight="1">
      <c r="A12392" s="59" t="s">
        <v>2879</v>
      </c>
      <c r="B12392" s="60" t="s">
        <v>881</v>
      </c>
    </row>
    <row r="12393" ht="12.75" customHeight="1">
      <c r="A12393" s="59" t="s">
        <v>2879</v>
      </c>
      <c r="B12393" s="60" t="s">
        <v>882</v>
      </c>
    </row>
    <row r="12394" ht="12.75" customHeight="1">
      <c r="A12394" s="59" t="s">
        <v>2879</v>
      </c>
      <c r="B12394" s="60" t="s">
        <v>883</v>
      </c>
    </row>
    <row r="12395" ht="12.75" customHeight="1">
      <c r="A12395" s="59" t="s">
        <v>2879</v>
      </c>
      <c r="B12395" s="60" t="s">
        <v>884</v>
      </c>
    </row>
    <row r="12396" ht="12.75" customHeight="1">
      <c r="A12396" s="59" t="s">
        <v>2879</v>
      </c>
      <c r="B12396" s="60" t="s">
        <v>885</v>
      </c>
    </row>
    <row r="12397" ht="12.75" customHeight="1">
      <c r="A12397" s="59" t="s">
        <v>2879</v>
      </c>
      <c r="B12397" s="60" t="s">
        <v>886</v>
      </c>
    </row>
    <row r="12398" ht="12.75" customHeight="1">
      <c r="A12398" s="59" t="s">
        <v>2879</v>
      </c>
      <c r="B12398" s="60" t="s">
        <v>887</v>
      </c>
    </row>
    <row r="12399" ht="12.75" customHeight="1">
      <c r="A12399" s="59" t="s">
        <v>2879</v>
      </c>
      <c r="B12399" s="60" t="s">
        <v>888</v>
      </c>
    </row>
    <row r="12400" ht="12.75" customHeight="1">
      <c r="A12400" s="59" t="s">
        <v>2879</v>
      </c>
      <c r="B12400" s="60" t="s">
        <v>889</v>
      </c>
    </row>
    <row r="12401" ht="12.75" customHeight="1">
      <c r="A12401" s="59" t="s">
        <v>2879</v>
      </c>
      <c r="B12401" s="60" t="s">
        <v>890</v>
      </c>
    </row>
    <row r="12402" ht="12.75" customHeight="1">
      <c r="A12402" s="59" t="s">
        <v>2879</v>
      </c>
      <c r="B12402" s="60" t="s">
        <v>891</v>
      </c>
    </row>
    <row r="12403" ht="12.75" customHeight="1">
      <c r="A12403" s="59" t="s">
        <v>2879</v>
      </c>
      <c r="B12403" s="60" t="s">
        <v>892</v>
      </c>
    </row>
    <row r="12404" ht="12.75" customHeight="1">
      <c r="A12404" s="59" t="s">
        <v>2879</v>
      </c>
      <c r="B12404" s="60" t="s">
        <v>893</v>
      </c>
    </row>
    <row r="12405" ht="12.75" customHeight="1">
      <c r="A12405" s="59" t="s">
        <v>2879</v>
      </c>
      <c r="B12405" s="60" t="s">
        <v>894</v>
      </c>
    </row>
    <row r="12406" ht="12.75" customHeight="1">
      <c r="A12406" s="59" t="s">
        <v>2879</v>
      </c>
      <c r="B12406" s="60" t="s">
        <v>895</v>
      </c>
    </row>
    <row r="12407" ht="12.75" customHeight="1">
      <c r="A12407" s="59" t="s">
        <v>2879</v>
      </c>
      <c r="B12407" s="60" t="s">
        <v>896</v>
      </c>
    </row>
    <row r="12408" ht="12.75" customHeight="1">
      <c r="A12408" s="59" t="s">
        <v>2879</v>
      </c>
      <c r="B12408" s="60" t="s">
        <v>897</v>
      </c>
    </row>
    <row r="12409" ht="12.75" customHeight="1">
      <c r="A12409" s="59" t="s">
        <v>2879</v>
      </c>
      <c r="B12409" s="60" t="s">
        <v>898</v>
      </c>
    </row>
    <row r="12410" ht="12.75" customHeight="1">
      <c r="A12410" s="59" t="s">
        <v>2879</v>
      </c>
      <c r="B12410" s="60" t="s">
        <v>899</v>
      </c>
    </row>
    <row r="12411" ht="12.75" customHeight="1">
      <c r="A12411" s="59" t="s">
        <v>2879</v>
      </c>
      <c r="B12411" s="60" t="s">
        <v>900</v>
      </c>
    </row>
    <row r="12412" ht="12.75" customHeight="1">
      <c r="A12412" s="59" t="s">
        <v>2879</v>
      </c>
      <c r="B12412" s="60" t="s">
        <v>901</v>
      </c>
    </row>
    <row r="12413" ht="12.75" customHeight="1">
      <c r="A12413" s="59" t="s">
        <v>2879</v>
      </c>
      <c r="B12413" s="60" t="s">
        <v>902</v>
      </c>
    </row>
    <row r="12414" ht="12.75" customHeight="1">
      <c r="A12414" s="59" t="s">
        <v>2879</v>
      </c>
      <c r="B12414" s="60" t="s">
        <v>903</v>
      </c>
    </row>
    <row r="12415" ht="12.75" customHeight="1">
      <c r="A12415" s="59" t="s">
        <v>2879</v>
      </c>
      <c r="B12415" s="60" t="s">
        <v>904</v>
      </c>
    </row>
    <row r="12416" ht="12.75" customHeight="1">
      <c r="A12416" s="59" t="s">
        <v>2879</v>
      </c>
      <c r="B12416" s="60" t="s">
        <v>905</v>
      </c>
    </row>
    <row r="12417" ht="12.75" customHeight="1">
      <c r="A12417" s="59" t="s">
        <v>2879</v>
      </c>
      <c r="B12417" s="60" t="s">
        <v>906</v>
      </c>
    </row>
    <row r="12418" ht="12.75" customHeight="1">
      <c r="A12418" s="59" t="s">
        <v>2879</v>
      </c>
      <c r="B12418" s="60" t="s">
        <v>907</v>
      </c>
    </row>
    <row r="12419" ht="12.75" customHeight="1">
      <c r="A12419" s="59" t="s">
        <v>2879</v>
      </c>
      <c r="B12419" s="60" t="s">
        <v>908</v>
      </c>
    </row>
    <row r="12420" ht="12.75" customHeight="1">
      <c r="A12420" s="59" t="s">
        <v>2879</v>
      </c>
      <c r="B12420" s="60" t="s">
        <v>909</v>
      </c>
    </row>
    <row r="12421" ht="12.75" customHeight="1">
      <c r="A12421" s="59" t="s">
        <v>2879</v>
      </c>
      <c r="B12421" s="60" t="s">
        <v>910</v>
      </c>
    </row>
    <row r="12422" ht="12.75" customHeight="1">
      <c r="A12422" s="59" t="s">
        <v>2879</v>
      </c>
      <c r="B12422" s="60" t="s">
        <v>911</v>
      </c>
    </row>
    <row r="12423" ht="12.75" customHeight="1">
      <c r="A12423" s="59" t="s">
        <v>2879</v>
      </c>
      <c r="B12423" s="60" t="s">
        <v>912</v>
      </c>
    </row>
    <row r="12424" ht="12.75" customHeight="1">
      <c r="A12424" s="59" t="s">
        <v>2879</v>
      </c>
      <c r="B12424" s="60" t="s">
        <v>913</v>
      </c>
    </row>
    <row r="12425" ht="12.75" customHeight="1">
      <c r="A12425" s="59" t="s">
        <v>2879</v>
      </c>
      <c r="B12425" s="60" t="s">
        <v>914</v>
      </c>
    </row>
    <row r="12426" ht="12.75" customHeight="1">
      <c r="A12426" s="59" t="s">
        <v>2879</v>
      </c>
      <c r="B12426" s="60" t="s">
        <v>915</v>
      </c>
    </row>
    <row r="12427" ht="12.75" customHeight="1">
      <c r="A12427" s="59" t="s">
        <v>2879</v>
      </c>
      <c r="B12427" s="60" t="s">
        <v>916</v>
      </c>
    </row>
    <row r="12428" ht="12.75" customHeight="1">
      <c r="A12428" s="59" t="s">
        <v>2879</v>
      </c>
      <c r="B12428" s="60" t="s">
        <v>917</v>
      </c>
    </row>
    <row r="12429" ht="12.75" customHeight="1">
      <c r="A12429" s="59" t="s">
        <v>2879</v>
      </c>
      <c r="B12429" s="60" t="s">
        <v>918</v>
      </c>
    </row>
    <row r="12430" ht="12.75" customHeight="1">
      <c r="A12430" s="59" t="s">
        <v>2879</v>
      </c>
      <c r="B12430" s="60" t="s">
        <v>919</v>
      </c>
    </row>
    <row r="12431" ht="12.75" customHeight="1">
      <c r="A12431" s="59" t="s">
        <v>2879</v>
      </c>
      <c r="B12431" s="60" t="s">
        <v>920</v>
      </c>
    </row>
    <row r="12432" ht="12.75" customHeight="1">
      <c r="A12432" s="59" t="s">
        <v>2879</v>
      </c>
      <c r="B12432" s="60" t="s">
        <v>921</v>
      </c>
    </row>
    <row r="12433" ht="12.75" customHeight="1">
      <c r="A12433" s="59" t="s">
        <v>2879</v>
      </c>
      <c r="B12433" s="60" t="s">
        <v>922</v>
      </c>
    </row>
    <row r="12434" ht="12.75" customHeight="1">
      <c r="A12434" s="59" t="s">
        <v>2879</v>
      </c>
      <c r="B12434" s="60" t="s">
        <v>923</v>
      </c>
    </row>
    <row r="12435" ht="12.75" customHeight="1">
      <c r="A12435" s="59" t="s">
        <v>2879</v>
      </c>
      <c r="B12435" s="60" t="s">
        <v>924</v>
      </c>
    </row>
    <row r="12436" ht="12.75" customHeight="1">
      <c r="A12436" s="59" t="s">
        <v>2879</v>
      </c>
      <c r="B12436" s="60" t="s">
        <v>925</v>
      </c>
    </row>
    <row r="12437" ht="12.75" customHeight="1">
      <c r="A12437" s="59" t="s">
        <v>2879</v>
      </c>
      <c r="B12437" s="60" t="s">
        <v>926</v>
      </c>
    </row>
    <row r="12438" ht="12.75" customHeight="1">
      <c r="A12438" s="59" t="s">
        <v>2879</v>
      </c>
      <c r="B12438" s="60" t="s">
        <v>927</v>
      </c>
    </row>
    <row r="12439" ht="12.75" customHeight="1">
      <c r="A12439" s="59" t="s">
        <v>2879</v>
      </c>
      <c r="B12439" s="60" t="s">
        <v>928</v>
      </c>
    </row>
    <row r="12440" ht="12.75" customHeight="1">
      <c r="A12440" s="59" t="s">
        <v>2879</v>
      </c>
      <c r="B12440" s="60" t="s">
        <v>929</v>
      </c>
    </row>
    <row r="12441" ht="12.75" customHeight="1">
      <c r="A12441" s="59" t="s">
        <v>2879</v>
      </c>
      <c r="B12441" s="60" t="s">
        <v>930</v>
      </c>
    </row>
    <row r="12442" ht="12.75" customHeight="1">
      <c r="A12442" s="59" t="s">
        <v>2879</v>
      </c>
      <c r="B12442" s="60" t="s">
        <v>931</v>
      </c>
    </row>
    <row r="12443" ht="12.75" customHeight="1">
      <c r="A12443" s="59" t="s">
        <v>2879</v>
      </c>
      <c r="B12443" s="60" t="s">
        <v>932</v>
      </c>
    </row>
    <row r="12444" ht="12.75" customHeight="1">
      <c r="A12444" s="59" t="s">
        <v>2879</v>
      </c>
      <c r="B12444" s="60" t="s">
        <v>933</v>
      </c>
    </row>
    <row r="12445" ht="12.75" customHeight="1">
      <c r="A12445" s="59" t="s">
        <v>2879</v>
      </c>
      <c r="B12445" s="60" t="s">
        <v>934</v>
      </c>
    </row>
    <row r="12446" ht="12.75" customHeight="1">
      <c r="A12446" s="59" t="s">
        <v>2879</v>
      </c>
      <c r="B12446" s="60" t="s">
        <v>935</v>
      </c>
    </row>
    <row r="12447" ht="12.75" customHeight="1">
      <c r="A12447" s="59" t="s">
        <v>2879</v>
      </c>
      <c r="B12447" s="60" t="s">
        <v>936</v>
      </c>
    </row>
    <row r="12448" ht="12.75" customHeight="1">
      <c r="A12448" s="59" t="s">
        <v>2879</v>
      </c>
      <c r="B12448" s="60" t="s">
        <v>937</v>
      </c>
    </row>
    <row r="12449" ht="12.75" customHeight="1">
      <c r="A12449" s="59" t="s">
        <v>2879</v>
      </c>
      <c r="B12449" s="60" t="s">
        <v>938</v>
      </c>
    </row>
    <row r="12450" ht="12.75" customHeight="1">
      <c r="A12450" s="59" t="s">
        <v>2879</v>
      </c>
      <c r="B12450" s="60" t="s">
        <v>939</v>
      </c>
    </row>
    <row r="12451" ht="12.75" customHeight="1">
      <c r="A12451" s="59" t="s">
        <v>2879</v>
      </c>
      <c r="B12451" s="60" t="s">
        <v>940</v>
      </c>
    </row>
    <row r="12452" ht="12.75" customHeight="1">
      <c r="A12452" s="59" t="s">
        <v>2879</v>
      </c>
      <c r="B12452" s="60" t="s">
        <v>941</v>
      </c>
    </row>
    <row r="12453" ht="12.75" customHeight="1">
      <c r="A12453" s="59" t="s">
        <v>2879</v>
      </c>
      <c r="B12453" s="60" t="s">
        <v>942</v>
      </c>
    </row>
    <row r="12454" ht="12.75" customHeight="1">
      <c r="A12454" s="59" t="s">
        <v>2879</v>
      </c>
      <c r="B12454" s="60" t="s">
        <v>943</v>
      </c>
    </row>
    <row r="12455" ht="12.75" customHeight="1">
      <c r="A12455" s="59" t="s">
        <v>2879</v>
      </c>
      <c r="B12455" s="60" t="s">
        <v>944</v>
      </c>
    </row>
    <row r="12456" ht="12.75" customHeight="1">
      <c r="A12456" s="59" t="s">
        <v>2879</v>
      </c>
      <c r="B12456" s="60" t="s">
        <v>945</v>
      </c>
    </row>
    <row r="12457" ht="12.75" customHeight="1">
      <c r="A12457" s="59" t="s">
        <v>2879</v>
      </c>
      <c r="B12457" s="60" t="s">
        <v>946</v>
      </c>
    </row>
    <row r="12458" ht="12.75" customHeight="1">
      <c r="A12458" s="59" t="s">
        <v>2879</v>
      </c>
      <c r="B12458" s="60" t="s">
        <v>947</v>
      </c>
    </row>
    <row r="12459" ht="12.75" customHeight="1">
      <c r="A12459" s="59" t="s">
        <v>2879</v>
      </c>
      <c r="B12459" s="60" t="s">
        <v>948</v>
      </c>
    </row>
    <row r="12460" ht="12.75" customHeight="1">
      <c r="A12460" s="59" t="s">
        <v>2879</v>
      </c>
      <c r="B12460" s="60" t="s">
        <v>949</v>
      </c>
    </row>
    <row r="12461" ht="12.75" customHeight="1">
      <c r="A12461" s="59" t="s">
        <v>2879</v>
      </c>
      <c r="B12461" s="60" t="s">
        <v>950</v>
      </c>
    </row>
    <row r="12462" ht="12.75" customHeight="1">
      <c r="A12462" s="59" t="s">
        <v>2879</v>
      </c>
      <c r="B12462" s="60" t="s">
        <v>951</v>
      </c>
    </row>
    <row r="12463" ht="12.75" customHeight="1">
      <c r="A12463" s="59" t="s">
        <v>2879</v>
      </c>
      <c r="B12463" s="60" t="s">
        <v>952</v>
      </c>
    </row>
    <row r="12464" ht="12.75" customHeight="1">
      <c r="A12464" s="59" t="s">
        <v>2879</v>
      </c>
      <c r="B12464" s="60" t="s">
        <v>953</v>
      </c>
    </row>
    <row r="12465" ht="12.75" customHeight="1">
      <c r="A12465" s="59" t="s">
        <v>2879</v>
      </c>
      <c r="B12465" s="60" t="s">
        <v>954</v>
      </c>
    </row>
    <row r="12466" ht="12.75" customHeight="1">
      <c r="A12466" s="59" t="s">
        <v>2879</v>
      </c>
      <c r="B12466" s="60" t="s">
        <v>955</v>
      </c>
    </row>
    <row r="12467" ht="12.75" customHeight="1">
      <c r="A12467" s="59" t="s">
        <v>2879</v>
      </c>
      <c r="B12467" s="60" t="s">
        <v>956</v>
      </c>
    </row>
    <row r="12468" ht="12.75" customHeight="1">
      <c r="A12468" s="59" t="s">
        <v>2879</v>
      </c>
      <c r="B12468" s="60" t="s">
        <v>957</v>
      </c>
    </row>
    <row r="12469" ht="12.75" customHeight="1">
      <c r="A12469" s="59" t="s">
        <v>2879</v>
      </c>
      <c r="B12469" s="60" t="s">
        <v>958</v>
      </c>
    </row>
    <row r="12470" ht="12.75" customHeight="1">
      <c r="A12470" s="59" t="s">
        <v>2879</v>
      </c>
      <c r="B12470" s="60" t="s">
        <v>959</v>
      </c>
    </row>
    <row r="12471" ht="12.75" customHeight="1">
      <c r="A12471" s="59" t="s">
        <v>2879</v>
      </c>
      <c r="B12471" s="60" t="s">
        <v>960</v>
      </c>
    </row>
    <row r="12472" ht="12.75" customHeight="1">
      <c r="A12472" s="59" t="s">
        <v>2879</v>
      </c>
      <c r="B12472" s="60" t="s">
        <v>961</v>
      </c>
    </row>
    <row r="12473" ht="12.75" customHeight="1">
      <c r="A12473" s="59" t="s">
        <v>2879</v>
      </c>
      <c r="B12473" s="60" t="s">
        <v>962</v>
      </c>
    </row>
    <row r="12474" ht="12.75" customHeight="1">
      <c r="A12474" s="59" t="s">
        <v>2879</v>
      </c>
      <c r="B12474" s="60" t="s">
        <v>963</v>
      </c>
    </row>
    <row r="12475" ht="12.75" customHeight="1">
      <c r="A12475" s="59" t="s">
        <v>2879</v>
      </c>
      <c r="B12475" s="60" t="s">
        <v>964</v>
      </c>
    </row>
    <row r="12476" ht="12.75" customHeight="1">
      <c r="A12476" s="59" t="s">
        <v>2879</v>
      </c>
      <c r="B12476" s="60" t="s">
        <v>965</v>
      </c>
    </row>
    <row r="12477" ht="12.75" customHeight="1">
      <c r="A12477" s="59" t="s">
        <v>2879</v>
      </c>
      <c r="B12477" s="60" t="s">
        <v>966</v>
      </c>
    </row>
    <row r="12478" ht="12.75" customHeight="1">
      <c r="A12478" s="59" t="s">
        <v>2879</v>
      </c>
      <c r="B12478" s="60" t="s">
        <v>967</v>
      </c>
    </row>
    <row r="12479" ht="12.75" customHeight="1">
      <c r="A12479" s="59" t="s">
        <v>2879</v>
      </c>
      <c r="B12479" s="60" t="s">
        <v>968</v>
      </c>
    </row>
    <row r="12480" ht="12.75" customHeight="1">
      <c r="A12480" s="59" t="s">
        <v>2879</v>
      </c>
      <c r="B12480" s="60" t="s">
        <v>969</v>
      </c>
    </row>
    <row r="12481" ht="12.75" customHeight="1">
      <c r="A12481" s="59" t="s">
        <v>2879</v>
      </c>
      <c r="B12481" s="60" t="s">
        <v>970</v>
      </c>
    </row>
    <row r="12482" ht="12.75" customHeight="1">
      <c r="A12482" s="59" t="s">
        <v>2879</v>
      </c>
      <c r="B12482" s="60" t="s">
        <v>971</v>
      </c>
    </row>
    <row r="12483" ht="12.75" customHeight="1">
      <c r="A12483" s="59" t="s">
        <v>2879</v>
      </c>
      <c r="B12483" s="60" t="s">
        <v>972</v>
      </c>
    </row>
    <row r="12484" ht="12.75" customHeight="1">
      <c r="A12484" s="59" t="s">
        <v>2879</v>
      </c>
      <c r="B12484" s="60" t="s">
        <v>973</v>
      </c>
    </row>
    <row r="12485" ht="12.75" customHeight="1">
      <c r="A12485" s="59" t="s">
        <v>2879</v>
      </c>
      <c r="B12485" s="60" t="s">
        <v>974</v>
      </c>
    </row>
    <row r="12486" ht="12.75" customHeight="1">
      <c r="A12486" s="59" t="s">
        <v>2879</v>
      </c>
      <c r="B12486" s="60" t="s">
        <v>975</v>
      </c>
    </row>
    <row r="12487" ht="12.75" customHeight="1">
      <c r="A12487" s="59" t="s">
        <v>2879</v>
      </c>
      <c r="B12487" s="60" t="s">
        <v>976</v>
      </c>
    </row>
    <row r="12488" ht="12.75" customHeight="1">
      <c r="A12488" s="59" t="s">
        <v>2879</v>
      </c>
      <c r="B12488" s="60" t="s">
        <v>977</v>
      </c>
    </row>
    <row r="12489" ht="12.75" customHeight="1">
      <c r="A12489" s="59" t="s">
        <v>2879</v>
      </c>
      <c r="B12489" s="60" t="s">
        <v>978</v>
      </c>
    </row>
    <row r="12490" ht="12.75" customHeight="1">
      <c r="A12490" s="59" t="s">
        <v>2879</v>
      </c>
      <c r="B12490" s="60" t="s">
        <v>979</v>
      </c>
    </row>
    <row r="12491" ht="12.75" customHeight="1">
      <c r="A12491" s="59" t="s">
        <v>2879</v>
      </c>
      <c r="B12491" s="60" t="s">
        <v>980</v>
      </c>
    </row>
    <row r="12492" ht="12.75" customHeight="1">
      <c r="A12492" s="59" t="s">
        <v>2879</v>
      </c>
      <c r="B12492" s="60" t="s">
        <v>981</v>
      </c>
    </row>
    <row r="12493" ht="12.75" customHeight="1">
      <c r="A12493" s="59" t="s">
        <v>2879</v>
      </c>
      <c r="B12493" s="60" t="s">
        <v>982</v>
      </c>
    </row>
    <row r="12494" ht="12.75" customHeight="1">
      <c r="A12494" s="59" t="s">
        <v>2879</v>
      </c>
      <c r="B12494" s="60" t="s">
        <v>983</v>
      </c>
    </row>
    <row r="12495" ht="12.75" customHeight="1">
      <c r="A12495" s="59" t="s">
        <v>2879</v>
      </c>
      <c r="B12495" s="60" t="s">
        <v>984</v>
      </c>
    </row>
    <row r="12496" ht="12.75" customHeight="1">
      <c r="A12496" s="59" t="s">
        <v>2879</v>
      </c>
      <c r="B12496" s="60" t="s">
        <v>985</v>
      </c>
    </row>
    <row r="12497" ht="12.75" customHeight="1">
      <c r="A12497" s="59" t="s">
        <v>2879</v>
      </c>
      <c r="B12497" s="60" t="s">
        <v>986</v>
      </c>
    </row>
    <row r="12498" ht="12.75" customHeight="1">
      <c r="A12498" s="59" t="s">
        <v>2879</v>
      </c>
      <c r="B12498" s="60" t="s">
        <v>987</v>
      </c>
    </row>
    <row r="12499" ht="12.75" customHeight="1">
      <c r="A12499" s="59" t="s">
        <v>2879</v>
      </c>
      <c r="B12499" s="60" t="s">
        <v>988</v>
      </c>
    </row>
    <row r="12500" ht="12.75" customHeight="1">
      <c r="A12500" s="59" t="s">
        <v>2879</v>
      </c>
      <c r="B12500" s="60" t="s">
        <v>989</v>
      </c>
    </row>
    <row r="12501" ht="12.75" customHeight="1">
      <c r="A12501" s="59" t="s">
        <v>2879</v>
      </c>
      <c r="B12501" s="60" t="s">
        <v>990</v>
      </c>
    </row>
    <row r="12502" ht="12.75" customHeight="1">
      <c r="A12502" s="59" t="s">
        <v>2879</v>
      </c>
      <c r="B12502" s="60" t="s">
        <v>991</v>
      </c>
    </row>
    <row r="12503" ht="12.75" customHeight="1">
      <c r="A12503" s="59" t="s">
        <v>2879</v>
      </c>
      <c r="B12503" s="60" t="s">
        <v>992</v>
      </c>
    </row>
    <row r="12504" ht="12.75" customHeight="1">
      <c r="A12504" s="59" t="s">
        <v>2879</v>
      </c>
      <c r="B12504" s="60" t="s">
        <v>993</v>
      </c>
    </row>
    <row r="12505" ht="12.75" customHeight="1">
      <c r="A12505" s="59" t="s">
        <v>2879</v>
      </c>
      <c r="B12505" s="60" t="s">
        <v>994</v>
      </c>
    </row>
    <row r="12506" ht="12.75" customHeight="1">
      <c r="A12506" s="59" t="s">
        <v>2879</v>
      </c>
      <c r="B12506" s="60" t="s">
        <v>995</v>
      </c>
    </row>
    <row r="12507" ht="12.75" customHeight="1">
      <c r="A12507" s="59" t="s">
        <v>2879</v>
      </c>
      <c r="B12507" s="60" t="s">
        <v>996</v>
      </c>
    </row>
    <row r="12508" ht="12.75" customHeight="1">
      <c r="A12508" s="59" t="s">
        <v>2879</v>
      </c>
      <c r="B12508" s="60" t="s">
        <v>997</v>
      </c>
    </row>
    <row r="12509" ht="12.75" customHeight="1">
      <c r="A12509" s="59" t="s">
        <v>2879</v>
      </c>
      <c r="B12509" s="60" t="s">
        <v>998</v>
      </c>
    </row>
    <row r="12510" ht="12.75" customHeight="1">
      <c r="A12510" s="59" t="s">
        <v>2879</v>
      </c>
      <c r="B12510" s="60" t="s">
        <v>999</v>
      </c>
    </row>
    <row r="12511" ht="12.75" customHeight="1">
      <c r="A12511" s="59" t="s">
        <v>2879</v>
      </c>
      <c r="B12511" s="60" t="s">
        <v>1000</v>
      </c>
    </row>
    <row r="12512" ht="12.75" customHeight="1">
      <c r="A12512" s="59" t="s">
        <v>2879</v>
      </c>
      <c r="B12512" s="60" t="s">
        <v>1001</v>
      </c>
    </row>
    <row r="12513" ht="12.75" customHeight="1">
      <c r="A12513" s="59" t="s">
        <v>2879</v>
      </c>
      <c r="B12513" s="60" t="s">
        <v>1002</v>
      </c>
    </row>
    <row r="12514" ht="12.75" customHeight="1">
      <c r="A12514" s="59" t="s">
        <v>2879</v>
      </c>
      <c r="B12514" s="60" t="s">
        <v>1003</v>
      </c>
    </row>
    <row r="12515" ht="12.75" customHeight="1">
      <c r="A12515" s="59" t="s">
        <v>2879</v>
      </c>
      <c r="B12515" s="60" t="s">
        <v>1004</v>
      </c>
    </row>
    <row r="12516" ht="12.75" customHeight="1">
      <c r="A12516" s="59" t="s">
        <v>2879</v>
      </c>
      <c r="B12516" s="60" t="s">
        <v>1005</v>
      </c>
    </row>
    <row r="12517" ht="12.75" customHeight="1">
      <c r="A12517" s="59" t="s">
        <v>2879</v>
      </c>
      <c r="B12517" s="60" t="s">
        <v>1006</v>
      </c>
    </row>
    <row r="12518" ht="12.75" customHeight="1">
      <c r="A12518" s="59" t="s">
        <v>2879</v>
      </c>
      <c r="B12518" s="60" t="s">
        <v>1007</v>
      </c>
    </row>
    <row r="12519" ht="12.75" customHeight="1">
      <c r="A12519" s="59" t="s">
        <v>2879</v>
      </c>
      <c r="B12519" s="60" t="s">
        <v>1008</v>
      </c>
    </row>
    <row r="12520" ht="12.75" customHeight="1">
      <c r="A12520" s="59" t="s">
        <v>2879</v>
      </c>
      <c r="B12520" s="60" t="s">
        <v>1009</v>
      </c>
    </row>
    <row r="12521" ht="12.75" customHeight="1">
      <c r="A12521" s="59" t="s">
        <v>2879</v>
      </c>
      <c r="B12521" s="60" t="s">
        <v>1010</v>
      </c>
    </row>
    <row r="12522" ht="12.75" customHeight="1">
      <c r="A12522" s="59" t="s">
        <v>2879</v>
      </c>
      <c r="B12522" s="60" t="s">
        <v>1011</v>
      </c>
    </row>
    <row r="12523" ht="12.75" customHeight="1">
      <c r="A12523" s="59" t="s">
        <v>2879</v>
      </c>
      <c r="B12523" s="60" t="s">
        <v>1012</v>
      </c>
    </row>
    <row r="12524" ht="12.75" customHeight="1">
      <c r="A12524" s="59" t="s">
        <v>2879</v>
      </c>
      <c r="B12524" s="60" t="s">
        <v>1013</v>
      </c>
    </row>
    <row r="12525" ht="12.75" customHeight="1">
      <c r="A12525" s="59" t="s">
        <v>2879</v>
      </c>
      <c r="B12525" s="60" t="s">
        <v>1014</v>
      </c>
    </row>
    <row r="12526" ht="12.75" customHeight="1">
      <c r="A12526" s="59" t="s">
        <v>2879</v>
      </c>
      <c r="B12526" s="60" t="s">
        <v>1015</v>
      </c>
    </row>
    <row r="12527" ht="12.75" customHeight="1">
      <c r="A12527" s="59" t="s">
        <v>2879</v>
      </c>
      <c r="B12527" s="60" t="s">
        <v>1016</v>
      </c>
    </row>
    <row r="12528" ht="12.75" customHeight="1">
      <c r="A12528" s="59" t="s">
        <v>2879</v>
      </c>
      <c r="B12528" s="60" t="s">
        <v>1017</v>
      </c>
    </row>
    <row r="12529" ht="12.75" customHeight="1">
      <c r="A12529" s="59" t="s">
        <v>2879</v>
      </c>
      <c r="B12529" s="60" t="s">
        <v>1018</v>
      </c>
    </row>
    <row r="12530" ht="12.75" customHeight="1">
      <c r="A12530" s="59" t="s">
        <v>2879</v>
      </c>
      <c r="B12530" s="60" t="s">
        <v>1019</v>
      </c>
    </row>
    <row r="12531" ht="12.75" customHeight="1">
      <c r="A12531" s="59" t="s">
        <v>2879</v>
      </c>
      <c r="B12531" s="60" t="s">
        <v>1020</v>
      </c>
    </row>
    <row r="12532" ht="12.75" customHeight="1">
      <c r="A12532" s="59" t="s">
        <v>2879</v>
      </c>
      <c r="B12532" s="60" t="s">
        <v>1021</v>
      </c>
    </row>
    <row r="12533" ht="12.75" customHeight="1">
      <c r="A12533" s="59" t="s">
        <v>2879</v>
      </c>
      <c r="B12533" s="60" t="s">
        <v>1022</v>
      </c>
    </row>
    <row r="12534" ht="12.75" customHeight="1">
      <c r="A12534" s="59" t="s">
        <v>2879</v>
      </c>
      <c r="B12534" s="60" t="s">
        <v>1023</v>
      </c>
    </row>
    <row r="12535" ht="12.75" customHeight="1">
      <c r="A12535" s="59" t="s">
        <v>2879</v>
      </c>
      <c r="B12535" s="60" t="s">
        <v>1024</v>
      </c>
    </row>
    <row r="12536" ht="12.75" customHeight="1">
      <c r="A12536" s="59" t="s">
        <v>2879</v>
      </c>
      <c r="B12536" s="60" t="s">
        <v>1025</v>
      </c>
    </row>
    <row r="12537" ht="12.75" customHeight="1">
      <c r="A12537" s="59" t="s">
        <v>2879</v>
      </c>
      <c r="B12537" s="60" t="s">
        <v>1026</v>
      </c>
    </row>
    <row r="12538" ht="12.75" customHeight="1">
      <c r="A12538" s="59" t="s">
        <v>2879</v>
      </c>
      <c r="B12538" s="60" t="s">
        <v>1027</v>
      </c>
    </row>
    <row r="12539" ht="12.75" customHeight="1">
      <c r="A12539" s="59" t="s">
        <v>2879</v>
      </c>
      <c r="B12539" s="60" t="s">
        <v>1028</v>
      </c>
    </row>
    <row r="12540" ht="12.75" customHeight="1">
      <c r="A12540" s="59" t="s">
        <v>2879</v>
      </c>
      <c r="B12540" s="60" t="s">
        <v>1029</v>
      </c>
    </row>
    <row r="12541" ht="12.75" customHeight="1">
      <c r="A12541" s="59" t="s">
        <v>2879</v>
      </c>
      <c r="B12541" s="60" t="s">
        <v>1030</v>
      </c>
    </row>
    <row r="12542" ht="12.75" customHeight="1">
      <c r="A12542" s="59" t="s">
        <v>2879</v>
      </c>
      <c r="B12542" s="60" t="s">
        <v>1031</v>
      </c>
    </row>
    <row r="12543" ht="12.75" customHeight="1">
      <c r="A12543" s="59" t="s">
        <v>2879</v>
      </c>
      <c r="B12543" s="60" t="s">
        <v>1032</v>
      </c>
    </row>
    <row r="12544" ht="12.75" customHeight="1">
      <c r="A12544" s="59" t="s">
        <v>2879</v>
      </c>
      <c r="B12544" s="60" t="s">
        <v>1033</v>
      </c>
    </row>
    <row r="12545" ht="12.75" customHeight="1">
      <c r="A12545" s="59" t="s">
        <v>2879</v>
      </c>
      <c r="B12545" s="60" t="s">
        <v>1034</v>
      </c>
    </row>
    <row r="12546" ht="12.75" customHeight="1">
      <c r="A12546" s="59" t="s">
        <v>2879</v>
      </c>
      <c r="B12546" s="60" t="s">
        <v>1035</v>
      </c>
    </row>
    <row r="12547" ht="12.75" customHeight="1">
      <c r="A12547" s="59" t="s">
        <v>2879</v>
      </c>
      <c r="B12547" s="60" t="s">
        <v>1036</v>
      </c>
    </row>
    <row r="12548" ht="12.75" customHeight="1">
      <c r="A12548" s="59" t="s">
        <v>2879</v>
      </c>
      <c r="B12548" s="60" t="s">
        <v>1037</v>
      </c>
    </row>
    <row r="12549" ht="12.75" customHeight="1">
      <c r="A12549" s="59" t="s">
        <v>2879</v>
      </c>
      <c r="B12549" s="60" t="s">
        <v>1038</v>
      </c>
    </row>
    <row r="12550" ht="12.75" customHeight="1">
      <c r="A12550" s="59" t="s">
        <v>2879</v>
      </c>
      <c r="B12550" s="60" t="s">
        <v>1039</v>
      </c>
    </row>
    <row r="12551" ht="12.75" customHeight="1">
      <c r="A12551" s="59" t="s">
        <v>2879</v>
      </c>
      <c r="B12551" s="60" t="s">
        <v>1040</v>
      </c>
    </row>
    <row r="12552" ht="12.75" customHeight="1">
      <c r="A12552" s="59" t="s">
        <v>2879</v>
      </c>
      <c r="B12552" s="60" t="s">
        <v>1041</v>
      </c>
    </row>
    <row r="12553" ht="12.75" customHeight="1">
      <c r="A12553" s="59" t="s">
        <v>2879</v>
      </c>
      <c r="B12553" s="60" t="s">
        <v>1042</v>
      </c>
    </row>
    <row r="12554" ht="12.75" customHeight="1">
      <c r="A12554" s="59" t="s">
        <v>2879</v>
      </c>
      <c r="B12554" s="60" t="s">
        <v>1043</v>
      </c>
    </row>
    <row r="12555" ht="12.75" customHeight="1">
      <c r="A12555" s="59" t="s">
        <v>2879</v>
      </c>
      <c r="B12555" s="60" t="s">
        <v>1044</v>
      </c>
    </row>
    <row r="12556" ht="12.75" customHeight="1">
      <c r="A12556" s="59" t="s">
        <v>2879</v>
      </c>
      <c r="B12556" s="60" t="s">
        <v>1045</v>
      </c>
    </row>
    <row r="12557" ht="12.75" customHeight="1">
      <c r="A12557" s="59" t="s">
        <v>2879</v>
      </c>
      <c r="B12557" s="60" t="s">
        <v>1046</v>
      </c>
    </row>
    <row r="12558" ht="12.75" customHeight="1">
      <c r="A12558" s="59" t="s">
        <v>2879</v>
      </c>
      <c r="B12558" s="60" t="s">
        <v>1047</v>
      </c>
    </row>
    <row r="12559" ht="12.75" customHeight="1">
      <c r="A12559" s="59" t="s">
        <v>2879</v>
      </c>
      <c r="B12559" s="60" t="s">
        <v>1048</v>
      </c>
    </row>
    <row r="12560" ht="12.75" customHeight="1">
      <c r="A12560" s="59" t="s">
        <v>2879</v>
      </c>
      <c r="B12560" s="60" t="s">
        <v>1049</v>
      </c>
    </row>
    <row r="12561" ht="12.75" customHeight="1">
      <c r="A12561" s="59" t="s">
        <v>2879</v>
      </c>
      <c r="B12561" s="60" t="s">
        <v>1050</v>
      </c>
    </row>
    <row r="12562" ht="12.75" customHeight="1">
      <c r="A12562" s="59" t="s">
        <v>2879</v>
      </c>
      <c r="B12562" s="60" t="s">
        <v>1051</v>
      </c>
    </row>
    <row r="12563" ht="12.75" customHeight="1">
      <c r="A12563" s="59" t="s">
        <v>2879</v>
      </c>
      <c r="B12563" s="60" t="s">
        <v>1052</v>
      </c>
    </row>
    <row r="12564" ht="12.75" customHeight="1">
      <c r="A12564" s="59" t="s">
        <v>2879</v>
      </c>
      <c r="B12564" s="60" t="s">
        <v>1053</v>
      </c>
    </row>
    <row r="12565" ht="12.75" customHeight="1">
      <c r="A12565" s="59" t="s">
        <v>2879</v>
      </c>
      <c r="B12565" s="60" t="s">
        <v>1054</v>
      </c>
    </row>
    <row r="12566" ht="12.75" customHeight="1">
      <c r="A12566" s="59" t="s">
        <v>2879</v>
      </c>
      <c r="B12566" s="60" t="s">
        <v>1055</v>
      </c>
    </row>
    <row r="12567" ht="12.75" customHeight="1">
      <c r="A12567" s="59" t="s">
        <v>2879</v>
      </c>
      <c r="B12567" s="60" t="s">
        <v>1056</v>
      </c>
    </row>
    <row r="12568" ht="12.75" customHeight="1">
      <c r="A12568" s="59" t="s">
        <v>2879</v>
      </c>
      <c r="B12568" s="60" t="s">
        <v>1057</v>
      </c>
    </row>
    <row r="12569" ht="12.75" customHeight="1">
      <c r="A12569" s="59" t="s">
        <v>2879</v>
      </c>
      <c r="B12569" s="60" t="s">
        <v>1058</v>
      </c>
    </row>
    <row r="12570" ht="12.75" customHeight="1">
      <c r="A12570" s="59" t="s">
        <v>2879</v>
      </c>
      <c r="B12570" s="60" t="s">
        <v>1059</v>
      </c>
    </row>
    <row r="12571" ht="12.75" customHeight="1">
      <c r="A12571" s="59" t="s">
        <v>2879</v>
      </c>
      <c r="B12571" s="60" t="s">
        <v>1060</v>
      </c>
    </row>
    <row r="12572" ht="12.75" customHeight="1">
      <c r="A12572" s="59" t="s">
        <v>2879</v>
      </c>
      <c r="B12572" s="60" t="s">
        <v>1061</v>
      </c>
    </row>
    <row r="12573" ht="12.75" customHeight="1">
      <c r="A12573" s="59" t="s">
        <v>2879</v>
      </c>
      <c r="B12573" s="60" t="s">
        <v>1062</v>
      </c>
    </row>
    <row r="12574" ht="12.75" customHeight="1">
      <c r="A12574" s="59" t="s">
        <v>2879</v>
      </c>
      <c r="B12574" s="60" t="s">
        <v>1063</v>
      </c>
    </row>
    <row r="12575" ht="12.75" customHeight="1">
      <c r="A12575" s="59" t="s">
        <v>2879</v>
      </c>
      <c r="B12575" s="60" t="s">
        <v>1064</v>
      </c>
    </row>
    <row r="12576" ht="12.75" customHeight="1">
      <c r="A12576" s="59" t="s">
        <v>2879</v>
      </c>
      <c r="B12576" s="60" t="s">
        <v>1065</v>
      </c>
    </row>
    <row r="12577" ht="12.75" customHeight="1">
      <c r="A12577" s="59" t="s">
        <v>2879</v>
      </c>
      <c r="B12577" s="60" t="s">
        <v>1066</v>
      </c>
    </row>
    <row r="12578" ht="12.75" customHeight="1">
      <c r="A12578" s="59" t="s">
        <v>2879</v>
      </c>
      <c r="B12578" s="60" t="s">
        <v>1067</v>
      </c>
    </row>
    <row r="12579" ht="12.75" customHeight="1">
      <c r="A12579" s="59" t="s">
        <v>2879</v>
      </c>
      <c r="B12579" s="60" t="s">
        <v>1068</v>
      </c>
    </row>
    <row r="12580" ht="12.75" customHeight="1">
      <c r="A12580" s="59" t="s">
        <v>2879</v>
      </c>
      <c r="B12580" s="60" t="s">
        <v>1069</v>
      </c>
    </row>
    <row r="12581" ht="12.75" customHeight="1">
      <c r="A12581" s="59" t="s">
        <v>2879</v>
      </c>
      <c r="B12581" s="60" t="s">
        <v>1070</v>
      </c>
    </row>
    <row r="12582" ht="12.75" customHeight="1">
      <c r="A12582" s="59" t="s">
        <v>2879</v>
      </c>
      <c r="B12582" s="60" t="s">
        <v>1071</v>
      </c>
    </row>
    <row r="12583" ht="12.75" customHeight="1">
      <c r="A12583" s="59" t="s">
        <v>2879</v>
      </c>
      <c r="B12583" s="60" t="s">
        <v>1072</v>
      </c>
    </row>
    <row r="12584" ht="12.75" customHeight="1">
      <c r="A12584" s="59" t="s">
        <v>2879</v>
      </c>
      <c r="B12584" s="60" t="s">
        <v>1073</v>
      </c>
    </row>
    <row r="12585" ht="12.75" customHeight="1">
      <c r="A12585" s="59" t="s">
        <v>2879</v>
      </c>
      <c r="B12585" s="60" t="s">
        <v>1074</v>
      </c>
    </row>
    <row r="12586" ht="12.75" customHeight="1">
      <c r="A12586" s="59" t="s">
        <v>2879</v>
      </c>
      <c r="B12586" s="60" t="s">
        <v>1075</v>
      </c>
    </row>
    <row r="12587" ht="12.75" customHeight="1">
      <c r="A12587" s="59" t="s">
        <v>2879</v>
      </c>
      <c r="B12587" s="60" t="s">
        <v>1076</v>
      </c>
    </row>
    <row r="12588" ht="12.75" customHeight="1">
      <c r="A12588" s="59" t="s">
        <v>2879</v>
      </c>
      <c r="B12588" s="60" t="s">
        <v>1077</v>
      </c>
    </row>
    <row r="12589" ht="12.75" customHeight="1">
      <c r="A12589" s="59" t="s">
        <v>2879</v>
      </c>
      <c r="B12589" s="60" t="s">
        <v>1078</v>
      </c>
    </row>
    <row r="12590" ht="12.75" customHeight="1">
      <c r="A12590" s="59" t="s">
        <v>2879</v>
      </c>
      <c r="B12590" s="60" t="s">
        <v>1079</v>
      </c>
    </row>
    <row r="12591" ht="12.75" customHeight="1">
      <c r="A12591" s="59" t="s">
        <v>2879</v>
      </c>
      <c r="B12591" s="60" t="s">
        <v>1080</v>
      </c>
    </row>
    <row r="12592" ht="12.75" customHeight="1">
      <c r="A12592" s="59" t="s">
        <v>2879</v>
      </c>
      <c r="B12592" s="60" t="s">
        <v>1081</v>
      </c>
    </row>
    <row r="12593" ht="12.75" customHeight="1">
      <c r="A12593" s="59" t="s">
        <v>2879</v>
      </c>
      <c r="B12593" s="60" t="s">
        <v>1082</v>
      </c>
    </row>
    <row r="12594" ht="12.75" customHeight="1">
      <c r="A12594" s="59" t="s">
        <v>2879</v>
      </c>
      <c r="B12594" s="60" t="s">
        <v>1083</v>
      </c>
    </row>
    <row r="12595" ht="12.75" customHeight="1">
      <c r="A12595" s="59" t="s">
        <v>2879</v>
      </c>
      <c r="B12595" s="60" t="s">
        <v>1084</v>
      </c>
    </row>
    <row r="12596" ht="12.75" customHeight="1">
      <c r="A12596" s="59" t="s">
        <v>2879</v>
      </c>
      <c r="B12596" s="60" t="s">
        <v>1085</v>
      </c>
    </row>
    <row r="12597" ht="12.75" customHeight="1">
      <c r="A12597" s="59" t="s">
        <v>2879</v>
      </c>
      <c r="B12597" s="60" t="s">
        <v>1086</v>
      </c>
    </row>
    <row r="12598" ht="12.75" customHeight="1">
      <c r="A12598" s="59" t="s">
        <v>2879</v>
      </c>
      <c r="B12598" s="60" t="s">
        <v>1087</v>
      </c>
    </row>
    <row r="12599" ht="12.75" customHeight="1">
      <c r="A12599" s="59" t="s">
        <v>2879</v>
      </c>
      <c r="B12599" s="60" t="s">
        <v>1088</v>
      </c>
    </row>
    <row r="12600" ht="12.75" customHeight="1">
      <c r="A12600" s="59" t="s">
        <v>2879</v>
      </c>
      <c r="B12600" s="60" t="s">
        <v>1089</v>
      </c>
    </row>
    <row r="12601" ht="12.75" customHeight="1">
      <c r="A12601" s="59" t="s">
        <v>2879</v>
      </c>
      <c r="B12601" s="60" t="s">
        <v>1090</v>
      </c>
    </row>
    <row r="12602" ht="12.75" customHeight="1">
      <c r="A12602" s="59" t="s">
        <v>2879</v>
      </c>
      <c r="B12602" s="60" t="s">
        <v>1091</v>
      </c>
    </row>
    <row r="12603" ht="12.75" customHeight="1">
      <c r="A12603" s="59" t="s">
        <v>2879</v>
      </c>
      <c r="B12603" s="60" t="s">
        <v>1092</v>
      </c>
    </row>
    <row r="12604" ht="12.75" customHeight="1">
      <c r="A12604" s="59" t="s">
        <v>2879</v>
      </c>
      <c r="B12604" s="60" t="s">
        <v>1093</v>
      </c>
    </row>
    <row r="12605" ht="12.75" customHeight="1">
      <c r="A12605" s="59" t="s">
        <v>2879</v>
      </c>
      <c r="B12605" s="60" t="s">
        <v>1094</v>
      </c>
    </row>
    <row r="12606" ht="12.75" customHeight="1">
      <c r="A12606" s="59" t="s">
        <v>2879</v>
      </c>
      <c r="B12606" s="60" t="s">
        <v>1095</v>
      </c>
    </row>
    <row r="12607" ht="12.75" customHeight="1">
      <c r="A12607" s="59" t="s">
        <v>2879</v>
      </c>
      <c r="B12607" s="60" t="s">
        <v>1096</v>
      </c>
    </row>
    <row r="12608" ht="12.75" customHeight="1">
      <c r="A12608" s="59" t="s">
        <v>2879</v>
      </c>
      <c r="B12608" s="60" t="s">
        <v>1097</v>
      </c>
    </row>
    <row r="12609" ht="12.75" customHeight="1">
      <c r="A12609" s="59" t="s">
        <v>2879</v>
      </c>
      <c r="B12609" s="60" t="s">
        <v>1098</v>
      </c>
    </row>
    <row r="12610" ht="12.75" customHeight="1">
      <c r="A12610" s="59" t="s">
        <v>2879</v>
      </c>
      <c r="B12610" s="60" t="s">
        <v>1099</v>
      </c>
    </row>
    <row r="12611" ht="12.75" customHeight="1">
      <c r="A12611" s="59" t="s">
        <v>2879</v>
      </c>
      <c r="B12611" s="60" t="s">
        <v>1100</v>
      </c>
    </row>
    <row r="12612" ht="12.75" customHeight="1">
      <c r="A12612" s="59" t="s">
        <v>2879</v>
      </c>
      <c r="B12612" s="60" t="s">
        <v>1101</v>
      </c>
    </row>
    <row r="12613" ht="12.75" customHeight="1">
      <c r="A12613" s="59" t="s">
        <v>2879</v>
      </c>
      <c r="B12613" s="60" t="s">
        <v>1102</v>
      </c>
    </row>
    <row r="12614" ht="12.75" customHeight="1">
      <c r="A12614" s="59" t="s">
        <v>2879</v>
      </c>
      <c r="B12614" s="60" t="s">
        <v>1103</v>
      </c>
    </row>
    <row r="12615" ht="12.75" customHeight="1">
      <c r="A12615" s="59" t="s">
        <v>2879</v>
      </c>
      <c r="B12615" s="60" t="s">
        <v>1104</v>
      </c>
    </row>
    <row r="12616" ht="12.75" customHeight="1">
      <c r="A12616" s="59" t="s">
        <v>2879</v>
      </c>
      <c r="B12616" s="60" t="s">
        <v>1105</v>
      </c>
    </row>
    <row r="12617" ht="12.75" customHeight="1">
      <c r="A12617" s="59" t="s">
        <v>2879</v>
      </c>
      <c r="B12617" s="60" t="s">
        <v>1106</v>
      </c>
    </row>
    <row r="12618" ht="12.75" customHeight="1">
      <c r="A12618" s="59" t="s">
        <v>2879</v>
      </c>
      <c r="B12618" s="60" t="s">
        <v>1107</v>
      </c>
    </row>
    <row r="12619" ht="12.75" customHeight="1">
      <c r="A12619" s="59" t="s">
        <v>2879</v>
      </c>
      <c r="B12619" s="60" t="s">
        <v>1108</v>
      </c>
    </row>
    <row r="12620" ht="12.75" customHeight="1">
      <c r="A12620" s="59" t="s">
        <v>2879</v>
      </c>
      <c r="B12620" s="60" t="s">
        <v>1109</v>
      </c>
    </row>
    <row r="12621" ht="12.75" customHeight="1">
      <c r="A12621" s="59" t="s">
        <v>2879</v>
      </c>
      <c r="B12621" s="60" t="s">
        <v>1110</v>
      </c>
    </row>
    <row r="12622" ht="12.75" customHeight="1">
      <c r="A12622" s="59" t="s">
        <v>2879</v>
      </c>
      <c r="B12622" s="60" t="s">
        <v>1111</v>
      </c>
    </row>
    <row r="12623" ht="12.75" customHeight="1">
      <c r="A12623" s="59" t="s">
        <v>2879</v>
      </c>
      <c r="B12623" s="60" t="s">
        <v>1112</v>
      </c>
    </row>
    <row r="12624" ht="12.75" customHeight="1">
      <c r="A12624" s="59" t="s">
        <v>2879</v>
      </c>
      <c r="B12624" s="60" t="s">
        <v>1113</v>
      </c>
    </row>
    <row r="12625" ht="12.75" customHeight="1">
      <c r="A12625" s="59" t="s">
        <v>2879</v>
      </c>
      <c r="B12625" s="60" t="s">
        <v>1114</v>
      </c>
    </row>
    <row r="12626" ht="12.75" customHeight="1">
      <c r="A12626" s="59" t="s">
        <v>2879</v>
      </c>
      <c r="B12626" s="60" t="s">
        <v>1115</v>
      </c>
    </row>
    <row r="12627" ht="12.75" customHeight="1">
      <c r="A12627" s="59" t="s">
        <v>2879</v>
      </c>
      <c r="B12627" s="60" t="s">
        <v>1116</v>
      </c>
    </row>
    <row r="12628" ht="12.75" customHeight="1">
      <c r="A12628" s="59" t="s">
        <v>2879</v>
      </c>
      <c r="B12628" s="60" t="s">
        <v>1117</v>
      </c>
    </row>
    <row r="12629" ht="12.75" customHeight="1">
      <c r="A12629" s="59" t="s">
        <v>2879</v>
      </c>
      <c r="B12629" s="60" t="s">
        <v>1118</v>
      </c>
    </row>
    <row r="12630" ht="12.75" customHeight="1">
      <c r="A12630" s="59" t="s">
        <v>2879</v>
      </c>
      <c r="B12630" s="60" t="s">
        <v>1119</v>
      </c>
    </row>
    <row r="12631" ht="12.75" customHeight="1">
      <c r="A12631" s="59" t="s">
        <v>2879</v>
      </c>
      <c r="B12631" s="60" t="s">
        <v>1120</v>
      </c>
    </row>
    <row r="12632" ht="12.75" customHeight="1">
      <c r="A12632" s="59" t="s">
        <v>2879</v>
      </c>
      <c r="B12632" s="60" t="s">
        <v>1121</v>
      </c>
    </row>
    <row r="12633" ht="12.75" customHeight="1">
      <c r="A12633" s="59" t="s">
        <v>2879</v>
      </c>
      <c r="B12633" s="60" t="s">
        <v>1122</v>
      </c>
    </row>
    <row r="12634" ht="12.75" customHeight="1">
      <c r="A12634" s="59" t="s">
        <v>2879</v>
      </c>
      <c r="B12634" s="60" t="s">
        <v>1123</v>
      </c>
    </row>
    <row r="12635" ht="12.75" customHeight="1">
      <c r="A12635" s="59" t="s">
        <v>2879</v>
      </c>
      <c r="B12635" s="60" t="s">
        <v>1124</v>
      </c>
    </row>
    <row r="12636" ht="12.75" customHeight="1">
      <c r="A12636" s="59" t="s">
        <v>2879</v>
      </c>
      <c r="B12636" s="60" t="s">
        <v>1125</v>
      </c>
    </row>
    <row r="12637" ht="12.75" customHeight="1">
      <c r="A12637" s="59" t="s">
        <v>2879</v>
      </c>
      <c r="B12637" s="60" t="s">
        <v>1126</v>
      </c>
    </row>
    <row r="12638" ht="12.75" customHeight="1">
      <c r="A12638" s="59" t="s">
        <v>2879</v>
      </c>
      <c r="B12638" s="60" t="s">
        <v>1127</v>
      </c>
    </row>
    <row r="12639" ht="12.75" customHeight="1">
      <c r="A12639" s="59" t="s">
        <v>2879</v>
      </c>
      <c r="B12639" s="60" t="s">
        <v>1128</v>
      </c>
    </row>
    <row r="12640" ht="12.75" customHeight="1">
      <c r="A12640" s="59" t="s">
        <v>2879</v>
      </c>
      <c r="B12640" s="60" t="s">
        <v>1129</v>
      </c>
    </row>
    <row r="12641" ht="12.75" customHeight="1">
      <c r="A12641" s="59" t="s">
        <v>2879</v>
      </c>
      <c r="B12641" s="60" t="s">
        <v>1130</v>
      </c>
    </row>
    <row r="12642" ht="12.75" customHeight="1">
      <c r="A12642" s="59" t="s">
        <v>2879</v>
      </c>
      <c r="B12642" s="60" t="s">
        <v>1131</v>
      </c>
    </row>
    <row r="12643" ht="12.75" customHeight="1">
      <c r="A12643" s="59" t="s">
        <v>2879</v>
      </c>
      <c r="B12643" s="60" t="s">
        <v>1132</v>
      </c>
    </row>
    <row r="12644" ht="12.75" customHeight="1">
      <c r="A12644" s="59" t="s">
        <v>2879</v>
      </c>
      <c r="B12644" s="60" t="s">
        <v>1133</v>
      </c>
    </row>
    <row r="12645" ht="12.75" customHeight="1">
      <c r="A12645" s="59" t="s">
        <v>2879</v>
      </c>
      <c r="B12645" s="60" t="s">
        <v>1134</v>
      </c>
    </row>
    <row r="12646" ht="12.75" customHeight="1">
      <c r="A12646" s="59" t="s">
        <v>2879</v>
      </c>
      <c r="B12646" s="60" t="s">
        <v>1135</v>
      </c>
    </row>
    <row r="12647" ht="12.75" customHeight="1">
      <c r="A12647" s="59" t="s">
        <v>2879</v>
      </c>
      <c r="B12647" s="60" t="s">
        <v>1136</v>
      </c>
    </row>
    <row r="12648" ht="12.75" customHeight="1">
      <c r="A12648" s="59" t="s">
        <v>2879</v>
      </c>
      <c r="B12648" s="60" t="s">
        <v>1137</v>
      </c>
    </row>
    <row r="12649" ht="12.75" customHeight="1">
      <c r="A12649" s="59" t="s">
        <v>2879</v>
      </c>
      <c r="B12649" s="60" t="s">
        <v>1138</v>
      </c>
    </row>
    <row r="12650" ht="12.75" customHeight="1">
      <c r="A12650" s="59" t="s">
        <v>2879</v>
      </c>
      <c r="B12650" s="60" t="s">
        <v>1139</v>
      </c>
    </row>
    <row r="12651" ht="12.75" customHeight="1">
      <c r="A12651" s="59" t="s">
        <v>2879</v>
      </c>
      <c r="B12651" s="60" t="s">
        <v>1140</v>
      </c>
    </row>
    <row r="12652" ht="12.75" customHeight="1">
      <c r="A12652" s="59" t="s">
        <v>2879</v>
      </c>
      <c r="B12652" s="60" t="s">
        <v>1141</v>
      </c>
    </row>
    <row r="12653" ht="12.75" customHeight="1">
      <c r="A12653" s="59" t="s">
        <v>2879</v>
      </c>
      <c r="B12653" s="60" t="s">
        <v>1142</v>
      </c>
    </row>
    <row r="12654" ht="12.75" customHeight="1">
      <c r="A12654" s="59" t="s">
        <v>2879</v>
      </c>
      <c r="B12654" s="60" t="s">
        <v>1143</v>
      </c>
    </row>
    <row r="12655" ht="12.75" customHeight="1">
      <c r="A12655" s="59" t="s">
        <v>2879</v>
      </c>
      <c r="B12655" s="60" t="s">
        <v>1144</v>
      </c>
    </row>
    <row r="12656" ht="12.75" customHeight="1">
      <c r="A12656" s="59" t="s">
        <v>2879</v>
      </c>
      <c r="B12656" s="60" t="s">
        <v>1145</v>
      </c>
    </row>
    <row r="12657" ht="12.75" customHeight="1">
      <c r="A12657" s="59" t="s">
        <v>2879</v>
      </c>
      <c r="B12657" s="60" t="s">
        <v>1146</v>
      </c>
    </row>
    <row r="12658" ht="12.75" customHeight="1">
      <c r="A12658" s="59" t="s">
        <v>2879</v>
      </c>
      <c r="B12658" s="60" t="s">
        <v>1147</v>
      </c>
    </row>
    <row r="12659" ht="12.75" customHeight="1">
      <c r="A12659" s="59" t="s">
        <v>2879</v>
      </c>
      <c r="B12659" s="60" t="s">
        <v>1148</v>
      </c>
    </row>
    <row r="12660" ht="12.75" customHeight="1">
      <c r="A12660" s="59" t="s">
        <v>2879</v>
      </c>
      <c r="B12660" s="60" t="s">
        <v>1149</v>
      </c>
    </row>
    <row r="12661" ht="12.75" customHeight="1">
      <c r="A12661" s="59" t="s">
        <v>2879</v>
      </c>
      <c r="B12661" s="60" t="s">
        <v>1150</v>
      </c>
    </row>
    <row r="12662" ht="12.75" customHeight="1">
      <c r="A12662" s="59" t="s">
        <v>2879</v>
      </c>
      <c r="B12662" s="60" t="s">
        <v>1151</v>
      </c>
    </row>
    <row r="12663" ht="12.75" customHeight="1">
      <c r="A12663" s="59" t="s">
        <v>2879</v>
      </c>
      <c r="B12663" s="60" t="s">
        <v>1152</v>
      </c>
    </row>
    <row r="12664" ht="12.75" customHeight="1">
      <c r="A12664" s="59" t="s">
        <v>2879</v>
      </c>
      <c r="B12664" s="60" t="s">
        <v>1153</v>
      </c>
    </row>
    <row r="12665" ht="12.75" customHeight="1">
      <c r="A12665" s="59" t="s">
        <v>2879</v>
      </c>
      <c r="B12665" s="60" t="s">
        <v>1154</v>
      </c>
    </row>
    <row r="12666" ht="12.75" customHeight="1">
      <c r="A12666" s="59" t="s">
        <v>2879</v>
      </c>
      <c r="B12666" s="60" t="s">
        <v>1155</v>
      </c>
    </row>
    <row r="12667" ht="12.75" customHeight="1">
      <c r="A12667" s="59" t="s">
        <v>2879</v>
      </c>
      <c r="B12667" s="60" t="s">
        <v>1156</v>
      </c>
    </row>
    <row r="12668" ht="12.75" customHeight="1">
      <c r="A12668" s="59" t="s">
        <v>2879</v>
      </c>
      <c r="B12668" s="60" t="s">
        <v>1157</v>
      </c>
    </row>
    <row r="12669" ht="12.75" customHeight="1">
      <c r="A12669" s="59" t="s">
        <v>2879</v>
      </c>
      <c r="B12669" s="60" t="s">
        <v>1158</v>
      </c>
    </row>
    <row r="12670" ht="12.75" customHeight="1">
      <c r="A12670" s="59" t="s">
        <v>2879</v>
      </c>
      <c r="B12670" s="60" t="s">
        <v>1159</v>
      </c>
    </row>
    <row r="12671" ht="12.75" customHeight="1">
      <c r="A12671" s="59" t="s">
        <v>2879</v>
      </c>
      <c r="B12671" s="60" t="s">
        <v>1160</v>
      </c>
    </row>
    <row r="12672" ht="12.75" customHeight="1">
      <c r="A12672" s="59" t="s">
        <v>2879</v>
      </c>
      <c r="B12672" s="60" t="s">
        <v>1161</v>
      </c>
    </row>
    <row r="12673" ht="12.75" customHeight="1">
      <c r="A12673" s="59" t="s">
        <v>2879</v>
      </c>
      <c r="B12673" s="60" t="s">
        <v>1162</v>
      </c>
    </row>
    <row r="12674" ht="12.75" customHeight="1">
      <c r="A12674" s="59" t="s">
        <v>2879</v>
      </c>
      <c r="B12674" s="60" t="s">
        <v>1163</v>
      </c>
    </row>
    <row r="12675" ht="12.75" customHeight="1">
      <c r="A12675" s="59" t="s">
        <v>2879</v>
      </c>
      <c r="B12675" s="60" t="s">
        <v>1164</v>
      </c>
    </row>
    <row r="12676" ht="12.75" customHeight="1">
      <c r="A12676" s="59" t="s">
        <v>2879</v>
      </c>
      <c r="B12676" s="60" t="s">
        <v>1165</v>
      </c>
    </row>
    <row r="12677" ht="12.75" customHeight="1">
      <c r="A12677" s="59" t="s">
        <v>2879</v>
      </c>
      <c r="B12677" s="60" t="s">
        <v>1166</v>
      </c>
    </row>
    <row r="12678" ht="12.75" customHeight="1">
      <c r="A12678" s="59" t="s">
        <v>2879</v>
      </c>
      <c r="B12678" s="60" t="s">
        <v>1167</v>
      </c>
    </row>
    <row r="12679" ht="12.75" customHeight="1">
      <c r="A12679" s="59" t="s">
        <v>2879</v>
      </c>
      <c r="B12679" s="60" t="s">
        <v>1168</v>
      </c>
    </row>
    <row r="12680" ht="12.75" customHeight="1">
      <c r="A12680" s="59" t="s">
        <v>2879</v>
      </c>
      <c r="B12680" s="60" t="s">
        <v>1169</v>
      </c>
    </row>
    <row r="12681" ht="12.75" customHeight="1">
      <c r="A12681" s="59" t="s">
        <v>2879</v>
      </c>
      <c r="B12681" s="60" t="s">
        <v>1170</v>
      </c>
    </row>
    <row r="12682" ht="12.75" customHeight="1">
      <c r="A12682" s="59" t="s">
        <v>2879</v>
      </c>
      <c r="B12682" s="60" t="s">
        <v>1171</v>
      </c>
    </row>
    <row r="12683" ht="12.75" customHeight="1">
      <c r="A12683" s="59" t="s">
        <v>2879</v>
      </c>
      <c r="B12683" s="60" t="s">
        <v>1172</v>
      </c>
    </row>
    <row r="12684" ht="12.75" customHeight="1">
      <c r="A12684" s="59" t="s">
        <v>2879</v>
      </c>
      <c r="B12684" s="60" t="s">
        <v>1173</v>
      </c>
    </row>
    <row r="12685" ht="12.75" customHeight="1">
      <c r="A12685" s="59" t="s">
        <v>2879</v>
      </c>
      <c r="B12685" s="60" t="s">
        <v>1174</v>
      </c>
    </row>
    <row r="12686" ht="12.75" customHeight="1">
      <c r="A12686" s="59" t="s">
        <v>2879</v>
      </c>
      <c r="B12686" s="60" t="s">
        <v>1175</v>
      </c>
    </row>
    <row r="12687" ht="12.75" customHeight="1">
      <c r="A12687" s="59" t="s">
        <v>2879</v>
      </c>
      <c r="B12687" s="60" t="s">
        <v>1176</v>
      </c>
    </row>
    <row r="12688" ht="12.75" customHeight="1">
      <c r="A12688" s="59" t="s">
        <v>2879</v>
      </c>
      <c r="B12688" s="60" t="s">
        <v>1177</v>
      </c>
    </row>
    <row r="12689" ht="12.75" customHeight="1">
      <c r="A12689" s="59" t="s">
        <v>2879</v>
      </c>
      <c r="B12689" s="60" t="s">
        <v>1178</v>
      </c>
    </row>
    <row r="12690" ht="12.75" customHeight="1">
      <c r="A12690" s="59" t="s">
        <v>2879</v>
      </c>
      <c r="B12690" s="60" t="s">
        <v>1179</v>
      </c>
    </row>
    <row r="12691" ht="12.75" customHeight="1">
      <c r="A12691" s="59" t="s">
        <v>2879</v>
      </c>
      <c r="B12691" s="60" t="s">
        <v>1180</v>
      </c>
    </row>
    <row r="12692" ht="12.75" customHeight="1">
      <c r="A12692" s="59" t="s">
        <v>2879</v>
      </c>
      <c r="B12692" s="60" t="s">
        <v>1181</v>
      </c>
    </row>
    <row r="12693" ht="12.75" customHeight="1">
      <c r="A12693" s="59" t="s">
        <v>2879</v>
      </c>
      <c r="B12693" s="60" t="s">
        <v>1182</v>
      </c>
    </row>
    <row r="12694" ht="12.75" customHeight="1">
      <c r="A12694" s="59" t="s">
        <v>2879</v>
      </c>
      <c r="B12694" s="60" t="s">
        <v>1183</v>
      </c>
    </row>
    <row r="12695" ht="12.75" customHeight="1">
      <c r="A12695" s="59" t="s">
        <v>2879</v>
      </c>
      <c r="B12695" s="60" t="s">
        <v>1184</v>
      </c>
    </row>
    <row r="12696" ht="12.75" customHeight="1">
      <c r="A12696" s="59" t="s">
        <v>2879</v>
      </c>
      <c r="B12696" s="60" t="s">
        <v>1185</v>
      </c>
    </row>
    <row r="12697" ht="12.75" customHeight="1">
      <c r="A12697" s="59" t="s">
        <v>2879</v>
      </c>
      <c r="B12697" s="60" t="s">
        <v>1186</v>
      </c>
    </row>
    <row r="12698" ht="12.75" customHeight="1">
      <c r="A12698" s="59" t="s">
        <v>2879</v>
      </c>
      <c r="B12698" s="60" t="s">
        <v>1187</v>
      </c>
    </row>
    <row r="12699" ht="12.75" customHeight="1">
      <c r="A12699" s="59" t="s">
        <v>2879</v>
      </c>
      <c r="B12699" s="60" t="s">
        <v>1188</v>
      </c>
    </row>
    <row r="12700" ht="12.75" customHeight="1">
      <c r="A12700" s="59" t="s">
        <v>2879</v>
      </c>
      <c r="B12700" s="60" t="s">
        <v>1189</v>
      </c>
    </row>
    <row r="12701" ht="12.75" customHeight="1">
      <c r="A12701" s="59" t="s">
        <v>2879</v>
      </c>
      <c r="B12701" s="60" t="s">
        <v>1190</v>
      </c>
    </row>
    <row r="12702" ht="12.75" customHeight="1">
      <c r="A12702" s="59" t="s">
        <v>2879</v>
      </c>
      <c r="B12702" s="60" t="s">
        <v>1191</v>
      </c>
    </row>
    <row r="12703" ht="12.75" customHeight="1">
      <c r="A12703" s="59" t="s">
        <v>2879</v>
      </c>
      <c r="B12703" s="60" t="s">
        <v>1192</v>
      </c>
    </row>
    <row r="12704" ht="12.75" customHeight="1">
      <c r="A12704" s="59" t="s">
        <v>2880</v>
      </c>
      <c r="B12704" s="60">
        <v>0.0</v>
      </c>
    </row>
    <row r="12705" ht="12.75" customHeight="1">
      <c r="A12705" s="59" t="s">
        <v>2880</v>
      </c>
      <c r="B12705" s="60">
        <v>0.0</v>
      </c>
    </row>
    <row r="12706" ht="12.75" customHeight="1">
      <c r="A12706" s="59" t="s">
        <v>2880</v>
      </c>
      <c r="B12706" s="60">
        <v>2.0</v>
      </c>
    </row>
    <row r="12707" ht="12.75" customHeight="1">
      <c r="A12707" s="59" t="s">
        <v>2880</v>
      </c>
      <c r="B12707" s="60">
        <v>4.0</v>
      </c>
    </row>
    <row r="12708" ht="12.75" customHeight="1">
      <c r="A12708" s="59" t="s">
        <v>2880</v>
      </c>
      <c r="B12708" s="60">
        <v>6.0</v>
      </c>
    </row>
    <row r="12709" ht="12.75" customHeight="1">
      <c r="A12709" s="59" t="s">
        <v>2880</v>
      </c>
      <c r="B12709" s="60">
        <v>8.0</v>
      </c>
    </row>
    <row r="12710" ht="12.75" customHeight="1">
      <c r="A12710" s="59" t="s">
        <v>2880</v>
      </c>
      <c r="B12710" s="60">
        <v>10.0</v>
      </c>
    </row>
    <row r="12711" ht="12.75" customHeight="1">
      <c r="A12711" s="59" t="s">
        <v>2880</v>
      </c>
      <c r="B12711" s="60">
        <v>12.0</v>
      </c>
    </row>
    <row r="12712" ht="12.75" customHeight="1">
      <c r="A12712" s="59" t="s">
        <v>2880</v>
      </c>
      <c r="B12712" s="60" t="s">
        <v>803</v>
      </c>
    </row>
    <row r="12713" ht="12.75" customHeight="1">
      <c r="A12713" s="59" t="s">
        <v>2880</v>
      </c>
      <c r="B12713" s="60" t="s">
        <v>804</v>
      </c>
    </row>
    <row r="12714" ht="12.75" customHeight="1">
      <c r="A12714" s="59" t="s">
        <v>2880</v>
      </c>
      <c r="B12714" s="60" t="s">
        <v>76</v>
      </c>
    </row>
    <row r="12715" ht="12.75" customHeight="1">
      <c r="A12715" s="59" t="s">
        <v>2880</v>
      </c>
      <c r="B12715" s="60" t="s">
        <v>80</v>
      </c>
    </row>
    <row r="12716" ht="12.75" customHeight="1">
      <c r="A12716" s="59" t="s">
        <v>2880</v>
      </c>
      <c r="B12716" s="60" t="s">
        <v>83</v>
      </c>
    </row>
    <row r="12717" ht="12.75" customHeight="1">
      <c r="A12717" s="59" t="s">
        <v>2880</v>
      </c>
      <c r="B12717" s="60" t="s">
        <v>85</v>
      </c>
    </row>
    <row r="12718" ht="12.75" customHeight="1">
      <c r="A12718" s="59" t="s">
        <v>2880</v>
      </c>
      <c r="B12718" s="60" t="s">
        <v>805</v>
      </c>
    </row>
    <row r="12719" ht="12.75" customHeight="1">
      <c r="A12719" s="59" t="s">
        <v>2880</v>
      </c>
      <c r="B12719" s="60" t="s">
        <v>806</v>
      </c>
    </row>
    <row r="12720" ht="12.75" customHeight="1">
      <c r="A12720" s="59" t="s">
        <v>2880</v>
      </c>
      <c r="B12720" s="60" t="s">
        <v>807</v>
      </c>
    </row>
    <row r="12721" ht="12.75" customHeight="1">
      <c r="A12721" s="59" t="s">
        <v>2880</v>
      </c>
      <c r="B12721" s="60" t="s">
        <v>753</v>
      </c>
    </row>
    <row r="12722" ht="12.75" customHeight="1">
      <c r="A12722" s="59" t="s">
        <v>2880</v>
      </c>
      <c r="B12722" s="60" t="s">
        <v>757</v>
      </c>
    </row>
    <row r="12723" ht="12.75" customHeight="1">
      <c r="A12723" s="59" t="s">
        <v>2880</v>
      </c>
      <c r="B12723" s="60" t="s">
        <v>761</v>
      </c>
    </row>
    <row r="12724" ht="12.75" customHeight="1">
      <c r="A12724" s="59" t="s">
        <v>2880</v>
      </c>
      <c r="B12724" s="60" t="s">
        <v>765</v>
      </c>
    </row>
    <row r="12725" ht="12.75" customHeight="1">
      <c r="A12725" s="59" t="s">
        <v>2880</v>
      </c>
      <c r="B12725" s="60" t="s">
        <v>808</v>
      </c>
    </row>
    <row r="12726" ht="12.75" customHeight="1">
      <c r="A12726" s="59" t="s">
        <v>2880</v>
      </c>
      <c r="B12726" s="60" t="s">
        <v>809</v>
      </c>
    </row>
    <row r="12727" ht="12.75" customHeight="1">
      <c r="A12727" s="59" t="s">
        <v>2880</v>
      </c>
      <c r="B12727" s="60" t="s">
        <v>810</v>
      </c>
    </row>
    <row r="12728" ht="12.75" customHeight="1">
      <c r="A12728" s="59" t="s">
        <v>2880</v>
      </c>
      <c r="B12728" s="60" t="s">
        <v>811</v>
      </c>
    </row>
    <row r="12729" ht="12.75" customHeight="1">
      <c r="A12729" s="59" t="s">
        <v>2880</v>
      </c>
      <c r="B12729" s="60" t="s">
        <v>812</v>
      </c>
    </row>
    <row r="12730" ht="12.75" customHeight="1">
      <c r="A12730" s="59" t="s">
        <v>2880</v>
      </c>
      <c r="B12730" s="60" t="s">
        <v>813</v>
      </c>
    </row>
    <row r="12731" ht="12.75" customHeight="1">
      <c r="A12731" s="59" t="s">
        <v>2880</v>
      </c>
      <c r="B12731" s="60" t="s">
        <v>814</v>
      </c>
    </row>
    <row r="12732" ht="12.75" customHeight="1">
      <c r="A12732" s="59" t="s">
        <v>2880</v>
      </c>
      <c r="B12732" s="60" t="s">
        <v>815</v>
      </c>
    </row>
    <row r="12733" ht="12.75" customHeight="1">
      <c r="A12733" s="59" t="s">
        <v>2880</v>
      </c>
      <c r="B12733" s="60" t="s">
        <v>816</v>
      </c>
    </row>
    <row r="12734" ht="12.75" customHeight="1">
      <c r="A12734" s="59" t="s">
        <v>2880</v>
      </c>
      <c r="B12734" s="60" t="s">
        <v>771</v>
      </c>
    </row>
    <row r="12735" ht="12.75" customHeight="1">
      <c r="A12735" s="59" t="s">
        <v>2880</v>
      </c>
      <c r="B12735" s="60" t="s">
        <v>775</v>
      </c>
    </row>
    <row r="12736" ht="12.75" customHeight="1">
      <c r="A12736" s="59" t="s">
        <v>2880</v>
      </c>
      <c r="B12736" s="60" t="s">
        <v>779</v>
      </c>
    </row>
    <row r="12737" ht="12.75" customHeight="1">
      <c r="A12737" s="59" t="s">
        <v>2880</v>
      </c>
      <c r="B12737" s="60" t="s">
        <v>783</v>
      </c>
    </row>
    <row r="12738" ht="12.75" customHeight="1">
      <c r="A12738" s="59" t="s">
        <v>2880</v>
      </c>
      <c r="B12738" s="60" t="s">
        <v>817</v>
      </c>
    </row>
    <row r="12739" ht="12.75" customHeight="1">
      <c r="A12739" s="59" t="s">
        <v>2880</v>
      </c>
      <c r="B12739" s="60" t="s">
        <v>818</v>
      </c>
    </row>
    <row r="12740" ht="12.75" customHeight="1">
      <c r="A12740" s="59" t="s">
        <v>2880</v>
      </c>
      <c r="B12740" s="60" t="s">
        <v>819</v>
      </c>
    </row>
    <row r="12741" ht="12.75" customHeight="1">
      <c r="A12741" s="59" t="s">
        <v>2880</v>
      </c>
      <c r="B12741" s="60" t="s">
        <v>820</v>
      </c>
    </row>
    <row r="12742" ht="12.75" customHeight="1">
      <c r="A12742" s="59" t="s">
        <v>2880</v>
      </c>
      <c r="B12742" s="60" t="s">
        <v>821</v>
      </c>
    </row>
    <row r="12743" ht="12.75" customHeight="1">
      <c r="A12743" s="59" t="s">
        <v>2880</v>
      </c>
      <c r="B12743" s="60" t="s">
        <v>822</v>
      </c>
    </row>
    <row r="12744" ht="12.75" customHeight="1">
      <c r="A12744" s="59" t="s">
        <v>2880</v>
      </c>
      <c r="B12744" s="60" t="s">
        <v>823</v>
      </c>
    </row>
    <row r="12745" ht="12.75" customHeight="1">
      <c r="A12745" s="59" t="s">
        <v>2880</v>
      </c>
      <c r="B12745" s="60" t="s">
        <v>824</v>
      </c>
    </row>
    <row r="12746" ht="12.75" customHeight="1">
      <c r="A12746" s="59" t="s">
        <v>2880</v>
      </c>
      <c r="B12746" s="60" t="s">
        <v>825</v>
      </c>
    </row>
    <row r="12747" ht="12.75" customHeight="1">
      <c r="A12747" s="59" t="s">
        <v>2880</v>
      </c>
      <c r="B12747" s="60" t="s">
        <v>788</v>
      </c>
    </row>
    <row r="12748" ht="12.75" customHeight="1">
      <c r="A12748" s="59" t="s">
        <v>2880</v>
      </c>
      <c r="B12748" s="60" t="s">
        <v>792</v>
      </c>
    </row>
    <row r="12749" ht="12.75" customHeight="1">
      <c r="A12749" s="59" t="s">
        <v>2880</v>
      </c>
      <c r="B12749" s="60" t="s">
        <v>796</v>
      </c>
    </row>
    <row r="12750" ht="12.75" customHeight="1">
      <c r="A12750" s="59" t="s">
        <v>2880</v>
      </c>
      <c r="B12750" s="60" t="s">
        <v>800</v>
      </c>
    </row>
    <row r="12751" ht="12.75" customHeight="1">
      <c r="A12751" s="59" t="s">
        <v>2880</v>
      </c>
      <c r="B12751" s="60" t="s">
        <v>826</v>
      </c>
    </row>
    <row r="12752" ht="12.75" customHeight="1">
      <c r="A12752" s="59" t="s">
        <v>2880</v>
      </c>
      <c r="B12752" s="60" t="s">
        <v>827</v>
      </c>
    </row>
    <row r="12753" ht="12.75" customHeight="1">
      <c r="A12753" s="59" t="s">
        <v>2880</v>
      </c>
      <c r="B12753" s="60" t="s">
        <v>828</v>
      </c>
    </row>
    <row r="12754" ht="12.75" customHeight="1">
      <c r="A12754" s="59" t="s">
        <v>2880</v>
      </c>
      <c r="B12754" s="60" t="s">
        <v>829</v>
      </c>
    </row>
    <row r="12755" ht="12.75" customHeight="1">
      <c r="A12755" s="59" t="s">
        <v>2880</v>
      </c>
      <c r="B12755" s="60" t="s">
        <v>830</v>
      </c>
    </row>
    <row r="12756" ht="12.75" customHeight="1">
      <c r="A12756" s="59" t="s">
        <v>2880</v>
      </c>
      <c r="B12756" s="60" t="s">
        <v>831</v>
      </c>
    </row>
    <row r="12757" ht="12.75" customHeight="1">
      <c r="A12757" s="59" t="s">
        <v>2880</v>
      </c>
      <c r="B12757" s="60" t="s">
        <v>832</v>
      </c>
    </row>
    <row r="12758" ht="12.75" customHeight="1">
      <c r="A12758" s="59" t="s">
        <v>2880</v>
      </c>
      <c r="B12758" s="60" t="s">
        <v>833</v>
      </c>
    </row>
    <row r="12759" ht="12.75" customHeight="1">
      <c r="A12759" s="59" t="s">
        <v>2880</v>
      </c>
      <c r="B12759" s="60" t="s">
        <v>834</v>
      </c>
    </row>
    <row r="12760" ht="12.75" customHeight="1">
      <c r="A12760" s="59" t="s">
        <v>2880</v>
      </c>
      <c r="B12760" s="60">
        <v>14.0</v>
      </c>
    </row>
    <row r="12761" ht="12.75" customHeight="1">
      <c r="A12761" s="59" t="s">
        <v>2880</v>
      </c>
      <c r="B12761" s="60" t="s">
        <v>835</v>
      </c>
    </row>
    <row r="12762" ht="12.75" customHeight="1">
      <c r="A12762" s="59" t="s">
        <v>2880</v>
      </c>
      <c r="B12762" s="60">
        <v>16.0</v>
      </c>
    </row>
    <row r="12763" ht="12.75" customHeight="1">
      <c r="A12763" s="59" t="s">
        <v>2880</v>
      </c>
      <c r="B12763" s="60" t="s">
        <v>836</v>
      </c>
    </row>
    <row r="12764" ht="12.75" customHeight="1">
      <c r="A12764" s="59" t="s">
        <v>2880</v>
      </c>
      <c r="B12764" s="60">
        <v>18.0</v>
      </c>
    </row>
    <row r="12765" ht="12.75" customHeight="1">
      <c r="A12765" s="59" t="s">
        <v>2880</v>
      </c>
      <c r="B12765" s="60" t="s">
        <v>837</v>
      </c>
    </row>
    <row r="12766" ht="12.75" customHeight="1">
      <c r="A12766" s="59" t="s">
        <v>2880</v>
      </c>
      <c r="B12766" s="60">
        <v>20.0</v>
      </c>
    </row>
    <row r="12767" ht="12.75" customHeight="1">
      <c r="A12767" s="59" t="s">
        <v>2880</v>
      </c>
      <c r="B12767" s="60" t="s">
        <v>838</v>
      </c>
    </row>
    <row r="12768" ht="12.75" customHeight="1">
      <c r="A12768" s="59" t="s">
        <v>2880</v>
      </c>
      <c r="B12768" s="60">
        <v>22.0</v>
      </c>
    </row>
    <row r="12769" ht="12.75" customHeight="1">
      <c r="A12769" s="59" t="s">
        <v>2880</v>
      </c>
      <c r="B12769" s="60" t="s">
        <v>839</v>
      </c>
    </row>
    <row r="12770" ht="12.75" customHeight="1">
      <c r="A12770" s="59" t="s">
        <v>2880</v>
      </c>
      <c r="B12770" s="60">
        <v>24.0</v>
      </c>
    </row>
    <row r="12771" ht="12.75" customHeight="1">
      <c r="A12771" s="59" t="s">
        <v>2880</v>
      </c>
      <c r="B12771" s="60" t="s">
        <v>840</v>
      </c>
    </row>
    <row r="12772" ht="12.75" customHeight="1">
      <c r="A12772" s="59" t="s">
        <v>2880</v>
      </c>
      <c r="B12772" s="60">
        <v>26.0</v>
      </c>
    </row>
    <row r="12773" ht="12.75" customHeight="1">
      <c r="A12773" s="59" t="s">
        <v>2880</v>
      </c>
      <c r="B12773" s="60" t="s">
        <v>841</v>
      </c>
    </row>
    <row r="12774" ht="12.75" customHeight="1">
      <c r="A12774" s="59" t="s">
        <v>2880</v>
      </c>
      <c r="B12774" s="60">
        <v>28.0</v>
      </c>
    </row>
    <row r="12775" ht="12.75" customHeight="1">
      <c r="A12775" s="59" t="s">
        <v>2880</v>
      </c>
      <c r="B12775" s="60" t="s">
        <v>842</v>
      </c>
    </row>
    <row r="12776" ht="12.75" customHeight="1">
      <c r="A12776" s="59" t="s">
        <v>2880</v>
      </c>
      <c r="B12776" s="60">
        <v>30.0</v>
      </c>
    </row>
    <row r="12777" ht="12.75" customHeight="1">
      <c r="A12777" s="59" t="s">
        <v>2880</v>
      </c>
      <c r="B12777" s="60" t="s">
        <v>843</v>
      </c>
    </row>
    <row r="12778" ht="12.75" customHeight="1">
      <c r="A12778" s="59" t="s">
        <v>2880</v>
      </c>
      <c r="B12778" s="60">
        <v>32.0</v>
      </c>
    </row>
    <row r="12779" ht="12.75" customHeight="1">
      <c r="A12779" s="59" t="s">
        <v>2880</v>
      </c>
      <c r="B12779" s="60" t="s">
        <v>844</v>
      </c>
    </row>
    <row r="12780" ht="12.75" customHeight="1">
      <c r="A12780" s="59" t="s">
        <v>2880</v>
      </c>
      <c r="B12780" s="60" t="s">
        <v>845</v>
      </c>
    </row>
    <row r="12781" ht="12.75" customHeight="1">
      <c r="A12781" s="59" t="s">
        <v>2880</v>
      </c>
      <c r="B12781" s="60" t="s">
        <v>846</v>
      </c>
    </row>
    <row r="12782" ht="12.75" customHeight="1">
      <c r="A12782" s="59" t="s">
        <v>2880</v>
      </c>
      <c r="B12782" s="60" t="s">
        <v>847</v>
      </c>
    </row>
    <row r="12783" ht="12.75" customHeight="1">
      <c r="A12783" s="59" t="s">
        <v>2880</v>
      </c>
      <c r="B12783" s="60" t="s">
        <v>848</v>
      </c>
    </row>
    <row r="12784" ht="12.75" customHeight="1">
      <c r="A12784" s="59" t="s">
        <v>2880</v>
      </c>
      <c r="B12784" s="60" t="s">
        <v>849</v>
      </c>
    </row>
    <row r="12785" ht="12.75" customHeight="1">
      <c r="A12785" s="59" t="s">
        <v>2880</v>
      </c>
      <c r="B12785" s="60" t="s">
        <v>850</v>
      </c>
    </row>
    <row r="12786" ht="12.75" customHeight="1">
      <c r="A12786" s="59" t="s">
        <v>2880</v>
      </c>
      <c r="B12786" s="60" t="s">
        <v>851</v>
      </c>
    </row>
    <row r="12787" ht="12.75" customHeight="1">
      <c r="A12787" s="59" t="s">
        <v>2880</v>
      </c>
      <c r="B12787" s="60" t="s">
        <v>852</v>
      </c>
    </row>
    <row r="12788" ht="12.75" customHeight="1">
      <c r="A12788" s="59" t="s">
        <v>2880</v>
      </c>
      <c r="B12788" s="60" t="s">
        <v>853</v>
      </c>
    </row>
    <row r="12789" ht="12.75" customHeight="1">
      <c r="A12789" s="59" t="s">
        <v>2880</v>
      </c>
      <c r="B12789" s="60" t="s">
        <v>854</v>
      </c>
    </row>
    <row r="12790" ht="12.75" customHeight="1">
      <c r="A12790" s="59" t="s">
        <v>2880</v>
      </c>
      <c r="B12790" s="60" t="s">
        <v>855</v>
      </c>
    </row>
    <row r="12791" ht="12.75" customHeight="1">
      <c r="A12791" s="59" t="s">
        <v>2880</v>
      </c>
      <c r="B12791" s="60" t="s">
        <v>856</v>
      </c>
    </row>
    <row r="12792" ht="12.75" customHeight="1">
      <c r="A12792" s="59" t="s">
        <v>2880</v>
      </c>
      <c r="B12792" s="60" t="s">
        <v>857</v>
      </c>
    </row>
    <row r="12793" ht="12.75" customHeight="1">
      <c r="A12793" s="59" t="s">
        <v>2880</v>
      </c>
      <c r="B12793" s="60" t="s">
        <v>858</v>
      </c>
    </row>
    <row r="12794" ht="12.75" customHeight="1">
      <c r="A12794" s="59" t="s">
        <v>2880</v>
      </c>
      <c r="B12794" s="60" t="s">
        <v>859</v>
      </c>
    </row>
    <row r="12795" ht="12.75" customHeight="1">
      <c r="A12795" s="59" t="s">
        <v>2880</v>
      </c>
      <c r="B12795" s="60" t="s">
        <v>860</v>
      </c>
    </row>
    <row r="12796" ht="12.75" customHeight="1">
      <c r="A12796" s="59" t="s">
        <v>2880</v>
      </c>
      <c r="B12796" s="60" t="s">
        <v>861</v>
      </c>
    </row>
    <row r="12797" ht="12.75" customHeight="1">
      <c r="A12797" s="59" t="s">
        <v>2880</v>
      </c>
      <c r="B12797" s="60" t="s">
        <v>862</v>
      </c>
    </row>
    <row r="12798" ht="12.75" customHeight="1">
      <c r="A12798" s="59" t="s">
        <v>2880</v>
      </c>
      <c r="B12798" s="60" t="s">
        <v>863</v>
      </c>
    </row>
    <row r="12799" ht="12.75" customHeight="1">
      <c r="A12799" s="59" t="s">
        <v>2880</v>
      </c>
      <c r="B12799" s="60" t="s">
        <v>864</v>
      </c>
    </row>
    <row r="12800" ht="12.75" customHeight="1">
      <c r="A12800" s="59" t="s">
        <v>2880</v>
      </c>
      <c r="B12800" s="60" t="s">
        <v>865</v>
      </c>
    </row>
    <row r="12801" ht="12.75" customHeight="1">
      <c r="A12801" s="59" t="s">
        <v>2880</v>
      </c>
      <c r="B12801" s="60" t="s">
        <v>866</v>
      </c>
    </row>
    <row r="12802" ht="12.75" customHeight="1">
      <c r="A12802" s="59" t="s">
        <v>2880</v>
      </c>
      <c r="B12802" s="60" t="s">
        <v>867</v>
      </c>
    </row>
    <row r="12803" ht="12.75" customHeight="1">
      <c r="A12803" s="59" t="s">
        <v>2880</v>
      </c>
      <c r="B12803" s="60" t="s">
        <v>868</v>
      </c>
    </row>
    <row r="12804" ht="12.75" customHeight="1">
      <c r="A12804" s="59" t="s">
        <v>2880</v>
      </c>
      <c r="B12804" s="60" t="s">
        <v>869</v>
      </c>
    </row>
    <row r="12805" ht="12.75" customHeight="1">
      <c r="A12805" s="59" t="s">
        <v>2880</v>
      </c>
      <c r="B12805" s="60" t="s">
        <v>870</v>
      </c>
    </row>
    <row r="12806" ht="12.75" customHeight="1">
      <c r="A12806" s="59" t="s">
        <v>2880</v>
      </c>
      <c r="B12806" s="60" t="s">
        <v>871</v>
      </c>
    </row>
    <row r="12807" ht="12.75" customHeight="1">
      <c r="A12807" s="59" t="s">
        <v>2880</v>
      </c>
      <c r="B12807" s="60" t="s">
        <v>872</v>
      </c>
    </row>
    <row r="12808" ht="12.75" customHeight="1">
      <c r="A12808" s="59" t="s">
        <v>2880</v>
      </c>
      <c r="B12808" s="60" t="s">
        <v>873</v>
      </c>
    </row>
    <row r="12809" ht="12.75" customHeight="1">
      <c r="A12809" s="59" t="s">
        <v>2880</v>
      </c>
      <c r="B12809" s="60" t="s">
        <v>874</v>
      </c>
    </row>
    <row r="12810" ht="12.75" customHeight="1">
      <c r="A12810" s="59" t="s">
        <v>2880</v>
      </c>
      <c r="B12810" s="60" t="s">
        <v>875</v>
      </c>
    </row>
    <row r="12811" ht="12.75" customHeight="1">
      <c r="A12811" s="59" t="s">
        <v>2880</v>
      </c>
      <c r="B12811" s="60" t="s">
        <v>876</v>
      </c>
    </row>
    <row r="12812" ht="12.75" customHeight="1">
      <c r="A12812" s="59" t="s">
        <v>2880</v>
      </c>
      <c r="B12812" s="60" t="s">
        <v>877</v>
      </c>
    </row>
    <row r="12813" ht="12.75" customHeight="1">
      <c r="A12813" s="59" t="s">
        <v>2880</v>
      </c>
      <c r="B12813" s="60" t="s">
        <v>878</v>
      </c>
    </row>
    <row r="12814" ht="12.75" customHeight="1">
      <c r="A12814" s="59" t="s">
        <v>2880</v>
      </c>
      <c r="B12814" s="60" t="s">
        <v>879</v>
      </c>
    </row>
    <row r="12815" ht="12.75" customHeight="1">
      <c r="A12815" s="59" t="s">
        <v>2880</v>
      </c>
      <c r="B12815" s="60" t="s">
        <v>880</v>
      </c>
    </row>
    <row r="12816" ht="12.75" customHeight="1">
      <c r="A12816" s="59" t="s">
        <v>2880</v>
      </c>
      <c r="B12816" s="60" t="s">
        <v>881</v>
      </c>
    </row>
    <row r="12817" ht="12.75" customHeight="1">
      <c r="A12817" s="59" t="s">
        <v>2880</v>
      </c>
      <c r="B12817" s="60" t="s">
        <v>882</v>
      </c>
    </row>
    <row r="12818" ht="12.75" customHeight="1">
      <c r="A12818" s="59" t="s">
        <v>2880</v>
      </c>
      <c r="B12818" s="60" t="s">
        <v>883</v>
      </c>
    </row>
    <row r="12819" ht="12.75" customHeight="1">
      <c r="A12819" s="59" t="s">
        <v>2880</v>
      </c>
      <c r="B12819" s="60" t="s">
        <v>884</v>
      </c>
    </row>
    <row r="12820" ht="12.75" customHeight="1">
      <c r="A12820" s="59" t="s">
        <v>2880</v>
      </c>
      <c r="B12820" s="60" t="s">
        <v>885</v>
      </c>
    </row>
    <row r="12821" ht="12.75" customHeight="1">
      <c r="A12821" s="59" t="s">
        <v>2880</v>
      </c>
      <c r="B12821" s="60" t="s">
        <v>886</v>
      </c>
    </row>
    <row r="12822" ht="12.75" customHeight="1">
      <c r="A12822" s="59" t="s">
        <v>2880</v>
      </c>
      <c r="B12822" s="60" t="s">
        <v>887</v>
      </c>
    </row>
    <row r="12823" ht="12.75" customHeight="1">
      <c r="A12823" s="59" t="s">
        <v>2880</v>
      </c>
      <c r="B12823" s="60" t="s">
        <v>888</v>
      </c>
    </row>
    <row r="12824" ht="12.75" customHeight="1">
      <c r="A12824" s="59" t="s">
        <v>2880</v>
      </c>
      <c r="B12824" s="60" t="s">
        <v>889</v>
      </c>
    </row>
    <row r="12825" ht="12.75" customHeight="1">
      <c r="A12825" s="59" t="s">
        <v>2880</v>
      </c>
      <c r="B12825" s="60" t="s">
        <v>890</v>
      </c>
    </row>
    <row r="12826" ht="12.75" customHeight="1">
      <c r="A12826" s="59" t="s">
        <v>2880</v>
      </c>
      <c r="B12826" s="60" t="s">
        <v>891</v>
      </c>
    </row>
    <row r="12827" ht="12.75" customHeight="1">
      <c r="A12827" s="59" t="s">
        <v>2880</v>
      </c>
      <c r="B12827" s="60" t="s">
        <v>892</v>
      </c>
    </row>
    <row r="12828" ht="12.75" customHeight="1">
      <c r="A12828" s="59" t="s">
        <v>2880</v>
      </c>
      <c r="B12828" s="60" t="s">
        <v>893</v>
      </c>
    </row>
    <row r="12829" ht="12.75" customHeight="1">
      <c r="A12829" s="59" t="s">
        <v>2880</v>
      </c>
      <c r="B12829" s="60" t="s">
        <v>894</v>
      </c>
    </row>
    <row r="12830" ht="12.75" customHeight="1">
      <c r="A12830" s="59" t="s">
        <v>2880</v>
      </c>
      <c r="B12830" s="60" t="s">
        <v>895</v>
      </c>
    </row>
    <row r="12831" ht="12.75" customHeight="1">
      <c r="A12831" s="59" t="s">
        <v>2880</v>
      </c>
      <c r="B12831" s="60" t="s">
        <v>896</v>
      </c>
    </row>
    <row r="12832" ht="12.75" customHeight="1">
      <c r="A12832" s="59" t="s">
        <v>2880</v>
      </c>
      <c r="B12832" s="60" t="s">
        <v>897</v>
      </c>
    </row>
    <row r="12833" ht="12.75" customHeight="1">
      <c r="A12833" s="59" t="s">
        <v>2880</v>
      </c>
      <c r="B12833" s="60" t="s">
        <v>898</v>
      </c>
    </row>
    <row r="12834" ht="12.75" customHeight="1">
      <c r="A12834" s="59" t="s">
        <v>2880</v>
      </c>
      <c r="B12834" s="60" t="s">
        <v>899</v>
      </c>
    </row>
    <row r="12835" ht="12.75" customHeight="1">
      <c r="A12835" s="59" t="s">
        <v>2880</v>
      </c>
      <c r="B12835" s="60" t="s">
        <v>900</v>
      </c>
    </row>
    <row r="12836" ht="12.75" customHeight="1">
      <c r="A12836" s="59" t="s">
        <v>2880</v>
      </c>
      <c r="B12836" s="60" t="s">
        <v>901</v>
      </c>
    </row>
    <row r="12837" ht="12.75" customHeight="1">
      <c r="A12837" s="59" t="s">
        <v>2880</v>
      </c>
      <c r="B12837" s="60" t="s">
        <v>902</v>
      </c>
    </row>
    <row r="12838" ht="12.75" customHeight="1">
      <c r="A12838" s="59" t="s">
        <v>2880</v>
      </c>
      <c r="B12838" s="60" t="s">
        <v>903</v>
      </c>
    </row>
    <row r="12839" ht="12.75" customHeight="1">
      <c r="A12839" s="59" t="s">
        <v>2880</v>
      </c>
      <c r="B12839" s="60" t="s">
        <v>904</v>
      </c>
    </row>
    <row r="12840" ht="12.75" customHeight="1">
      <c r="A12840" s="59" t="s">
        <v>2880</v>
      </c>
      <c r="B12840" s="60" t="s">
        <v>905</v>
      </c>
    </row>
    <row r="12841" ht="12.75" customHeight="1">
      <c r="A12841" s="59" t="s">
        <v>2880</v>
      </c>
      <c r="B12841" s="60" t="s">
        <v>906</v>
      </c>
    </row>
    <row r="12842" ht="12.75" customHeight="1">
      <c r="A12842" s="59" t="s">
        <v>2880</v>
      </c>
      <c r="B12842" s="60" t="s">
        <v>907</v>
      </c>
    </row>
    <row r="12843" ht="12.75" customHeight="1">
      <c r="A12843" s="59" t="s">
        <v>2880</v>
      </c>
      <c r="B12843" s="60" t="s">
        <v>908</v>
      </c>
    </row>
    <row r="12844" ht="12.75" customHeight="1">
      <c r="A12844" s="59" t="s">
        <v>2880</v>
      </c>
      <c r="B12844" s="60" t="s">
        <v>909</v>
      </c>
    </row>
    <row r="12845" ht="12.75" customHeight="1">
      <c r="A12845" s="59" t="s">
        <v>2880</v>
      </c>
      <c r="B12845" s="60" t="s">
        <v>910</v>
      </c>
    </row>
    <row r="12846" ht="12.75" customHeight="1">
      <c r="A12846" s="59" t="s">
        <v>2880</v>
      </c>
      <c r="B12846" s="60" t="s">
        <v>911</v>
      </c>
    </row>
    <row r="12847" ht="12.75" customHeight="1">
      <c r="A12847" s="59" t="s">
        <v>2880</v>
      </c>
      <c r="B12847" s="60" t="s">
        <v>912</v>
      </c>
    </row>
    <row r="12848" ht="12.75" customHeight="1">
      <c r="A12848" s="59" t="s">
        <v>2880</v>
      </c>
      <c r="B12848" s="60" t="s">
        <v>913</v>
      </c>
    </row>
    <row r="12849" ht="12.75" customHeight="1">
      <c r="A12849" s="59" t="s">
        <v>2880</v>
      </c>
      <c r="B12849" s="60" t="s">
        <v>914</v>
      </c>
    </row>
    <row r="12850" ht="12.75" customHeight="1">
      <c r="A12850" s="59" t="s">
        <v>2880</v>
      </c>
      <c r="B12850" s="60" t="s">
        <v>915</v>
      </c>
    </row>
    <row r="12851" ht="12.75" customHeight="1">
      <c r="A12851" s="59" t="s">
        <v>2880</v>
      </c>
      <c r="B12851" s="60" t="s">
        <v>916</v>
      </c>
    </row>
    <row r="12852" ht="12.75" customHeight="1">
      <c r="A12852" s="59" t="s">
        <v>2880</v>
      </c>
      <c r="B12852" s="60" t="s">
        <v>917</v>
      </c>
    </row>
    <row r="12853" ht="12.75" customHeight="1">
      <c r="A12853" s="59" t="s">
        <v>2880</v>
      </c>
      <c r="B12853" s="60" t="s">
        <v>918</v>
      </c>
    </row>
    <row r="12854" ht="12.75" customHeight="1">
      <c r="A12854" s="59" t="s">
        <v>2880</v>
      </c>
      <c r="B12854" s="60" t="s">
        <v>919</v>
      </c>
    </row>
    <row r="12855" ht="12.75" customHeight="1">
      <c r="A12855" s="59" t="s">
        <v>2880</v>
      </c>
      <c r="B12855" s="60" t="s">
        <v>920</v>
      </c>
    </row>
    <row r="12856" ht="12.75" customHeight="1">
      <c r="A12856" s="59" t="s">
        <v>2880</v>
      </c>
      <c r="B12856" s="60" t="s">
        <v>921</v>
      </c>
    </row>
    <row r="12857" ht="12.75" customHeight="1">
      <c r="A12857" s="59" t="s">
        <v>2880</v>
      </c>
      <c r="B12857" s="60" t="s">
        <v>922</v>
      </c>
    </row>
    <row r="12858" ht="12.75" customHeight="1">
      <c r="A12858" s="59" t="s">
        <v>2880</v>
      </c>
      <c r="B12858" s="60" t="s">
        <v>923</v>
      </c>
    </row>
    <row r="12859" ht="12.75" customHeight="1">
      <c r="A12859" s="59" t="s">
        <v>2880</v>
      </c>
      <c r="B12859" s="60" t="s">
        <v>924</v>
      </c>
    </row>
    <row r="12860" ht="12.75" customHeight="1">
      <c r="A12860" s="59" t="s">
        <v>2880</v>
      </c>
      <c r="B12860" s="60" t="s">
        <v>925</v>
      </c>
    </row>
    <row r="12861" ht="12.75" customHeight="1">
      <c r="A12861" s="59" t="s">
        <v>2880</v>
      </c>
      <c r="B12861" s="60" t="s">
        <v>926</v>
      </c>
    </row>
    <row r="12862" ht="12.75" customHeight="1">
      <c r="A12862" s="59" t="s">
        <v>2880</v>
      </c>
      <c r="B12862" s="60" t="s">
        <v>927</v>
      </c>
    </row>
    <row r="12863" ht="12.75" customHeight="1">
      <c r="A12863" s="59" t="s">
        <v>2880</v>
      </c>
      <c r="B12863" s="60" t="s">
        <v>928</v>
      </c>
    </row>
    <row r="12864" ht="12.75" customHeight="1">
      <c r="A12864" s="59" t="s">
        <v>2880</v>
      </c>
      <c r="B12864" s="60" t="s">
        <v>929</v>
      </c>
    </row>
    <row r="12865" ht="12.75" customHeight="1">
      <c r="A12865" s="59" t="s">
        <v>2880</v>
      </c>
      <c r="B12865" s="60" t="s">
        <v>930</v>
      </c>
    </row>
    <row r="12866" ht="12.75" customHeight="1">
      <c r="A12866" s="59" t="s">
        <v>2880</v>
      </c>
      <c r="B12866" s="60" t="s">
        <v>931</v>
      </c>
    </row>
    <row r="12867" ht="12.75" customHeight="1">
      <c r="A12867" s="59" t="s">
        <v>2880</v>
      </c>
      <c r="B12867" s="60" t="s">
        <v>932</v>
      </c>
    </row>
    <row r="12868" ht="12.75" customHeight="1">
      <c r="A12868" s="59" t="s">
        <v>2880</v>
      </c>
      <c r="B12868" s="60" t="s">
        <v>933</v>
      </c>
    </row>
    <row r="12869" ht="12.75" customHeight="1">
      <c r="A12869" s="59" t="s">
        <v>2880</v>
      </c>
      <c r="B12869" s="60" t="s">
        <v>934</v>
      </c>
    </row>
    <row r="12870" ht="12.75" customHeight="1">
      <c r="A12870" s="59" t="s">
        <v>2880</v>
      </c>
      <c r="B12870" s="60" t="s">
        <v>935</v>
      </c>
    </row>
    <row r="12871" ht="12.75" customHeight="1">
      <c r="A12871" s="59" t="s">
        <v>2880</v>
      </c>
      <c r="B12871" s="60" t="s">
        <v>936</v>
      </c>
    </row>
    <row r="12872" ht="12.75" customHeight="1">
      <c r="A12872" s="59" t="s">
        <v>2880</v>
      </c>
      <c r="B12872" s="60" t="s">
        <v>937</v>
      </c>
    </row>
    <row r="12873" ht="12.75" customHeight="1">
      <c r="A12873" s="59" t="s">
        <v>2880</v>
      </c>
      <c r="B12873" s="60" t="s">
        <v>938</v>
      </c>
    </row>
    <row r="12874" ht="12.75" customHeight="1">
      <c r="A12874" s="59" t="s">
        <v>2880</v>
      </c>
      <c r="B12874" s="60" t="s">
        <v>939</v>
      </c>
    </row>
    <row r="12875" ht="12.75" customHeight="1">
      <c r="A12875" s="59" t="s">
        <v>2880</v>
      </c>
      <c r="B12875" s="60" t="s">
        <v>940</v>
      </c>
    </row>
    <row r="12876" ht="12.75" customHeight="1">
      <c r="A12876" s="59" t="s">
        <v>2880</v>
      </c>
      <c r="B12876" s="60" t="s">
        <v>941</v>
      </c>
    </row>
    <row r="12877" ht="12.75" customHeight="1">
      <c r="A12877" s="59" t="s">
        <v>2880</v>
      </c>
      <c r="B12877" s="60" t="s">
        <v>942</v>
      </c>
    </row>
    <row r="12878" ht="12.75" customHeight="1">
      <c r="A12878" s="59" t="s">
        <v>2880</v>
      </c>
      <c r="B12878" s="60" t="s">
        <v>943</v>
      </c>
    </row>
    <row r="12879" ht="12.75" customHeight="1">
      <c r="A12879" s="59" t="s">
        <v>2880</v>
      </c>
      <c r="B12879" s="60" t="s">
        <v>944</v>
      </c>
    </row>
    <row r="12880" ht="12.75" customHeight="1">
      <c r="A12880" s="59" t="s">
        <v>2880</v>
      </c>
      <c r="B12880" s="60" t="s">
        <v>945</v>
      </c>
    </row>
    <row r="12881" ht="12.75" customHeight="1">
      <c r="A12881" s="59" t="s">
        <v>2880</v>
      </c>
      <c r="B12881" s="60" t="s">
        <v>946</v>
      </c>
    </row>
    <row r="12882" ht="12.75" customHeight="1">
      <c r="A12882" s="59" t="s">
        <v>2880</v>
      </c>
      <c r="B12882" s="60" t="s">
        <v>947</v>
      </c>
    </row>
    <row r="12883" ht="12.75" customHeight="1">
      <c r="A12883" s="59" t="s">
        <v>2880</v>
      </c>
      <c r="B12883" s="60" t="s">
        <v>948</v>
      </c>
    </row>
    <row r="12884" ht="12.75" customHeight="1">
      <c r="A12884" s="59" t="s">
        <v>2880</v>
      </c>
      <c r="B12884" s="60" t="s">
        <v>949</v>
      </c>
    </row>
    <row r="12885" ht="12.75" customHeight="1">
      <c r="A12885" s="59" t="s">
        <v>2880</v>
      </c>
      <c r="B12885" s="60" t="s">
        <v>950</v>
      </c>
    </row>
    <row r="12886" ht="12.75" customHeight="1">
      <c r="A12886" s="59" t="s">
        <v>2880</v>
      </c>
      <c r="B12886" s="60" t="s">
        <v>951</v>
      </c>
    </row>
    <row r="12887" ht="12.75" customHeight="1">
      <c r="A12887" s="59" t="s">
        <v>2880</v>
      </c>
      <c r="B12887" s="60" t="s">
        <v>952</v>
      </c>
    </row>
    <row r="12888" ht="12.75" customHeight="1">
      <c r="A12888" s="59" t="s">
        <v>2880</v>
      </c>
      <c r="B12888" s="60" t="s">
        <v>953</v>
      </c>
    </row>
    <row r="12889" ht="12.75" customHeight="1">
      <c r="A12889" s="59" t="s">
        <v>2880</v>
      </c>
      <c r="B12889" s="60" t="s">
        <v>954</v>
      </c>
    </row>
    <row r="12890" ht="12.75" customHeight="1">
      <c r="A12890" s="59" t="s">
        <v>2880</v>
      </c>
      <c r="B12890" s="60" t="s">
        <v>955</v>
      </c>
    </row>
    <row r="12891" ht="12.75" customHeight="1">
      <c r="A12891" s="59" t="s">
        <v>2880</v>
      </c>
      <c r="B12891" s="60" t="s">
        <v>956</v>
      </c>
    </row>
    <row r="12892" ht="12.75" customHeight="1">
      <c r="A12892" s="59" t="s">
        <v>2880</v>
      </c>
      <c r="B12892" s="60" t="s">
        <v>957</v>
      </c>
    </row>
    <row r="12893" ht="12.75" customHeight="1">
      <c r="A12893" s="59" t="s">
        <v>2880</v>
      </c>
      <c r="B12893" s="60" t="s">
        <v>958</v>
      </c>
    </row>
    <row r="12894" ht="12.75" customHeight="1">
      <c r="A12894" s="59" t="s">
        <v>2880</v>
      </c>
      <c r="B12894" s="60" t="s">
        <v>959</v>
      </c>
    </row>
    <row r="12895" ht="12.75" customHeight="1">
      <c r="A12895" s="59" t="s">
        <v>2880</v>
      </c>
      <c r="B12895" s="60" t="s">
        <v>960</v>
      </c>
    </row>
    <row r="12896" ht="12.75" customHeight="1">
      <c r="A12896" s="59" t="s">
        <v>2880</v>
      </c>
      <c r="B12896" s="60" t="s">
        <v>961</v>
      </c>
    </row>
    <row r="12897" ht="12.75" customHeight="1">
      <c r="A12897" s="59" t="s">
        <v>2880</v>
      </c>
      <c r="B12897" s="60" t="s">
        <v>962</v>
      </c>
    </row>
    <row r="12898" ht="12.75" customHeight="1">
      <c r="A12898" s="59" t="s">
        <v>2880</v>
      </c>
      <c r="B12898" s="60" t="s">
        <v>963</v>
      </c>
    </row>
    <row r="12899" ht="12.75" customHeight="1">
      <c r="A12899" s="59" t="s">
        <v>2880</v>
      </c>
      <c r="B12899" s="60" t="s">
        <v>964</v>
      </c>
    </row>
    <row r="12900" ht="12.75" customHeight="1">
      <c r="A12900" s="59" t="s">
        <v>2880</v>
      </c>
      <c r="B12900" s="60" t="s">
        <v>965</v>
      </c>
    </row>
    <row r="12901" ht="12.75" customHeight="1">
      <c r="A12901" s="59" t="s">
        <v>2880</v>
      </c>
      <c r="B12901" s="60" t="s">
        <v>966</v>
      </c>
    </row>
    <row r="12902" ht="12.75" customHeight="1">
      <c r="A12902" s="59" t="s">
        <v>2880</v>
      </c>
      <c r="B12902" s="60" t="s">
        <v>967</v>
      </c>
    </row>
    <row r="12903" ht="12.75" customHeight="1">
      <c r="A12903" s="59" t="s">
        <v>2880</v>
      </c>
      <c r="B12903" s="60" t="s">
        <v>968</v>
      </c>
    </row>
    <row r="12904" ht="12.75" customHeight="1">
      <c r="A12904" s="59" t="s">
        <v>2880</v>
      </c>
      <c r="B12904" s="60" t="s">
        <v>969</v>
      </c>
    </row>
    <row r="12905" ht="12.75" customHeight="1">
      <c r="A12905" s="59" t="s">
        <v>2880</v>
      </c>
      <c r="B12905" s="60" t="s">
        <v>970</v>
      </c>
    </row>
    <row r="12906" ht="12.75" customHeight="1">
      <c r="A12906" s="59" t="s">
        <v>2880</v>
      </c>
      <c r="B12906" s="60" t="s">
        <v>971</v>
      </c>
    </row>
    <row r="12907" ht="12.75" customHeight="1">
      <c r="A12907" s="59" t="s">
        <v>2880</v>
      </c>
      <c r="B12907" s="60" t="s">
        <v>972</v>
      </c>
    </row>
    <row r="12908" ht="12.75" customHeight="1">
      <c r="A12908" s="59" t="s">
        <v>2880</v>
      </c>
      <c r="B12908" s="60" t="s">
        <v>973</v>
      </c>
    </row>
    <row r="12909" ht="12.75" customHeight="1">
      <c r="A12909" s="59" t="s">
        <v>2880</v>
      </c>
      <c r="B12909" s="60" t="s">
        <v>974</v>
      </c>
    </row>
    <row r="12910" ht="12.75" customHeight="1">
      <c r="A12910" s="59" t="s">
        <v>2880</v>
      </c>
      <c r="B12910" s="60" t="s">
        <v>975</v>
      </c>
    </row>
    <row r="12911" ht="12.75" customHeight="1">
      <c r="A12911" s="59" t="s">
        <v>2880</v>
      </c>
      <c r="B12911" s="60" t="s">
        <v>976</v>
      </c>
    </row>
    <row r="12912" ht="12.75" customHeight="1">
      <c r="A12912" s="59" t="s">
        <v>2880</v>
      </c>
      <c r="B12912" s="60" t="s">
        <v>977</v>
      </c>
    </row>
    <row r="12913" ht="12.75" customHeight="1">
      <c r="A12913" s="59" t="s">
        <v>2880</v>
      </c>
      <c r="B12913" s="60" t="s">
        <v>978</v>
      </c>
    </row>
    <row r="12914" ht="12.75" customHeight="1">
      <c r="A12914" s="59" t="s">
        <v>2880</v>
      </c>
      <c r="B12914" s="60" t="s">
        <v>979</v>
      </c>
    </row>
    <row r="12915" ht="12.75" customHeight="1">
      <c r="A12915" s="59" t="s">
        <v>2880</v>
      </c>
      <c r="B12915" s="60" t="s">
        <v>980</v>
      </c>
    </row>
    <row r="12916" ht="12.75" customHeight="1">
      <c r="A12916" s="59" t="s">
        <v>2880</v>
      </c>
      <c r="B12916" s="60" t="s">
        <v>981</v>
      </c>
    </row>
    <row r="12917" ht="12.75" customHeight="1">
      <c r="A12917" s="59" t="s">
        <v>2880</v>
      </c>
      <c r="B12917" s="60" t="s">
        <v>982</v>
      </c>
    </row>
    <row r="12918" ht="12.75" customHeight="1">
      <c r="A12918" s="59" t="s">
        <v>2880</v>
      </c>
      <c r="B12918" s="60" t="s">
        <v>983</v>
      </c>
    </row>
    <row r="12919" ht="12.75" customHeight="1">
      <c r="A12919" s="59" t="s">
        <v>2880</v>
      </c>
      <c r="B12919" s="60" t="s">
        <v>984</v>
      </c>
    </row>
    <row r="12920" ht="12.75" customHeight="1">
      <c r="A12920" s="59" t="s">
        <v>2880</v>
      </c>
      <c r="B12920" s="60" t="s">
        <v>985</v>
      </c>
    </row>
    <row r="12921" ht="12.75" customHeight="1">
      <c r="A12921" s="59" t="s">
        <v>2880</v>
      </c>
      <c r="B12921" s="60" t="s">
        <v>986</v>
      </c>
    </row>
    <row r="12922" ht="12.75" customHeight="1">
      <c r="A12922" s="59" t="s">
        <v>2880</v>
      </c>
      <c r="B12922" s="60" t="s">
        <v>987</v>
      </c>
    </row>
    <row r="12923" ht="12.75" customHeight="1">
      <c r="A12923" s="59" t="s">
        <v>2880</v>
      </c>
      <c r="B12923" s="60" t="s">
        <v>988</v>
      </c>
    </row>
    <row r="12924" ht="12.75" customHeight="1">
      <c r="A12924" s="59" t="s">
        <v>2880</v>
      </c>
      <c r="B12924" s="60" t="s">
        <v>989</v>
      </c>
    </row>
    <row r="12925" ht="12.75" customHeight="1">
      <c r="A12925" s="59" t="s">
        <v>2880</v>
      </c>
      <c r="B12925" s="60" t="s">
        <v>990</v>
      </c>
    </row>
    <row r="12926" ht="12.75" customHeight="1">
      <c r="A12926" s="59" t="s">
        <v>2880</v>
      </c>
      <c r="B12926" s="60" t="s">
        <v>991</v>
      </c>
    </row>
    <row r="12927" ht="12.75" customHeight="1">
      <c r="A12927" s="59" t="s">
        <v>2880</v>
      </c>
      <c r="B12927" s="60" t="s">
        <v>992</v>
      </c>
    </row>
    <row r="12928" ht="12.75" customHeight="1">
      <c r="A12928" s="59" t="s">
        <v>2880</v>
      </c>
      <c r="B12928" s="60" t="s">
        <v>993</v>
      </c>
    </row>
    <row r="12929" ht="12.75" customHeight="1">
      <c r="A12929" s="59" t="s">
        <v>2880</v>
      </c>
      <c r="B12929" s="60" t="s">
        <v>994</v>
      </c>
    </row>
    <row r="12930" ht="12.75" customHeight="1">
      <c r="A12930" s="59" t="s">
        <v>2880</v>
      </c>
      <c r="B12930" s="60" t="s">
        <v>995</v>
      </c>
    </row>
    <row r="12931" ht="12.75" customHeight="1">
      <c r="A12931" s="59" t="s">
        <v>2880</v>
      </c>
      <c r="B12931" s="60" t="s">
        <v>996</v>
      </c>
    </row>
    <row r="12932" ht="12.75" customHeight="1">
      <c r="A12932" s="59" t="s">
        <v>2880</v>
      </c>
      <c r="B12932" s="60" t="s">
        <v>997</v>
      </c>
    </row>
    <row r="12933" ht="12.75" customHeight="1">
      <c r="A12933" s="59" t="s">
        <v>2880</v>
      </c>
      <c r="B12933" s="60" t="s">
        <v>998</v>
      </c>
    </row>
    <row r="12934" ht="12.75" customHeight="1">
      <c r="A12934" s="59" t="s">
        <v>2880</v>
      </c>
      <c r="B12934" s="60" t="s">
        <v>999</v>
      </c>
    </row>
    <row r="12935" ht="12.75" customHeight="1">
      <c r="A12935" s="59" t="s">
        <v>2880</v>
      </c>
      <c r="B12935" s="60" t="s">
        <v>1000</v>
      </c>
    </row>
    <row r="12936" ht="12.75" customHeight="1">
      <c r="A12936" s="59" t="s">
        <v>2880</v>
      </c>
      <c r="B12936" s="60" t="s">
        <v>1001</v>
      </c>
    </row>
    <row r="12937" ht="12.75" customHeight="1">
      <c r="A12937" s="59" t="s">
        <v>2880</v>
      </c>
      <c r="B12937" s="60" t="s">
        <v>1002</v>
      </c>
    </row>
    <row r="12938" ht="12.75" customHeight="1">
      <c r="A12938" s="59" t="s">
        <v>2880</v>
      </c>
      <c r="B12938" s="60" t="s">
        <v>1003</v>
      </c>
    </row>
    <row r="12939" ht="12.75" customHeight="1">
      <c r="A12939" s="59" t="s">
        <v>2880</v>
      </c>
      <c r="B12939" s="60" t="s">
        <v>1004</v>
      </c>
    </row>
    <row r="12940" ht="12.75" customHeight="1">
      <c r="A12940" s="59" t="s">
        <v>2880</v>
      </c>
      <c r="B12940" s="60" t="s">
        <v>1005</v>
      </c>
    </row>
    <row r="12941" ht="12.75" customHeight="1">
      <c r="A12941" s="59" t="s">
        <v>2880</v>
      </c>
      <c r="B12941" s="60" t="s">
        <v>1006</v>
      </c>
    </row>
    <row r="12942" ht="12.75" customHeight="1">
      <c r="A12942" s="59" t="s">
        <v>2880</v>
      </c>
      <c r="B12942" s="60" t="s">
        <v>1007</v>
      </c>
    </row>
    <row r="12943" ht="12.75" customHeight="1">
      <c r="A12943" s="59" t="s">
        <v>2880</v>
      </c>
      <c r="B12943" s="60" t="s">
        <v>1008</v>
      </c>
    </row>
    <row r="12944" ht="12.75" customHeight="1">
      <c r="A12944" s="59" t="s">
        <v>2880</v>
      </c>
      <c r="B12944" s="60" t="s">
        <v>1009</v>
      </c>
    </row>
    <row r="12945" ht="12.75" customHeight="1">
      <c r="A12945" s="59" t="s">
        <v>2880</v>
      </c>
      <c r="B12945" s="60" t="s">
        <v>1010</v>
      </c>
    </row>
    <row r="12946" ht="12.75" customHeight="1">
      <c r="A12946" s="59" t="s">
        <v>2880</v>
      </c>
      <c r="B12946" s="60" t="s">
        <v>1011</v>
      </c>
    </row>
    <row r="12947" ht="12.75" customHeight="1">
      <c r="A12947" s="59" t="s">
        <v>2880</v>
      </c>
      <c r="B12947" s="60" t="s">
        <v>1012</v>
      </c>
    </row>
    <row r="12948" ht="12.75" customHeight="1">
      <c r="A12948" s="59" t="s">
        <v>2880</v>
      </c>
      <c r="B12948" s="60" t="s">
        <v>1013</v>
      </c>
    </row>
    <row r="12949" ht="12.75" customHeight="1">
      <c r="A12949" s="59" t="s">
        <v>2880</v>
      </c>
      <c r="B12949" s="60" t="s">
        <v>1014</v>
      </c>
    </row>
    <row r="12950" ht="12.75" customHeight="1">
      <c r="A12950" s="59" t="s">
        <v>2880</v>
      </c>
      <c r="B12950" s="60" t="s">
        <v>1015</v>
      </c>
    </row>
    <row r="12951" ht="12.75" customHeight="1">
      <c r="A12951" s="59" t="s">
        <v>2880</v>
      </c>
      <c r="B12951" s="60" t="s">
        <v>1016</v>
      </c>
    </row>
    <row r="12952" ht="12.75" customHeight="1">
      <c r="A12952" s="59" t="s">
        <v>2880</v>
      </c>
      <c r="B12952" s="60" t="s">
        <v>1017</v>
      </c>
    </row>
    <row r="12953" ht="12.75" customHeight="1">
      <c r="A12953" s="59" t="s">
        <v>2880</v>
      </c>
      <c r="B12953" s="60" t="s">
        <v>1018</v>
      </c>
    </row>
    <row r="12954" ht="12.75" customHeight="1">
      <c r="A12954" s="59" t="s">
        <v>2880</v>
      </c>
      <c r="B12954" s="60" t="s">
        <v>1019</v>
      </c>
    </row>
    <row r="12955" ht="12.75" customHeight="1">
      <c r="A12955" s="59" t="s">
        <v>2880</v>
      </c>
      <c r="B12955" s="60" t="s">
        <v>1020</v>
      </c>
    </row>
    <row r="12956" ht="12.75" customHeight="1">
      <c r="A12956" s="59" t="s">
        <v>2880</v>
      </c>
      <c r="B12956" s="60" t="s">
        <v>1021</v>
      </c>
    </row>
    <row r="12957" ht="12.75" customHeight="1">
      <c r="A12957" s="59" t="s">
        <v>2880</v>
      </c>
      <c r="B12957" s="60" t="s">
        <v>1022</v>
      </c>
    </row>
    <row r="12958" ht="12.75" customHeight="1">
      <c r="A12958" s="59" t="s">
        <v>2880</v>
      </c>
      <c r="B12958" s="60" t="s">
        <v>1023</v>
      </c>
    </row>
    <row r="12959" ht="12.75" customHeight="1">
      <c r="A12959" s="59" t="s">
        <v>2880</v>
      </c>
      <c r="B12959" s="60" t="s">
        <v>1024</v>
      </c>
    </row>
    <row r="12960" ht="12.75" customHeight="1">
      <c r="A12960" s="59" t="s">
        <v>2880</v>
      </c>
      <c r="B12960" s="60" t="s">
        <v>1025</v>
      </c>
    </row>
    <row r="12961" ht="12.75" customHeight="1">
      <c r="A12961" s="59" t="s">
        <v>2880</v>
      </c>
      <c r="B12961" s="60" t="s">
        <v>1026</v>
      </c>
    </row>
    <row r="12962" ht="12.75" customHeight="1">
      <c r="A12962" s="59" t="s">
        <v>2880</v>
      </c>
      <c r="B12962" s="60" t="s">
        <v>1027</v>
      </c>
    </row>
    <row r="12963" ht="12.75" customHeight="1">
      <c r="A12963" s="59" t="s">
        <v>2880</v>
      </c>
      <c r="B12963" s="60" t="s">
        <v>1028</v>
      </c>
    </row>
    <row r="12964" ht="12.75" customHeight="1">
      <c r="A12964" s="59" t="s">
        <v>2880</v>
      </c>
      <c r="B12964" s="60" t="s">
        <v>1029</v>
      </c>
    </row>
    <row r="12965" ht="12.75" customHeight="1">
      <c r="A12965" s="59" t="s">
        <v>2880</v>
      </c>
      <c r="B12965" s="60" t="s">
        <v>1030</v>
      </c>
    </row>
    <row r="12966" ht="12.75" customHeight="1">
      <c r="A12966" s="59" t="s">
        <v>2880</v>
      </c>
      <c r="B12966" s="60" t="s">
        <v>1031</v>
      </c>
    </row>
    <row r="12967" ht="12.75" customHeight="1">
      <c r="A12967" s="59" t="s">
        <v>2880</v>
      </c>
      <c r="B12967" s="60" t="s">
        <v>1032</v>
      </c>
    </row>
    <row r="12968" ht="12.75" customHeight="1">
      <c r="A12968" s="59" t="s">
        <v>2880</v>
      </c>
      <c r="B12968" s="60" t="s">
        <v>1033</v>
      </c>
    </row>
    <row r="12969" ht="12.75" customHeight="1">
      <c r="A12969" s="59" t="s">
        <v>2880</v>
      </c>
      <c r="B12969" s="60" t="s">
        <v>1034</v>
      </c>
    </row>
    <row r="12970" ht="12.75" customHeight="1">
      <c r="A12970" s="59" t="s">
        <v>2880</v>
      </c>
      <c r="B12970" s="60" t="s">
        <v>1035</v>
      </c>
    </row>
    <row r="12971" ht="12.75" customHeight="1">
      <c r="A12971" s="59" t="s">
        <v>2880</v>
      </c>
      <c r="B12971" s="60" t="s">
        <v>1036</v>
      </c>
    </row>
    <row r="12972" ht="12.75" customHeight="1">
      <c r="A12972" s="59" t="s">
        <v>2880</v>
      </c>
      <c r="B12972" s="60" t="s">
        <v>1037</v>
      </c>
    </row>
    <row r="12973" ht="12.75" customHeight="1">
      <c r="A12973" s="59" t="s">
        <v>2880</v>
      </c>
      <c r="B12973" s="60" t="s">
        <v>1038</v>
      </c>
    </row>
    <row r="12974" ht="12.75" customHeight="1">
      <c r="A12974" s="59" t="s">
        <v>2880</v>
      </c>
      <c r="B12974" s="60" t="s">
        <v>1039</v>
      </c>
    </row>
    <row r="12975" ht="12.75" customHeight="1">
      <c r="A12975" s="59" t="s">
        <v>2880</v>
      </c>
      <c r="B12975" s="60" t="s">
        <v>1040</v>
      </c>
    </row>
    <row r="12976" ht="12.75" customHeight="1">
      <c r="A12976" s="59" t="s">
        <v>2880</v>
      </c>
      <c r="B12976" s="60" t="s">
        <v>1041</v>
      </c>
    </row>
    <row r="12977" ht="12.75" customHeight="1">
      <c r="A12977" s="59" t="s">
        <v>2880</v>
      </c>
      <c r="B12977" s="60" t="s">
        <v>1042</v>
      </c>
    </row>
    <row r="12978" ht="12.75" customHeight="1">
      <c r="A12978" s="59" t="s">
        <v>2880</v>
      </c>
      <c r="B12978" s="60" t="s">
        <v>1043</v>
      </c>
    </row>
    <row r="12979" ht="12.75" customHeight="1">
      <c r="A12979" s="59" t="s">
        <v>2880</v>
      </c>
      <c r="B12979" s="60" t="s">
        <v>1044</v>
      </c>
    </row>
    <row r="12980" ht="12.75" customHeight="1">
      <c r="A12980" s="59" t="s">
        <v>2880</v>
      </c>
      <c r="B12980" s="60" t="s">
        <v>1045</v>
      </c>
    </row>
    <row r="12981" ht="12.75" customHeight="1">
      <c r="A12981" s="59" t="s">
        <v>2880</v>
      </c>
      <c r="B12981" s="60" t="s">
        <v>1046</v>
      </c>
    </row>
    <row r="12982" ht="12.75" customHeight="1">
      <c r="A12982" s="59" t="s">
        <v>2880</v>
      </c>
      <c r="B12982" s="60" t="s">
        <v>1047</v>
      </c>
    </row>
    <row r="12983" ht="12.75" customHeight="1">
      <c r="A12983" s="59" t="s">
        <v>2880</v>
      </c>
      <c r="B12983" s="60" t="s">
        <v>1048</v>
      </c>
    </row>
    <row r="12984" ht="12.75" customHeight="1">
      <c r="A12984" s="59" t="s">
        <v>2880</v>
      </c>
      <c r="B12984" s="60" t="s">
        <v>1049</v>
      </c>
    </row>
    <row r="12985" ht="12.75" customHeight="1">
      <c r="A12985" s="59" t="s">
        <v>2880</v>
      </c>
      <c r="B12985" s="60" t="s">
        <v>1050</v>
      </c>
    </row>
    <row r="12986" ht="12.75" customHeight="1">
      <c r="A12986" s="59" t="s">
        <v>2880</v>
      </c>
      <c r="B12986" s="60" t="s">
        <v>1051</v>
      </c>
    </row>
    <row r="12987" ht="12.75" customHeight="1">
      <c r="A12987" s="59" t="s">
        <v>2880</v>
      </c>
      <c r="B12987" s="60" t="s">
        <v>1052</v>
      </c>
    </row>
    <row r="12988" ht="12.75" customHeight="1">
      <c r="A12988" s="59" t="s">
        <v>2880</v>
      </c>
      <c r="B12988" s="60" t="s">
        <v>1053</v>
      </c>
    </row>
    <row r="12989" ht="12.75" customHeight="1">
      <c r="A12989" s="59" t="s">
        <v>2880</v>
      </c>
      <c r="B12989" s="60" t="s">
        <v>1054</v>
      </c>
    </row>
    <row r="12990" ht="12.75" customHeight="1">
      <c r="A12990" s="59" t="s">
        <v>2880</v>
      </c>
      <c r="B12990" s="60" t="s">
        <v>1055</v>
      </c>
    </row>
    <row r="12991" ht="12.75" customHeight="1">
      <c r="A12991" s="59" t="s">
        <v>2880</v>
      </c>
      <c r="B12991" s="60" t="s">
        <v>1056</v>
      </c>
    </row>
    <row r="12992" ht="12.75" customHeight="1">
      <c r="A12992" s="59" t="s">
        <v>2880</v>
      </c>
      <c r="B12992" s="60" t="s">
        <v>1057</v>
      </c>
    </row>
    <row r="12993" ht="12.75" customHeight="1">
      <c r="A12993" s="59" t="s">
        <v>2880</v>
      </c>
      <c r="B12993" s="60" t="s">
        <v>1058</v>
      </c>
    </row>
    <row r="12994" ht="12.75" customHeight="1">
      <c r="A12994" s="59" t="s">
        <v>2880</v>
      </c>
      <c r="B12994" s="60" t="s">
        <v>1059</v>
      </c>
    </row>
    <row r="12995" ht="12.75" customHeight="1">
      <c r="A12995" s="59" t="s">
        <v>2880</v>
      </c>
      <c r="B12995" s="60" t="s">
        <v>1060</v>
      </c>
    </row>
    <row r="12996" ht="12.75" customHeight="1">
      <c r="A12996" s="59" t="s">
        <v>2880</v>
      </c>
      <c r="B12996" s="60" t="s">
        <v>1061</v>
      </c>
    </row>
    <row r="12997" ht="12.75" customHeight="1">
      <c r="A12997" s="59" t="s">
        <v>2880</v>
      </c>
      <c r="B12997" s="60" t="s">
        <v>1062</v>
      </c>
    </row>
    <row r="12998" ht="12.75" customHeight="1">
      <c r="A12998" s="59" t="s">
        <v>2880</v>
      </c>
      <c r="B12998" s="60" t="s">
        <v>1063</v>
      </c>
    </row>
    <row r="12999" ht="12.75" customHeight="1">
      <c r="A12999" s="59" t="s">
        <v>2880</v>
      </c>
      <c r="B12999" s="60" t="s">
        <v>1064</v>
      </c>
    </row>
    <row r="13000" ht="12.75" customHeight="1">
      <c r="A13000" s="59" t="s">
        <v>2880</v>
      </c>
      <c r="B13000" s="60" t="s">
        <v>1065</v>
      </c>
    </row>
    <row r="13001" ht="12.75" customHeight="1">
      <c r="A13001" s="59" t="s">
        <v>2880</v>
      </c>
      <c r="B13001" s="60" t="s">
        <v>1066</v>
      </c>
    </row>
    <row r="13002" ht="12.75" customHeight="1">
      <c r="A13002" s="59" t="s">
        <v>2880</v>
      </c>
      <c r="B13002" s="60" t="s">
        <v>1067</v>
      </c>
    </row>
    <row r="13003" ht="12.75" customHeight="1">
      <c r="A13003" s="59" t="s">
        <v>2880</v>
      </c>
      <c r="B13003" s="60" t="s">
        <v>1068</v>
      </c>
    </row>
    <row r="13004" ht="12.75" customHeight="1">
      <c r="A13004" s="59" t="s">
        <v>2880</v>
      </c>
      <c r="B13004" s="60" t="s">
        <v>1069</v>
      </c>
    </row>
    <row r="13005" ht="12.75" customHeight="1">
      <c r="A13005" s="59" t="s">
        <v>2880</v>
      </c>
      <c r="B13005" s="60" t="s">
        <v>1070</v>
      </c>
    </row>
    <row r="13006" ht="12.75" customHeight="1">
      <c r="A13006" s="59" t="s">
        <v>2880</v>
      </c>
      <c r="B13006" s="60" t="s">
        <v>1071</v>
      </c>
    </row>
    <row r="13007" ht="12.75" customHeight="1">
      <c r="A13007" s="59" t="s">
        <v>2880</v>
      </c>
      <c r="B13007" s="60" t="s">
        <v>1072</v>
      </c>
    </row>
    <row r="13008" ht="12.75" customHeight="1">
      <c r="A13008" s="59" t="s">
        <v>2880</v>
      </c>
      <c r="B13008" s="60" t="s">
        <v>1073</v>
      </c>
    </row>
    <row r="13009" ht="12.75" customHeight="1">
      <c r="A13009" s="59" t="s">
        <v>2880</v>
      </c>
      <c r="B13009" s="60" t="s">
        <v>1074</v>
      </c>
    </row>
    <row r="13010" ht="12.75" customHeight="1">
      <c r="A13010" s="59" t="s">
        <v>2880</v>
      </c>
      <c r="B13010" s="60" t="s">
        <v>1075</v>
      </c>
    </row>
    <row r="13011" ht="12.75" customHeight="1">
      <c r="A13011" s="59" t="s">
        <v>2880</v>
      </c>
      <c r="B13011" s="60" t="s">
        <v>1076</v>
      </c>
    </row>
    <row r="13012" ht="12.75" customHeight="1">
      <c r="A13012" s="59" t="s">
        <v>2880</v>
      </c>
      <c r="B13012" s="60" t="s">
        <v>1077</v>
      </c>
    </row>
    <row r="13013" ht="12.75" customHeight="1">
      <c r="A13013" s="59" t="s">
        <v>2880</v>
      </c>
      <c r="B13013" s="60" t="s">
        <v>1078</v>
      </c>
    </row>
    <row r="13014" ht="12.75" customHeight="1">
      <c r="A13014" s="59" t="s">
        <v>2880</v>
      </c>
      <c r="B13014" s="60" t="s">
        <v>1079</v>
      </c>
    </row>
    <row r="13015" ht="12.75" customHeight="1">
      <c r="A13015" s="59" t="s">
        <v>2880</v>
      </c>
      <c r="B13015" s="60" t="s">
        <v>1080</v>
      </c>
    </row>
    <row r="13016" ht="12.75" customHeight="1">
      <c r="A13016" s="59" t="s">
        <v>2880</v>
      </c>
      <c r="B13016" s="60" t="s">
        <v>1081</v>
      </c>
    </row>
    <row r="13017" ht="12.75" customHeight="1">
      <c r="A13017" s="59" t="s">
        <v>2880</v>
      </c>
      <c r="B13017" s="60" t="s">
        <v>1082</v>
      </c>
    </row>
    <row r="13018" ht="12.75" customHeight="1">
      <c r="A13018" s="59" t="s">
        <v>2880</v>
      </c>
      <c r="B13018" s="60" t="s">
        <v>1083</v>
      </c>
    </row>
    <row r="13019" ht="12.75" customHeight="1">
      <c r="A13019" s="59" t="s">
        <v>2880</v>
      </c>
      <c r="B13019" s="60" t="s">
        <v>1084</v>
      </c>
    </row>
    <row r="13020" ht="12.75" customHeight="1">
      <c r="A13020" s="59" t="s">
        <v>2880</v>
      </c>
      <c r="B13020" s="60" t="s">
        <v>1085</v>
      </c>
    </row>
    <row r="13021" ht="12.75" customHeight="1">
      <c r="A13021" s="59" t="s">
        <v>2880</v>
      </c>
      <c r="B13021" s="60" t="s">
        <v>1086</v>
      </c>
    </row>
    <row r="13022" ht="12.75" customHeight="1">
      <c r="A13022" s="59" t="s">
        <v>2880</v>
      </c>
      <c r="B13022" s="60" t="s">
        <v>1087</v>
      </c>
    </row>
    <row r="13023" ht="12.75" customHeight="1">
      <c r="A13023" s="59" t="s">
        <v>2880</v>
      </c>
      <c r="B13023" s="60" t="s">
        <v>1088</v>
      </c>
    </row>
    <row r="13024" ht="12.75" customHeight="1">
      <c r="A13024" s="59" t="s">
        <v>2880</v>
      </c>
      <c r="B13024" s="60" t="s">
        <v>1089</v>
      </c>
    </row>
    <row r="13025" ht="12.75" customHeight="1">
      <c r="A13025" s="59" t="s">
        <v>2880</v>
      </c>
      <c r="B13025" s="60" t="s">
        <v>1090</v>
      </c>
    </row>
    <row r="13026" ht="12.75" customHeight="1">
      <c r="A13026" s="59" t="s">
        <v>2880</v>
      </c>
      <c r="B13026" s="60" t="s">
        <v>1091</v>
      </c>
    </row>
    <row r="13027" ht="12.75" customHeight="1">
      <c r="A13027" s="59" t="s">
        <v>2880</v>
      </c>
      <c r="B13027" s="60" t="s">
        <v>1092</v>
      </c>
    </row>
    <row r="13028" ht="12.75" customHeight="1">
      <c r="A13028" s="59" t="s">
        <v>2880</v>
      </c>
      <c r="B13028" s="60" t="s">
        <v>1093</v>
      </c>
    </row>
    <row r="13029" ht="12.75" customHeight="1">
      <c r="A13029" s="59" t="s">
        <v>2880</v>
      </c>
      <c r="B13029" s="60" t="s">
        <v>1094</v>
      </c>
    </row>
    <row r="13030" ht="12.75" customHeight="1">
      <c r="A13030" s="59" t="s">
        <v>2880</v>
      </c>
      <c r="B13030" s="60" t="s">
        <v>1095</v>
      </c>
    </row>
    <row r="13031" ht="12.75" customHeight="1">
      <c r="A13031" s="59" t="s">
        <v>2880</v>
      </c>
      <c r="B13031" s="60" t="s">
        <v>1096</v>
      </c>
    </row>
    <row r="13032" ht="12.75" customHeight="1">
      <c r="A13032" s="59" t="s">
        <v>2880</v>
      </c>
      <c r="B13032" s="60" t="s">
        <v>1097</v>
      </c>
    </row>
    <row r="13033" ht="12.75" customHeight="1">
      <c r="A13033" s="59" t="s">
        <v>2880</v>
      </c>
      <c r="B13033" s="60" t="s">
        <v>1098</v>
      </c>
    </row>
    <row r="13034" ht="12.75" customHeight="1">
      <c r="A13034" s="59" t="s">
        <v>2880</v>
      </c>
      <c r="B13034" s="60" t="s">
        <v>1099</v>
      </c>
    </row>
    <row r="13035" ht="12.75" customHeight="1">
      <c r="A13035" s="59" t="s">
        <v>2880</v>
      </c>
      <c r="B13035" s="60" t="s">
        <v>1100</v>
      </c>
    </row>
    <row r="13036" ht="12.75" customHeight="1">
      <c r="A13036" s="59" t="s">
        <v>2880</v>
      </c>
      <c r="B13036" s="60" t="s">
        <v>1101</v>
      </c>
    </row>
    <row r="13037" ht="12.75" customHeight="1">
      <c r="A13037" s="59" t="s">
        <v>2880</v>
      </c>
      <c r="B13037" s="60" t="s">
        <v>1102</v>
      </c>
    </row>
    <row r="13038" ht="12.75" customHeight="1">
      <c r="A13038" s="59" t="s">
        <v>2880</v>
      </c>
      <c r="B13038" s="60" t="s">
        <v>1103</v>
      </c>
    </row>
    <row r="13039" ht="12.75" customHeight="1">
      <c r="A13039" s="59" t="s">
        <v>2880</v>
      </c>
      <c r="B13039" s="60" t="s">
        <v>1104</v>
      </c>
    </row>
    <row r="13040" ht="12.75" customHeight="1">
      <c r="A13040" s="59" t="s">
        <v>2880</v>
      </c>
      <c r="B13040" s="60" t="s">
        <v>1105</v>
      </c>
    </row>
    <row r="13041" ht="12.75" customHeight="1">
      <c r="A13041" s="59" t="s">
        <v>2880</v>
      </c>
      <c r="B13041" s="60" t="s">
        <v>1106</v>
      </c>
    </row>
    <row r="13042" ht="12.75" customHeight="1">
      <c r="A13042" s="59" t="s">
        <v>2880</v>
      </c>
      <c r="B13042" s="60" t="s">
        <v>1107</v>
      </c>
    </row>
    <row r="13043" ht="12.75" customHeight="1">
      <c r="A13043" s="59" t="s">
        <v>2880</v>
      </c>
      <c r="B13043" s="60" t="s">
        <v>1108</v>
      </c>
    </row>
    <row r="13044" ht="12.75" customHeight="1">
      <c r="A13044" s="59" t="s">
        <v>2880</v>
      </c>
      <c r="B13044" s="60" t="s">
        <v>1109</v>
      </c>
    </row>
    <row r="13045" ht="12.75" customHeight="1">
      <c r="A13045" s="59" t="s">
        <v>2880</v>
      </c>
      <c r="B13045" s="60" t="s">
        <v>1110</v>
      </c>
    </row>
    <row r="13046" ht="12.75" customHeight="1">
      <c r="A13046" s="59" t="s">
        <v>2880</v>
      </c>
      <c r="B13046" s="60" t="s">
        <v>1111</v>
      </c>
    </row>
    <row r="13047" ht="12.75" customHeight="1">
      <c r="A13047" s="59" t="s">
        <v>2880</v>
      </c>
      <c r="B13047" s="60" t="s">
        <v>1112</v>
      </c>
    </row>
    <row r="13048" ht="12.75" customHeight="1">
      <c r="A13048" s="59" t="s">
        <v>2880</v>
      </c>
      <c r="B13048" s="60" t="s">
        <v>1113</v>
      </c>
    </row>
    <row r="13049" ht="12.75" customHeight="1">
      <c r="A13049" s="59" t="s">
        <v>2880</v>
      </c>
      <c r="B13049" s="60" t="s">
        <v>1114</v>
      </c>
    </row>
    <row r="13050" ht="12.75" customHeight="1">
      <c r="A13050" s="59" t="s">
        <v>2880</v>
      </c>
      <c r="B13050" s="60" t="s">
        <v>1115</v>
      </c>
    </row>
    <row r="13051" ht="12.75" customHeight="1">
      <c r="A13051" s="59" t="s">
        <v>2880</v>
      </c>
      <c r="B13051" s="60" t="s">
        <v>1116</v>
      </c>
    </row>
    <row r="13052" ht="12.75" customHeight="1">
      <c r="A13052" s="59" t="s">
        <v>2880</v>
      </c>
      <c r="B13052" s="60" t="s">
        <v>1117</v>
      </c>
    </row>
    <row r="13053" ht="12.75" customHeight="1">
      <c r="A13053" s="59" t="s">
        <v>2880</v>
      </c>
      <c r="B13053" s="60" t="s">
        <v>1118</v>
      </c>
    </row>
    <row r="13054" ht="12.75" customHeight="1">
      <c r="A13054" s="59" t="s">
        <v>2880</v>
      </c>
      <c r="B13054" s="60" t="s">
        <v>1119</v>
      </c>
    </row>
    <row r="13055" ht="12.75" customHeight="1">
      <c r="A13055" s="59" t="s">
        <v>2880</v>
      </c>
      <c r="B13055" s="60" t="s">
        <v>1120</v>
      </c>
    </row>
    <row r="13056" ht="12.75" customHeight="1">
      <c r="A13056" s="59" t="s">
        <v>2880</v>
      </c>
      <c r="B13056" s="60" t="s">
        <v>1121</v>
      </c>
    </row>
    <row r="13057" ht="12.75" customHeight="1">
      <c r="A13057" s="59" t="s">
        <v>2880</v>
      </c>
      <c r="B13057" s="60" t="s">
        <v>1122</v>
      </c>
    </row>
    <row r="13058" ht="12.75" customHeight="1">
      <c r="A13058" s="59" t="s">
        <v>2880</v>
      </c>
      <c r="B13058" s="60" t="s">
        <v>1123</v>
      </c>
    </row>
    <row r="13059" ht="12.75" customHeight="1">
      <c r="A13059" s="59" t="s">
        <v>2880</v>
      </c>
      <c r="B13059" s="60" t="s">
        <v>1124</v>
      </c>
    </row>
    <row r="13060" ht="12.75" customHeight="1">
      <c r="A13060" s="59" t="s">
        <v>2880</v>
      </c>
      <c r="B13060" s="60" t="s">
        <v>1125</v>
      </c>
    </row>
    <row r="13061" ht="12.75" customHeight="1">
      <c r="A13061" s="59" t="s">
        <v>2880</v>
      </c>
      <c r="B13061" s="60" t="s">
        <v>1126</v>
      </c>
    </row>
    <row r="13062" ht="12.75" customHeight="1">
      <c r="A13062" s="59" t="s">
        <v>2880</v>
      </c>
      <c r="B13062" s="60" t="s">
        <v>1127</v>
      </c>
    </row>
    <row r="13063" ht="12.75" customHeight="1">
      <c r="A13063" s="59" t="s">
        <v>2880</v>
      </c>
      <c r="B13063" s="60" t="s">
        <v>1128</v>
      </c>
    </row>
    <row r="13064" ht="12.75" customHeight="1">
      <c r="A13064" s="59" t="s">
        <v>2880</v>
      </c>
      <c r="B13064" s="60" t="s">
        <v>1129</v>
      </c>
    </row>
    <row r="13065" ht="12.75" customHeight="1">
      <c r="A13065" s="59" t="s">
        <v>2880</v>
      </c>
      <c r="B13065" s="60" t="s">
        <v>1130</v>
      </c>
    </row>
    <row r="13066" ht="12.75" customHeight="1">
      <c r="A13066" s="59" t="s">
        <v>2880</v>
      </c>
      <c r="B13066" s="60" t="s">
        <v>1131</v>
      </c>
    </row>
    <row r="13067" ht="12.75" customHeight="1">
      <c r="A13067" s="59" t="s">
        <v>2880</v>
      </c>
      <c r="B13067" s="60" t="s">
        <v>1132</v>
      </c>
    </row>
    <row r="13068" ht="12.75" customHeight="1">
      <c r="A13068" s="59" t="s">
        <v>2880</v>
      </c>
      <c r="B13068" s="60" t="s">
        <v>1133</v>
      </c>
    </row>
    <row r="13069" ht="12.75" customHeight="1">
      <c r="A13069" s="59" t="s">
        <v>2880</v>
      </c>
      <c r="B13069" s="60" t="s">
        <v>1134</v>
      </c>
    </row>
    <row r="13070" ht="12.75" customHeight="1">
      <c r="A13070" s="59" t="s">
        <v>2880</v>
      </c>
      <c r="B13070" s="60" t="s">
        <v>1135</v>
      </c>
    </row>
    <row r="13071" ht="12.75" customHeight="1">
      <c r="A13071" s="59" t="s">
        <v>2880</v>
      </c>
      <c r="B13071" s="60" t="s">
        <v>1136</v>
      </c>
    </row>
    <row r="13072" ht="12.75" customHeight="1">
      <c r="A13072" s="59" t="s">
        <v>2880</v>
      </c>
      <c r="B13072" s="60" t="s">
        <v>1137</v>
      </c>
    </row>
    <row r="13073" ht="12.75" customHeight="1">
      <c r="A13073" s="59" t="s">
        <v>2880</v>
      </c>
      <c r="B13073" s="60" t="s">
        <v>1138</v>
      </c>
    </row>
    <row r="13074" ht="12.75" customHeight="1">
      <c r="A13074" s="59" t="s">
        <v>2880</v>
      </c>
      <c r="B13074" s="60" t="s">
        <v>1139</v>
      </c>
    </row>
    <row r="13075" ht="12.75" customHeight="1">
      <c r="A13075" s="59" t="s">
        <v>2880</v>
      </c>
      <c r="B13075" s="60" t="s">
        <v>1140</v>
      </c>
    </row>
    <row r="13076" ht="12.75" customHeight="1">
      <c r="A13076" s="59" t="s">
        <v>2880</v>
      </c>
      <c r="B13076" s="60" t="s">
        <v>1141</v>
      </c>
    </row>
    <row r="13077" ht="12.75" customHeight="1">
      <c r="A13077" s="59" t="s">
        <v>2880</v>
      </c>
      <c r="B13077" s="60" t="s">
        <v>1142</v>
      </c>
    </row>
    <row r="13078" ht="12.75" customHeight="1">
      <c r="A13078" s="59" t="s">
        <v>2880</v>
      </c>
      <c r="B13078" s="60" t="s">
        <v>1143</v>
      </c>
    </row>
    <row r="13079" ht="12.75" customHeight="1">
      <c r="A13079" s="59" t="s">
        <v>2880</v>
      </c>
      <c r="B13079" s="60" t="s">
        <v>1144</v>
      </c>
    </row>
    <row r="13080" ht="12.75" customHeight="1">
      <c r="A13080" s="59" t="s">
        <v>2880</v>
      </c>
      <c r="B13080" s="60" t="s">
        <v>1145</v>
      </c>
    </row>
    <row r="13081" ht="12.75" customHeight="1">
      <c r="A13081" s="59" t="s">
        <v>2880</v>
      </c>
      <c r="B13081" s="60" t="s">
        <v>1146</v>
      </c>
    </row>
    <row r="13082" ht="12.75" customHeight="1">
      <c r="A13082" s="59" t="s">
        <v>2880</v>
      </c>
      <c r="B13082" s="60" t="s">
        <v>1147</v>
      </c>
    </row>
    <row r="13083" ht="12.75" customHeight="1">
      <c r="A13083" s="59" t="s">
        <v>2880</v>
      </c>
      <c r="B13083" s="60" t="s">
        <v>1148</v>
      </c>
    </row>
    <row r="13084" ht="12.75" customHeight="1">
      <c r="A13084" s="59" t="s">
        <v>2880</v>
      </c>
      <c r="B13084" s="60" t="s">
        <v>1149</v>
      </c>
    </row>
    <row r="13085" ht="12.75" customHeight="1">
      <c r="A13085" s="59" t="s">
        <v>2880</v>
      </c>
      <c r="B13085" s="60" t="s">
        <v>1150</v>
      </c>
    </row>
    <row r="13086" ht="12.75" customHeight="1">
      <c r="A13086" s="59" t="s">
        <v>2880</v>
      </c>
      <c r="B13086" s="60" t="s">
        <v>1151</v>
      </c>
    </row>
    <row r="13087" ht="12.75" customHeight="1">
      <c r="A13087" s="59" t="s">
        <v>2880</v>
      </c>
      <c r="B13087" s="60" t="s">
        <v>1152</v>
      </c>
    </row>
    <row r="13088" ht="12.75" customHeight="1">
      <c r="A13088" s="59" t="s">
        <v>2880</v>
      </c>
      <c r="B13088" s="60" t="s">
        <v>1153</v>
      </c>
    </row>
    <row r="13089" ht="12.75" customHeight="1">
      <c r="A13089" s="59" t="s">
        <v>2880</v>
      </c>
      <c r="B13089" s="60" t="s">
        <v>1154</v>
      </c>
    </row>
    <row r="13090" ht="12.75" customHeight="1">
      <c r="A13090" s="59" t="s">
        <v>2880</v>
      </c>
      <c r="B13090" s="60" t="s">
        <v>1155</v>
      </c>
    </row>
    <row r="13091" ht="12.75" customHeight="1">
      <c r="A13091" s="59" t="s">
        <v>2880</v>
      </c>
      <c r="B13091" s="60" t="s">
        <v>1156</v>
      </c>
    </row>
    <row r="13092" ht="12.75" customHeight="1">
      <c r="A13092" s="59" t="s">
        <v>2880</v>
      </c>
      <c r="B13092" s="60" t="s">
        <v>1157</v>
      </c>
    </row>
    <row r="13093" ht="12.75" customHeight="1">
      <c r="A13093" s="59" t="s">
        <v>2880</v>
      </c>
      <c r="B13093" s="60" t="s">
        <v>1158</v>
      </c>
    </row>
    <row r="13094" ht="12.75" customHeight="1">
      <c r="A13094" s="59" t="s">
        <v>2880</v>
      </c>
      <c r="B13094" s="60" t="s">
        <v>1159</v>
      </c>
    </row>
    <row r="13095" ht="12.75" customHeight="1">
      <c r="A13095" s="59" t="s">
        <v>2880</v>
      </c>
      <c r="B13095" s="60" t="s">
        <v>1160</v>
      </c>
    </row>
    <row r="13096" ht="12.75" customHeight="1">
      <c r="A13096" s="59" t="s">
        <v>2880</v>
      </c>
      <c r="B13096" s="60" t="s">
        <v>1161</v>
      </c>
    </row>
    <row r="13097" ht="12.75" customHeight="1">
      <c r="A13097" s="59" t="s">
        <v>2880</v>
      </c>
      <c r="B13097" s="60" t="s">
        <v>1162</v>
      </c>
    </row>
    <row r="13098" ht="12.75" customHeight="1">
      <c r="A13098" s="59" t="s">
        <v>2880</v>
      </c>
      <c r="B13098" s="60" t="s">
        <v>1163</v>
      </c>
    </row>
    <row r="13099" ht="12.75" customHeight="1">
      <c r="A13099" s="59" t="s">
        <v>2880</v>
      </c>
      <c r="B13099" s="60" t="s">
        <v>1164</v>
      </c>
    </row>
    <row r="13100" ht="12.75" customHeight="1">
      <c r="A13100" s="59" t="s">
        <v>2880</v>
      </c>
      <c r="B13100" s="60" t="s">
        <v>1165</v>
      </c>
    </row>
    <row r="13101" ht="12.75" customHeight="1">
      <c r="A13101" s="59" t="s">
        <v>2880</v>
      </c>
      <c r="B13101" s="60" t="s">
        <v>1166</v>
      </c>
    </row>
    <row r="13102" ht="12.75" customHeight="1">
      <c r="A13102" s="59" t="s">
        <v>2880</v>
      </c>
      <c r="B13102" s="60" t="s">
        <v>1167</v>
      </c>
    </row>
    <row r="13103" ht="12.75" customHeight="1">
      <c r="A13103" s="59" t="s">
        <v>2880</v>
      </c>
      <c r="B13103" s="60" t="s">
        <v>1168</v>
      </c>
    </row>
    <row r="13104" ht="12.75" customHeight="1">
      <c r="A13104" s="59" t="s">
        <v>2880</v>
      </c>
      <c r="B13104" s="60" t="s">
        <v>1169</v>
      </c>
    </row>
    <row r="13105" ht="12.75" customHeight="1">
      <c r="A13105" s="59" t="s">
        <v>2880</v>
      </c>
      <c r="B13105" s="60" t="s">
        <v>1170</v>
      </c>
    </row>
    <row r="13106" ht="12.75" customHeight="1">
      <c r="A13106" s="59" t="s">
        <v>2880</v>
      </c>
      <c r="B13106" s="60" t="s">
        <v>1171</v>
      </c>
    </row>
    <row r="13107" ht="12.75" customHeight="1">
      <c r="A13107" s="59" t="s">
        <v>2880</v>
      </c>
      <c r="B13107" s="60" t="s">
        <v>1172</v>
      </c>
    </row>
    <row r="13108" ht="12.75" customHeight="1">
      <c r="A13108" s="59" t="s">
        <v>2880</v>
      </c>
      <c r="B13108" s="60" t="s">
        <v>1173</v>
      </c>
    </row>
    <row r="13109" ht="12.75" customHeight="1">
      <c r="A13109" s="59" t="s">
        <v>2880</v>
      </c>
      <c r="B13109" s="60" t="s">
        <v>1174</v>
      </c>
    </row>
    <row r="13110" ht="12.75" customHeight="1">
      <c r="A13110" s="59" t="s">
        <v>2880</v>
      </c>
      <c r="B13110" s="60" t="s">
        <v>1175</v>
      </c>
    </row>
    <row r="13111" ht="12.75" customHeight="1">
      <c r="A13111" s="59" t="s">
        <v>2880</v>
      </c>
      <c r="B13111" s="60" t="s">
        <v>1176</v>
      </c>
    </row>
    <row r="13112" ht="12.75" customHeight="1">
      <c r="A13112" s="59" t="s">
        <v>2880</v>
      </c>
      <c r="B13112" s="60" t="s">
        <v>1177</v>
      </c>
    </row>
    <row r="13113" ht="12.75" customHeight="1">
      <c r="A13113" s="59" t="s">
        <v>2880</v>
      </c>
      <c r="B13113" s="60" t="s">
        <v>1178</v>
      </c>
    </row>
    <row r="13114" ht="12.75" customHeight="1">
      <c r="A13114" s="59" t="s">
        <v>2880</v>
      </c>
      <c r="B13114" s="60" t="s">
        <v>1179</v>
      </c>
    </row>
    <row r="13115" ht="12.75" customHeight="1">
      <c r="A13115" s="59" t="s">
        <v>2880</v>
      </c>
      <c r="B13115" s="60" t="s">
        <v>1180</v>
      </c>
    </row>
    <row r="13116" ht="12.75" customHeight="1">
      <c r="A13116" s="59" t="s">
        <v>2880</v>
      </c>
      <c r="B13116" s="60" t="s">
        <v>1181</v>
      </c>
    </row>
    <row r="13117" ht="12.75" customHeight="1">
      <c r="A13117" s="59" t="s">
        <v>2880</v>
      </c>
      <c r="B13117" s="60" t="s">
        <v>1182</v>
      </c>
    </row>
    <row r="13118" ht="12.75" customHeight="1">
      <c r="A13118" s="59" t="s">
        <v>2880</v>
      </c>
      <c r="B13118" s="60" t="s">
        <v>1183</v>
      </c>
    </row>
    <row r="13119" ht="12.75" customHeight="1">
      <c r="A13119" s="59" t="s">
        <v>2880</v>
      </c>
      <c r="B13119" s="60" t="s">
        <v>1184</v>
      </c>
    </row>
    <row r="13120" ht="12.75" customHeight="1">
      <c r="A13120" s="59" t="s">
        <v>2880</v>
      </c>
      <c r="B13120" s="60" t="s">
        <v>1185</v>
      </c>
    </row>
    <row r="13121" ht="12.75" customHeight="1">
      <c r="A13121" s="59" t="s">
        <v>2880</v>
      </c>
      <c r="B13121" s="60" t="s">
        <v>1186</v>
      </c>
    </row>
    <row r="13122" ht="12.75" customHeight="1">
      <c r="A13122" s="59" t="s">
        <v>2880</v>
      </c>
      <c r="B13122" s="60" t="s">
        <v>1187</v>
      </c>
    </row>
    <row r="13123" ht="12.75" customHeight="1">
      <c r="A13123" s="59" t="s">
        <v>2880</v>
      </c>
      <c r="B13123" s="60" t="s">
        <v>1188</v>
      </c>
    </row>
    <row r="13124" ht="12.75" customHeight="1">
      <c r="A13124" s="59" t="s">
        <v>2880</v>
      </c>
      <c r="B13124" s="60" t="s">
        <v>1189</v>
      </c>
    </row>
    <row r="13125" ht="12.75" customHeight="1">
      <c r="A13125" s="59" t="s">
        <v>2880</v>
      </c>
      <c r="B13125" s="60" t="s">
        <v>1190</v>
      </c>
    </row>
    <row r="13126" ht="12.75" customHeight="1">
      <c r="A13126" s="59" t="s">
        <v>2880</v>
      </c>
      <c r="B13126" s="60" t="s">
        <v>1191</v>
      </c>
    </row>
    <row r="13127" ht="12.75" customHeight="1">
      <c r="A13127" s="59" t="s">
        <v>2880</v>
      </c>
      <c r="B13127" s="60" t="s">
        <v>1192</v>
      </c>
    </row>
    <row r="13128" ht="12.75" customHeight="1">
      <c r="A13128" s="59" t="s">
        <v>2881</v>
      </c>
      <c r="B13128" s="60">
        <v>0.0</v>
      </c>
    </row>
    <row r="13129" ht="12.75" customHeight="1">
      <c r="A13129" s="59" t="s">
        <v>2881</v>
      </c>
      <c r="B13129" s="60">
        <v>0.0</v>
      </c>
    </row>
    <row r="13130" ht="12.75" customHeight="1">
      <c r="A13130" s="59" t="s">
        <v>2881</v>
      </c>
      <c r="B13130" s="60">
        <v>2.0</v>
      </c>
    </row>
    <row r="13131" ht="12.75" customHeight="1">
      <c r="A13131" s="59" t="s">
        <v>2881</v>
      </c>
      <c r="B13131" s="60">
        <v>4.0</v>
      </c>
    </row>
    <row r="13132" ht="12.75" customHeight="1">
      <c r="A13132" s="59" t="s">
        <v>2881</v>
      </c>
      <c r="B13132" s="60">
        <v>6.0</v>
      </c>
    </row>
    <row r="13133" ht="12.75" customHeight="1">
      <c r="A13133" s="59" t="s">
        <v>2881</v>
      </c>
      <c r="B13133" s="60">
        <v>8.0</v>
      </c>
    </row>
    <row r="13134" ht="12.75" customHeight="1">
      <c r="A13134" s="59" t="s">
        <v>2881</v>
      </c>
      <c r="B13134" s="60">
        <v>10.0</v>
      </c>
    </row>
    <row r="13135" ht="12.75" customHeight="1">
      <c r="A13135" s="59" t="s">
        <v>2881</v>
      </c>
      <c r="B13135" s="60">
        <v>12.0</v>
      </c>
    </row>
    <row r="13136" ht="12.75" customHeight="1">
      <c r="A13136" s="59" t="s">
        <v>2881</v>
      </c>
      <c r="B13136" s="60" t="s">
        <v>803</v>
      </c>
    </row>
    <row r="13137" ht="12.75" customHeight="1">
      <c r="A13137" s="59" t="s">
        <v>2881</v>
      </c>
      <c r="B13137" s="60" t="s">
        <v>804</v>
      </c>
    </row>
    <row r="13138" ht="12.75" customHeight="1">
      <c r="A13138" s="59" t="s">
        <v>2881</v>
      </c>
      <c r="B13138" s="60" t="s">
        <v>76</v>
      </c>
    </row>
    <row r="13139" ht="12.75" customHeight="1">
      <c r="A13139" s="59" t="s">
        <v>2881</v>
      </c>
      <c r="B13139" s="60" t="s">
        <v>80</v>
      </c>
    </row>
    <row r="13140" ht="12.75" customHeight="1">
      <c r="A13140" s="59" t="s">
        <v>2881</v>
      </c>
      <c r="B13140" s="60" t="s">
        <v>83</v>
      </c>
    </row>
    <row r="13141" ht="12.75" customHeight="1">
      <c r="A13141" s="59" t="s">
        <v>2881</v>
      </c>
      <c r="B13141" s="60" t="s">
        <v>85</v>
      </c>
    </row>
    <row r="13142" ht="12.75" customHeight="1">
      <c r="A13142" s="59" t="s">
        <v>2881</v>
      </c>
      <c r="B13142" s="60" t="s">
        <v>805</v>
      </c>
    </row>
    <row r="13143" ht="12.75" customHeight="1">
      <c r="A13143" s="59" t="s">
        <v>2881</v>
      </c>
      <c r="B13143" s="60" t="s">
        <v>806</v>
      </c>
    </row>
    <row r="13144" ht="12.75" customHeight="1">
      <c r="A13144" s="59" t="s">
        <v>2881</v>
      </c>
      <c r="B13144" s="60" t="s">
        <v>807</v>
      </c>
    </row>
    <row r="13145" ht="12.75" customHeight="1">
      <c r="A13145" s="59" t="s">
        <v>2881</v>
      </c>
      <c r="B13145" s="60" t="s">
        <v>753</v>
      </c>
    </row>
    <row r="13146" ht="12.75" customHeight="1">
      <c r="A13146" s="59" t="s">
        <v>2881</v>
      </c>
      <c r="B13146" s="60" t="s">
        <v>757</v>
      </c>
    </row>
    <row r="13147" ht="12.75" customHeight="1">
      <c r="A13147" s="59" t="s">
        <v>2881</v>
      </c>
      <c r="B13147" s="60" t="s">
        <v>761</v>
      </c>
    </row>
    <row r="13148" ht="12.75" customHeight="1">
      <c r="A13148" s="59" t="s">
        <v>2881</v>
      </c>
      <c r="B13148" s="60" t="s">
        <v>765</v>
      </c>
    </row>
    <row r="13149" ht="12.75" customHeight="1">
      <c r="A13149" s="59" t="s">
        <v>2881</v>
      </c>
      <c r="B13149" s="60" t="s">
        <v>808</v>
      </c>
    </row>
    <row r="13150" ht="12.75" customHeight="1">
      <c r="A13150" s="59" t="s">
        <v>2881</v>
      </c>
      <c r="B13150" s="60" t="s">
        <v>809</v>
      </c>
    </row>
    <row r="13151" ht="12.75" customHeight="1">
      <c r="A13151" s="59" t="s">
        <v>2881</v>
      </c>
      <c r="B13151" s="60" t="s">
        <v>810</v>
      </c>
    </row>
    <row r="13152" ht="12.75" customHeight="1">
      <c r="A13152" s="59" t="s">
        <v>2881</v>
      </c>
      <c r="B13152" s="60" t="s">
        <v>811</v>
      </c>
    </row>
    <row r="13153" ht="12.75" customHeight="1">
      <c r="A13153" s="59" t="s">
        <v>2881</v>
      </c>
      <c r="B13153" s="60" t="s">
        <v>812</v>
      </c>
    </row>
    <row r="13154" ht="12.75" customHeight="1">
      <c r="A13154" s="59" t="s">
        <v>2881</v>
      </c>
      <c r="B13154" s="60" t="s">
        <v>813</v>
      </c>
    </row>
    <row r="13155" ht="12.75" customHeight="1">
      <c r="A13155" s="59" t="s">
        <v>2881</v>
      </c>
      <c r="B13155" s="60" t="s">
        <v>814</v>
      </c>
    </row>
    <row r="13156" ht="12.75" customHeight="1">
      <c r="A13156" s="59" t="s">
        <v>2881</v>
      </c>
      <c r="B13156" s="60" t="s">
        <v>815</v>
      </c>
    </row>
    <row r="13157" ht="12.75" customHeight="1">
      <c r="A13157" s="59" t="s">
        <v>2881</v>
      </c>
      <c r="B13157" s="60" t="s">
        <v>816</v>
      </c>
    </row>
    <row r="13158" ht="12.75" customHeight="1">
      <c r="A13158" s="59" t="s">
        <v>2881</v>
      </c>
      <c r="B13158" s="60" t="s">
        <v>771</v>
      </c>
    </row>
    <row r="13159" ht="12.75" customHeight="1">
      <c r="A13159" s="59" t="s">
        <v>2881</v>
      </c>
      <c r="B13159" s="60" t="s">
        <v>775</v>
      </c>
    </row>
    <row r="13160" ht="12.75" customHeight="1">
      <c r="A13160" s="59" t="s">
        <v>2881</v>
      </c>
      <c r="B13160" s="60" t="s">
        <v>779</v>
      </c>
    </row>
    <row r="13161" ht="12.75" customHeight="1">
      <c r="A13161" s="59" t="s">
        <v>2881</v>
      </c>
      <c r="B13161" s="60" t="s">
        <v>783</v>
      </c>
    </row>
    <row r="13162" ht="12.75" customHeight="1">
      <c r="A13162" s="59" t="s">
        <v>2881</v>
      </c>
      <c r="B13162" s="60" t="s">
        <v>817</v>
      </c>
    </row>
    <row r="13163" ht="12.75" customHeight="1">
      <c r="A13163" s="59" t="s">
        <v>2881</v>
      </c>
      <c r="B13163" s="60" t="s">
        <v>818</v>
      </c>
    </row>
    <row r="13164" ht="12.75" customHeight="1">
      <c r="A13164" s="59" t="s">
        <v>2881</v>
      </c>
      <c r="B13164" s="60" t="s">
        <v>819</v>
      </c>
    </row>
    <row r="13165" ht="12.75" customHeight="1">
      <c r="A13165" s="59" t="s">
        <v>2881</v>
      </c>
      <c r="B13165" s="60" t="s">
        <v>820</v>
      </c>
    </row>
    <row r="13166" ht="12.75" customHeight="1">
      <c r="A13166" s="59" t="s">
        <v>2881</v>
      </c>
      <c r="B13166" s="60" t="s">
        <v>821</v>
      </c>
    </row>
    <row r="13167" ht="12.75" customHeight="1">
      <c r="A13167" s="59" t="s">
        <v>2881</v>
      </c>
      <c r="B13167" s="60" t="s">
        <v>822</v>
      </c>
    </row>
    <row r="13168" ht="12.75" customHeight="1">
      <c r="A13168" s="59" t="s">
        <v>2881</v>
      </c>
      <c r="B13168" s="60" t="s">
        <v>823</v>
      </c>
    </row>
    <row r="13169" ht="12.75" customHeight="1">
      <c r="A13169" s="59" t="s">
        <v>2881</v>
      </c>
      <c r="B13169" s="60" t="s">
        <v>824</v>
      </c>
    </row>
    <row r="13170" ht="12.75" customHeight="1">
      <c r="A13170" s="59" t="s">
        <v>2881</v>
      </c>
      <c r="B13170" s="60" t="s">
        <v>825</v>
      </c>
    </row>
    <row r="13171" ht="12.75" customHeight="1">
      <c r="A13171" s="59" t="s">
        <v>2881</v>
      </c>
      <c r="B13171" s="60" t="s">
        <v>788</v>
      </c>
    </row>
    <row r="13172" ht="12.75" customHeight="1">
      <c r="A13172" s="59" t="s">
        <v>2881</v>
      </c>
      <c r="B13172" s="60" t="s">
        <v>792</v>
      </c>
    </row>
    <row r="13173" ht="12.75" customHeight="1">
      <c r="A13173" s="59" t="s">
        <v>2881</v>
      </c>
      <c r="B13173" s="60" t="s">
        <v>796</v>
      </c>
    </row>
    <row r="13174" ht="12.75" customHeight="1">
      <c r="A13174" s="59" t="s">
        <v>2881</v>
      </c>
      <c r="B13174" s="60" t="s">
        <v>800</v>
      </c>
    </row>
    <row r="13175" ht="12.75" customHeight="1">
      <c r="A13175" s="59" t="s">
        <v>2881</v>
      </c>
      <c r="B13175" s="60" t="s">
        <v>826</v>
      </c>
    </row>
    <row r="13176" ht="12.75" customHeight="1">
      <c r="A13176" s="59" t="s">
        <v>2881</v>
      </c>
      <c r="B13176" s="60" t="s">
        <v>827</v>
      </c>
    </row>
    <row r="13177" ht="12.75" customHeight="1">
      <c r="A13177" s="59" t="s">
        <v>2881</v>
      </c>
      <c r="B13177" s="60" t="s">
        <v>828</v>
      </c>
    </row>
    <row r="13178" ht="12.75" customHeight="1">
      <c r="A13178" s="59" t="s">
        <v>2881</v>
      </c>
      <c r="B13178" s="60" t="s">
        <v>829</v>
      </c>
    </row>
    <row r="13179" ht="12.75" customHeight="1">
      <c r="A13179" s="59" t="s">
        <v>2881</v>
      </c>
      <c r="B13179" s="60" t="s">
        <v>830</v>
      </c>
    </row>
    <row r="13180" ht="12.75" customHeight="1">
      <c r="A13180" s="59" t="s">
        <v>2881</v>
      </c>
      <c r="B13180" s="60" t="s">
        <v>831</v>
      </c>
    </row>
    <row r="13181" ht="12.75" customHeight="1">
      <c r="A13181" s="59" t="s">
        <v>2881</v>
      </c>
      <c r="B13181" s="60" t="s">
        <v>832</v>
      </c>
    </row>
    <row r="13182" ht="12.75" customHeight="1">
      <c r="A13182" s="59" t="s">
        <v>2881</v>
      </c>
      <c r="B13182" s="60" t="s">
        <v>833</v>
      </c>
    </row>
    <row r="13183" ht="12.75" customHeight="1">
      <c r="A13183" s="59" t="s">
        <v>2881</v>
      </c>
      <c r="B13183" s="60" t="s">
        <v>834</v>
      </c>
    </row>
    <row r="13184" ht="12.75" customHeight="1">
      <c r="A13184" s="59" t="s">
        <v>2881</v>
      </c>
      <c r="B13184" s="60">
        <v>14.0</v>
      </c>
    </row>
    <row r="13185" ht="12.75" customHeight="1">
      <c r="A13185" s="59" t="s">
        <v>2881</v>
      </c>
      <c r="B13185" s="60" t="s">
        <v>835</v>
      </c>
    </row>
    <row r="13186" ht="12.75" customHeight="1">
      <c r="A13186" s="59" t="s">
        <v>2881</v>
      </c>
      <c r="B13186" s="60">
        <v>16.0</v>
      </c>
    </row>
    <row r="13187" ht="12.75" customHeight="1">
      <c r="A13187" s="59" t="s">
        <v>2881</v>
      </c>
      <c r="B13187" s="60" t="s">
        <v>836</v>
      </c>
    </row>
    <row r="13188" ht="12.75" customHeight="1">
      <c r="A13188" s="59" t="s">
        <v>2881</v>
      </c>
      <c r="B13188" s="60">
        <v>18.0</v>
      </c>
    </row>
    <row r="13189" ht="12.75" customHeight="1">
      <c r="A13189" s="59" t="s">
        <v>2881</v>
      </c>
      <c r="B13189" s="60" t="s">
        <v>837</v>
      </c>
    </row>
    <row r="13190" ht="12.75" customHeight="1">
      <c r="A13190" s="59" t="s">
        <v>2881</v>
      </c>
      <c r="B13190" s="60">
        <v>20.0</v>
      </c>
    </row>
    <row r="13191" ht="12.75" customHeight="1">
      <c r="A13191" s="59" t="s">
        <v>2881</v>
      </c>
      <c r="B13191" s="60" t="s">
        <v>838</v>
      </c>
    </row>
    <row r="13192" ht="12.75" customHeight="1">
      <c r="A13192" s="59" t="s">
        <v>2881</v>
      </c>
      <c r="B13192" s="60">
        <v>22.0</v>
      </c>
    </row>
    <row r="13193" ht="12.75" customHeight="1">
      <c r="A13193" s="59" t="s">
        <v>2881</v>
      </c>
      <c r="B13193" s="60" t="s">
        <v>839</v>
      </c>
    </row>
    <row r="13194" ht="12.75" customHeight="1">
      <c r="A13194" s="59" t="s">
        <v>2881</v>
      </c>
      <c r="B13194" s="60">
        <v>24.0</v>
      </c>
    </row>
    <row r="13195" ht="12.75" customHeight="1">
      <c r="A13195" s="59" t="s">
        <v>2881</v>
      </c>
      <c r="B13195" s="60" t="s">
        <v>840</v>
      </c>
    </row>
    <row r="13196" ht="12.75" customHeight="1">
      <c r="A13196" s="59" t="s">
        <v>2881</v>
      </c>
      <c r="B13196" s="60">
        <v>26.0</v>
      </c>
    </row>
    <row r="13197" ht="12.75" customHeight="1">
      <c r="A13197" s="59" t="s">
        <v>2881</v>
      </c>
      <c r="B13197" s="60" t="s">
        <v>841</v>
      </c>
    </row>
    <row r="13198" ht="12.75" customHeight="1">
      <c r="A13198" s="59" t="s">
        <v>2881</v>
      </c>
      <c r="B13198" s="60">
        <v>28.0</v>
      </c>
    </row>
    <row r="13199" ht="12.75" customHeight="1">
      <c r="A13199" s="59" t="s">
        <v>2881</v>
      </c>
      <c r="B13199" s="60" t="s">
        <v>842</v>
      </c>
    </row>
    <row r="13200" ht="12.75" customHeight="1">
      <c r="A13200" s="59" t="s">
        <v>2881</v>
      </c>
      <c r="B13200" s="60">
        <v>30.0</v>
      </c>
    </row>
    <row r="13201" ht="12.75" customHeight="1">
      <c r="A13201" s="59" t="s">
        <v>2881</v>
      </c>
      <c r="B13201" s="60" t="s">
        <v>843</v>
      </c>
    </row>
    <row r="13202" ht="12.75" customHeight="1">
      <c r="A13202" s="59" t="s">
        <v>2881</v>
      </c>
      <c r="B13202" s="60">
        <v>32.0</v>
      </c>
    </row>
    <row r="13203" ht="12.75" customHeight="1">
      <c r="A13203" s="59" t="s">
        <v>2881</v>
      </c>
      <c r="B13203" s="60" t="s">
        <v>844</v>
      </c>
    </row>
    <row r="13204" ht="12.75" customHeight="1">
      <c r="A13204" s="59" t="s">
        <v>2881</v>
      </c>
      <c r="B13204" s="60" t="s">
        <v>845</v>
      </c>
    </row>
    <row r="13205" ht="12.75" customHeight="1">
      <c r="A13205" s="59" t="s">
        <v>2881</v>
      </c>
      <c r="B13205" s="60" t="s">
        <v>846</v>
      </c>
    </row>
    <row r="13206" ht="12.75" customHeight="1">
      <c r="A13206" s="59" t="s">
        <v>2881</v>
      </c>
      <c r="B13206" s="60" t="s">
        <v>847</v>
      </c>
    </row>
    <row r="13207" ht="12.75" customHeight="1">
      <c r="A13207" s="59" t="s">
        <v>2881</v>
      </c>
      <c r="B13207" s="60" t="s">
        <v>848</v>
      </c>
    </row>
    <row r="13208" ht="12.75" customHeight="1">
      <c r="A13208" s="59" t="s">
        <v>2881</v>
      </c>
      <c r="B13208" s="60" t="s">
        <v>849</v>
      </c>
    </row>
    <row r="13209" ht="12.75" customHeight="1">
      <c r="A13209" s="59" t="s">
        <v>2881</v>
      </c>
      <c r="B13209" s="60" t="s">
        <v>850</v>
      </c>
    </row>
    <row r="13210" ht="12.75" customHeight="1">
      <c r="A13210" s="59" t="s">
        <v>2881</v>
      </c>
      <c r="B13210" s="60" t="s">
        <v>851</v>
      </c>
    </row>
    <row r="13211" ht="12.75" customHeight="1">
      <c r="A13211" s="59" t="s">
        <v>2881</v>
      </c>
      <c r="B13211" s="60" t="s">
        <v>852</v>
      </c>
    </row>
    <row r="13212" ht="12.75" customHeight="1">
      <c r="A13212" s="59" t="s">
        <v>2881</v>
      </c>
      <c r="B13212" s="60" t="s">
        <v>853</v>
      </c>
    </row>
    <row r="13213" ht="12.75" customHeight="1">
      <c r="A13213" s="59" t="s">
        <v>2881</v>
      </c>
      <c r="B13213" s="60" t="s">
        <v>854</v>
      </c>
    </row>
    <row r="13214" ht="12.75" customHeight="1">
      <c r="A13214" s="59" t="s">
        <v>2881</v>
      </c>
      <c r="B13214" s="60" t="s">
        <v>855</v>
      </c>
    </row>
    <row r="13215" ht="12.75" customHeight="1">
      <c r="A13215" s="59" t="s">
        <v>2881</v>
      </c>
      <c r="B13215" s="60" t="s">
        <v>856</v>
      </c>
    </row>
    <row r="13216" ht="12.75" customHeight="1">
      <c r="A13216" s="59" t="s">
        <v>2881</v>
      </c>
      <c r="B13216" s="60" t="s">
        <v>857</v>
      </c>
    </row>
    <row r="13217" ht="12.75" customHeight="1">
      <c r="A13217" s="59" t="s">
        <v>2881</v>
      </c>
      <c r="B13217" s="60" t="s">
        <v>858</v>
      </c>
    </row>
    <row r="13218" ht="12.75" customHeight="1">
      <c r="A13218" s="59" t="s">
        <v>2881</v>
      </c>
      <c r="B13218" s="60" t="s">
        <v>859</v>
      </c>
    </row>
    <row r="13219" ht="12.75" customHeight="1">
      <c r="A13219" s="59" t="s">
        <v>2881</v>
      </c>
      <c r="B13219" s="60" t="s">
        <v>860</v>
      </c>
    </row>
    <row r="13220" ht="12.75" customHeight="1">
      <c r="A13220" s="59" t="s">
        <v>2881</v>
      </c>
      <c r="B13220" s="60" t="s">
        <v>861</v>
      </c>
    </row>
    <row r="13221" ht="12.75" customHeight="1">
      <c r="A13221" s="59" t="s">
        <v>2881</v>
      </c>
      <c r="B13221" s="60" t="s">
        <v>862</v>
      </c>
    </row>
    <row r="13222" ht="12.75" customHeight="1">
      <c r="A13222" s="59" t="s">
        <v>2881</v>
      </c>
      <c r="B13222" s="60" t="s">
        <v>863</v>
      </c>
    </row>
    <row r="13223" ht="12.75" customHeight="1">
      <c r="A13223" s="59" t="s">
        <v>2881</v>
      </c>
      <c r="B13223" s="60" t="s">
        <v>864</v>
      </c>
    </row>
    <row r="13224" ht="12.75" customHeight="1">
      <c r="A13224" s="59" t="s">
        <v>2881</v>
      </c>
      <c r="B13224" s="60" t="s">
        <v>865</v>
      </c>
    </row>
    <row r="13225" ht="12.75" customHeight="1">
      <c r="A13225" s="59" t="s">
        <v>2881</v>
      </c>
      <c r="B13225" s="60" t="s">
        <v>866</v>
      </c>
    </row>
    <row r="13226" ht="12.75" customHeight="1">
      <c r="A13226" s="59" t="s">
        <v>2881</v>
      </c>
      <c r="B13226" s="60" t="s">
        <v>867</v>
      </c>
    </row>
    <row r="13227" ht="12.75" customHeight="1">
      <c r="A13227" s="59" t="s">
        <v>2881</v>
      </c>
      <c r="B13227" s="60" t="s">
        <v>868</v>
      </c>
    </row>
    <row r="13228" ht="12.75" customHeight="1">
      <c r="A13228" s="59" t="s">
        <v>2881</v>
      </c>
      <c r="B13228" s="60" t="s">
        <v>869</v>
      </c>
    </row>
    <row r="13229" ht="12.75" customHeight="1">
      <c r="A13229" s="59" t="s">
        <v>2881</v>
      </c>
      <c r="B13229" s="60" t="s">
        <v>870</v>
      </c>
    </row>
    <row r="13230" ht="12.75" customHeight="1">
      <c r="A13230" s="59" t="s">
        <v>2881</v>
      </c>
      <c r="B13230" s="60" t="s">
        <v>871</v>
      </c>
    </row>
    <row r="13231" ht="12.75" customHeight="1">
      <c r="A13231" s="59" t="s">
        <v>2881</v>
      </c>
      <c r="B13231" s="60" t="s">
        <v>872</v>
      </c>
    </row>
    <row r="13232" ht="12.75" customHeight="1">
      <c r="A13232" s="59" t="s">
        <v>2881</v>
      </c>
      <c r="B13232" s="60" t="s">
        <v>873</v>
      </c>
    </row>
    <row r="13233" ht="12.75" customHeight="1">
      <c r="A13233" s="59" t="s">
        <v>2881</v>
      </c>
      <c r="B13233" s="60" t="s">
        <v>874</v>
      </c>
    </row>
    <row r="13234" ht="12.75" customHeight="1">
      <c r="A13234" s="59" t="s">
        <v>2881</v>
      </c>
      <c r="B13234" s="60" t="s">
        <v>875</v>
      </c>
    </row>
    <row r="13235" ht="12.75" customHeight="1">
      <c r="A13235" s="59" t="s">
        <v>2881</v>
      </c>
      <c r="B13235" s="60" t="s">
        <v>876</v>
      </c>
    </row>
    <row r="13236" ht="12.75" customHeight="1">
      <c r="A13236" s="59" t="s">
        <v>2881</v>
      </c>
      <c r="B13236" s="60" t="s">
        <v>877</v>
      </c>
    </row>
    <row r="13237" ht="12.75" customHeight="1">
      <c r="A13237" s="59" t="s">
        <v>2881</v>
      </c>
      <c r="B13237" s="60" t="s">
        <v>878</v>
      </c>
    </row>
    <row r="13238" ht="12.75" customHeight="1">
      <c r="A13238" s="59" t="s">
        <v>2881</v>
      </c>
      <c r="B13238" s="60" t="s">
        <v>879</v>
      </c>
    </row>
    <row r="13239" ht="12.75" customHeight="1">
      <c r="A13239" s="59" t="s">
        <v>2881</v>
      </c>
      <c r="B13239" s="60" t="s">
        <v>880</v>
      </c>
    </row>
    <row r="13240" ht="12.75" customHeight="1">
      <c r="A13240" s="59" t="s">
        <v>2881</v>
      </c>
      <c r="B13240" s="60" t="s">
        <v>881</v>
      </c>
    </row>
    <row r="13241" ht="12.75" customHeight="1">
      <c r="A13241" s="59" t="s">
        <v>2881</v>
      </c>
      <c r="B13241" s="60" t="s">
        <v>882</v>
      </c>
    </row>
    <row r="13242" ht="12.75" customHeight="1">
      <c r="A13242" s="59" t="s">
        <v>2881</v>
      </c>
      <c r="B13242" s="60" t="s">
        <v>883</v>
      </c>
    </row>
    <row r="13243" ht="12.75" customHeight="1">
      <c r="A13243" s="59" t="s">
        <v>2881</v>
      </c>
      <c r="B13243" s="60" t="s">
        <v>884</v>
      </c>
    </row>
    <row r="13244" ht="12.75" customHeight="1">
      <c r="A13244" s="59" t="s">
        <v>2881</v>
      </c>
      <c r="B13244" s="60" t="s">
        <v>885</v>
      </c>
    </row>
    <row r="13245" ht="12.75" customHeight="1">
      <c r="A13245" s="59" t="s">
        <v>2881</v>
      </c>
      <c r="B13245" s="60" t="s">
        <v>886</v>
      </c>
    </row>
    <row r="13246" ht="12.75" customHeight="1">
      <c r="A13246" s="59" t="s">
        <v>2881</v>
      </c>
      <c r="B13246" s="60" t="s">
        <v>887</v>
      </c>
    </row>
    <row r="13247" ht="12.75" customHeight="1">
      <c r="A13247" s="59" t="s">
        <v>2881</v>
      </c>
      <c r="B13247" s="60" t="s">
        <v>888</v>
      </c>
    </row>
    <row r="13248" ht="12.75" customHeight="1">
      <c r="A13248" s="59" t="s">
        <v>2881</v>
      </c>
      <c r="B13248" s="60" t="s">
        <v>889</v>
      </c>
    </row>
    <row r="13249" ht="12.75" customHeight="1">
      <c r="A13249" s="59" t="s">
        <v>2881</v>
      </c>
      <c r="B13249" s="60" t="s">
        <v>890</v>
      </c>
    </row>
    <row r="13250" ht="12.75" customHeight="1">
      <c r="A13250" s="59" t="s">
        <v>2881</v>
      </c>
      <c r="B13250" s="60" t="s">
        <v>891</v>
      </c>
    </row>
    <row r="13251" ht="12.75" customHeight="1">
      <c r="A13251" s="59" t="s">
        <v>2881</v>
      </c>
      <c r="B13251" s="60" t="s">
        <v>892</v>
      </c>
    </row>
    <row r="13252" ht="12.75" customHeight="1">
      <c r="A13252" s="59" t="s">
        <v>2881</v>
      </c>
      <c r="B13252" s="60" t="s">
        <v>893</v>
      </c>
    </row>
    <row r="13253" ht="12.75" customHeight="1">
      <c r="A13253" s="59" t="s">
        <v>2881</v>
      </c>
      <c r="B13253" s="60" t="s">
        <v>894</v>
      </c>
    </row>
    <row r="13254" ht="12.75" customHeight="1">
      <c r="A13254" s="59" t="s">
        <v>2881</v>
      </c>
      <c r="B13254" s="60" t="s">
        <v>895</v>
      </c>
    </row>
    <row r="13255" ht="12.75" customHeight="1">
      <c r="A13255" s="59" t="s">
        <v>2881</v>
      </c>
      <c r="B13255" s="60" t="s">
        <v>896</v>
      </c>
    </row>
    <row r="13256" ht="12.75" customHeight="1">
      <c r="A13256" s="59" t="s">
        <v>2881</v>
      </c>
      <c r="B13256" s="60" t="s">
        <v>897</v>
      </c>
    </row>
    <row r="13257" ht="12.75" customHeight="1">
      <c r="A13257" s="59" t="s">
        <v>2881</v>
      </c>
      <c r="B13257" s="60" t="s">
        <v>898</v>
      </c>
    </row>
    <row r="13258" ht="12.75" customHeight="1">
      <c r="A13258" s="59" t="s">
        <v>2881</v>
      </c>
      <c r="B13258" s="60" t="s">
        <v>899</v>
      </c>
    </row>
    <row r="13259" ht="12.75" customHeight="1">
      <c r="A13259" s="59" t="s">
        <v>2881</v>
      </c>
      <c r="B13259" s="60" t="s">
        <v>900</v>
      </c>
    </row>
    <row r="13260" ht="12.75" customHeight="1">
      <c r="A13260" s="59" t="s">
        <v>2881</v>
      </c>
      <c r="B13260" s="60" t="s">
        <v>901</v>
      </c>
    </row>
    <row r="13261" ht="12.75" customHeight="1">
      <c r="A13261" s="59" t="s">
        <v>2881</v>
      </c>
      <c r="B13261" s="60" t="s">
        <v>902</v>
      </c>
    </row>
    <row r="13262" ht="12.75" customHeight="1">
      <c r="A13262" s="59" t="s">
        <v>2881</v>
      </c>
      <c r="B13262" s="60" t="s">
        <v>903</v>
      </c>
    </row>
    <row r="13263" ht="12.75" customHeight="1">
      <c r="A13263" s="59" t="s">
        <v>2881</v>
      </c>
      <c r="B13263" s="60" t="s">
        <v>904</v>
      </c>
    </row>
    <row r="13264" ht="12.75" customHeight="1">
      <c r="A13264" s="59" t="s">
        <v>2881</v>
      </c>
      <c r="B13264" s="60" t="s">
        <v>905</v>
      </c>
    </row>
    <row r="13265" ht="12.75" customHeight="1">
      <c r="A13265" s="59" t="s">
        <v>2881</v>
      </c>
      <c r="B13265" s="60" t="s">
        <v>906</v>
      </c>
    </row>
    <row r="13266" ht="12.75" customHeight="1">
      <c r="A13266" s="59" t="s">
        <v>2881</v>
      </c>
      <c r="B13266" s="60" t="s">
        <v>907</v>
      </c>
    </row>
    <row r="13267" ht="12.75" customHeight="1">
      <c r="A13267" s="59" t="s">
        <v>2881</v>
      </c>
      <c r="B13267" s="60" t="s">
        <v>908</v>
      </c>
    </row>
    <row r="13268" ht="12.75" customHeight="1">
      <c r="A13268" s="59" t="s">
        <v>2881</v>
      </c>
      <c r="B13268" s="60" t="s">
        <v>909</v>
      </c>
    </row>
    <row r="13269" ht="12.75" customHeight="1">
      <c r="A13269" s="59" t="s">
        <v>2881</v>
      </c>
      <c r="B13269" s="60" t="s">
        <v>910</v>
      </c>
    </row>
    <row r="13270" ht="12.75" customHeight="1">
      <c r="A13270" s="59" t="s">
        <v>2881</v>
      </c>
      <c r="B13270" s="60" t="s">
        <v>911</v>
      </c>
    </row>
    <row r="13271" ht="12.75" customHeight="1">
      <c r="A13271" s="59" t="s">
        <v>2881</v>
      </c>
      <c r="B13271" s="60" t="s">
        <v>912</v>
      </c>
    </row>
    <row r="13272" ht="12.75" customHeight="1">
      <c r="A13272" s="59" t="s">
        <v>2881</v>
      </c>
      <c r="B13272" s="60" t="s">
        <v>913</v>
      </c>
    </row>
    <row r="13273" ht="12.75" customHeight="1">
      <c r="A13273" s="59" t="s">
        <v>2881</v>
      </c>
      <c r="B13273" s="60" t="s">
        <v>914</v>
      </c>
    </row>
    <row r="13274" ht="12.75" customHeight="1">
      <c r="A13274" s="59" t="s">
        <v>2881</v>
      </c>
      <c r="B13274" s="60" t="s">
        <v>915</v>
      </c>
    </row>
    <row r="13275" ht="12.75" customHeight="1">
      <c r="A13275" s="59" t="s">
        <v>2881</v>
      </c>
      <c r="B13275" s="60" t="s">
        <v>916</v>
      </c>
    </row>
    <row r="13276" ht="12.75" customHeight="1">
      <c r="A13276" s="59" t="s">
        <v>2881</v>
      </c>
      <c r="B13276" s="60" t="s">
        <v>917</v>
      </c>
    </row>
    <row r="13277" ht="12.75" customHeight="1">
      <c r="A13277" s="59" t="s">
        <v>2881</v>
      </c>
      <c r="B13277" s="60" t="s">
        <v>918</v>
      </c>
    </row>
    <row r="13278" ht="12.75" customHeight="1">
      <c r="A13278" s="59" t="s">
        <v>2881</v>
      </c>
      <c r="B13278" s="60" t="s">
        <v>919</v>
      </c>
    </row>
    <row r="13279" ht="12.75" customHeight="1">
      <c r="A13279" s="59" t="s">
        <v>2881</v>
      </c>
      <c r="B13279" s="60" t="s">
        <v>920</v>
      </c>
    </row>
    <row r="13280" ht="12.75" customHeight="1">
      <c r="A13280" s="59" t="s">
        <v>2881</v>
      </c>
      <c r="B13280" s="60" t="s">
        <v>921</v>
      </c>
    </row>
    <row r="13281" ht="12.75" customHeight="1">
      <c r="A13281" s="59" t="s">
        <v>2881</v>
      </c>
      <c r="B13281" s="60" t="s">
        <v>922</v>
      </c>
    </row>
    <row r="13282" ht="12.75" customHeight="1">
      <c r="A13282" s="59" t="s">
        <v>2881</v>
      </c>
      <c r="B13282" s="60" t="s">
        <v>923</v>
      </c>
    </row>
    <row r="13283" ht="12.75" customHeight="1">
      <c r="A13283" s="59" t="s">
        <v>2881</v>
      </c>
      <c r="B13283" s="60" t="s">
        <v>924</v>
      </c>
    </row>
    <row r="13284" ht="12.75" customHeight="1">
      <c r="A13284" s="59" t="s">
        <v>2881</v>
      </c>
      <c r="B13284" s="60" t="s">
        <v>925</v>
      </c>
    </row>
    <row r="13285" ht="12.75" customHeight="1">
      <c r="A13285" s="59" t="s">
        <v>2881</v>
      </c>
      <c r="B13285" s="60" t="s">
        <v>926</v>
      </c>
    </row>
    <row r="13286" ht="12.75" customHeight="1">
      <c r="A13286" s="59" t="s">
        <v>2881</v>
      </c>
      <c r="B13286" s="60" t="s">
        <v>927</v>
      </c>
    </row>
    <row r="13287" ht="12.75" customHeight="1">
      <c r="A13287" s="59" t="s">
        <v>2881</v>
      </c>
      <c r="B13287" s="60" t="s">
        <v>928</v>
      </c>
    </row>
    <row r="13288" ht="12.75" customHeight="1">
      <c r="A13288" s="59" t="s">
        <v>2881</v>
      </c>
      <c r="B13288" s="60" t="s">
        <v>929</v>
      </c>
    </row>
    <row r="13289" ht="12.75" customHeight="1">
      <c r="A13289" s="59" t="s">
        <v>2881</v>
      </c>
      <c r="B13289" s="60" t="s">
        <v>930</v>
      </c>
    </row>
    <row r="13290" ht="12.75" customHeight="1">
      <c r="A13290" s="59" t="s">
        <v>2881</v>
      </c>
      <c r="B13290" s="60" t="s">
        <v>931</v>
      </c>
    </row>
    <row r="13291" ht="12.75" customHeight="1">
      <c r="A13291" s="59" t="s">
        <v>2881</v>
      </c>
      <c r="B13291" s="60" t="s">
        <v>932</v>
      </c>
    </row>
    <row r="13292" ht="12.75" customHeight="1">
      <c r="A13292" s="59" t="s">
        <v>2881</v>
      </c>
      <c r="B13292" s="60" t="s">
        <v>933</v>
      </c>
    </row>
    <row r="13293" ht="12.75" customHeight="1">
      <c r="A13293" s="59" t="s">
        <v>2881</v>
      </c>
      <c r="B13293" s="60" t="s">
        <v>934</v>
      </c>
    </row>
    <row r="13294" ht="12.75" customHeight="1">
      <c r="A13294" s="59" t="s">
        <v>2881</v>
      </c>
      <c r="B13294" s="60" t="s">
        <v>935</v>
      </c>
    </row>
    <row r="13295" ht="12.75" customHeight="1">
      <c r="A13295" s="59" t="s">
        <v>2881</v>
      </c>
      <c r="B13295" s="60" t="s">
        <v>936</v>
      </c>
    </row>
    <row r="13296" ht="12.75" customHeight="1">
      <c r="A13296" s="59" t="s">
        <v>2881</v>
      </c>
      <c r="B13296" s="60" t="s">
        <v>937</v>
      </c>
    </row>
    <row r="13297" ht="12.75" customHeight="1">
      <c r="A13297" s="59" t="s">
        <v>2881</v>
      </c>
      <c r="B13297" s="60" t="s">
        <v>938</v>
      </c>
    </row>
    <row r="13298" ht="12.75" customHeight="1">
      <c r="A13298" s="59" t="s">
        <v>2881</v>
      </c>
      <c r="B13298" s="60" t="s">
        <v>939</v>
      </c>
    </row>
    <row r="13299" ht="12.75" customHeight="1">
      <c r="A13299" s="59" t="s">
        <v>2881</v>
      </c>
      <c r="B13299" s="60" t="s">
        <v>940</v>
      </c>
    </row>
    <row r="13300" ht="12.75" customHeight="1">
      <c r="A13300" s="59" t="s">
        <v>2881</v>
      </c>
      <c r="B13300" s="60" t="s">
        <v>941</v>
      </c>
    </row>
    <row r="13301" ht="12.75" customHeight="1">
      <c r="A13301" s="59" t="s">
        <v>2881</v>
      </c>
      <c r="B13301" s="60" t="s">
        <v>942</v>
      </c>
    </row>
    <row r="13302" ht="12.75" customHeight="1">
      <c r="A13302" s="59" t="s">
        <v>2881</v>
      </c>
      <c r="B13302" s="60" t="s">
        <v>943</v>
      </c>
    </row>
    <row r="13303" ht="12.75" customHeight="1">
      <c r="A13303" s="59" t="s">
        <v>2881</v>
      </c>
      <c r="B13303" s="60" t="s">
        <v>944</v>
      </c>
    </row>
    <row r="13304" ht="12.75" customHeight="1">
      <c r="A13304" s="59" t="s">
        <v>2881</v>
      </c>
      <c r="B13304" s="60" t="s">
        <v>945</v>
      </c>
    </row>
    <row r="13305" ht="12.75" customHeight="1">
      <c r="A13305" s="59" t="s">
        <v>2881</v>
      </c>
      <c r="B13305" s="60" t="s">
        <v>946</v>
      </c>
    </row>
    <row r="13306" ht="12.75" customHeight="1">
      <c r="A13306" s="59" t="s">
        <v>2881</v>
      </c>
      <c r="B13306" s="60" t="s">
        <v>947</v>
      </c>
    </row>
    <row r="13307" ht="12.75" customHeight="1">
      <c r="A13307" s="59" t="s">
        <v>2881</v>
      </c>
      <c r="B13307" s="60" t="s">
        <v>948</v>
      </c>
    </row>
    <row r="13308" ht="12.75" customHeight="1">
      <c r="A13308" s="59" t="s">
        <v>2881</v>
      </c>
      <c r="B13308" s="60" t="s">
        <v>949</v>
      </c>
    </row>
    <row r="13309" ht="12.75" customHeight="1">
      <c r="A13309" s="59" t="s">
        <v>2881</v>
      </c>
      <c r="B13309" s="60" t="s">
        <v>950</v>
      </c>
    </row>
    <row r="13310" ht="12.75" customHeight="1">
      <c r="A13310" s="59" t="s">
        <v>2881</v>
      </c>
      <c r="B13310" s="60" t="s">
        <v>951</v>
      </c>
    </row>
    <row r="13311" ht="12.75" customHeight="1">
      <c r="A13311" s="59" t="s">
        <v>2881</v>
      </c>
      <c r="B13311" s="60" t="s">
        <v>952</v>
      </c>
    </row>
    <row r="13312" ht="12.75" customHeight="1">
      <c r="A13312" s="59" t="s">
        <v>2881</v>
      </c>
      <c r="B13312" s="60" t="s">
        <v>953</v>
      </c>
    </row>
    <row r="13313" ht="12.75" customHeight="1">
      <c r="A13313" s="59" t="s">
        <v>2881</v>
      </c>
      <c r="B13313" s="60" t="s">
        <v>954</v>
      </c>
    </row>
    <row r="13314" ht="12.75" customHeight="1">
      <c r="A13314" s="59" t="s">
        <v>2881</v>
      </c>
      <c r="B13314" s="60" t="s">
        <v>955</v>
      </c>
    </row>
    <row r="13315" ht="12.75" customHeight="1">
      <c r="A13315" s="59" t="s">
        <v>2881</v>
      </c>
      <c r="B13315" s="60" t="s">
        <v>956</v>
      </c>
    </row>
    <row r="13316" ht="12.75" customHeight="1">
      <c r="A13316" s="59" t="s">
        <v>2881</v>
      </c>
      <c r="B13316" s="60" t="s">
        <v>957</v>
      </c>
    </row>
    <row r="13317" ht="12.75" customHeight="1">
      <c r="A13317" s="59" t="s">
        <v>2881</v>
      </c>
      <c r="B13317" s="60" t="s">
        <v>958</v>
      </c>
    </row>
    <row r="13318" ht="12.75" customHeight="1">
      <c r="A13318" s="59" t="s">
        <v>2881</v>
      </c>
      <c r="B13318" s="60" t="s">
        <v>959</v>
      </c>
    </row>
    <row r="13319" ht="12.75" customHeight="1">
      <c r="A13319" s="59" t="s">
        <v>2881</v>
      </c>
      <c r="B13319" s="60" t="s">
        <v>960</v>
      </c>
    </row>
    <row r="13320" ht="12.75" customHeight="1">
      <c r="A13320" s="59" t="s">
        <v>2881</v>
      </c>
      <c r="B13320" s="60" t="s">
        <v>961</v>
      </c>
    </row>
    <row r="13321" ht="12.75" customHeight="1">
      <c r="A13321" s="59" t="s">
        <v>2881</v>
      </c>
      <c r="B13321" s="60" t="s">
        <v>962</v>
      </c>
    </row>
    <row r="13322" ht="12.75" customHeight="1">
      <c r="A13322" s="59" t="s">
        <v>2881</v>
      </c>
      <c r="B13322" s="60" t="s">
        <v>963</v>
      </c>
    </row>
    <row r="13323" ht="12.75" customHeight="1">
      <c r="A13323" s="59" t="s">
        <v>2881</v>
      </c>
      <c r="B13323" s="60" t="s">
        <v>964</v>
      </c>
    </row>
    <row r="13324" ht="12.75" customHeight="1">
      <c r="A13324" s="59" t="s">
        <v>2881</v>
      </c>
      <c r="B13324" s="60" t="s">
        <v>965</v>
      </c>
    </row>
    <row r="13325" ht="12.75" customHeight="1">
      <c r="A13325" s="59" t="s">
        <v>2881</v>
      </c>
      <c r="B13325" s="60" t="s">
        <v>966</v>
      </c>
    </row>
    <row r="13326" ht="12.75" customHeight="1">
      <c r="A13326" s="59" t="s">
        <v>2881</v>
      </c>
      <c r="B13326" s="60" t="s">
        <v>967</v>
      </c>
    </row>
    <row r="13327" ht="12.75" customHeight="1">
      <c r="A13327" s="59" t="s">
        <v>2881</v>
      </c>
      <c r="B13327" s="60" t="s">
        <v>968</v>
      </c>
    </row>
    <row r="13328" ht="12.75" customHeight="1">
      <c r="A13328" s="59" t="s">
        <v>2881</v>
      </c>
      <c r="B13328" s="60" t="s">
        <v>969</v>
      </c>
    </row>
    <row r="13329" ht="12.75" customHeight="1">
      <c r="A13329" s="59" t="s">
        <v>2881</v>
      </c>
      <c r="B13329" s="60" t="s">
        <v>970</v>
      </c>
    </row>
    <row r="13330" ht="12.75" customHeight="1">
      <c r="A13330" s="59" t="s">
        <v>2881</v>
      </c>
      <c r="B13330" s="60" t="s">
        <v>971</v>
      </c>
    </row>
    <row r="13331" ht="12.75" customHeight="1">
      <c r="A13331" s="59" t="s">
        <v>2881</v>
      </c>
      <c r="B13331" s="60" t="s">
        <v>972</v>
      </c>
    </row>
    <row r="13332" ht="12.75" customHeight="1">
      <c r="A13332" s="59" t="s">
        <v>2881</v>
      </c>
      <c r="B13332" s="60" t="s">
        <v>973</v>
      </c>
    </row>
    <row r="13333" ht="12.75" customHeight="1">
      <c r="A13333" s="59" t="s">
        <v>2881</v>
      </c>
      <c r="B13333" s="60" t="s">
        <v>974</v>
      </c>
    </row>
    <row r="13334" ht="12.75" customHeight="1">
      <c r="A13334" s="59" t="s">
        <v>2881</v>
      </c>
      <c r="B13334" s="60" t="s">
        <v>975</v>
      </c>
    </row>
    <row r="13335" ht="12.75" customHeight="1">
      <c r="A13335" s="59" t="s">
        <v>2881</v>
      </c>
      <c r="B13335" s="60" t="s">
        <v>976</v>
      </c>
    </row>
    <row r="13336" ht="12.75" customHeight="1">
      <c r="A13336" s="59" t="s">
        <v>2881</v>
      </c>
      <c r="B13336" s="60" t="s">
        <v>977</v>
      </c>
    </row>
    <row r="13337" ht="12.75" customHeight="1">
      <c r="A13337" s="59" t="s">
        <v>2881</v>
      </c>
      <c r="B13337" s="60" t="s">
        <v>978</v>
      </c>
    </row>
    <row r="13338" ht="12.75" customHeight="1">
      <c r="A13338" s="59" t="s">
        <v>2881</v>
      </c>
      <c r="B13338" s="60" t="s">
        <v>979</v>
      </c>
    </row>
    <row r="13339" ht="12.75" customHeight="1">
      <c r="A13339" s="59" t="s">
        <v>2881</v>
      </c>
      <c r="B13339" s="60" t="s">
        <v>980</v>
      </c>
    </row>
    <row r="13340" ht="12.75" customHeight="1">
      <c r="A13340" s="59" t="s">
        <v>2881</v>
      </c>
      <c r="B13340" s="60" t="s">
        <v>981</v>
      </c>
    </row>
    <row r="13341" ht="12.75" customHeight="1">
      <c r="A13341" s="59" t="s">
        <v>2881</v>
      </c>
      <c r="B13341" s="60" t="s">
        <v>982</v>
      </c>
    </row>
    <row r="13342" ht="12.75" customHeight="1">
      <c r="A13342" s="59" t="s">
        <v>2881</v>
      </c>
      <c r="B13342" s="60" t="s">
        <v>983</v>
      </c>
    </row>
    <row r="13343" ht="12.75" customHeight="1">
      <c r="A13343" s="59" t="s">
        <v>2881</v>
      </c>
      <c r="B13343" s="60" t="s">
        <v>984</v>
      </c>
    </row>
    <row r="13344" ht="12.75" customHeight="1">
      <c r="A13344" s="59" t="s">
        <v>2881</v>
      </c>
      <c r="B13344" s="60" t="s">
        <v>985</v>
      </c>
    </row>
    <row r="13345" ht="12.75" customHeight="1">
      <c r="A13345" s="59" t="s">
        <v>2881</v>
      </c>
      <c r="B13345" s="60" t="s">
        <v>986</v>
      </c>
    </row>
    <row r="13346" ht="12.75" customHeight="1">
      <c r="A13346" s="59" t="s">
        <v>2881</v>
      </c>
      <c r="B13346" s="60" t="s">
        <v>987</v>
      </c>
    </row>
    <row r="13347" ht="12.75" customHeight="1">
      <c r="A13347" s="59" t="s">
        <v>2881</v>
      </c>
      <c r="B13347" s="60" t="s">
        <v>988</v>
      </c>
    </row>
    <row r="13348" ht="12.75" customHeight="1">
      <c r="A13348" s="59" t="s">
        <v>2881</v>
      </c>
      <c r="B13348" s="60" t="s">
        <v>989</v>
      </c>
    </row>
    <row r="13349" ht="12.75" customHeight="1">
      <c r="A13349" s="59" t="s">
        <v>2881</v>
      </c>
      <c r="B13349" s="60" t="s">
        <v>990</v>
      </c>
    </row>
    <row r="13350" ht="12.75" customHeight="1">
      <c r="A13350" s="59" t="s">
        <v>2881</v>
      </c>
      <c r="B13350" s="60" t="s">
        <v>991</v>
      </c>
    </row>
    <row r="13351" ht="12.75" customHeight="1">
      <c r="A13351" s="59" t="s">
        <v>2881</v>
      </c>
      <c r="B13351" s="60" t="s">
        <v>992</v>
      </c>
    </row>
    <row r="13352" ht="12.75" customHeight="1">
      <c r="A13352" s="59" t="s">
        <v>2881</v>
      </c>
      <c r="B13352" s="60" t="s">
        <v>993</v>
      </c>
    </row>
    <row r="13353" ht="12.75" customHeight="1">
      <c r="A13353" s="59" t="s">
        <v>2881</v>
      </c>
      <c r="B13353" s="60" t="s">
        <v>994</v>
      </c>
    </row>
    <row r="13354" ht="12.75" customHeight="1">
      <c r="A13354" s="59" t="s">
        <v>2881</v>
      </c>
      <c r="B13354" s="60" t="s">
        <v>995</v>
      </c>
    </row>
    <row r="13355" ht="12.75" customHeight="1">
      <c r="A13355" s="59" t="s">
        <v>2881</v>
      </c>
      <c r="B13355" s="60" t="s">
        <v>996</v>
      </c>
    </row>
    <row r="13356" ht="12.75" customHeight="1">
      <c r="A13356" s="59" t="s">
        <v>2881</v>
      </c>
      <c r="B13356" s="60" t="s">
        <v>997</v>
      </c>
    </row>
    <row r="13357" ht="12.75" customHeight="1">
      <c r="A13357" s="59" t="s">
        <v>2881</v>
      </c>
      <c r="B13357" s="60" t="s">
        <v>998</v>
      </c>
    </row>
    <row r="13358" ht="12.75" customHeight="1">
      <c r="A13358" s="59" t="s">
        <v>2881</v>
      </c>
      <c r="B13358" s="60" t="s">
        <v>999</v>
      </c>
    </row>
    <row r="13359" ht="12.75" customHeight="1">
      <c r="A13359" s="59" t="s">
        <v>2881</v>
      </c>
      <c r="B13359" s="60" t="s">
        <v>1000</v>
      </c>
    </row>
    <row r="13360" ht="12.75" customHeight="1">
      <c r="A13360" s="59" t="s">
        <v>2881</v>
      </c>
      <c r="B13360" s="60" t="s">
        <v>1001</v>
      </c>
    </row>
    <row r="13361" ht="12.75" customHeight="1">
      <c r="A13361" s="59" t="s">
        <v>2881</v>
      </c>
      <c r="B13361" s="60" t="s">
        <v>1002</v>
      </c>
    </row>
    <row r="13362" ht="12.75" customHeight="1">
      <c r="A13362" s="59" t="s">
        <v>2881</v>
      </c>
      <c r="B13362" s="60" t="s">
        <v>1003</v>
      </c>
    </row>
    <row r="13363" ht="12.75" customHeight="1">
      <c r="A13363" s="59" t="s">
        <v>2881</v>
      </c>
      <c r="B13363" s="60" t="s">
        <v>1004</v>
      </c>
    </row>
    <row r="13364" ht="12.75" customHeight="1">
      <c r="A13364" s="59" t="s">
        <v>2881</v>
      </c>
      <c r="B13364" s="60" t="s">
        <v>1005</v>
      </c>
    </row>
    <row r="13365" ht="12.75" customHeight="1">
      <c r="A13365" s="59" t="s">
        <v>2881</v>
      </c>
      <c r="B13365" s="60" t="s">
        <v>1006</v>
      </c>
    </row>
    <row r="13366" ht="12.75" customHeight="1">
      <c r="A13366" s="59" t="s">
        <v>2881</v>
      </c>
      <c r="B13366" s="60" t="s">
        <v>1007</v>
      </c>
    </row>
    <row r="13367" ht="12.75" customHeight="1">
      <c r="A13367" s="59" t="s">
        <v>2881</v>
      </c>
      <c r="B13367" s="60" t="s">
        <v>1008</v>
      </c>
    </row>
    <row r="13368" ht="12.75" customHeight="1">
      <c r="A13368" s="59" t="s">
        <v>2881</v>
      </c>
      <c r="B13368" s="60" t="s">
        <v>1009</v>
      </c>
    </row>
    <row r="13369" ht="12.75" customHeight="1">
      <c r="A13369" s="59" t="s">
        <v>2881</v>
      </c>
      <c r="B13369" s="60" t="s">
        <v>1010</v>
      </c>
    </row>
    <row r="13370" ht="12.75" customHeight="1">
      <c r="A13370" s="59" t="s">
        <v>2881</v>
      </c>
      <c r="B13370" s="60" t="s">
        <v>1011</v>
      </c>
    </row>
    <row r="13371" ht="12.75" customHeight="1">
      <c r="A13371" s="59" t="s">
        <v>2881</v>
      </c>
      <c r="B13371" s="60" t="s">
        <v>1012</v>
      </c>
    </row>
    <row r="13372" ht="12.75" customHeight="1">
      <c r="A13372" s="59" t="s">
        <v>2881</v>
      </c>
      <c r="B13372" s="60" t="s">
        <v>1013</v>
      </c>
    </row>
    <row r="13373" ht="12.75" customHeight="1">
      <c r="A13373" s="59" t="s">
        <v>2881</v>
      </c>
      <c r="B13373" s="60" t="s">
        <v>1014</v>
      </c>
    </row>
    <row r="13374" ht="12.75" customHeight="1">
      <c r="A13374" s="59" t="s">
        <v>2881</v>
      </c>
      <c r="B13374" s="60" t="s">
        <v>1015</v>
      </c>
    </row>
    <row r="13375" ht="12.75" customHeight="1">
      <c r="A13375" s="59" t="s">
        <v>2881</v>
      </c>
      <c r="B13375" s="60" t="s">
        <v>1016</v>
      </c>
    </row>
    <row r="13376" ht="12.75" customHeight="1">
      <c r="A13376" s="59" t="s">
        <v>2881</v>
      </c>
      <c r="B13376" s="60" t="s">
        <v>1017</v>
      </c>
    </row>
    <row r="13377" ht="12.75" customHeight="1">
      <c r="A13377" s="59" t="s">
        <v>2881</v>
      </c>
      <c r="B13377" s="60" t="s">
        <v>1018</v>
      </c>
    </row>
    <row r="13378" ht="12.75" customHeight="1">
      <c r="A13378" s="59" t="s">
        <v>2881</v>
      </c>
      <c r="B13378" s="60" t="s">
        <v>1019</v>
      </c>
    </row>
    <row r="13379" ht="12.75" customHeight="1">
      <c r="A13379" s="59" t="s">
        <v>2881</v>
      </c>
      <c r="B13379" s="60" t="s">
        <v>1020</v>
      </c>
    </row>
    <row r="13380" ht="12.75" customHeight="1">
      <c r="A13380" s="59" t="s">
        <v>2881</v>
      </c>
      <c r="B13380" s="60" t="s">
        <v>1021</v>
      </c>
    </row>
    <row r="13381" ht="12.75" customHeight="1">
      <c r="A13381" s="59" t="s">
        <v>2881</v>
      </c>
      <c r="B13381" s="60" t="s">
        <v>1022</v>
      </c>
    </row>
    <row r="13382" ht="12.75" customHeight="1">
      <c r="A13382" s="59" t="s">
        <v>2881</v>
      </c>
      <c r="B13382" s="60" t="s">
        <v>1023</v>
      </c>
    </row>
    <row r="13383" ht="12.75" customHeight="1">
      <c r="A13383" s="59" t="s">
        <v>2881</v>
      </c>
      <c r="B13383" s="60" t="s">
        <v>1024</v>
      </c>
    </row>
    <row r="13384" ht="12.75" customHeight="1">
      <c r="A13384" s="59" t="s">
        <v>2881</v>
      </c>
      <c r="B13384" s="60" t="s">
        <v>1025</v>
      </c>
    </row>
    <row r="13385" ht="12.75" customHeight="1">
      <c r="A13385" s="59" t="s">
        <v>2881</v>
      </c>
      <c r="B13385" s="60" t="s">
        <v>1026</v>
      </c>
    </row>
    <row r="13386" ht="12.75" customHeight="1">
      <c r="A13386" s="59" t="s">
        <v>2881</v>
      </c>
      <c r="B13386" s="60" t="s">
        <v>1027</v>
      </c>
    </row>
    <row r="13387" ht="12.75" customHeight="1">
      <c r="A13387" s="59" t="s">
        <v>2881</v>
      </c>
      <c r="B13387" s="60" t="s">
        <v>1028</v>
      </c>
    </row>
    <row r="13388" ht="12.75" customHeight="1">
      <c r="A13388" s="59" t="s">
        <v>2881</v>
      </c>
      <c r="B13388" s="60" t="s">
        <v>1029</v>
      </c>
    </row>
    <row r="13389" ht="12.75" customHeight="1">
      <c r="A13389" s="59" t="s">
        <v>2881</v>
      </c>
      <c r="B13389" s="60" t="s">
        <v>1030</v>
      </c>
    </row>
    <row r="13390" ht="12.75" customHeight="1">
      <c r="A13390" s="59" t="s">
        <v>2881</v>
      </c>
      <c r="B13390" s="60" t="s">
        <v>1031</v>
      </c>
    </row>
    <row r="13391" ht="12.75" customHeight="1">
      <c r="A13391" s="59" t="s">
        <v>2881</v>
      </c>
      <c r="B13391" s="60" t="s">
        <v>1032</v>
      </c>
    </row>
    <row r="13392" ht="12.75" customHeight="1">
      <c r="A13392" s="59" t="s">
        <v>2881</v>
      </c>
      <c r="B13392" s="60" t="s">
        <v>1033</v>
      </c>
    </row>
    <row r="13393" ht="12.75" customHeight="1">
      <c r="A13393" s="59" t="s">
        <v>2881</v>
      </c>
      <c r="B13393" s="60" t="s">
        <v>1034</v>
      </c>
    </row>
    <row r="13394" ht="12.75" customHeight="1">
      <c r="A13394" s="59" t="s">
        <v>2881</v>
      </c>
      <c r="B13394" s="60" t="s">
        <v>1035</v>
      </c>
    </row>
    <row r="13395" ht="12.75" customHeight="1">
      <c r="A13395" s="59" t="s">
        <v>2881</v>
      </c>
      <c r="B13395" s="60" t="s">
        <v>1036</v>
      </c>
    </row>
    <row r="13396" ht="12.75" customHeight="1">
      <c r="A13396" s="59" t="s">
        <v>2881</v>
      </c>
      <c r="B13396" s="60" t="s">
        <v>1037</v>
      </c>
    </row>
    <row r="13397" ht="12.75" customHeight="1">
      <c r="A13397" s="59" t="s">
        <v>2881</v>
      </c>
      <c r="B13397" s="60" t="s">
        <v>1038</v>
      </c>
    </row>
    <row r="13398" ht="12.75" customHeight="1">
      <c r="A13398" s="59" t="s">
        <v>2881</v>
      </c>
      <c r="B13398" s="60" t="s">
        <v>1039</v>
      </c>
    </row>
    <row r="13399" ht="12.75" customHeight="1">
      <c r="A13399" s="59" t="s">
        <v>2881</v>
      </c>
      <c r="B13399" s="60" t="s">
        <v>1040</v>
      </c>
    </row>
    <row r="13400" ht="12.75" customHeight="1">
      <c r="A13400" s="59" t="s">
        <v>2881</v>
      </c>
      <c r="B13400" s="60" t="s">
        <v>1041</v>
      </c>
    </row>
    <row r="13401" ht="12.75" customHeight="1">
      <c r="A13401" s="59" t="s">
        <v>2881</v>
      </c>
      <c r="B13401" s="60" t="s">
        <v>1042</v>
      </c>
    </row>
    <row r="13402" ht="12.75" customHeight="1">
      <c r="A13402" s="59" t="s">
        <v>2881</v>
      </c>
      <c r="B13402" s="60" t="s">
        <v>1043</v>
      </c>
    </row>
    <row r="13403" ht="12.75" customHeight="1">
      <c r="A13403" s="59" t="s">
        <v>2881</v>
      </c>
      <c r="B13403" s="60" t="s">
        <v>1044</v>
      </c>
    </row>
    <row r="13404" ht="12.75" customHeight="1">
      <c r="A13404" s="59" t="s">
        <v>2881</v>
      </c>
      <c r="B13404" s="60" t="s">
        <v>1045</v>
      </c>
    </row>
    <row r="13405" ht="12.75" customHeight="1">
      <c r="A13405" s="59" t="s">
        <v>2881</v>
      </c>
      <c r="B13405" s="60" t="s">
        <v>1046</v>
      </c>
    </row>
    <row r="13406" ht="12.75" customHeight="1">
      <c r="A13406" s="59" t="s">
        <v>2881</v>
      </c>
      <c r="B13406" s="60" t="s">
        <v>1047</v>
      </c>
    </row>
    <row r="13407" ht="12.75" customHeight="1">
      <c r="A13407" s="59" t="s">
        <v>2881</v>
      </c>
      <c r="B13407" s="60" t="s">
        <v>1048</v>
      </c>
    </row>
    <row r="13408" ht="12.75" customHeight="1">
      <c r="A13408" s="59" t="s">
        <v>2881</v>
      </c>
      <c r="B13408" s="60" t="s">
        <v>1049</v>
      </c>
    </row>
    <row r="13409" ht="12.75" customHeight="1">
      <c r="A13409" s="59" t="s">
        <v>2881</v>
      </c>
      <c r="B13409" s="60" t="s">
        <v>1050</v>
      </c>
    </row>
    <row r="13410" ht="12.75" customHeight="1">
      <c r="A13410" s="59" t="s">
        <v>2881</v>
      </c>
      <c r="B13410" s="60" t="s">
        <v>1051</v>
      </c>
    </row>
    <row r="13411" ht="12.75" customHeight="1">
      <c r="A13411" s="59" t="s">
        <v>2881</v>
      </c>
      <c r="B13411" s="60" t="s">
        <v>1052</v>
      </c>
    </row>
    <row r="13412" ht="12.75" customHeight="1">
      <c r="A13412" s="59" t="s">
        <v>2881</v>
      </c>
      <c r="B13412" s="60" t="s">
        <v>1053</v>
      </c>
    </row>
    <row r="13413" ht="12.75" customHeight="1">
      <c r="A13413" s="59" t="s">
        <v>2881</v>
      </c>
      <c r="B13413" s="60" t="s">
        <v>1054</v>
      </c>
    </row>
    <row r="13414" ht="12.75" customHeight="1">
      <c r="A13414" s="59" t="s">
        <v>2881</v>
      </c>
      <c r="B13414" s="60" t="s">
        <v>1055</v>
      </c>
    </row>
    <row r="13415" ht="12.75" customHeight="1">
      <c r="A13415" s="59" t="s">
        <v>2881</v>
      </c>
      <c r="B13415" s="60" t="s">
        <v>1056</v>
      </c>
    </row>
    <row r="13416" ht="12.75" customHeight="1">
      <c r="A13416" s="59" t="s">
        <v>2881</v>
      </c>
      <c r="B13416" s="60" t="s">
        <v>1057</v>
      </c>
    </row>
    <row r="13417" ht="12.75" customHeight="1">
      <c r="A13417" s="59" t="s">
        <v>2881</v>
      </c>
      <c r="B13417" s="60" t="s">
        <v>1058</v>
      </c>
    </row>
    <row r="13418" ht="12.75" customHeight="1">
      <c r="A13418" s="59" t="s">
        <v>2881</v>
      </c>
      <c r="B13418" s="60" t="s">
        <v>1059</v>
      </c>
    </row>
    <row r="13419" ht="12.75" customHeight="1">
      <c r="A13419" s="59" t="s">
        <v>2881</v>
      </c>
      <c r="B13419" s="60" t="s">
        <v>1060</v>
      </c>
    </row>
    <row r="13420" ht="12.75" customHeight="1">
      <c r="A13420" s="59" t="s">
        <v>2881</v>
      </c>
      <c r="B13420" s="60" t="s">
        <v>1061</v>
      </c>
    </row>
    <row r="13421" ht="12.75" customHeight="1">
      <c r="A13421" s="59" t="s">
        <v>2881</v>
      </c>
      <c r="B13421" s="60" t="s">
        <v>1062</v>
      </c>
    </row>
    <row r="13422" ht="12.75" customHeight="1">
      <c r="A13422" s="59" t="s">
        <v>2881</v>
      </c>
      <c r="B13422" s="60" t="s">
        <v>1063</v>
      </c>
    </row>
    <row r="13423" ht="12.75" customHeight="1">
      <c r="A13423" s="59" t="s">
        <v>2881</v>
      </c>
      <c r="B13423" s="60" t="s">
        <v>1064</v>
      </c>
    </row>
    <row r="13424" ht="12.75" customHeight="1">
      <c r="A13424" s="59" t="s">
        <v>2881</v>
      </c>
      <c r="B13424" s="60" t="s">
        <v>1065</v>
      </c>
    </row>
    <row r="13425" ht="12.75" customHeight="1">
      <c r="A13425" s="59" t="s">
        <v>2881</v>
      </c>
      <c r="B13425" s="60" t="s">
        <v>1066</v>
      </c>
    </row>
    <row r="13426" ht="12.75" customHeight="1">
      <c r="A13426" s="59" t="s">
        <v>2881</v>
      </c>
      <c r="B13426" s="60" t="s">
        <v>1067</v>
      </c>
    </row>
    <row r="13427" ht="12.75" customHeight="1">
      <c r="A13427" s="59" t="s">
        <v>2881</v>
      </c>
      <c r="B13427" s="60" t="s">
        <v>1068</v>
      </c>
    </row>
    <row r="13428" ht="12.75" customHeight="1">
      <c r="A13428" s="59" t="s">
        <v>2881</v>
      </c>
      <c r="B13428" s="60" t="s">
        <v>1069</v>
      </c>
    </row>
    <row r="13429" ht="12.75" customHeight="1">
      <c r="A13429" s="59" t="s">
        <v>2881</v>
      </c>
      <c r="B13429" s="60" t="s">
        <v>1070</v>
      </c>
    </row>
    <row r="13430" ht="12.75" customHeight="1">
      <c r="A13430" s="59" t="s">
        <v>2881</v>
      </c>
      <c r="B13430" s="60" t="s">
        <v>1071</v>
      </c>
    </row>
    <row r="13431" ht="12.75" customHeight="1">
      <c r="A13431" s="59" t="s">
        <v>2881</v>
      </c>
      <c r="B13431" s="60" t="s">
        <v>1072</v>
      </c>
    </row>
    <row r="13432" ht="12.75" customHeight="1">
      <c r="A13432" s="59" t="s">
        <v>2881</v>
      </c>
      <c r="B13432" s="60" t="s">
        <v>1073</v>
      </c>
    </row>
    <row r="13433" ht="12.75" customHeight="1">
      <c r="A13433" s="59" t="s">
        <v>2881</v>
      </c>
      <c r="B13433" s="60" t="s">
        <v>1074</v>
      </c>
    </row>
    <row r="13434" ht="12.75" customHeight="1">
      <c r="A13434" s="59" t="s">
        <v>2881</v>
      </c>
      <c r="B13434" s="60" t="s">
        <v>1075</v>
      </c>
    </row>
    <row r="13435" ht="12.75" customHeight="1">
      <c r="A13435" s="59" t="s">
        <v>2881</v>
      </c>
      <c r="B13435" s="60" t="s">
        <v>1076</v>
      </c>
    </row>
    <row r="13436" ht="12.75" customHeight="1">
      <c r="A13436" s="59" t="s">
        <v>2881</v>
      </c>
      <c r="B13436" s="60" t="s">
        <v>1077</v>
      </c>
    </row>
    <row r="13437" ht="12.75" customHeight="1">
      <c r="A13437" s="59" t="s">
        <v>2881</v>
      </c>
      <c r="B13437" s="60" t="s">
        <v>1078</v>
      </c>
    </row>
    <row r="13438" ht="12.75" customHeight="1">
      <c r="A13438" s="59" t="s">
        <v>2881</v>
      </c>
      <c r="B13438" s="60" t="s">
        <v>1079</v>
      </c>
    </row>
    <row r="13439" ht="12.75" customHeight="1">
      <c r="A13439" s="59" t="s">
        <v>2881</v>
      </c>
      <c r="B13439" s="60" t="s">
        <v>1080</v>
      </c>
    </row>
    <row r="13440" ht="12.75" customHeight="1">
      <c r="A13440" s="59" t="s">
        <v>2881</v>
      </c>
      <c r="B13440" s="60" t="s">
        <v>1081</v>
      </c>
    </row>
    <row r="13441" ht="12.75" customHeight="1">
      <c r="A13441" s="59" t="s">
        <v>2881</v>
      </c>
      <c r="B13441" s="60" t="s">
        <v>1082</v>
      </c>
    </row>
    <row r="13442" ht="12.75" customHeight="1">
      <c r="A13442" s="59" t="s">
        <v>2881</v>
      </c>
      <c r="B13442" s="60" t="s">
        <v>1083</v>
      </c>
    </row>
    <row r="13443" ht="12.75" customHeight="1">
      <c r="A13443" s="59" t="s">
        <v>2881</v>
      </c>
      <c r="B13443" s="60" t="s">
        <v>1084</v>
      </c>
    </row>
    <row r="13444" ht="12.75" customHeight="1">
      <c r="A13444" s="59" t="s">
        <v>2881</v>
      </c>
      <c r="B13444" s="60" t="s">
        <v>1085</v>
      </c>
    </row>
    <row r="13445" ht="12.75" customHeight="1">
      <c r="A13445" s="59" t="s">
        <v>2881</v>
      </c>
      <c r="B13445" s="60" t="s">
        <v>1086</v>
      </c>
    </row>
    <row r="13446" ht="12.75" customHeight="1">
      <c r="A13446" s="59" t="s">
        <v>2881</v>
      </c>
      <c r="B13446" s="60" t="s">
        <v>1087</v>
      </c>
    </row>
    <row r="13447" ht="12.75" customHeight="1">
      <c r="A13447" s="59" t="s">
        <v>2881</v>
      </c>
      <c r="B13447" s="60" t="s">
        <v>1088</v>
      </c>
    </row>
    <row r="13448" ht="12.75" customHeight="1">
      <c r="A13448" s="59" t="s">
        <v>2881</v>
      </c>
      <c r="B13448" s="60" t="s">
        <v>1089</v>
      </c>
    </row>
    <row r="13449" ht="12.75" customHeight="1">
      <c r="A13449" s="59" t="s">
        <v>2881</v>
      </c>
      <c r="B13449" s="60" t="s">
        <v>1090</v>
      </c>
    </row>
    <row r="13450" ht="12.75" customHeight="1">
      <c r="A13450" s="59" t="s">
        <v>2881</v>
      </c>
      <c r="B13450" s="60" t="s">
        <v>1091</v>
      </c>
    </row>
    <row r="13451" ht="12.75" customHeight="1">
      <c r="A13451" s="59" t="s">
        <v>2881</v>
      </c>
      <c r="B13451" s="60" t="s">
        <v>1092</v>
      </c>
    </row>
    <row r="13452" ht="12.75" customHeight="1">
      <c r="A13452" s="59" t="s">
        <v>2881</v>
      </c>
      <c r="B13452" s="60" t="s">
        <v>1093</v>
      </c>
    </row>
    <row r="13453" ht="12.75" customHeight="1">
      <c r="A13453" s="59" t="s">
        <v>2881</v>
      </c>
      <c r="B13453" s="60" t="s">
        <v>1094</v>
      </c>
    </row>
    <row r="13454" ht="12.75" customHeight="1">
      <c r="A13454" s="59" t="s">
        <v>2881</v>
      </c>
      <c r="B13454" s="60" t="s">
        <v>1095</v>
      </c>
    </row>
    <row r="13455" ht="12.75" customHeight="1">
      <c r="A13455" s="59" t="s">
        <v>2881</v>
      </c>
      <c r="B13455" s="60" t="s">
        <v>1096</v>
      </c>
    </row>
    <row r="13456" ht="12.75" customHeight="1">
      <c r="A13456" s="59" t="s">
        <v>2881</v>
      </c>
      <c r="B13456" s="60" t="s">
        <v>1097</v>
      </c>
    </row>
    <row r="13457" ht="12.75" customHeight="1">
      <c r="A13457" s="59" t="s">
        <v>2881</v>
      </c>
      <c r="B13457" s="60" t="s">
        <v>1098</v>
      </c>
    </row>
    <row r="13458" ht="12.75" customHeight="1">
      <c r="A13458" s="59" t="s">
        <v>2881</v>
      </c>
      <c r="B13458" s="60" t="s">
        <v>1099</v>
      </c>
    </row>
    <row r="13459" ht="12.75" customHeight="1">
      <c r="A13459" s="59" t="s">
        <v>2881</v>
      </c>
      <c r="B13459" s="60" t="s">
        <v>1100</v>
      </c>
    </row>
    <row r="13460" ht="12.75" customHeight="1">
      <c r="A13460" s="59" t="s">
        <v>2881</v>
      </c>
      <c r="B13460" s="60" t="s">
        <v>1101</v>
      </c>
    </row>
    <row r="13461" ht="12.75" customHeight="1">
      <c r="A13461" s="59" t="s">
        <v>2881</v>
      </c>
      <c r="B13461" s="60" t="s">
        <v>1102</v>
      </c>
    </row>
    <row r="13462" ht="12.75" customHeight="1">
      <c r="A13462" s="59" t="s">
        <v>2881</v>
      </c>
      <c r="B13462" s="60" t="s">
        <v>1103</v>
      </c>
    </row>
    <row r="13463" ht="12.75" customHeight="1">
      <c r="A13463" s="59" t="s">
        <v>2881</v>
      </c>
      <c r="B13463" s="60" t="s">
        <v>1104</v>
      </c>
    </row>
    <row r="13464" ht="12.75" customHeight="1">
      <c r="A13464" s="59" t="s">
        <v>2881</v>
      </c>
      <c r="B13464" s="60" t="s">
        <v>1105</v>
      </c>
    </row>
    <row r="13465" ht="12.75" customHeight="1">
      <c r="A13465" s="59" t="s">
        <v>2881</v>
      </c>
      <c r="B13465" s="60" t="s">
        <v>1106</v>
      </c>
    </row>
    <row r="13466" ht="12.75" customHeight="1">
      <c r="A13466" s="59" t="s">
        <v>2881</v>
      </c>
      <c r="B13466" s="60" t="s">
        <v>1107</v>
      </c>
    </row>
    <row r="13467" ht="12.75" customHeight="1">
      <c r="A13467" s="59" t="s">
        <v>2881</v>
      </c>
      <c r="B13467" s="60" t="s">
        <v>1108</v>
      </c>
    </row>
    <row r="13468" ht="12.75" customHeight="1">
      <c r="A13468" s="59" t="s">
        <v>2881</v>
      </c>
      <c r="B13468" s="60" t="s">
        <v>1109</v>
      </c>
    </row>
    <row r="13469" ht="12.75" customHeight="1">
      <c r="A13469" s="59" t="s">
        <v>2881</v>
      </c>
      <c r="B13469" s="60" t="s">
        <v>1110</v>
      </c>
    </row>
    <row r="13470" ht="12.75" customHeight="1">
      <c r="A13470" s="59" t="s">
        <v>2881</v>
      </c>
      <c r="B13470" s="60" t="s">
        <v>1111</v>
      </c>
    </row>
    <row r="13471" ht="12.75" customHeight="1">
      <c r="A13471" s="59" t="s">
        <v>2881</v>
      </c>
      <c r="B13471" s="60" t="s">
        <v>1112</v>
      </c>
    </row>
    <row r="13472" ht="12.75" customHeight="1">
      <c r="A13472" s="59" t="s">
        <v>2881</v>
      </c>
      <c r="B13472" s="60" t="s">
        <v>1113</v>
      </c>
    </row>
    <row r="13473" ht="12.75" customHeight="1">
      <c r="A13473" s="59" t="s">
        <v>2881</v>
      </c>
      <c r="B13473" s="60" t="s">
        <v>1114</v>
      </c>
    </row>
    <row r="13474" ht="12.75" customHeight="1">
      <c r="A13474" s="59" t="s">
        <v>2881</v>
      </c>
      <c r="B13474" s="60" t="s">
        <v>1115</v>
      </c>
    </row>
    <row r="13475" ht="12.75" customHeight="1">
      <c r="A13475" s="59" t="s">
        <v>2881</v>
      </c>
      <c r="B13475" s="60" t="s">
        <v>1116</v>
      </c>
    </row>
    <row r="13476" ht="12.75" customHeight="1">
      <c r="A13476" s="59" t="s">
        <v>2881</v>
      </c>
      <c r="B13476" s="60" t="s">
        <v>1117</v>
      </c>
    </row>
    <row r="13477" ht="12.75" customHeight="1">
      <c r="A13477" s="59" t="s">
        <v>2881</v>
      </c>
      <c r="B13477" s="60" t="s">
        <v>1118</v>
      </c>
    </row>
    <row r="13478" ht="12.75" customHeight="1">
      <c r="A13478" s="59" t="s">
        <v>2881</v>
      </c>
      <c r="B13478" s="60" t="s">
        <v>1119</v>
      </c>
    </row>
    <row r="13479" ht="12.75" customHeight="1">
      <c r="A13479" s="59" t="s">
        <v>2881</v>
      </c>
      <c r="B13479" s="60" t="s">
        <v>1120</v>
      </c>
    </row>
    <row r="13480" ht="12.75" customHeight="1">
      <c r="A13480" s="59" t="s">
        <v>2881</v>
      </c>
      <c r="B13480" s="60" t="s">
        <v>1121</v>
      </c>
    </row>
    <row r="13481" ht="12.75" customHeight="1">
      <c r="A13481" s="59" t="s">
        <v>2881</v>
      </c>
      <c r="B13481" s="60" t="s">
        <v>1122</v>
      </c>
    </row>
    <row r="13482" ht="12.75" customHeight="1">
      <c r="A13482" s="59" t="s">
        <v>2881</v>
      </c>
      <c r="B13482" s="60" t="s">
        <v>1123</v>
      </c>
    </row>
    <row r="13483" ht="12.75" customHeight="1">
      <c r="A13483" s="59" t="s">
        <v>2881</v>
      </c>
      <c r="B13483" s="60" t="s">
        <v>1124</v>
      </c>
    </row>
    <row r="13484" ht="12.75" customHeight="1">
      <c r="A13484" s="59" t="s">
        <v>2881</v>
      </c>
      <c r="B13484" s="60" t="s">
        <v>1125</v>
      </c>
    </row>
    <row r="13485" ht="12.75" customHeight="1">
      <c r="A13485" s="59" t="s">
        <v>2881</v>
      </c>
      <c r="B13485" s="60" t="s">
        <v>1126</v>
      </c>
    </row>
    <row r="13486" ht="12.75" customHeight="1">
      <c r="A13486" s="59" t="s">
        <v>2881</v>
      </c>
      <c r="B13486" s="60" t="s">
        <v>1127</v>
      </c>
    </row>
    <row r="13487" ht="12.75" customHeight="1">
      <c r="A13487" s="59" t="s">
        <v>2881</v>
      </c>
      <c r="B13487" s="60" t="s">
        <v>1128</v>
      </c>
    </row>
    <row r="13488" ht="12.75" customHeight="1">
      <c r="A13488" s="59" t="s">
        <v>2881</v>
      </c>
      <c r="B13488" s="60" t="s">
        <v>1129</v>
      </c>
    </row>
    <row r="13489" ht="12.75" customHeight="1">
      <c r="A13489" s="59" t="s">
        <v>2881</v>
      </c>
      <c r="B13489" s="60" t="s">
        <v>1130</v>
      </c>
    </row>
    <row r="13490" ht="12.75" customHeight="1">
      <c r="A13490" s="59" t="s">
        <v>2881</v>
      </c>
      <c r="B13490" s="60" t="s">
        <v>1131</v>
      </c>
    </row>
    <row r="13491" ht="12.75" customHeight="1">
      <c r="A13491" s="59" t="s">
        <v>2881</v>
      </c>
      <c r="B13491" s="60" t="s">
        <v>1132</v>
      </c>
    </row>
    <row r="13492" ht="12.75" customHeight="1">
      <c r="A13492" s="59" t="s">
        <v>2881</v>
      </c>
      <c r="B13492" s="60" t="s">
        <v>1133</v>
      </c>
    </row>
    <row r="13493" ht="12.75" customHeight="1">
      <c r="A13493" s="59" t="s">
        <v>2881</v>
      </c>
      <c r="B13493" s="60" t="s">
        <v>1134</v>
      </c>
    </row>
    <row r="13494" ht="12.75" customHeight="1">
      <c r="A13494" s="59" t="s">
        <v>2881</v>
      </c>
      <c r="B13494" s="60" t="s">
        <v>1135</v>
      </c>
    </row>
    <row r="13495" ht="12.75" customHeight="1">
      <c r="A13495" s="59" t="s">
        <v>2881</v>
      </c>
      <c r="B13495" s="60" t="s">
        <v>1136</v>
      </c>
    </row>
    <row r="13496" ht="12.75" customHeight="1">
      <c r="A13496" s="59" t="s">
        <v>2881</v>
      </c>
      <c r="B13496" s="60" t="s">
        <v>1137</v>
      </c>
    </row>
    <row r="13497" ht="12.75" customHeight="1">
      <c r="A13497" s="59" t="s">
        <v>2881</v>
      </c>
      <c r="B13497" s="60" t="s">
        <v>1138</v>
      </c>
    </row>
    <row r="13498" ht="12.75" customHeight="1">
      <c r="A13498" s="59" t="s">
        <v>2881</v>
      </c>
      <c r="B13498" s="60" t="s">
        <v>1139</v>
      </c>
    </row>
    <row r="13499" ht="12.75" customHeight="1">
      <c r="A13499" s="59" t="s">
        <v>2881</v>
      </c>
      <c r="B13499" s="60" t="s">
        <v>1140</v>
      </c>
    </row>
    <row r="13500" ht="12.75" customHeight="1">
      <c r="A13500" s="59" t="s">
        <v>2881</v>
      </c>
      <c r="B13500" s="60" t="s">
        <v>1141</v>
      </c>
    </row>
    <row r="13501" ht="12.75" customHeight="1">
      <c r="A13501" s="59" t="s">
        <v>2881</v>
      </c>
      <c r="B13501" s="60" t="s">
        <v>1142</v>
      </c>
    </row>
    <row r="13502" ht="12.75" customHeight="1">
      <c r="A13502" s="59" t="s">
        <v>2881</v>
      </c>
      <c r="B13502" s="60" t="s">
        <v>1143</v>
      </c>
    </row>
    <row r="13503" ht="12.75" customHeight="1">
      <c r="A13503" s="59" t="s">
        <v>2881</v>
      </c>
      <c r="B13503" s="60" t="s">
        <v>1144</v>
      </c>
    </row>
    <row r="13504" ht="12.75" customHeight="1">
      <c r="A13504" s="59" t="s">
        <v>2881</v>
      </c>
      <c r="B13504" s="60" t="s">
        <v>1145</v>
      </c>
    </row>
    <row r="13505" ht="12.75" customHeight="1">
      <c r="A13505" s="59" t="s">
        <v>2881</v>
      </c>
      <c r="B13505" s="60" t="s">
        <v>1146</v>
      </c>
    </row>
    <row r="13506" ht="12.75" customHeight="1">
      <c r="A13506" s="59" t="s">
        <v>2881</v>
      </c>
      <c r="B13506" s="60" t="s">
        <v>1147</v>
      </c>
    </row>
    <row r="13507" ht="12.75" customHeight="1">
      <c r="A13507" s="59" t="s">
        <v>2881</v>
      </c>
      <c r="B13507" s="60" t="s">
        <v>1148</v>
      </c>
    </row>
    <row r="13508" ht="12.75" customHeight="1">
      <c r="A13508" s="59" t="s">
        <v>2881</v>
      </c>
      <c r="B13508" s="60" t="s">
        <v>1149</v>
      </c>
    </row>
    <row r="13509" ht="12.75" customHeight="1">
      <c r="A13509" s="59" t="s">
        <v>2881</v>
      </c>
      <c r="B13509" s="60" t="s">
        <v>1150</v>
      </c>
    </row>
    <row r="13510" ht="12.75" customHeight="1">
      <c r="A13510" s="59" t="s">
        <v>2881</v>
      </c>
      <c r="B13510" s="60" t="s">
        <v>1151</v>
      </c>
    </row>
    <row r="13511" ht="12.75" customHeight="1">
      <c r="A13511" s="59" t="s">
        <v>2881</v>
      </c>
      <c r="B13511" s="60" t="s">
        <v>1152</v>
      </c>
    </row>
    <row r="13512" ht="12.75" customHeight="1">
      <c r="A13512" s="59" t="s">
        <v>2881</v>
      </c>
      <c r="B13512" s="60" t="s">
        <v>1153</v>
      </c>
    </row>
    <row r="13513" ht="12.75" customHeight="1">
      <c r="A13513" s="59" t="s">
        <v>2881</v>
      </c>
      <c r="B13513" s="60" t="s">
        <v>1154</v>
      </c>
    </row>
    <row r="13514" ht="12.75" customHeight="1">
      <c r="A13514" s="59" t="s">
        <v>2881</v>
      </c>
      <c r="B13514" s="60" t="s">
        <v>1155</v>
      </c>
    </row>
    <row r="13515" ht="12.75" customHeight="1">
      <c r="A13515" s="59" t="s">
        <v>2881</v>
      </c>
      <c r="B13515" s="60" t="s">
        <v>1156</v>
      </c>
    </row>
    <row r="13516" ht="12.75" customHeight="1">
      <c r="A13516" s="59" t="s">
        <v>2881</v>
      </c>
      <c r="B13516" s="60" t="s">
        <v>1157</v>
      </c>
    </row>
    <row r="13517" ht="12.75" customHeight="1">
      <c r="A13517" s="59" t="s">
        <v>2881</v>
      </c>
      <c r="B13517" s="60" t="s">
        <v>1158</v>
      </c>
    </row>
    <row r="13518" ht="12.75" customHeight="1">
      <c r="A13518" s="59" t="s">
        <v>2881</v>
      </c>
      <c r="B13518" s="60" t="s">
        <v>1159</v>
      </c>
    </row>
    <row r="13519" ht="12.75" customHeight="1">
      <c r="A13519" s="59" t="s">
        <v>2881</v>
      </c>
      <c r="B13519" s="60" t="s">
        <v>1160</v>
      </c>
    </row>
    <row r="13520" ht="12.75" customHeight="1">
      <c r="A13520" s="59" t="s">
        <v>2881</v>
      </c>
      <c r="B13520" s="60" t="s">
        <v>1161</v>
      </c>
    </row>
    <row r="13521" ht="12.75" customHeight="1">
      <c r="A13521" s="59" t="s">
        <v>2881</v>
      </c>
      <c r="B13521" s="60" t="s">
        <v>1162</v>
      </c>
    </row>
    <row r="13522" ht="12.75" customHeight="1">
      <c r="A13522" s="59" t="s">
        <v>2881</v>
      </c>
      <c r="B13522" s="60" t="s">
        <v>1163</v>
      </c>
    </row>
    <row r="13523" ht="12.75" customHeight="1">
      <c r="A13523" s="59" t="s">
        <v>2881</v>
      </c>
      <c r="B13523" s="60" t="s">
        <v>1164</v>
      </c>
    </row>
    <row r="13524" ht="12.75" customHeight="1">
      <c r="A13524" s="59" t="s">
        <v>2881</v>
      </c>
      <c r="B13524" s="60" t="s">
        <v>1165</v>
      </c>
    </row>
    <row r="13525" ht="12.75" customHeight="1">
      <c r="A13525" s="59" t="s">
        <v>2881</v>
      </c>
      <c r="B13525" s="60" t="s">
        <v>1166</v>
      </c>
    </row>
    <row r="13526" ht="12.75" customHeight="1">
      <c r="A13526" s="59" t="s">
        <v>2881</v>
      </c>
      <c r="B13526" s="60" t="s">
        <v>1167</v>
      </c>
    </row>
    <row r="13527" ht="12.75" customHeight="1">
      <c r="A13527" s="59" t="s">
        <v>2881</v>
      </c>
      <c r="B13527" s="60" t="s">
        <v>1168</v>
      </c>
    </row>
    <row r="13528" ht="12.75" customHeight="1">
      <c r="A13528" s="59" t="s">
        <v>2881</v>
      </c>
      <c r="B13528" s="60" t="s">
        <v>1169</v>
      </c>
    </row>
    <row r="13529" ht="12.75" customHeight="1">
      <c r="A13529" s="59" t="s">
        <v>2881</v>
      </c>
      <c r="B13529" s="60" t="s">
        <v>1170</v>
      </c>
    </row>
    <row r="13530" ht="12.75" customHeight="1">
      <c r="A13530" s="59" t="s">
        <v>2881</v>
      </c>
      <c r="B13530" s="60" t="s">
        <v>1171</v>
      </c>
    </row>
    <row r="13531" ht="12.75" customHeight="1">
      <c r="A13531" s="59" t="s">
        <v>2881</v>
      </c>
      <c r="B13531" s="60" t="s">
        <v>1172</v>
      </c>
    </row>
    <row r="13532" ht="12.75" customHeight="1">
      <c r="A13532" s="59" t="s">
        <v>2881</v>
      </c>
      <c r="B13532" s="60" t="s">
        <v>1173</v>
      </c>
    </row>
    <row r="13533" ht="12.75" customHeight="1">
      <c r="A13533" s="59" t="s">
        <v>2881</v>
      </c>
      <c r="B13533" s="60" t="s">
        <v>1174</v>
      </c>
    </row>
    <row r="13534" ht="12.75" customHeight="1">
      <c r="A13534" s="59" t="s">
        <v>2881</v>
      </c>
      <c r="B13534" s="60" t="s">
        <v>1175</v>
      </c>
    </row>
    <row r="13535" ht="12.75" customHeight="1">
      <c r="A13535" s="59" t="s">
        <v>2881</v>
      </c>
      <c r="B13535" s="60" t="s">
        <v>1176</v>
      </c>
    </row>
    <row r="13536" ht="12.75" customHeight="1">
      <c r="A13536" s="59" t="s">
        <v>2881</v>
      </c>
      <c r="B13536" s="60" t="s">
        <v>1177</v>
      </c>
    </row>
    <row r="13537" ht="12.75" customHeight="1">
      <c r="A13537" s="59" t="s">
        <v>2881</v>
      </c>
      <c r="B13537" s="60" t="s">
        <v>1178</v>
      </c>
    </row>
    <row r="13538" ht="12.75" customHeight="1">
      <c r="A13538" s="59" t="s">
        <v>2881</v>
      </c>
      <c r="B13538" s="60" t="s">
        <v>1179</v>
      </c>
    </row>
    <row r="13539" ht="12.75" customHeight="1">
      <c r="A13539" s="59" t="s">
        <v>2881</v>
      </c>
      <c r="B13539" s="60" t="s">
        <v>1180</v>
      </c>
    </row>
    <row r="13540" ht="12.75" customHeight="1">
      <c r="A13540" s="59" t="s">
        <v>2881</v>
      </c>
      <c r="B13540" s="60" t="s">
        <v>1181</v>
      </c>
    </row>
    <row r="13541" ht="12.75" customHeight="1">
      <c r="A13541" s="59" t="s">
        <v>2881</v>
      </c>
      <c r="B13541" s="60" t="s">
        <v>1182</v>
      </c>
    </row>
    <row r="13542" ht="12.75" customHeight="1">
      <c r="A13542" s="59" t="s">
        <v>2881</v>
      </c>
      <c r="B13542" s="60" t="s">
        <v>1183</v>
      </c>
    </row>
    <row r="13543" ht="12.75" customHeight="1">
      <c r="A13543" s="59" t="s">
        <v>2881</v>
      </c>
      <c r="B13543" s="60" t="s">
        <v>1184</v>
      </c>
    </row>
    <row r="13544" ht="12.75" customHeight="1">
      <c r="A13544" s="59" t="s">
        <v>2881</v>
      </c>
      <c r="B13544" s="60" t="s">
        <v>1185</v>
      </c>
    </row>
    <row r="13545" ht="12.75" customHeight="1">
      <c r="A13545" s="59" t="s">
        <v>2881</v>
      </c>
      <c r="B13545" s="60" t="s">
        <v>1186</v>
      </c>
    </row>
    <row r="13546" ht="12.75" customHeight="1">
      <c r="A13546" s="59" t="s">
        <v>2881</v>
      </c>
      <c r="B13546" s="60" t="s">
        <v>1187</v>
      </c>
    </row>
    <row r="13547" ht="12.75" customHeight="1">
      <c r="A13547" s="59" t="s">
        <v>2881</v>
      </c>
      <c r="B13547" s="60" t="s">
        <v>1188</v>
      </c>
    </row>
    <row r="13548" ht="12.75" customHeight="1">
      <c r="A13548" s="59" t="s">
        <v>2881</v>
      </c>
      <c r="B13548" s="60" t="s">
        <v>1189</v>
      </c>
    </row>
    <row r="13549" ht="12.75" customHeight="1">
      <c r="A13549" s="59" t="s">
        <v>2881</v>
      </c>
      <c r="B13549" s="60" t="s">
        <v>1190</v>
      </c>
    </row>
    <row r="13550" ht="12.75" customHeight="1">
      <c r="A13550" s="59" t="s">
        <v>2881</v>
      </c>
      <c r="B13550" s="60" t="s">
        <v>1191</v>
      </c>
    </row>
    <row r="13551" ht="12.75" customHeight="1">
      <c r="A13551" s="59" t="s">
        <v>2881</v>
      </c>
      <c r="B13551" s="60" t="s">
        <v>1192</v>
      </c>
    </row>
    <row r="13552" ht="12.75" customHeight="1">
      <c r="A13552" s="59" t="s">
        <v>2882</v>
      </c>
      <c r="B13552" s="60">
        <v>0.0</v>
      </c>
    </row>
    <row r="13553" ht="12.75" customHeight="1">
      <c r="A13553" s="59" t="s">
        <v>2882</v>
      </c>
      <c r="B13553" s="60">
        <v>0.0</v>
      </c>
    </row>
    <row r="13554" ht="12.75" customHeight="1">
      <c r="A13554" s="59" t="s">
        <v>2882</v>
      </c>
      <c r="B13554" s="60">
        <v>2.0</v>
      </c>
    </row>
    <row r="13555" ht="12.75" customHeight="1">
      <c r="A13555" s="59" t="s">
        <v>2882</v>
      </c>
      <c r="B13555" s="60">
        <v>4.0</v>
      </c>
    </row>
    <row r="13556" ht="12.75" customHeight="1">
      <c r="A13556" s="59" t="s">
        <v>2882</v>
      </c>
      <c r="B13556" s="60">
        <v>6.0</v>
      </c>
    </row>
    <row r="13557" ht="12.75" customHeight="1">
      <c r="A13557" s="59" t="s">
        <v>2882</v>
      </c>
      <c r="B13557" s="60">
        <v>8.0</v>
      </c>
    </row>
    <row r="13558" ht="12.75" customHeight="1">
      <c r="A13558" s="59" t="s">
        <v>2882</v>
      </c>
      <c r="B13558" s="60">
        <v>10.0</v>
      </c>
    </row>
    <row r="13559" ht="12.75" customHeight="1">
      <c r="A13559" s="59" t="s">
        <v>2882</v>
      </c>
      <c r="B13559" s="60">
        <v>12.0</v>
      </c>
    </row>
    <row r="13560" ht="12.75" customHeight="1">
      <c r="A13560" s="59" t="s">
        <v>2882</v>
      </c>
      <c r="B13560" s="60" t="s">
        <v>803</v>
      </c>
    </row>
    <row r="13561" ht="12.75" customHeight="1">
      <c r="A13561" s="59" t="s">
        <v>2882</v>
      </c>
      <c r="B13561" s="60" t="s">
        <v>804</v>
      </c>
    </row>
    <row r="13562" ht="12.75" customHeight="1">
      <c r="A13562" s="59" t="s">
        <v>2882</v>
      </c>
      <c r="B13562" s="60" t="s">
        <v>76</v>
      </c>
    </row>
    <row r="13563" ht="12.75" customHeight="1">
      <c r="A13563" s="59" t="s">
        <v>2882</v>
      </c>
      <c r="B13563" s="60" t="s">
        <v>80</v>
      </c>
    </row>
    <row r="13564" ht="12.75" customHeight="1">
      <c r="A13564" s="59" t="s">
        <v>2882</v>
      </c>
      <c r="B13564" s="60" t="s">
        <v>83</v>
      </c>
    </row>
    <row r="13565" ht="12.75" customHeight="1">
      <c r="A13565" s="59" t="s">
        <v>2882</v>
      </c>
      <c r="B13565" s="60" t="s">
        <v>85</v>
      </c>
    </row>
    <row r="13566" ht="12.75" customHeight="1">
      <c r="A13566" s="59" t="s">
        <v>2882</v>
      </c>
      <c r="B13566" s="60" t="s">
        <v>805</v>
      </c>
    </row>
    <row r="13567" ht="12.75" customHeight="1">
      <c r="A13567" s="59" t="s">
        <v>2882</v>
      </c>
      <c r="B13567" s="60" t="s">
        <v>806</v>
      </c>
    </row>
    <row r="13568" ht="12.75" customHeight="1">
      <c r="A13568" s="59" t="s">
        <v>2882</v>
      </c>
      <c r="B13568" s="60" t="s">
        <v>807</v>
      </c>
    </row>
    <row r="13569" ht="12.75" customHeight="1">
      <c r="A13569" s="59" t="s">
        <v>2882</v>
      </c>
      <c r="B13569" s="60" t="s">
        <v>753</v>
      </c>
    </row>
    <row r="13570" ht="12.75" customHeight="1">
      <c r="A13570" s="59" t="s">
        <v>2882</v>
      </c>
      <c r="B13570" s="60" t="s">
        <v>757</v>
      </c>
    </row>
    <row r="13571" ht="12.75" customHeight="1">
      <c r="A13571" s="59" t="s">
        <v>2882</v>
      </c>
      <c r="B13571" s="60" t="s">
        <v>761</v>
      </c>
    </row>
    <row r="13572" ht="12.75" customHeight="1">
      <c r="A13572" s="59" t="s">
        <v>2882</v>
      </c>
      <c r="B13572" s="60" t="s">
        <v>765</v>
      </c>
    </row>
    <row r="13573" ht="12.75" customHeight="1">
      <c r="A13573" s="59" t="s">
        <v>2882</v>
      </c>
      <c r="B13573" s="60" t="s">
        <v>808</v>
      </c>
    </row>
    <row r="13574" ht="12.75" customHeight="1">
      <c r="A13574" s="59" t="s">
        <v>2882</v>
      </c>
      <c r="B13574" s="60" t="s">
        <v>809</v>
      </c>
    </row>
    <row r="13575" ht="12.75" customHeight="1">
      <c r="A13575" s="59" t="s">
        <v>2882</v>
      </c>
      <c r="B13575" s="60" t="s">
        <v>810</v>
      </c>
    </row>
    <row r="13576" ht="12.75" customHeight="1">
      <c r="A13576" s="59" t="s">
        <v>2882</v>
      </c>
      <c r="B13576" s="60" t="s">
        <v>811</v>
      </c>
    </row>
    <row r="13577" ht="12.75" customHeight="1">
      <c r="A13577" s="59" t="s">
        <v>2882</v>
      </c>
      <c r="B13577" s="60" t="s">
        <v>812</v>
      </c>
    </row>
    <row r="13578" ht="12.75" customHeight="1">
      <c r="A13578" s="59" t="s">
        <v>2882</v>
      </c>
      <c r="B13578" s="60" t="s">
        <v>813</v>
      </c>
    </row>
    <row r="13579" ht="12.75" customHeight="1">
      <c r="A13579" s="59" t="s">
        <v>2882</v>
      </c>
      <c r="B13579" s="60" t="s">
        <v>814</v>
      </c>
    </row>
    <row r="13580" ht="12.75" customHeight="1">
      <c r="A13580" s="59" t="s">
        <v>2882</v>
      </c>
      <c r="B13580" s="60" t="s">
        <v>815</v>
      </c>
    </row>
    <row r="13581" ht="12.75" customHeight="1">
      <c r="A13581" s="59" t="s">
        <v>2882</v>
      </c>
      <c r="B13581" s="60" t="s">
        <v>816</v>
      </c>
    </row>
    <row r="13582" ht="12.75" customHeight="1">
      <c r="A13582" s="59" t="s">
        <v>2882</v>
      </c>
      <c r="B13582" s="60" t="s">
        <v>771</v>
      </c>
    </row>
    <row r="13583" ht="12.75" customHeight="1">
      <c r="A13583" s="59" t="s">
        <v>2882</v>
      </c>
      <c r="B13583" s="60" t="s">
        <v>775</v>
      </c>
    </row>
    <row r="13584" ht="12.75" customHeight="1">
      <c r="A13584" s="59" t="s">
        <v>2882</v>
      </c>
      <c r="B13584" s="60" t="s">
        <v>779</v>
      </c>
    </row>
    <row r="13585" ht="12.75" customHeight="1">
      <c r="A13585" s="59" t="s">
        <v>2882</v>
      </c>
      <c r="B13585" s="60" t="s">
        <v>783</v>
      </c>
    </row>
    <row r="13586" ht="12.75" customHeight="1">
      <c r="A13586" s="59" t="s">
        <v>2882</v>
      </c>
      <c r="B13586" s="60" t="s">
        <v>817</v>
      </c>
    </row>
    <row r="13587" ht="12.75" customHeight="1">
      <c r="A13587" s="59" t="s">
        <v>2882</v>
      </c>
      <c r="B13587" s="60" t="s">
        <v>818</v>
      </c>
    </row>
    <row r="13588" ht="12.75" customHeight="1">
      <c r="A13588" s="59" t="s">
        <v>2882</v>
      </c>
      <c r="B13588" s="60" t="s">
        <v>819</v>
      </c>
    </row>
    <row r="13589" ht="12.75" customHeight="1">
      <c r="A13589" s="59" t="s">
        <v>2882</v>
      </c>
      <c r="B13589" s="60" t="s">
        <v>820</v>
      </c>
    </row>
    <row r="13590" ht="12.75" customHeight="1">
      <c r="A13590" s="59" t="s">
        <v>2882</v>
      </c>
      <c r="B13590" s="60" t="s">
        <v>821</v>
      </c>
    </row>
    <row r="13591" ht="12.75" customHeight="1">
      <c r="A13591" s="59" t="s">
        <v>2882</v>
      </c>
      <c r="B13591" s="60" t="s">
        <v>822</v>
      </c>
    </row>
    <row r="13592" ht="12.75" customHeight="1">
      <c r="A13592" s="59" t="s">
        <v>2882</v>
      </c>
      <c r="B13592" s="60" t="s">
        <v>823</v>
      </c>
    </row>
    <row r="13593" ht="12.75" customHeight="1">
      <c r="A13593" s="59" t="s">
        <v>2882</v>
      </c>
      <c r="B13593" s="60" t="s">
        <v>824</v>
      </c>
    </row>
    <row r="13594" ht="12.75" customHeight="1">
      <c r="A13594" s="59" t="s">
        <v>2882</v>
      </c>
      <c r="B13594" s="60" t="s">
        <v>825</v>
      </c>
    </row>
    <row r="13595" ht="12.75" customHeight="1">
      <c r="A13595" s="59" t="s">
        <v>2882</v>
      </c>
      <c r="B13595" s="60" t="s">
        <v>788</v>
      </c>
    </row>
    <row r="13596" ht="12.75" customHeight="1">
      <c r="A13596" s="59" t="s">
        <v>2882</v>
      </c>
      <c r="B13596" s="60" t="s">
        <v>792</v>
      </c>
    </row>
    <row r="13597" ht="12.75" customHeight="1">
      <c r="A13597" s="59" t="s">
        <v>2882</v>
      </c>
      <c r="B13597" s="60" t="s">
        <v>796</v>
      </c>
    </row>
    <row r="13598" ht="12.75" customHeight="1">
      <c r="A13598" s="59" t="s">
        <v>2882</v>
      </c>
      <c r="B13598" s="60" t="s">
        <v>800</v>
      </c>
    </row>
    <row r="13599" ht="12.75" customHeight="1">
      <c r="A13599" s="59" t="s">
        <v>2882</v>
      </c>
      <c r="B13599" s="60" t="s">
        <v>826</v>
      </c>
    </row>
    <row r="13600" ht="12.75" customHeight="1">
      <c r="A13600" s="59" t="s">
        <v>2882</v>
      </c>
      <c r="B13600" s="60" t="s">
        <v>827</v>
      </c>
    </row>
    <row r="13601" ht="12.75" customHeight="1">
      <c r="A13601" s="59" t="s">
        <v>2882</v>
      </c>
      <c r="B13601" s="60" t="s">
        <v>828</v>
      </c>
    </row>
    <row r="13602" ht="12.75" customHeight="1">
      <c r="A13602" s="59" t="s">
        <v>2882</v>
      </c>
      <c r="B13602" s="60" t="s">
        <v>829</v>
      </c>
    </row>
    <row r="13603" ht="12.75" customHeight="1">
      <c r="A13603" s="59" t="s">
        <v>2882</v>
      </c>
      <c r="B13603" s="60" t="s">
        <v>830</v>
      </c>
    </row>
    <row r="13604" ht="12.75" customHeight="1">
      <c r="A13604" s="59" t="s">
        <v>2882</v>
      </c>
      <c r="B13604" s="60" t="s">
        <v>831</v>
      </c>
    </row>
    <row r="13605" ht="12.75" customHeight="1">
      <c r="A13605" s="59" t="s">
        <v>2882</v>
      </c>
      <c r="B13605" s="60" t="s">
        <v>832</v>
      </c>
    </row>
    <row r="13606" ht="12.75" customHeight="1">
      <c r="A13606" s="59" t="s">
        <v>2882</v>
      </c>
      <c r="B13606" s="60" t="s">
        <v>833</v>
      </c>
    </row>
    <row r="13607" ht="12.75" customHeight="1">
      <c r="A13607" s="59" t="s">
        <v>2882</v>
      </c>
      <c r="B13607" s="60" t="s">
        <v>834</v>
      </c>
    </row>
    <row r="13608" ht="12.75" customHeight="1">
      <c r="A13608" s="59" t="s">
        <v>2882</v>
      </c>
      <c r="B13608" s="60">
        <v>14.0</v>
      </c>
    </row>
    <row r="13609" ht="12.75" customHeight="1">
      <c r="A13609" s="59" t="s">
        <v>2882</v>
      </c>
      <c r="B13609" s="60" t="s">
        <v>835</v>
      </c>
    </row>
    <row r="13610" ht="12.75" customHeight="1">
      <c r="A13610" s="59" t="s">
        <v>2882</v>
      </c>
      <c r="B13610" s="60">
        <v>16.0</v>
      </c>
    </row>
    <row r="13611" ht="12.75" customHeight="1">
      <c r="A13611" s="59" t="s">
        <v>2882</v>
      </c>
      <c r="B13611" s="60" t="s">
        <v>836</v>
      </c>
    </row>
    <row r="13612" ht="12.75" customHeight="1">
      <c r="A13612" s="59" t="s">
        <v>2882</v>
      </c>
      <c r="B13612" s="60">
        <v>18.0</v>
      </c>
    </row>
    <row r="13613" ht="12.75" customHeight="1">
      <c r="A13613" s="59" t="s">
        <v>2882</v>
      </c>
      <c r="B13613" s="60" t="s">
        <v>837</v>
      </c>
    </row>
    <row r="13614" ht="12.75" customHeight="1">
      <c r="A13614" s="59" t="s">
        <v>2882</v>
      </c>
      <c r="B13614" s="60">
        <v>20.0</v>
      </c>
    </row>
    <row r="13615" ht="12.75" customHeight="1">
      <c r="A13615" s="59" t="s">
        <v>2882</v>
      </c>
      <c r="B13615" s="60" t="s">
        <v>838</v>
      </c>
    </row>
    <row r="13616" ht="12.75" customHeight="1">
      <c r="A13616" s="59" t="s">
        <v>2882</v>
      </c>
      <c r="B13616" s="60">
        <v>22.0</v>
      </c>
    </row>
    <row r="13617" ht="12.75" customHeight="1">
      <c r="A13617" s="59" t="s">
        <v>2882</v>
      </c>
      <c r="B13617" s="60" t="s">
        <v>839</v>
      </c>
    </row>
    <row r="13618" ht="12.75" customHeight="1">
      <c r="A13618" s="59" t="s">
        <v>2882</v>
      </c>
      <c r="B13618" s="60">
        <v>24.0</v>
      </c>
    </row>
    <row r="13619" ht="12.75" customHeight="1">
      <c r="A13619" s="59" t="s">
        <v>2882</v>
      </c>
      <c r="B13619" s="60" t="s">
        <v>840</v>
      </c>
    </row>
    <row r="13620" ht="12.75" customHeight="1">
      <c r="A13620" s="59" t="s">
        <v>2882</v>
      </c>
      <c r="B13620" s="60">
        <v>26.0</v>
      </c>
    </row>
    <row r="13621" ht="12.75" customHeight="1">
      <c r="A13621" s="59" t="s">
        <v>2882</v>
      </c>
      <c r="B13621" s="60" t="s">
        <v>841</v>
      </c>
    </row>
    <row r="13622" ht="12.75" customHeight="1">
      <c r="A13622" s="59" t="s">
        <v>2882</v>
      </c>
      <c r="B13622" s="60">
        <v>28.0</v>
      </c>
    </row>
    <row r="13623" ht="12.75" customHeight="1">
      <c r="A13623" s="59" t="s">
        <v>2882</v>
      </c>
      <c r="B13623" s="60" t="s">
        <v>842</v>
      </c>
    </row>
    <row r="13624" ht="12.75" customHeight="1">
      <c r="A13624" s="59" t="s">
        <v>2882</v>
      </c>
      <c r="B13624" s="60">
        <v>30.0</v>
      </c>
    </row>
    <row r="13625" ht="12.75" customHeight="1">
      <c r="A13625" s="59" t="s">
        <v>2882</v>
      </c>
      <c r="B13625" s="60" t="s">
        <v>843</v>
      </c>
    </row>
    <row r="13626" ht="12.75" customHeight="1">
      <c r="A13626" s="59" t="s">
        <v>2882</v>
      </c>
      <c r="B13626" s="60">
        <v>32.0</v>
      </c>
    </row>
    <row r="13627" ht="12.75" customHeight="1">
      <c r="A13627" s="59" t="s">
        <v>2882</v>
      </c>
      <c r="B13627" s="60" t="s">
        <v>844</v>
      </c>
    </row>
    <row r="13628" ht="12.75" customHeight="1">
      <c r="A13628" s="59" t="s">
        <v>2882</v>
      </c>
      <c r="B13628" s="60" t="s">
        <v>845</v>
      </c>
    </row>
    <row r="13629" ht="12.75" customHeight="1">
      <c r="A13629" s="59" t="s">
        <v>2882</v>
      </c>
      <c r="B13629" s="60" t="s">
        <v>846</v>
      </c>
    </row>
    <row r="13630" ht="12.75" customHeight="1">
      <c r="A13630" s="59" t="s">
        <v>2882</v>
      </c>
      <c r="B13630" s="60" t="s">
        <v>847</v>
      </c>
    </row>
    <row r="13631" ht="12.75" customHeight="1">
      <c r="A13631" s="59" t="s">
        <v>2882</v>
      </c>
      <c r="B13631" s="60" t="s">
        <v>848</v>
      </c>
    </row>
    <row r="13632" ht="12.75" customHeight="1">
      <c r="A13632" s="59" t="s">
        <v>2882</v>
      </c>
      <c r="B13632" s="60" t="s">
        <v>849</v>
      </c>
    </row>
    <row r="13633" ht="12.75" customHeight="1">
      <c r="A13633" s="59" t="s">
        <v>2882</v>
      </c>
      <c r="B13633" s="60" t="s">
        <v>850</v>
      </c>
    </row>
    <row r="13634" ht="12.75" customHeight="1">
      <c r="A13634" s="59" t="s">
        <v>2882</v>
      </c>
      <c r="B13634" s="60" t="s">
        <v>851</v>
      </c>
    </row>
    <row r="13635" ht="12.75" customHeight="1">
      <c r="A13635" s="59" t="s">
        <v>2882</v>
      </c>
      <c r="B13635" s="60" t="s">
        <v>852</v>
      </c>
    </row>
    <row r="13636" ht="12.75" customHeight="1">
      <c r="A13636" s="59" t="s">
        <v>2882</v>
      </c>
      <c r="B13636" s="60" t="s">
        <v>853</v>
      </c>
    </row>
    <row r="13637" ht="12.75" customHeight="1">
      <c r="A13637" s="59" t="s">
        <v>2882</v>
      </c>
      <c r="B13637" s="60" t="s">
        <v>854</v>
      </c>
    </row>
    <row r="13638" ht="12.75" customHeight="1">
      <c r="A13638" s="59" t="s">
        <v>2882</v>
      </c>
      <c r="B13638" s="60" t="s">
        <v>855</v>
      </c>
    </row>
    <row r="13639" ht="12.75" customHeight="1">
      <c r="A13639" s="59" t="s">
        <v>2882</v>
      </c>
      <c r="B13639" s="60" t="s">
        <v>856</v>
      </c>
    </row>
    <row r="13640" ht="12.75" customHeight="1">
      <c r="A13640" s="59" t="s">
        <v>2882</v>
      </c>
      <c r="B13640" s="60" t="s">
        <v>857</v>
      </c>
    </row>
    <row r="13641" ht="12.75" customHeight="1">
      <c r="A13641" s="59" t="s">
        <v>2882</v>
      </c>
      <c r="B13641" s="60" t="s">
        <v>858</v>
      </c>
    </row>
    <row r="13642" ht="12.75" customHeight="1">
      <c r="A13642" s="59" t="s">
        <v>2882</v>
      </c>
      <c r="B13642" s="60" t="s">
        <v>859</v>
      </c>
    </row>
    <row r="13643" ht="12.75" customHeight="1">
      <c r="A13643" s="59" t="s">
        <v>2882</v>
      </c>
      <c r="B13643" s="60" t="s">
        <v>860</v>
      </c>
    </row>
    <row r="13644" ht="12.75" customHeight="1">
      <c r="A13644" s="59" t="s">
        <v>2882</v>
      </c>
      <c r="B13644" s="60" t="s">
        <v>861</v>
      </c>
    </row>
    <row r="13645" ht="12.75" customHeight="1">
      <c r="A13645" s="59" t="s">
        <v>2882</v>
      </c>
      <c r="B13645" s="60" t="s">
        <v>862</v>
      </c>
    </row>
    <row r="13646" ht="12.75" customHeight="1">
      <c r="A13646" s="59" t="s">
        <v>2882</v>
      </c>
      <c r="B13646" s="60" t="s">
        <v>863</v>
      </c>
    </row>
    <row r="13647" ht="12.75" customHeight="1">
      <c r="A13647" s="59" t="s">
        <v>2882</v>
      </c>
      <c r="B13647" s="60" t="s">
        <v>864</v>
      </c>
    </row>
    <row r="13648" ht="12.75" customHeight="1">
      <c r="A13648" s="59" t="s">
        <v>2882</v>
      </c>
      <c r="B13648" s="60" t="s">
        <v>865</v>
      </c>
    </row>
    <row r="13649" ht="12.75" customHeight="1">
      <c r="A13649" s="59" t="s">
        <v>2882</v>
      </c>
      <c r="B13649" s="60" t="s">
        <v>866</v>
      </c>
    </row>
    <row r="13650" ht="12.75" customHeight="1">
      <c r="A13650" s="59" t="s">
        <v>2882</v>
      </c>
      <c r="B13650" s="60" t="s">
        <v>867</v>
      </c>
    </row>
    <row r="13651" ht="12.75" customHeight="1">
      <c r="A13651" s="59" t="s">
        <v>2882</v>
      </c>
      <c r="B13651" s="60" t="s">
        <v>868</v>
      </c>
    </row>
    <row r="13652" ht="12.75" customHeight="1">
      <c r="A13652" s="59" t="s">
        <v>2882</v>
      </c>
      <c r="B13652" s="60" t="s">
        <v>869</v>
      </c>
    </row>
    <row r="13653" ht="12.75" customHeight="1">
      <c r="A13653" s="59" t="s">
        <v>2882</v>
      </c>
      <c r="B13653" s="60" t="s">
        <v>870</v>
      </c>
    </row>
    <row r="13654" ht="12.75" customHeight="1">
      <c r="A13654" s="59" t="s">
        <v>2882</v>
      </c>
      <c r="B13654" s="60" t="s">
        <v>871</v>
      </c>
    </row>
    <row r="13655" ht="12.75" customHeight="1">
      <c r="A13655" s="59" t="s">
        <v>2882</v>
      </c>
      <c r="B13655" s="60" t="s">
        <v>872</v>
      </c>
    </row>
    <row r="13656" ht="12.75" customHeight="1">
      <c r="A13656" s="59" t="s">
        <v>2882</v>
      </c>
      <c r="B13656" s="60" t="s">
        <v>873</v>
      </c>
    </row>
    <row r="13657" ht="12.75" customHeight="1">
      <c r="A13657" s="59" t="s">
        <v>2882</v>
      </c>
      <c r="B13657" s="60" t="s">
        <v>874</v>
      </c>
    </row>
    <row r="13658" ht="12.75" customHeight="1">
      <c r="A13658" s="59" t="s">
        <v>2882</v>
      </c>
      <c r="B13658" s="60" t="s">
        <v>875</v>
      </c>
    </row>
    <row r="13659" ht="12.75" customHeight="1">
      <c r="A13659" s="59" t="s">
        <v>2882</v>
      </c>
      <c r="B13659" s="60" t="s">
        <v>876</v>
      </c>
    </row>
    <row r="13660" ht="12.75" customHeight="1">
      <c r="A13660" s="59" t="s">
        <v>2882</v>
      </c>
      <c r="B13660" s="60" t="s">
        <v>877</v>
      </c>
    </row>
    <row r="13661" ht="12.75" customHeight="1">
      <c r="A13661" s="59" t="s">
        <v>2882</v>
      </c>
      <c r="B13661" s="60" t="s">
        <v>878</v>
      </c>
    </row>
    <row r="13662" ht="12.75" customHeight="1">
      <c r="A13662" s="59" t="s">
        <v>2882</v>
      </c>
      <c r="B13662" s="60" t="s">
        <v>879</v>
      </c>
    </row>
    <row r="13663" ht="12.75" customHeight="1">
      <c r="A13663" s="59" t="s">
        <v>2882</v>
      </c>
      <c r="B13663" s="60" t="s">
        <v>880</v>
      </c>
    </row>
    <row r="13664" ht="12.75" customHeight="1">
      <c r="A13664" s="59" t="s">
        <v>2882</v>
      </c>
      <c r="B13664" s="60" t="s">
        <v>881</v>
      </c>
    </row>
    <row r="13665" ht="12.75" customHeight="1">
      <c r="A13665" s="59" t="s">
        <v>2882</v>
      </c>
      <c r="B13665" s="60" t="s">
        <v>882</v>
      </c>
    </row>
    <row r="13666" ht="12.75" customHeight="1">
      <c r="A13666" s="59" t="s">
        <v>2882</v>
      </c>
      <c r="B13666" s="60" t="s">
        <v>883</v>
      </c>
    </row>
    <row r="13667" ht="12.75" customHeight="1">
      <c r="A13667" s="59" t="s">
        <v>2882</v>
      </c>
      <c r="B13667" s="60" t="s">
        <v>884</v>
      </c>
    </row>
    <row r="13668" ht="12.75" customHeight="1">
      <c r="A13668" s="59" t="s">
        <v>2882</v>
      </c>
      <c r="B13668" s="60" t="s">
        <v>885</v>
      </c>
    </row>
    <row r="13669" ht="12.75" customHeight="1">
      <c r="A13669" s="59" t="s">
        <v>2882</v>
      </c>
      <c r="B13669" s="60" t="s">
        <v>886</v>
      </c>
    </row>
    <row r="13670" ht="12.75" customHeight="1">
      <c r="A13670" s="59" t="s">
        <v>2882</v>
      </c>
      <c r="B13670" s="60" t="s">
        <v>887</v>
      </c>
    </row>
    <row r="13671" ht="12.75" customHeight="1">
      <c r="A13671" s="59" t="s">
        <v>2882</v>
      </c>
      <c r="B13671" s="60" t="s">
        <v>888</v>
      </c>
    </row>
    <row r="13672" ht="12.75" customHeight="1">
      <c r="A13672" s="59" t="s">
        <v>2882</v>
      </c>
      <c r="B13672" s="60" t="s">
        <v>889</v>
      </c>
    </row>
    <row r="13673" ht="12.75" customHeight="1">
      <c r="A13673" s="59" t="s">
        <v>2882</v>
      </c>
      <c r="B13673" s="60" t="s">
        <v>890</v>
      </c>
    </row>
    <row r="13674" ht="12.75" customHeight="1">
      <c r="A13674" s="59" t="s">
        <v>2882</v>
      </c>
      <c r="B13674" s="60" t="s">
        <v>891</v>
      </c>
    </row>
    <row r="13675" ht="12.75" customHeight="1">
      <c r="A13675" s="59" t="s">
        <v>2882</v>
      </c>
      <c r="B13675" s="60" t="s">
        <v>892</v>
      </c>
    </row>
    <row r="13676" ht="12.75" customHeight="1">
      <c r="A13676" s="59" t="s">
        <v>2882</v>
      </c>
      <c r="B13676" s="60" t="s">
        <v>893</v>
      </c>
    </row>
    <row r="13677" ht="12.75" customHeight="1">
      <c r="A13677" s="59" t="s">
        <v>2882</v>
      </c>
      <c r="B13677" s="60" t="s">
        <v>894</v>
      </c>
    </row>
    <row r="13678" ht="12.75" customHeight="1">
      <c r="A13678" s="59" t="s">
        <v>2882</v>
      </c>
      <c r="B13678" s="60" t="s">
        <v>895</v>
      </c>
    </row>
    <row r="13679" ht="12.75" customHeight="1">
      <c r="A13679" s="59" t="s">
        <v>2882</v>
      </c>
      <c r="B13679" s="60" t="s">
        <v>896</v>
      </c>
    </row>
    <row r="13680" ht="12.75" customHeight="1">
      <c r="A13680" s="59" t="s">
        <v>2882</v>
      </c>
      <c r="B13680" s="60" t="s">
        <v>897</v>
      </c>
    </row>
    <row r="13681" ht="12.75" customHeight="1">
      <c r="A13681" s="59" t="s">
        <v>2882</v>
      </c>
      <c r="B13681" s="60" t="s">
        <v>898</v>
      </c>
    </row>
    <row r="13682" ht="12.75" customHeight="1">
      <c r="A13682" s="59" t="s">
        <v>2882</v>
      </c>
      <c r="B13682" s="60" t="s">
        <v>899</v>
      </c>
    </row>
    <row r="13683" ht="12.75" customHeight="1">
      <c r="A13683" s="59" t="s">
        <v>2882</v>
      </c>
      <c r="B13683" s="60" t="s">
        <v>900</v>
      </c>
    </row>
    <row r="13684" ht="12.75" customHeight="1">
      <c r="A13684" s="59" t="s">
        <v>2882</v>
      </c>
      <c r="B13684" s="60" t="s">
        <v>901</v>
      </c>
    </row>
    <row r="13685" ht="12.75" customHeight="1">
      <c r="A13685" s="59" t="s">
        <v>2882</v>
      </c>
      <c r="B13685" s="60" t="s">
        <v>902</v>
      </c>
    </row>
    <row r="13686" ht="12.75" customHeight="1">
      <c r="A13686" s="59" t="s">
        <v>2882</v>
      </c>
      <c r="B13686" s="60" t="s">
        <v>903</v>
      </c>
    </row>
    <row r="13687" ht="12.75" customHeight="1">
      <c r="A13687" s="59" t="s">
        <v>2882</v>
      </c>
      <c r="B13687" s="60" t="s">
        <v>904</v>
      </c>
    </row>
    <row r="13688" ht="12.75" customHeight="1">
      <c r="A13688" s="59" t="s">
        <v>2882</v>
      </c>
      <c r="B13688" s="60" t="s">
        <v>905</v>
      </c>
    </row>
    <row r="13689" ht="12.75" customHeight="1">
      <c r="A13689" s="59" t="s">
        <v>2882</v>
      </c>
      <c r="B13689" s="60" t="s">
        <v>906</v>
      </c>
    </row>
    <row r="13690" ht="12.75" customHeight="1">
      <c r="A13690" s="59" t="s">
        <v>2882</v>
      </c>
      <c r="B13690" s="60" t="s">
        <v>907</v>
      </c>
    </row>
    <row r="13691" ht="12.75" customHeight="1">
      <c r="A13691" s="59" t="s">
        <v>2882</v>
      </c>
      <c r="B13691" s="60" t="s">
        <v>908</v>
      </c>
    </row>
    <row r="13692" ht="12.75" customHeight="1">
      <c r="A13692" s="59" t="s">
        <v>2882</v>
      </c>
      <c r="B13692" s="60" t="s">
        <v>909</v>
      </c>
    </row>
    <row r="13693" ht="12.75" customHeight="1">
      <c r="A13693" s="59" t="s">
        <v>2882</v>
      </c>
      <c r="B13693" s="60" t="s">
        <v>910</v>
      </c>
    </row>
    <row r="13694" ht="12.75" customHeight="1">
      <c r="A13694" s="59" t="s">
        <v>2882</v>
      </c>
      <c r="B13694" s="60" t="s">
        <v>911</v>
      </c>
    </row>
    <row r="13695" ht="12.75" customHeight="1">
      <c r="A13695" s="59" t="s">
        <v>2882</v>
      </c>
      <c r="B13695" s="60" t="s">
        <v>912</v>
      </c>
    </row>
    <row r="13696" ht="12.75" customHeight="1">
      <c r="A13696" s="59" t="s">
        <v>2882</v>
      </c>
      <c r="B13696" s="60" t="s">
        <v>913</v>
      </c>
    </row>
    <row r="13697" ht="12.75" customHeight="1">
      <c r="A13697" s="59" t="s">
        <v>2882</v>
      </c>
      <c r="B13697" s="60" t="s">
        <v>914</v>
      </c>
    </row>
    <row r="13698" ht="12.75" customHeight="1">
      <c r="A13698" s="59" t="s">
        <v>2882</v>
      </c>
      <c r="B13698" s="60" t="s">
        <v>915</v>
      </c>
    </row>
    <row r="13699" ht="12.75" customHeight="1">
      <c r="A13699" s="59" t="s">
        <v>2882</v>
      </c>
      <c r="B13699" s="60" t="s">
        <v>916</v>
      </c>
    </row>
    <row r="13700" ht="12.75" customHeight="1">
      <c r="A13700" s="59" t="s">
        <v>2882</v>
      </c>
      <c r="B13700" s="60" t="s">
        <v>917</v>
      </c>
    </row>
    <row r="13701" ht="12.75" customHeight="1">
      <c r="A13701" s="59" t="s">
        <v>2882</v>
      </c>
      <c r="B13701" s="60" t="s">
        <v>918</v>
      </c>
    </row>
    <row r="13702" ht="12.75" customHeight="1">
      <c r="A13702" s="59" t="s">
        <v>2882</v>
      </c>
      <c r="B13702" s="60" t="s">
        <v>919</v>
      </c>
    </row>
    <row r="13703" ht="12.75" customHeight="1">
      <c r="A13703" s="59" t="s">
        <v>2882</v>
      </c>
      <c r="B13703" s="60" t="s">
        <v>920</v>
      </c>
    </row>
    <row r="13704" ht="12.75" customHeight="1">
      <c r="A13704" s="59" t="s">
        <v>2882</v>
      </c>
      <c r="B13704" s="60" t="s">
        <v>921</v>
      </c>
    </row>
    <row r="13705" ht="12.75" customHeight="1">
      <c r="A13705" s="59" t="s">
        <v>2882</v>
      </c>
      <c r="B13705" s="60" t="s">
        <v>922</v>
      </c>
    </row>
    <row r="13706" ht="12.75" customHeight="1">
      <c r="A13706" s="59" t="s">
        <v>2882</v>
      </c>
      <c r="B13706" s="60" t="s">
        <v>923</v>
      </c>
    </row>
    <row r="13707" ht="12.75" customHeight="1">
      <c r="A13707" s="59" t="s">
        <v>2882</v>
      </c>
      <c r="B13707" s="60" t="s">
        <v>924</v>
      </c>
    </row>
    <row r="13708" ht="12.75" customHeight="1">
      <c r="A13708" s="59" t="s">
        <v>2882</v>
      </c>
      <c r="B13708" s="60" t="s">
        <v>925</v>
      </c>
    </row>
    <row r="13709" ht="12.75" customHeight="1">
      <c r="A13709" s="59" t="s">
        <v>2882</v>
      </c>
      <c r="B13709" s="60" t="s">
        <v>926</v>
      </c>
    </row>
    <row r="13710" ht="12.75" customHeight="1">
      <c r="A13710" s="59" t="s">
        <v>2882</v>
      </c>
      <c r="B13710" s="60" t="s">
        <v>927</v>
      </c>
    </row>
    <row r="13711" ht="12.75" customHeight="1">
      <c r="A13711" s="59" t="s">
        <v>2882</v>
      </c>
      <c r="B13711" s="60" t="s">
        <v>928</v>
      </c>
    </row>
    <row r="13712" ht="12.75" customHeight="1">
      <c r="A13712" s="59" t="s">
        <v>2882</v>
      </c>
      <c r="B13712" s="60" t="s">
        <v>929</v>
      </c>
    </row>
    <row r="13713" ht="12.75" customHeight="1">
      <c r="A13713" s="59" t="s">
        <v>2882</v>
      </c>
      <c r="B13713" s="60" t="s">
        <v>930</v>
      </c>
    </row>
    <row r="13714" ht="12.75" customHeight="1">
      <c r="A13714" s="59" t="s">
        <v>2882</v>
      </c>
      <c r="B13714" s="60" t="s">
        <v>931</v>
      </c>
    </row>
    <row r="13715" ht="12.75" customHeight="1">
      <c r="A13715" s="59" t="s">
        <v>2882</v>
      </c>
      <c r="B13715" s="60" t="s">
        <v>932</v>
      </c>
    </row>
    <row r="13716" ht="12.75" customHeight="1">
      <c r="A13716" s="59" t="s">
        <v>2882</v>
      </c>
      <c r="B13716" s="60" t="s">
        <v>933</v>
      </c>
    </row>
    <row r="13717" ht="12.75" customHeight="1">
      <c r="A13717" s="59" t="s">
        <v>2882</v>
      </c>
      <c r="B13717" s="60" t="s">
        <v>934</v>
      </c>
    </row>
    <row r="13718" ht="12.75" customHeight="1">
      <c r="A13718" s="59" t="s">
        <v>2882</v>
      </c>
      <c r="B13718" s="60" t="s">
        <v>935</v>
      </c>
    </row>
    <row r="13719" ht="12.75" customHeight="1">
      <c r="A13719" s="59" t="s">
        <v>2882</v>
      </c>
      <c r="B13719" s="60" t="s">
        <v>936</v>
      </c>
    </row>
    <row r="13720" ht="12.75" customHeight="1">
      <c r="A13720" s="59" t="s">
        <v>2882</v>
      </c>
      <c r="B13720" s="60" t="s">
        <v>937</v>
      </c>
    </row>
    <row r="13721" ht="12.75" customHeight="1">
      <c r="A13721" s="59" t="s">
        <v>2882</v>
      </c>
      <c r="B13721" s="60" t="s">
        <v>938</v>
      </c>
    </row>
    <row r="13722" ht="12.75" customHeight="1">
      <c r="A13722" s="59" t="s">
        <v>2882</v>
      </c>
      <c r="B13722" s="60" t="s">
        <v>939</v>
      </c>
    </row>
    <row r="13723" ht="12.75" customHeight="1">
      <c r="A13723" s="59" t="s">
        <v>2882</v>
      </c>
      <c r="B13723" s="60" t="s">
        <v>940</v>
      </c>
    </row>
    <row r="13724" ht="12.75" customHeight="1">
      <c r="A13724" s="59" t="s">
        <v>2882</v>
      </c>
      <c r="B13724" s="60" t="s">
        <v>941</v>
      </c>
    </row>
    <row r="13725" ht="12.75" customHeight="1">
      <c r="A13725" s="59" t="s">
        <v>2882</v>
      </c>
      <c r="B13725" s="60" t="s">
        <v>942</v>
      </c>
    </row>
    <row r="13726" ht="12.75" customHeight="1">
      <c r="A13726" s="59" t="s">
        <v>2882</v>
      </c>
      <c r="B13726" s="60" t="s">
        <v>943</v>
      </c>
    </row>
    <row r="13727" ht="12.75" customHeight="1">
      <c r="A13727" s="59" t="s">
        <v>2882</v>
      </c>
      <c r="B13727" s="60" t="s">
        <v>944</v>
      </c>
    </row>
    <row r="13728" ht="12.75" customHeight="1">
      <c r="A13728" s="59" t="s">
        <v>2882</v>
      </c>
      <c r="B13728" s="60" t="s">
        <v>945</v>
      </c>
    </row>
    <row r="13729" ht="12.75" customHeight="1">
      <c r="A13729" s="59" t="s">
        <v>2882</v>
      </c>
      <c r="B13729" s="60" t="s">
        <v>946</v>
      </c>
    </row>
    <row r="13730" ht="12.75" customHeight="1">
      <c r="A13730" s="59" t="s">
        <v>2882</v>
      </c>
      <c r="B13730" s="60" t="s">
        <v>947</v>
      </c>
    </row>
    <row r="13731" ht="12.75" customHeight="1">
      <c r="A13731" s="59" t="s">
        <v>2882</v>
      </c>
      <c r="B13731" s="60" t="s">
        <v>948</v>
      </c>
    </row>
    <row r="13732" ht="12.75" customHeight="1">
      <c r="A13732" s="59" t="s">
        <v>2882</v>
      </c>
      <c r="B13732" s="60" t="s">
        <v>949</v>
      </c>
    </row>
    <row r="13733" ht="12.75" customHeight="1">
      <c r="A13733" s="59" t="s">
        <v>2882</v>
      </c>
      <c r="B13733" s="60" t="s">
        <v>950</v>
      </c>
    </row>
    <row r="13734" ht="12.75" customHeight="1">
      <c r="A13734" s="59" t="s">
        <v>2882</v>
      </c>
      <c r="B13734" s="60" t="s">
        <v>951</v>
      </c>
    </row>
    <row r="13735" ht="12.75" customHeight="1">
      <c r="A13735" s="59" t="s">
        <v>2882</v>
      </c>
      <c r="B13735" s="60" t="s">
        <v>952</v>
      </c>
    </row>
    <row r="13736" ht="12.75" customHeight="1">
      <c r="A13736" s="59" t="s">
        <v>2882</v>
      </c>
      <c r="B13736" s="60" t="s">
        <v>953</v>
      </c>
    </row>
    <row r="13737" ht="12.75" customHeight="1">
      <c r="A13737" s="59" t="s">
        <v>2882</v>
      </c>
      <c r="B13737" s="60" t="s">
        <v>954</v>
      </c>
    </row>
    <row r="13738" ht="12.75" customHeight="1">
      <c r="A13738" s="59" t="s">
        <v>2882</v>
      </c>
      <c r="B13738" s="60" t="s">
        <v>955</v>
      </c>
    </row>
    <row r="13739" ht="12.75" customHeight="1">
      <c r="A13739" s="59" t="s">
        <v>2882</v>
      </c>
      <c r="B13739" s="60" t="s">
        <v>956</v>
      </c>
    </row>
    <row r="13740" ht="12.75" customHeight="1">
      <c r="A13740" s="59" t="s">
        <v>2882</v>
      </c>
      <c r="B13740" s="60" t="s">
        <v>957</v>
      </c>
    </row>
    <row r="13741" ht="12.75" customHeight="1">
      <c r="A13741" s="59" t="s">
        <v>2882</v>
      </c>
      <c r="B13741" s="60" t="s">
        <v>958</v>
      </c>
    </row>
    <row r="13742" ht="12.75" customHeight="1">
      <c r="A13742" s="59" t="s">
        <v>2882</v>
      </c>
      <c r="B13742" s="60" t="s">
        <v>959</v>
      </c>
    </row>
    <row r="13743" ht="12.75" customHeight="1">
      <c r="A13743" s="59" t="s">
        <v>2882</v>
      </c>
      <c r="B13743" s="60" t="s">
        <v>960</v>
      </c>
    </row>
    <row r="13744" ht="12.75" customHeight="1">
      <c r="A13744" s="59" t="s">
        <v>2882</v>
      </c>
      <c r="B13744" s="60" t="s">
        <v>961</v>
      </c>
    </row>
    <row r="13745" ht="12.75" customHeight="1">
      <c r="A13745" s="59" t="s">
        <v>2882</v>
      </c>
      <c r="B13745" s="60" t="s">
        <v>962</v>
      </c>
    </row>
    <row r="13746" ht="12.75" customHeight="1">
      <c r="A13746" s="59" t="s">
        <v>2882</v>
      </c>
      <c r="B13746" s="60" t="s">
        <v>963</v>
      </c>
    </row>
    <row r="13747" ht="12.75" customHeight="1">
      <c r="A13747" s="59" t="s">
        <v>2882</v>
      </c>
      <c r="B13747" s="60" t="s">
        <v>964</v>
      </c>
    </row>
    <row r="13748" ht="12.75" customHeight="1">
      <c r="A13748" s="59" t="s">
        <v>2882</v>
      </c>
      <c r="B13748" s="60" t="s">
        <v>965</v>
      </c>
    </row>
    <row r="13749" ht="12.75" customHeight="1">
      <c r="A13749" s="59" t="s">
        <v>2882</v>
      </c>
      <c r="B13749" s="60" t="s">
        <v>966</v>
      </c>
    </row>
    <row r="13750" ht="12.75" customHeight="1">
      <c r="A13750" s="59" t="s">
        <v>2882</v>
      </c>
      <c r="B13750" s="60" t="s">
        <v>967</v>
      </c>
    </row>
    <row r="13751" ht="12.75" customHeight="1">
      <c r="A13751" s="59" t="s">
        <v>2882</v>
      </c>
      <c r="B13751" s="60" t="s">
        <v>968</v>
      </c>
    </row>
    <row r="13752" ht="12.75" customHeight="1">
      <c r="A13752" s="59" t="s">
        <v>2882</v>
      </c>
      <c r="B13752" s="60" t="s">
        <v>969</v>
      </c>
    </row>
    <row r="13753" ht="12.75" customHeight="1">
      <c r="A13753" s="59" t="s">
        <v>2882</v>
      </c>
      <c r="B13753" s="60" t="s">
        <v>970</v>
      </c>
    </row>
    <row r="13754" ht="12.75" customHeight="1">
      <c r="A13754" s="59" t="s">
        <v>2882</v>
      </c>
      <c r="B13754" s="60" t="s">
        <v>971</v>
      </c>
    </row>
    <row r="13755" ht="12.75" customHeight="1">
      <c r="A13755" s="59" t="s">
        <v>2882</v>
      </c>
      <c r="B13755" s="60" t="s">
        <v>972</v>
      </c>
    </row>
    <row r="13756" ht="12.75" customHeight="1">
      <c r="A13756" s="59" t="s">
        <v>2882</v>
      </c>
      <c r="B13756" s="60" t="s">
        <v>973</v>
      </c>
    </row>
    <row r="13757" ht="12.75" customHeight="1">
      <c r="A13757" s="59" t="s">
        <v>2882</v>
      </c>
      <c r="B13757" s="60" t="s">
        <v>974</v>
      </c>
    </row>
    <row r="13758" ht="12.75" customHeight="1">
      <c r="A13758" s="59" t="s">
        <v>2882</v>
      </c>
      <c r="B13758" s="60" t="s">
        <v>975</v>
      </c>
    </row>
    <row r="13759" ht="12.75" customHeight="1">
      <c r="A13759" s="59" t="s">
        <v>2882</v>
      </c>
      <c r="B13759" s="60" t="s">
        <v>976</v>
      </c>
    </row>
    <row r="13760" ht="12.75" customHeight="1">
      <c r="A13760" s="59" t="s">
        <v>2882</v>
      </c>
      <c r="B13760" s="60" t="s">
        <v>977</v>
      </c>
    </row>
    <row r="13761" ht="12.75" customHeight="1">
      <c r="A13761" s="59" t="s">
        <v>2882</v>
      </c>
      <c r="B13761" s="60" t="s">
        <v>978</v>
      </c>
    </row>
    <row r="13762" ht="12.75" customHeight="1">
      <c r="A13762" s="59" t="s">
        <v>2882</v>
      </c>
      <c r="B13762" s="60" t="s">
        <v>979</v>
      </c>
    </row>
    <row r="13763" ht="12.75" customHeight="1">
      <c r="A13763" s="59" t="s">
        <v>2882</v>
      </c>
      <c r="B13763" s="60" t="s">
        <v>980</v>
      </c>
    </row>
    <row r="13764" ht="12.75" customHeight="1">
      <c r="A13764" s="59" t="s">
        <v>2882</v>
      </c>
      <c r="B13764" s="60" t="s">
        <v>981</v>
      </c>
    </row>
    <row r="13765" ht="12.75" customHeight="1">
      <c r="A13765" s="59" t="s">
        <v>2882</v>
      </c>
      <c r="B13765" s="60" t="s">
        <v>982</v>
      </c>
    </row>
    <row r="13766" ht="12.75" customHeight="1">
      <c r="A13766" s="59" t="s">
        <v>2882</v>
      </c>
      <c r="B13766" s="60" t="s">
        <v>983</v>
      </c>
    </row>
    <row r="13767" ht="12.75" customHeight="1">
      <c r="A13767" s="59" t="s">
        <v>2882</v>
      </c>
      <c r="B13767" s="60" t="s">
        <v>984</v>
      </c>
    </row>
    <row r="13768" ht="12.75" customHeight="1">
      <c r="A13768" s="59" t="s">
        <v>2882</v>
      </c>
      <c r="B13768" s="60" t="s">
        <v>985</v>
      </c>
    </row>
    <row r="13769" ht="12.75" customHeight="1">
      <c r="A13769" s="59" t="s">
        <v>2882</v>
      </c>
      <c r="B13769" s="60" t="s">
        <v>986</v>
      </c>
    </row>
    <row r="13770" ht="12.75" customHeight="1">
      <c r="A13770" s="59" t="s">
        <v>2882</v>
      </c>
      <c r="B13770" s="60" t="s">
        <v>987</v>
      </c>
    </row>
    <row r="13771" ht="12.75" customHeight="1">
      <c r="A13771" s="59" t="s">
        <v>2882</v>
      </c>
      <c r="B13771" s="60" t="s">
        <v>988</v>
      </c>
    </row>
    <row r="13772" ht="12.75" customHeight="1">
      <c r="A13772" s="59" t="s">
        <v>2882</v>
      </c>
      <c r="B13772" s="60" t="s">
        <v>989</v>
      </c>
    </row>
    <row r="13773" ht="12.75" customHeight="1">
      <c r="A13773" s="59" t="s">
        <v>2882</v>
      </c>
      <c r="B13773" s="60" t="s">
        <v>990</v>
      </c>
    </row>
    <row r="13774" ht="12.75" customHeight="1">
      <c r="A13774" s="59" t="s">
        <v>2882</v>
      </c>
      <c r="B13774" s="60" t="s">
        <v>991</v>
      </c>
    </row>
    <row r="13775" ht="12.75" customHeight="1">
      <c r="A13775" s="59" t="s">
        <v>2882</v>
      </c>
      <c r="B13775" s="60" t="s">
        <v>992</v>
      </c>
    </row>
    <row r="13776" ht="12.75" customHeight="1">
      <c r="A13776" s="59" t="s">
        <v>2882</v>
      </c>
      <c r="B13776" s="60" t="s">
        <v>993</v>
      </c>
    </row>
    <row r="13777" ht="12.75" customHeight="1">
      <c r="A13777" s="59" t="s">
        <v>2882</v>
      </c>
      <c r="B13777" s="60" t="s">
        <v>994</v>
      </c>
    </row>
    <row r="13778" ht="12.75" customHeight="1">
      <c r="A13778" s="59" t="s">
        <v>2882</v>
      </c>
      <c r="B13778" s="60" t="s">
        <v>995</v>
      </c>
    </row>
    <row r="13779" ht="12.75" customHeight="1">
      <c r="A13779" s="59" t="s">
        <v>2882</v>
      </c>
      <c r="B13779" s="60" t="s">
        <v>996</v>
      </c>
    </row>
    <row r="13780" ht="12.75" customHeight="1">
      <c r="A13780" s="59" t="s">
        <v>2882</v>
      </c>
      <c r="B13780" s="60" t="s">
        <v>997</v>
      </c>
    </row>
    <row r="13781" ht="12.75" customHeight="1">
      <c r="A13781" s="59" t="s">
        <v>2882</v>
      </c>
      <c r="B13781" s="60" t="s">
        <v>998</v>
      </c>
    </row>
    <row r="13782" ht="12.75" customHeight="1">
      <c r="A13782" s="59" t="s">
        <v>2882</v>
      </c>
      <c r="B13782" s="60" t="s">
        <v>999</v>
      </c>
    </row>
    <row r="13783" ht="12.75" customHeight="1">
      <c r="A13783" s="59" t="s">
        <v>2882</v>
      </c>
      <c r="B13783" s="60" t="s">
        <v>1000</v>
      </c>
    </row>
    <row r="13784" ht="12.75" customHeight="1">
      <c r="A13784" s="59" t="s">
        <v>2882</v>
      </c>
      <c r="B13784" s="60" t="s">
        <v>1001</v>
      </c>
    </row>
    <row r="13785" ht="12.75" customHeight="1">
      <c r="A13785" s="59" t="s">
        <v>2882</v>
      </c>
      <c r="B13785" s="60" t="s">
        <v>1002</v>
      </c>
    </row>
    <row r="13786" ht="12.75" customHeight="1">
      <c r="A13786" s="59" t="s">
        <v>2882</v>
      </c>
      <c r="B13786" s="60" t="s">
        <v>1003</v>
      </c>
    </row>
    <row r="13787" ht="12.75" customHeight="1">
      <c r="A13787" s="59" t="s">
        <v>2882</v>
      </c>
      <c r="B13787" s="60" t="s">
        <v>1004</v>
      </c>
    </row>
    <row r="13788" ht="12.75" customHeight="1">
      <c r="A13788" s="59" t="s">
        <v>2882</v>
      </c>
      <c r="B13788" s="60" t="s">
        <v>1005</v>
      </c>
    </row>
    <row r="13789" ht="12.75" customHeight="1">
      <c r="A13789" s="59" t="s">
        <v>2882</v>
      </c>
      <c r="B13789" s="60" t="s">
        <v>1006</v>
      </c>
    </row>
    <row r="13790" ht="12.75" customHeight="1">
      <c r="A13790" s="59" t="s">
        <v>2882</v>
      </c>
      <c r="B13790" s="60" t="s">
        <v>1007</v>
      </c>
    </row>
    <row r="13791" ht="12.75" customHeight="1">
      <c r="A13791" s="59" t="s">
        <v>2882</v>
      </c>
      <c r="B13791" s="60" t="s">
        <v>1008</v>
      </c>
    </row>
    <row r="13792" ht="12.75" customHeight="1">
      <c r="A13792" s="59" t="s">
        <v>2882</v>
      </c>
      <c r="B13792" s="60" t="s">
        <v>1009</v>
      </c>
    </row>
    <row r="13793" ht="12.75" customHeight="1">
      <c r="A13793" s="59" t="s">
        <v>2882</v>
      </c>
      <c r="B13793" s="60" t="s">
        <v>1010</v>
      </c>
    </row>
    <row r="13794" ht="12.75" customHeight="1">
      <c r="A13794" s="59" t="s">
        <v>2882</v>
      </c>
      <c r="B13794" s="60" t="s">
        <v>1011</v>
      </c>
    </row>
    <row r="13795" ht="12.75" customHeight="1">
      <c r="A13795" s="59" t="s">
        <v>2882</v>
      </c>
      <c r="B13795" s="60" t="s">
        <v>1012</v>
      </c>
    </row>
    <row r="13796" ht="12.75" customHeight="1">
      <c r="A13796" s="59" t="s">
        <v>2882</v>
      </c>
      <c r="B13796" s="60" t="s">
        <v>1013</v>
      </c>
    </row>
    <row r="13797" ht="12.75" customHeight="1">
      <c r="A13797" s="59" t="s">
        <v>2882</v>
      </c>
      <c r="B13797" s="60" t="s">
        <v>1014</v>
      </c>
    </row>
    <row r="13798" ht="12.75" customHeight="1">
      <c r="A13798" s="59" t="s">
        <v>2882</v>
      </c>
      <c r="B13798" s="60" t="s">
        <v>1015</v>
      </c>
    </row>
    <row r="13799" ht="12.75" customHeight="1">
      <c r="A13799" s="59" t="s">
        <v>2882</v>
      </c>
      <c r="B13799" s="60" t="s">
        <v>1016</v>
      </c>
    </row>
    <row r="13800" ht="12.75" customHeight="1">
      <c r="A13800" s="59" t="s">
        <v>2882</v>
      </c>
      <c r="B13800" s="60" t="s">
        <v>1017</v>
      </c>
    </row>
    <row r="13801" ht="12.75" customHeight="1">
      <c r="A13801" s="59" t="s">
        <v>2882</v>
      </c>
      <c r="B13801" s="60" t="s">
        <v>1018</v>
      </c>
    </row>
    <row r="13802" ht="12.75" customHeight="1">
      <c r="A13802" s="59" t="s">
        <v>2882</v>
      </c>
      <c r="B13802" s="60" t="s">
        <v>1019</v>
      </c>
    </row>
    <row r="13803" ht="12.75" customHeight="1">
      <c r="A13803" s="59" t="s">
        <v>2882</v>
      </c>
      <c r="B13803" s="60" t="s">
        <v>1020</v>
      </c>
    </row>
    <row r="13804" ht="12.75" customHeight="1">
      <c r="A13804" s="59" t="s">
        <v>2882</v>
      </c>
      <c r="B13804" s="60" t="s">
        <v>1021</v>
      </c>
    </row>
    <row r="13805" ht="12.75" customHeight="1">
      <c r="A13805" s="59" t="s">
        <v>2882</v>
      </c>
      <c r="B13805" s="60" t="s">
        <v>1022</v>
      </c>
    </row>
    <row r="13806" ht="12.75" customHeight="1">
      <c r="A13806" s="59" t="s">
        <v>2882</v>
      </c>
      <c r="B13806" s="60" t="s">
        <v>1023</v>
      </c>
    </row>
    <row r="13807" ht="12.75" customHeight="1">
      <c r="A13807" s="59" t="s">
        <v>2882</v>
      </c>
      <c r="B13807" s="60" t="s">
        <v>1024</v>
      </c>
    </row>
    <row r="13808" ht="12.75" customHeight="1">
      <c r="A13808" s="59" t="s">
        <v>2882</v>
      </c>
      <c r="B13808" s="60" t="s">
        <v>1025</v>
      </c>
    </row>
    <row r="13809" ht="12.75" customHeight="1">
      <c r="A13809" s="59" t="s">
        <v>2882</v>
      </c>
      <c r="B13809" s="60" t="s">
        <v>1026</v>
      </c>
    </row>
    <row r="13810" ht="12.75" customHeight="1">
      <c r="A13810" s="59" t="s">
        <v>2882</v>
      </c>
      <c r="B13810" s="60" t="s">
        <v>1027</v>
      </c>
    </row>
    <row r="13811" ht="12.75" customHeight="1">
      <c r="A13811" s="59" t="s">
        <v>2882</v>
      </c>
      <c r="B13811" s="60" t="s">
        <v>1028</v>
      </c>
    </row>
    <row r="13812" ht="12.75" customHeight="1">
      <c r="A13812" s="59" t="s">
        <v>2882</v>
      </c>
      <c r="B13812" s="60" t="s">
        <v>1029</v>
      </c>
    </row>
    <row r="13813" ht="12.75" customHeight="1">
      <c r="A13813" s="59" t="s">
        <v>2882</v>
      </c>
      <c r="B13813" s="60" t="s">
        <v>1030</v>
      </c>
    </row>
    <row r="13814" ht="12.75" customHeight="1">
      <c r="A13814" s="59" t="s">
        <v>2882</v>
      </c>
      <c r="B13814" s="60" t="s">
        <v>1031</v>
      </c>
    </row>
    <row r="13815" ht="12.75" customHeight="1">
      <c r="A13815" s="59" t="s">
        <v>2882</v>
      </c>
      <c r="B13815" s="60" t="s">
        <v>1032</v>
      </c>
    </row>
    <row r="13816" ht="12.75" customHeight="1">
      <c r="A13816" s="59" t="s">
        <v>2882</v>
      </c>
      <c r="B13816" s="60" t="s">
        <v>1033</v>
      </c>
    </row>
    <row r="13817" ht="12.75" customHeight="1">
      <c r="A13817" s="59" t="s">
        <v>2882</v>
      </c>
      <c r="B13817" s="60" t="s">
        <v>1034</v>
      </c>
    </row>
    <row r="13818" ht="12.75" customHeight="1">
      <c r="A13818" s="59" t="s">
        <v>2882</v>
      </c>
      <c r="B13818" s="60" t="s">
        <v>1035</v>
      </c>
    </row>
    <row r="13819" ht="12.75" customHeight="1">
      <c r="A13819" s="59" t="s">
        <v>2882</v>
      </c>
      <c r="B13819" s="60" t="s">
        <v>1036</v>
      </c>
    </row>
    <row r="13820" ht="12.75" customHeight="1">
      <c r="A13820" s="59" t="s">
        <v>2882</v>
      </c>
      <c r="B13820" s="60" t="s">
        <v>1037</v>
      </c>
    </row>
    <row r="13821" ht="12.75" customHeight="1">
      <c r="A13821" s="59" t="s">
        <v>2882</v>
      </c>
      <c r="B13821" s="60" t="s">
        <v>1038</v>
      </c>
    </row>
    <row r="13822" ht="12.75" customHeight="1">
      <c r="A13822" s="59" t="s">
        <v>2882</v>
      </c>
      <c r="B13822" s="60" t="s">
        <v>1039</v>
      </c>
    </row>
    <row r="13823" ht="12.75" customHeight="1">
      <c r="A13823" s="59" t="s">
        <v>2882</v>
      </c>
      <c r="B13823" s="60" t="s">
        <v>1040</v>
      </c>
    </row>
    <row r="13824" ht="12.75" customHeight="1">
      <c r="A13824" s="59" t="s">
        <v>2882</v>
      </c>
      <c r="B13824" s="60" t="s">
        <v>1041</v>
      </c>
    </row>
    <row r="13825" ht="12.75" customHeight="1">
      <c r="A13825" s="59" t="s">
        <v>2882</v>
      </c>
      <c r="B13825" s="60" t="s">
        <v>1042</v>
      </c>
    </row>
    <row r="13826" ht="12.75" customHeight="1">
      <c r="A13826" s="59" t="s">
        <v>2882</v>
      </c>
      <c r="B13826" s="60" t="s">
        <v>1043</v>
      </c>
    </row>
    <row r="13827" ht="12.75" customHeight="1">
      <c r="A13827" s="59" t="s">
        <v>2882</v>
      </c>
      <c r="B13827" s="60" t="s">
        <v>1044</v>
      </c>
    </row>
    <row r="13828" ht="12.75" customHeight="1">
      <c r="A13828" s="59" t="s">
        <v>2882</v>
      </c>
      <c r="B13828" s="60" t="s">
        <v>1045</v>
      </c>
    </row>
    <row r="13829" ht="12.75" customHeight="1">
      <c r="A13829" s="59" t="s">
        <v>2882</v>
      </c>
      <c r="B13829" s="60" t="s">
        <v>1046</v>
      </c>
    </row>
    <row r="13830" ht="12.75" customHeight="1">
      <c r="A13830" s="59" t="s">
        <v>2882</v>
      </c>
      <c r="B13830" s="60" t="s">
        <v>1047</v>
      </c>
    </row>
    <row r="13831" ht="12.75" customHeight="1">
      <c r="A13831" s="59" t="s">
        <v>2882</v>
      </c>
      <c r="B13831" s="60" t="s">
        <v>1048</v>
      </c>
    </row>
    <row r="13832" ht="12.75" customHeight="1">
      <c r="A13832" s="59" t="s">
        <v>2882</v>
      </c>
      <c r="B13832" s="60" t="s">
        <v>1049</v>
      </c>
    </row>
    <row r="13833" ht="12.75" customHeight="1">
      <c r="A13833" s="59" t="s">
        <v>2882</v>
      </c>
      <c r="B13833" s="60" t="s">
        <v>1050</v>
      </c>
    </row>
    <row r="13834" ht="12.75" customHeight="1">
      <c r="A13834" s="59" t="s">
        <v>2882</v>
      </c>
      <c r="B13834" s="60" t="s">
        <v>1051</v>
      </c>
    </row>
    <row r="13835" ht="12.75" customHeight="1">
      <c r="A13835" s="59" t="s">
        <v>2882</v>
      </c>
      <c r="B13835" s="60" t="s">
        <v>1052</v>
      </c>
    </row>
    <row r="13836" ht="12.75" customHeight="1">
      <c r="A13836" s="59" t="s">
        <v>2882</v>
      </c>
      <c r="B13836" s="60" t="s">
        <v>1053</v>
      </c>
    </row>
    <row r="13837" ht="12.75" customHeight="1">
      <c r="A13837" s="59" t="s">
        <v>2882</v>
      </c>
      <c r="B13837" s="60" t="s">
        <v>1054</v>
      </c>
    </row>
    <row r="13838" ht="12.75" customHeight="1">
      <c r="A13838" s="59" t="s">
        <v>2882</v>
      </c>
      <c r="B13838" s="60" t="s">
        <v>1055</v>
      </c>
    </row>
    <row r="13839" ht="12.75" customHeight="1">
      <c r="A13839" s="59" t="s">
        <v>2882</v>
      </c>
      <c r="B13839" s="60" t="s">
        <v>1056</v>
      </c>
    </row>
    <row r="13840" ht="12.75" customHeight="1">
      <c r="A13840" s="59" t="s">
        <v>2882</v>
      </c>
      <c r="B13840" s="60" t="s">
        <v>1057</v>
      </c>
    </row>
    <row r="13841" ht="12.75" customHeight="1">
      <c r="A13841" s="59" t="s">
        <v>2882</v>
      </c>
      <c r="B13841" s="60" t="s">
        <v>1058</v>
      </c>
    </row>
    <row r="13842" ht="12.75" customHeight="1">
      <c r="A13842" s="59" t="s">
        <v>2882</v>
      </c>
      <c r="B13842" s="60" t="s">
        <v>1059</v>
      </c>
    </row>
    <row r="13843" ht="12.75" customHeight="1">
      <c r="A13843" s="59" t="s">
        <v>2882</v>
      </c>
      <c r="B13843" s="60" t="s">
        <v>1060</v>
      </c>
    </row>
    <row r="13844" ht="12.75" customHeight="1">
      <c r="A13844" s="59" t="s">
        <v>2882</v>
      </c>
      <c r="B13844" s="60" t="s">
        <v>1061</v>
      </c>
    </row>
    <row r="13845" ht="12.75" customHeight="1">
      <c r="A13845" s="59" t="s">
        <v>2882</v>
      </c>
      <c r="B13845" s="60" t="s">
        <v>1062</v>
      </c>
    </row>
    <row r="13846" ht="12.75" customHeight="1">
      <c r="A13846" s="59" t="s">
        <v>2882</v>
      </c>
      <c r="B13846" s="60" t="s">
        <v>1063</v>
      </c>
    </row>
    <row r="13847" ht="12.75" customHeight="1">
      <c r="A13847" s="59" t="s">
        <v>2882</v>
      </c>
      <c r="B13847" s="60" t="s">
        <v>1064</v>
      </c>
    </row>
    <row r="13848" ht="12.75" customHeight="1">
      <c r="A13848" s="59" t="s">
        <v>2882</v>
      </c>
      <c r="B13848" s="60" t="s">
        <v>1065</v>
      </c>
    </row>
    <row r="13849" ht="12.75" customHeight="1">
      <c r="A13849" s="59" t="s">
        <v>2882</v>
      </c>
      <c r="B13849" s="60" t="s">
        <v>1066</v>
      </c>
    </row>
    <row r="13850" ht="12.75" customHeight="1">
      <c r="A13850" s="59" t="s">
        <v>2882</v>
      </c>
      <c r="B13850" s="60" t="s">
        <v>1067</v>
      </c>
    </row>
    <row r="13851" ht="12.75" customHeight="1">
      <c r="A13851" s="59" t="s">
        <v>2882</v>
      </c>
      <c r="B13851" s="60" t="s">
        <v>1068</v>
      </c>
    </row>
    <row r="13852" ht="12.75" customHeight="1">
      <c r="A13852" s="59" t="s">
        <v>2882</v>
      </c>
      <c r="B13852" s="60" t="s">
        <v>1069</v>
      </c>
    </row>
    <row r="13853" ht="12.75" customHeight="1">
      <c r="A13853" s="59" t="s">
        <v>2882</v>
      </c>
      <c r="B13853" s="60" t="s">
        <v>1070</v>
      </c>
    </row>
    <row r="13854" ht="12.75" customHeight="1">
      <c r="A13854" s="59" t="s">
        <v>2882</v>
      </c>
      <c r="B13854" s="60" t="s">
        <v>1071</v>
      </c>
    </row>
    <row r="13855" ht="12.75" customHeight="1">
      <c r="A13855" s="59" t="s">
        <v>2882</v>
      </c>
      <c r="B13855" s="60" t="s">
        <v>1072</v>
      </c>
    </row>
    <row r="13856" ht="12.75" customHeight="1">
      <c r="A13856" s="59" t="s">
        <v>2882</v>
      </c>
      <c r="B13856" s="60" t="s">
        <v>1073</v>
      </c>
    </row>
    <row r="13857" ht="12.75" customHeight="1">
      <c r="A13857" s="59" t="s">
        <v>2882</v>
      </c>
      <c r="B13857" s="60" t="s">
        <v>1074</v>
      </c>
    </row>
    <row r="13858" ht="12.75" customHeight="1">
      <c r="A13858" s="59" t="s">
        <v>2882</v>
      </c>
      <c r="B13858" s="60" t="s">
        <v>1075</v>
      </c>
    </row>
    <row r="13859" ht="12.75" customHeight="1">
      <c r="A13859" s="59" t="s">
        <v>2882</v>
      </c>
      <c r="B13859" s="60" t="s">
        <v>1076</v>
      </c>
    </row>
    <row r="13860" ht="12.75" customHeight="1">
      <c r="A13860" s="59" t="s">
        <v>2882</v>
      </c>
      <c r="B13860" s="60" t="s">
        <v>1077</v>
      </c>
    </row>
    <row r="13861" ht="12.75" customHeight="1">
      <c r="A13861" s="59" t="s">
        <v>2882</v>
      </c>
      <c r="B13861" s="60" t="s">
        <v>1078</v>
      </c>
    </row>
    <row r="13862" ht="12.75" customHeight="1">
      <c r="A13862" s="59" t="s">
        <v>2882</v>
      </c>
      <c r="B13862" s="60" t="s">
        <v>1079</v>
      </c>
    </row>
    <row r="13863" ht="12.75" customHeight="1">
      <c r="A13863" s="59" t="s">
        <v>2882</v>
      </c>
      <c r="B13863" s="60" t="s">
        <v>1080</v>
      </c>
    </row>
    <row r="13864" ht="12.75" customHeight="1">
      <c r="A13864" s="59" t="s">
        <v>2882</v>
      </c>
      <c r="B13864" s="60" t="s">
        <v>1081</v>
      </c>
    </row>
    <row r="13865" ht="12.75" customHeight="1">
      <c r="A13865" s="59" t="s">
        <v>2882</v>
      </c>
      <c r="B13865" s="60" t="s">
        <v>1082</v>
      </c>
    </row>
    <row r="13866" ht="12.75" customHeight="1">
      <c r="A13866" s="59" t="s">
        <v>2882</v>
      </c>
      <c r="B13866" s="60" t="s">
        <v>1083</v>
      </c>
    </row>
    <row r="13867" ht="12.75" customHeight="1">
      <c r="A13867" s="59" t="s">
        <v>2882</v>
      </c>
      <c r="B13867" s="60" t="s">
        <v>1084</v>
      </c>
    </row>
    <row r="13868" ht="12.75" customHeight="1">
      <c r="A13868" s="59" t="s">
        <v>2882</v>
      </c>
      <c r="B13868" s="60" t="s">
        <v>1085</v>
      </c>
    </row>
    <row r="13869" ht="12.75" customHeight="1">
      <c r="A13869" s="59" t="s">
        <v>2882</v>
      </c>
      <c r="B13869" s="60" t="s">
        <v>1086</v>
      </c>
    </row>
    <row r="13870" ht="12.75" customHeight="1">
      <c r="A13870" s="59" t="s">
        <v>2882</v>
      </c>
      <c r="B13870" s="60" t="s">
        <v>1087</v>
      </c>
    </row>
    <row r="13871" ht="12.75" customHeight="1">
      <c r="A13871" s="59" t="s">
        <v>2882</v>
      </c>
      <c r="B13871" s="60" t="s">
        <v>1088</v>
      </c>
    </row>
    <row r="13872" ht="12.75" customHeight="1">
      <c r="A13872" s="59" t="s">
        <v>2882</v>
      </c>
      <c r="B13872" s="60" t="s">
        <v>1089</v>
      </c>
    </row>
    <row r="13873" ht="12.75" customHeight="1">
      <c r="A13873" s="59" t="s">
        <v>2882</v>
      </c>
      <c r="B13873" s="60" t="s">
        <v>1090</v>
      </c>
    </row>
    <row r="13874" ht="12.75" customHeight="1">
      <c r="A13874" s="59" t="s">
        <v>2882</v>
      </c>
      <c r="B13874" s="60" t="s">
        <v>1091</v>
      </c>
    </row>
    <row r="13875" ht="12.75" customHeight="1">
      <c r="A13875" s="59" t="s">
        <v>2882</v>
      </c>
      <c r="B13875" s="60" t="s">
        <v>1092</v>
      </c>
    </row>
    <row r="13876" ht="12.75" customHeight="1">
      <c r="A13876" s="59" t="s">
        <v>2882</v>
      </c>
      <c r="B13876" s="60" t="s">
        <v>1093</v>
      </c>
    </row>
    <row r="13877" ht="12.75" customHeight="1">
      <c r="A13877" s="59" t="s">
        <v>2882</v>
      </c>
      <c r="B13877" s="60" t="s">
        <v>1094</v>
      </c>
    </row>
    <row r="13878" ht="12.75" customHeight="1">
      <c r="A13878" s="59" t="s">
        <v>2882</v>
      </c>
      <c r="B13878" s="60" t="s">
        <v>1095</v>
      </c>
    </row>
    <row r="13879" ht="12.75" customHeight="1">
      <c r="A13879" s="59" t="s">
        <v>2882</v>
      </c>
      <c r="B13879" s="60" t="s">
        <v>1096</v>
      </c>
    </row>
    <row r="13880" ht="12.75" customHeight="1">
      <c r="A13880" s="59" t="s">
        <v>2882</v>
      </c>
      <c r="B13880" s="60" t="s">
        <v>1097</v>
      </c>
    </row>
    <row r="13881" ht="12.75" customHeight="1">
      <c r="A13881" s="59" t="s">
        <v>2882</v>
      </c>
      <c r="B13881" s="60" t="s">
        <v>1098</v>
      </c>
    </row>
    <row r="13882" ht="12.75" customHeight="1">
      <c r="A13882" s="59" t="s">
        <v>2882</v>
      </c>
      <c r="B13882" s="60" t="s">
        <v>1099</v>
      </c>
    </row>
    <row r="13883" ht="12.75" customHeight="1">
      <c r="A13883" s="59" t="s">
        <v>2882</v>
      </c>
      <c r="B13883" s="60" t="s">
        <v>1100</v>
      </c>
    </row>
    <row r="13884" ht="12.75" customHeight="1">
      <c r="A13884" s="59" t="s">
        <v>2882</v>
      </c>
      <c r="B13884" s="60" t="s">
        <v>1101</v>
      </c>
    </row>
    <row r="13885" ht="12.75" customHeight="1">
      <c r="A13885" s="59" t="s">
        <v>2882</v>
      </c>
      <c r="B13885" s="60" t="s">
        <v>1102</v>
      </c>
    </row>
    <row r="13886" ht="12.75" customHeight="1">
      <c r="A13886" s="59" t="s">
        <v>2882</v>
      </c>
      <c r="B13886" s="60" t="s">
        <v>1103</v>
      </c>
    </row>
    <row r="13887" ht="12.75" customHeight="1">
      <c r="A13887" s="59" t="s">
        <v>2882</v>
      </c>
      <c r="B13887" s="60" t="s">
        <v>1104</v>
      </c>
    </row>
    <row r="13888" ht="12.75" customHeight="1">
      <c r="A13888" s="59" t="s">
        <v>2882</v>
      </c>
      <c r="B13888" s="60" t="s">
        <v>1105</v>
      </c>
    </row>
    <row r="13889" ht="12.75" customHeight="1">
      <c r="A13889" s="59" t="s">
        <v>2882</v>
      </c>
      <c r="B13889" s="60" t="s">
        <v>1106</v>
      </c>
    </row>
    <row r="13890" ht="12.75" customHeight="1">
      <c r="A13890" s="59" t="s">
        <v>2882</v>
      </c>
      <c r="B13890" s="60" t="s">
        <v>1107</v>
      </c>
    </row>
    <row r="13891" ht="12.75" customHeight="1">
      <c r="A13891" s="59" t="s">
        <v>2882</v>
      </c>
      <c r="B13891" s="60" t="s">
        <v>1108</v>
      </c>
    </row>
    <row r="13892" ht="12.75" customHeight="1">
      <c r="A13892" s="59" t="s">
        <v>2882</v>
      </c>
      <c r="B13892" s="60" t="s">
        <v>1109</v>
      </c>
    </row>
    <row r="13893" ht="12.75" customHeight="1">
      <c r="A13893" s="59" t="s">
        <v>2882</v>
      </c>
      <c r="B13893" s="60" t="s">
        <v>1110</v>
      </c>
    </row>
    <row r="13894" ht="12.75" customHeight="1">
      <c r="A13894" s="59" t="s">
        <v>2882</v>
      </c>
      <c r="B13894" s="60" t="s">
        <v>1111</v>
      </c>
    </row>
    <row r="13895" ht="12.75" customHeight="1">
      <c r="A13895" s="59" t="s">
        <v>2882</v>
      </c>
      <c r="B13895" s="60" t="s">
        <v>1112</v>
      </c>
    </row>
    <row r="13896" ht="12.75" customHeight="1">
      <c r="A13896" s="59" t="s">
        <v>2882</v>
      </c>
      <c r="B13896" s="60" t="s">
        <v>1113</v>
      </c>
    </row>
    <row r="13897" ht="12.75" customHeight="1">
      <c r="A13897" s="59" t="s">
        <v>2882</v>
      </c>
      <c r="B13897" s="60" t="s">
        <v>1114</v>
      </c>
    </row>
    <row r="13898" ht="12.75" customHeight="1">
      <c r="A13898" s="59" t="s">
        <v>2882</v>
      </c>
      <c r="B13898" s="60" t="s">
        <v>1115</v>
      </c>
    </row>
    <row r="13899" ht="12.75" customHeight="1">
      <c r="A13899" s="59" t="s">
        <v>2882</v>
      </c>
      <c r="B13899" s="60" t="s">
        <v>1116</v>
      </c>
    </row>
    <row r="13900" ht="12.75" customHeight="1">
      <c r="A13900" s="59" t="s">
        <v>2882</v>
      </c>
      <c r="B13900" s="60" t="s">
        <v>1117</v>
      </c>
    </row>
    <row r="13901" ht="12.75" customHeight="1">
      <c r="A13901" s="59" t="s">
        <v>2882</v>
      </c>
      <c r="B13901" s="60" t="s">
        <v>1118</v>
      </c>
    </row>
    <row r="13902" ht="12.75" customHeight="1">
      <c r="A13902" s="59" t="s">
        <v>2882</v>
      </c>
      <c r="B13902" s="60" t="s">
        <v>1119</v>
      </c>
    </row>
    <row r="13903" ht="12.75" customHeight="1">
      <c r="A13903" s="59" t="s">
        <v>2882</v>
      </c>
      <c r="B13903" s="60" t="s">
        <v>1120</v>
      </c>
    </row>
    <row r="13904" ht="12.75" customHeight="1">
      <c r="A13904" s="59" t="s">
        <v>2882</v>
      </c>
      <c r="B13904" s="60" t="s">
        <v>1121</v>
      </c>
    </row>
    <row r="13905" ht="12.75" customHeight="1">
      <c r="A13905" s="59" t="s">
        <v>2882</v>
      </c>
      <c r="B13905" s="60" t="s">
        <v>1122</v>
      </c>
    </row>
    <row r="13906" ht="12.75" customHeight="1">
      <c r="A13906" s="59" t="s">
        <v>2882</v>
      </c>
      <c r="B13906" s="60" t="s">
        <v>1123</v>
      </c>
    </row>
    <row r="13907" ht="12.75" customHeight="1">
      <c r="A13907" s="59" t="s">
        <v>2882</v>
      </c>
      <c r="B13907" s="60" t="s">
        <v>1124</v>
      </c>
    </row>
    <row r="13908" ht="12.75" customHeight="1">
      <c r="A13908" s="59" t="s">
        <v>2882</v>
      </c>
      <c r="B13908" s="60" t="s">
        <v>1125</v>
      </c>
    </row>
    <row r="13909" ht="12.75" customHeight="1">
      <c r="A13909" s="59" t="s">
        <v>2882</v>
      </c>
      <c r="B13909" s="60" t="s">
        <v>1126</v>
      </c>
    </row>
    <row r="13910" ht="12.75" customHeight="1">
      <c r="A13910" s="59" t="s">
        <v>2882</v>
      </c>
      <c r="B13910" s="60" t="s">
        <v>1127</v>
      </c>
    </row>
    <row r="13911" ht="12.75" customHeight="1">
      <c r="A13911" s="59" t="s">
        <v>2882</v>
      </c>
      <c r="B13911" s="60" t="s">
        <v>1128</v>
      </c>
    </row>
    <row r="13912" ht="12.75" customHeight="1">
      <c r="A13912" s="59" t="s">
        <v>2882</v>
      </c>
      <c r="B13912" s="60" t="s">
        <v>1129</v>
      </c>
    </row>
    <row r="13913" ht="12.75" customHeight="1">
      <c r="A13913" s="59" t="s">
        <v>2882</v>
      </c>
      <c r="B13913" s="60" t="s">
        <v>1130</v>
      </c>
    </row>
    <row r="13914" ht="12.75" customHeight="1">
      <c r="A13914" s="59" t="s">
        <v>2882</v>
      </c>
      <c r="B13914" s="60" t="s">
        <v>1131</v>
      </c>
    </row>
    <row r="13915" ht="12.75" customHeight="1">
      <c r="A13915" s="59" t="s">
        <v>2882</v>
      </c>
      <c r="B13915" s="60" t="s">
        <v>1132</v>
      </c>
    </row>
    <row r="13916" ht="12.75" customHeight="1">
      <c r="A13916" s="59" t="s">
        <v>2882</v>
      </c>
      <c r="B13916" s="60" t="s">
        <v>1133</v>
      </c>
    </row>
    <row r="13917" ht="12.75" customHeight="1">
      <c r="A13917" s="59" t="s">
        <v>2882</v>
      </c>
      <c r="B13917" s="60" t="s">
        <v>1134</v>
      </c>
    </row>
    <row r="13918" ht="12.75" customHeight="1">
      <c r="A13918" s="59" t="s">
        <v>2882</v>
      </c>
      <c r="B13918" s="60" t="s">
        <v>1135</v>
      </c>
    </row>
    <row r="13919" ht="12.75" customHeight="1">
      <c r="A13919" s="59" t="s">
        <v>2882</v>
      </c>
      <c r="B13919" s="60" t="s">
        <v>1136</v>
      </c>
    </row>
    <row r="13920" ht="12.75" customHeight="1">
      <c r="A13920" s="59" t="s">
        <v>2882</v>
      </c>
      <c r="B13920" s="60" t="s">
        <v>1137</v>
      </c>
    </row>
    <row r="13921" ht="12.75" customHeight="1">
      <c r="A13921" s="59" t="s">
        <v>2882</v>
      </c>
      <c r="B13921" s="60" t="s">
        <v>1138</v>
      </c>
    </row>
    <row r="13922" ht="12.75" customHeight="1">
      <c r="A13922" s="59" t="s">
        <v>2882</v>
      </c>
      <c r="B13922" s="60" t="s">
        <v>1139</v>
      </c>
    </row>
    <row r="13923" ht="12.75" customHeight="1">
      <c r="A13923" s="59" t="s">
        <v>2882</v>
      </c>
      <c r="B13923" s="60" t="s">
        <v>1140</v>
      </c>
    </row>
    <row r="13924" ht="12.75" customHeight="1">
      <c r="A13924" s="59" t="s">
        <v>2882</v>
      </c>
      <c r="B13924" s="60" t="s">
        <v>1141</v>
      </c>
    </row>
    <row r="13925" ht="12.75" customHeight="1">
      <c r="A13925" s="59" t="s">
        <v>2882</v>
      </c>
      <c r="B13925" s="60" t="s">
        <v>1142</v>
      </c>
    </row>
    <row r="13926" ht="12.75" customHeight="1">
      <c r="A13926" s="59" t="s">
        <v>2882</v>
      </c>
      <c r="B13926" s="60" t="s">
        <v>1143</v>
      </c>
    </row>
    <row r="13927" ht="12.75" customHeight="1">
      <c r="A13927" s="59" t="s">
        <v>2882</v>
      </c>
      <c r="B13927" s="60" t="s">
        <v>1144</v>
      </c>
    </row>
    <row r="13928" ht="12.75" customHeight="1">
      <c r="A13928" s="59" t="s">
        <v>2882</v>
      </c>
      <c r="B13928" s="60" t="s">
        <v>1145</v>
      </c>
    </row>
    <row r="13929" ht="12.75" customHeight="1">
      <c r="A13929" s="59" t="s">
        <v>2882</v>
      </c>
      <c r="B13929" s="60" t="s">
        <v>1146</v>
      </c>
    </row>
    <row r="13930" ht="12.75" customHeight="1">
      <c r="A13930" s="59" t="s">
        <v>2882</v>
      </c>
      <c r="B13930" s="60" t="s">
        <v>1147</v>
      </c>
    </row>
    <row r="13931" ht="12.75" customHeight="1">
      <c r="A13931" s="59" t="s">
        <v>2882</v>
      </c>
      <c r="B13931" s="60" t="s">
        <v>1148</v>
      </c>
    </row>
    <row r="13932" ht="12.75" customHeight="1">
      <c r="A13932" s="59" t="s">
        <v>2882</v>
      </c>
      <c r="B13932" s="60" t="s">
        <v>1149</v>
      </c>
    </row>
    <row r="13933" ht="12.75" customHeight="1">
      <c r="A13933" s="59" t="s">
        <v>2882</v>
      </c>
      <c r="B13933" s="60" t="s">
        <v>1150</v>
      </c>
    </row>
    <row r="13934" ht="12.75" customHeight="1">
      <c r="A13934" s="59" t="s">
        <v>2882</v>
      </c>
      <c r="B13934" s="60" t="s">
        <v>1151</v>
      </c>
    </row>
    <row r="13935" ht="12.75" customHeight="1">
      <c r="A13935" s="59" t="s">
        <v>2882</v>
      </c>
      <c r="B13935" s="60" t="s">
        <v>1152</v>
      </c>
    </row>
    <row r="13936" ht="12.75" customHeight="1">
      <c r="A13936" s="59" t="s">
        <v>2882</v>
      </c>
      <c r="B13936" s="60" t="s">
        <v>1153</v>
      </c>
    </row>
    <row r="13937" ht="12.75" customHeight="1">
      <c r="A13937" s="59" t="s">
        <v>2882</v>
      </c>
      <c r="B13937" s="60" t="s">
        <v>1154</v>
      </c>
    </row>
    <row r="13938" ht="12.75" customHeight="1">
      <c r="A13938" s="59" t="s">
        <v>2882</v>
      </c>
      <c r="B13938" s="60" t="s">
        <v>1155</v>
      </c>
    </row>
    <row r="13939" ht="12.75" customHeight="1">
      <c r="A13939" s="59" t="s">
        <v>2882</v>
      </c>
      <c r="B13939" s="60" t="s">
        <v>1156</v>
      </c>
    </row>
    <row r="13940" ht="12.75" customHeight="1">
      <c r="A13940" s="59" t="s">
        <v>2882</v>
      </c>
      <c r="B13940" s="60" t="s">
        <v>1157</v>
      </c>
    </row>
    <row r="13941" ht="12.75" customHeight="1">
      <c r="A13941" s="59" t="s">
        <v>2882</v>
      </c>
      <c r="B13941" s="60" t="s">
        <v>1158</v>
      </c>
    </row>
    <row r="13942" ht="12.75" customHeight="1">
      <c r="A13942" s="59" t="s">
        <v>2882</v>
      </c>
      <c r="B13942" s="60" t="s">
        <v>1159</v>
      </c>
    </row>
    <row r="13943" ht="12.75" customHeight="1">
      <c r="A13943" s="59" t="s">
        <v>2882</v>
      </c>
      <c r="B13943" s="60" t="s">
        <v>1160</v>
      </c>
    </row>
    <row r="13944" ht="12.75" customHeight="1">
      <c r="A13944" s="59" t="s">
        <v>2882</v>
      </c>
      <c r="B13944" s="60" t="s">
        <v>1161</v>
      </c>
    </row>
    <row r="13945" ht="12.75" customHeight="1">
      <c r="A13945" s="59" t="s">
        <v>2882</v>
      </c>
      <c r="B13945" s="60" t="s">
        <v>1162</v>
      </c>
    </row>
    <row r="13946" ht="12.75" customHeight="1">
      <c r="A13946" s="59" t="s">
        <v>2882</v>
      </c>
      <c r="B13946" s="60" t="s">
        <v>1163</v>
      </c>
    </row>
    <row r="13947" ht="12.75" customHeight="1">
      <c r="A13947" s="59" t="s">
        <v>2882</v>
      </c>
      <c r="B13947" s="60" t="s">
        <v>1164</v>
      </c>
    </row>
    <row r="13948" ht="12.75" customHeight="1">
      <c r="A13948" s="59" t="s">
        <v>2882</v>
      </c>
      <c r="B13948" s="60" t="s">
        <v>1165</v>
      </c>
    </row>
    <row r="13949" ht="12.75" customHeight="1">
      <c r="A13949" s="59" t="s">
        <v>2882</v>
      </c>
      <c r="B13949" s="60" t="s">
        <v>1166</v>
      </c>
    </row>
    <row r="13950" ht="12.75" customHeight="1">
      <c r="A13950" s="59" t="s">
        <v>2882</v>
      </c>
      <c r="B13950" s="60" t="s">
        <v>1167</v>
      </c>
    </row>
    <row r="13951" ht="12.75" customHeight="1">
      <c r="A13951" s="59" t="s">
        <v>2882</v>
      </c>
      <c r="B13951" s="60" t="s">
        <v>1168</v>
      </c>
    </row>
    <row r="13952" ht="12.75" customHeight="1">
      <c r="A13952" s="59" t="s">
        <v>2882</v>
      </c>
      <c r="B13952" s="60" t="s">
        <v>1169</v>
      </c>
    </row>
    <row r="13953" ht="12.75" customHeight="1">
      <c r="A13953" s="59" t="s">
        <v>2882</v>
      </c>
      <c r="B13953" s="60" t="s">
        <v>1170</v>
      </c>
    </row>
    <row r="13954" ht="12.75" customHeight="1">
      <c r="A13954" s="59" t="s">
        <v>2882</v>
      </c>
      <c r="B13954" s="60" t="s">
        <v>1171</v>
      </c>
    </row>
    <row r="13955" ht="12.75" customHeight="1">
      <c r="A13955" s="59" t="s">
        <v>2882</v>
      </c>
      <c r="B13955" s="60" t="s">
        <v>1172</v>
      </c>
    </row>
    <row r="13956" ht="12.75" customHeight="1">
      <c r="A13956" s="59" t="s">
        <v>2882</v>
      </c>
      <c r="B13956" s="60" t="s">
        <v>1173</v>
      </c>
    </row>
    <row r="13957" ht="12.75" customHeight="1">
      <c r="A13957" s="59" t="s">
        <v>2882</v>
      </c>
      <c r="B13957" s="60" t="s">
        <v>1174</v>
      </c>
    </row>
    <row r="13958" ht="12.75" customHeight="1">
      <c r="A13958" s="59" t="s">
        <v>2882</v>
      </c>
      <c r="B13958" s="60" t="s">
        <v>1175</v>
      </c>
    </row>
    <row r="13959" ht="12.75" customHeight="1">
      <c r="A13959" s="59" t="s">
        <v>2882</v>
      </c>
      <c r="B13959" s="60" t="s">
        <v>1176</v>
      </c>
    </row>
    <row r="13960" ht="12.75" customHeight="1">
      <c r="A13960" s="59" t="s">
        <v>2882</v>
      </c>
      <c r="B13960" s="60" t="s">
        <v>1177</v>
      </c>
    </row>
    <row r="13961" ht="12.75" customHeight="1">
      <c r="A13961" s="59" t="s">
        <v>2882</v>
      </c>
      <c r="B13961" s="60" t="s">
        <v>1178</v>
      </c>
    </row>
    <row r="13962" ht="12.75" customHeight="1">
      <c r="A13962" s="59" t="s">
        <v>2882</v>
      </c>
      <c r="B13962" s="60" t="s">
        <v>1179</v>
      </c>
    </row>
    <row r="13963" ht="12.75" customHeight="1">
      <c r="A13963" s="59" t="s">
        <v>2882</v>
      </c>
      <c r="B13963" s="60" t="s">
        <v>1180</v>
      </c>
    </row>
    <row r="13964" ht="12.75" customHeight="1">
      <c r="A13964" s="59" t="s">
        <v>2882</v>
      </c>
      <c r="B13964" s="60" t="s">
        <v>1181</v>
      </c>
    </row>
    <row r="13965" ht="12.75" customHeight="1">
      <c r="A13965" s="59" t="s">
        <v>2882</v>
      </c>
      <c r="B13965" s="60" t="s">
        <v>1182</v>
      </c>
    </row>
    <row r="13966" ht="12.75" customHeight="1">
      <c r="A13966" s="59" t="s">
        <v>2882</v>
      </c>
      <c r="B13966" s="60" t="s">
        <v>1183</v>
      </c>
    </row>
    <row r="13967" ht="12.75" customHeight="1">
      <c r="A13967" s="59" t="s">
        <v>2882</v>
      </c>
      <c r="B13967" s="60" t="s">
        <v>1184</v>
      </c>
    </row>
    <row r="13968" ht="12.75" customHeight="1">
      <c r="A13968" s="59" t="s">
        <v>2882</v>
      </c>
      <c r="B13968" s="60" t="s">
        <v>1185</v>
      </c>
    </row>
    <row r="13969" ht="12.75" customHeight="1">
      <c r="A13969" s="59" t="s">
        <v>2882</v>
      </c>
      <c r="B13969" s="60" t="s">
        <v>1186</v>
      </c>
    </row>
    <row r="13970" ht="12.75" customHeight="1">
      <c r="A13970" s="59" t="s">
        <v>2882</v>
      </c>
      <c r="B13970" s="60" t="s">
        <v>1187</v>
      </c>
    </row>
    <row r="13971" ht="12.75" customHeight="1">
      <c r="A13971" s="59" t="s">
        <v>2882</v>
      </c>
      <c r="B13971" s="60" t="s">
        <v>1188</v>
      </c>
    </row>
    <row r="13972" ht="12.75" customHeight="1">
      <c r="A13972" s="59" t="s">
        <v>2882</v>
      </c>
      <c r="B13972" s="60" t="s">
        <v>1189</v>
      </c>
    </row>
    <row r="13973" ht="12.75" customHeight="1">
      <c r="A13973" s="59" t="s">
        <v>2882</v>
      </c>
      <c r="B13973" s="60" t="s">
        <v>1190</v>
      </c>
    </row>
    <row r="13974" ht="12.75" customHeight="1">
      <c r="A13974" s="59" t="s">
        <v>2882</v>
      </c>
      <c r="B13974" s="60" t="s">
        <v>1191</v>
      </c>
    </row>
    <row r="13975" ht="12.75" customHeight="1">
      <c r="A13975" s="59" t="s">
        <v>2882</v>
      </c>
      <c r="B13975" s="60" t="s">
        <v>1192</v>
      </c>
    </row>
    <row r="13976" ht="12.75" customHeight="1">
      <c r="A13976" s="59" t="s">
        <v>2883</v>
      </c>
      <c r="B13976" s="60">
        <v>0.0</v>
      </c>
    </row>
    <row r="13977" ht="12.75" customHeight="1">
      <c r="A13977" s="59" t="s">
        <v>2883</v>
      </c>
      <c r="B13977" s="60">
        <v>0.0</v>
      </c>
    </row>
    <row r="13978" ht="12.75" customHeight="1">
      <c r="A13978" s="59" t="s">
        <v>2883</v>
      </c>
      <c r="B13978" s="60">
        <v>2.0</v>
      </c>
    </row>
    <row r="13979" ht="12.75" customHeight="1">
      <c r="A13979" s="59" t="s">
        <v>2883</v>
      </c>
      <c r="B13979" s="60">
        <v>4.0</v>
      </c>
    </row>
    <row r="13980" ht="12.75" customHeight="1">
      <c r="A13980" s="59" t="s">
        <v>2883</v>
      </c>
      <c r="B13980" s="60">
        <v>6.0</v>
      </c>
    </row>
    <row r="13981" ht="12.75" customHeight="1">
      <c r="A13981" s="59" t="s">
        <v>2883</v>
      </c>
      <c r="B13981" s="60">
        <v>8.0</v>
      </c>
    </row>
    <row r="13982" ht="12.75" customHeight="1">
      <c r="A13982" s="59" t="s">
        <v>2883</v>
      </c>
      <c r="B13982" s="60">
        <v>10.0</v>
      </c>
    </row>
    <row r="13983" ht="12.75" customHeight="1">
      <c r="A13983" s="59" t="s">
        <v>2883</v>
      </c>
      <c r="B13983" s="60">
        <v>12.0</v>
      </c>
    </row>
    <row r="13984" ht="12.75" customHeight="1">
      <c r="A13984" s="59" t="s">
        <v>2883</v>
      </c>
      <c r="B13984" s="60" t="s">
        <v>803</v>
      </c>
    </row>
    <row r="13985" ht="12.75" customHeight="1">
      <c r="A13985" s="59" t="s">
        <v>2883</v>
      </c>
      <c r="B13985" s="60" t="s">
        <v>804</v>
      </c>
    </row>
    <row r="13986" ht="12.75" customHeight="1">
      <c r="A13986" s="59" t="s">
        <v>2883</v>
      </c>
      <c r="B13986" s="60" t="s">
        <v>76</v>
      </c>
    </row>
    <row r="13987" ht="12.75" customHeight="1">
      <c r="A13987" s="59" t="s">
        <v>2883</v>
      </c>
      <c r="B13987" s="60" t="s">
        <v>80</v>
      </c>
    </row>
    <row r="13988" ht="12.75" customHeight="1">
      <c r="A13988" s="59" t="s">
        <v>2883</v>
      </c>
      <c r="B13988" s="60" t="s">
        <v>83</v>
      </c>
    </row>
    <row r="13989" ht="12.75" customHeight="1">
      <c r="A13989" s="59" t="s">
        <v>2883</v>
      </c>
      <c r="B13989" s="60" t="s">
        <v>85</v>
      </c>
    </row>
    <row r="13990" ht="12.75" customHeight="1">
      <c r="A13990" s="59" t="s">
        <v>2883</v>
      </c>
      <c r="B13990" s="60" t="s">
        <v>805</v>
      </c>
    </row>
    <row r="13991" ht="12.75" customHeight="1">
      <c r="A13991" s="59" t="s">
        <v>2883</v>
      </c>
      <c r="B13991" s="60" t="s">
        <v>806</v>
      </c>
    </row>
    <row r="13992" ht="12.75" customHeight="1">
      <c r="A13992" s="59" t="s">
        <v>2883</v>
      </c>
      <c r="B13992" s="60" t="s">
        <v>807</v>
      </c>
    </row>
    <row r="13993" ht="12.75" customHeight="1">
      <c r="A13993" s="59" t="s">
        <v>2883</v>
      </c>
      <c r="B13993" s="60" t="s">
        <v>753</v>
      </c>
    </row>
    <row r="13994" ht="12.75" customHeight="1">
      <c r="A13994" s="59" t="s">
        <v>2883</v>
      </c>
      <c r="B13994" s="60" t="s">
        <v>757</v>
      </c>
    </row>
    <row r="13995" ht="12.75" customHeight="1">
      <c r="A13995" s="59" t="s">
        <v>2883</v>
      </c>
      <c r="B13995" s="60" t="s">
        <v>761</v>
      </c>
    </row>
    <row r="13996" ht="12.75" customHeight="1">
      <c r="A13996" s="59" t="s">
        <v>2883</v>
      </c>
      <c r="B13996" s="60" t="s">
        <v>765</v>
      </c>
    </row>
    <row r="13997" ht="12.75" customHeight="1">
      <c r="A13997" s="59" t="s">
        <v>2883</v>
      </c>
      <c r="B13997" s="60" t="s">
        <v>808</v>
      </c>
    </row>
    <row r="13998" ht="12.75" customHeight="1">
      <c r="A13998" s="59" t="s">
        <v>2883</v>
      </c>
      <c r="B13998" s="60" t="s">
        <v>809</v>
      </c>
    </row>
    <row r="13999" ht="12.75" customHeight="1">
      <c r="A13999" s="59" t="s">
        <v>2883</v>
      </c>
      <c r="B13999" s="60" t="s">
        <v>810</v>
      </c>
    </row>
    <row r="14000" ht="12.75" customHeight="1">
      <c r="A14000" s="59" t="s">
        <v>2883</v>
      </c>
      <c r="B14000" s="60" t="s">
        <v>811</v>
      </c>
    </row>
    <row r="14001" ht="12.75" customHeight="1">
      <c r="A14001" s="59" t="s">
        <v>2883</v>
      </c>
      <c r="B14001" s="60" t="s">
        <v>812</v>
      </c>
    </row>
    <row r="14002" ht="12.75" customHeight="1">
      <c r="A14002" s="59" t="s">
        <v>2883</v>
      </c>
      <c r="B14002" s="60" t="s">
        <v>813</v>
      </c>
    </row>
    <row r="14003" ht="12.75" customHeight="1">
      <c r="A14003" s="59" t="s">
        <v>2883</v>
      </c>
      <c r="B14003" s="60" t="s">
        <v>814</v>
      </c>
    </row>
    <row r="14004" ht="12.75" customHeight="1">
      <c r="A14004" s="59" t="s">
        <v>2883</v>
      </c>
      <c r="B14004" s="60" t="s">
        <v>815</v>
      </c>
    </row>
    <row r="14005" ht="12.75" customHeight="1">
      <c r="A14005" s="59" t="s">
        <v>2883</v>
      </c>
      <c r="B14005" s="60" t="s">
        <v>816</v>
      </c>
    </row>
    <row r="14006" ht="12.75" customHeight="1">
      <c r="A14006" s="59" t="s">
        <v>2883</v>
      </c>
      <c r="B14006" s="60" t="s">
        <v>771</v>
      </c>
    </row>
    <row r="14007" ht="12.75" customHeight="1">
      <c r="A14007" s="59" t="s">
        <v>2883</v>
      </c>
      <c r="B14007" s="60" t="s">
        <v>775</v>
      </c>
    </row>
    <row r="14008" ht="12.75" customHeight="1">
      <c r="A14008" s="59" t="s">
        <v>2883</v>
      </c>
      <c r="B14008" s="60" t="s">
        <v>779</v>
      </c>
    </row>
    <row r="14009" ht="12.75" customHeight="1">
      <c r="A14009" s="59" t="s">
        <v>2883</v>
      </c>
      <c r="B14009" s="60" t="s">
        <v>783</v>
      </c>
    </row>
    <row r="14010" ht="12.75" customHeight="1">
      <c r="A14010" s="59" t="s">
        <v>2883</v>
      </c>
      <c r="B14010" s="60" t="s">
        <v>817</v>
      </c>
    </row>
    <row r="14011" ht="12.75" customHeight="1">
      <c r="A14011" s="59" t="s">
        <v>2883</v>
      </c>
      <c r="B14011" s="60" t="s">
        <v>818</v>
      </c>
    </row>
    <row r="14012" ht="12.75" customHeight="1">
      <c r="A14012" s="59" t="s">
        <v>2883</v>
      </c>
      <c r="B14012" s="60" t="s">
        <v>819</v>
      </c>
    </row>
    <row r="14013" ht="12.75" customHeight="1">
      <c r="A14013" s="59" t="s">
        <v>2883</v>
      </c>
      <c r="B14013" s="60" t="s">
        <v>820</v>
      </c>
    </row>
    <row r="14014" ht="12.75" customHeight="1">
      <c r="A14014" s="59" t="s">
        <v>2883</v>
      </c>
      <c r="B14014" s="60" t="s">
        <v>821</v>
      </c>
    </row>
    <row r="14015" ht="12.75" customHeight="1">
      <c r="A14015" s="59" t="s">
        <v>2883</v>
      </c>
      <c r="B14015" s="60" t="s">
        <v>822</v>
      </c>
    </row>
    <row r="14016" ht="12.75" customHeight="1">
      <c r="A14016" s="59" t="s">
        <v>2883</v>
      </c>
      <c r="B14016" s="60" t="s">
        <v>823</v>
      </c>
    </row>
    <row r="14017" ht="12.75" customHeight="1">
      <c r="A14017" s="59" t="s">
        <v>2883</v>
      </c>
      <c r="B14017" s="60" t="s">
        <v>824</v>
      </c>
    </row>
    <row r="14018" ht="12.75" customHeight="1">
      <c r="A14018" s="59" t="s">
        <v>2883</v>
      </c>
      <c r="B14018" s="60" t="s">
        <v>825</v>
      </c>
    </row>
    <row r="14019" ht="12.75" customHeight="1">
      <c r="A14019" s="59" t="s">
        <v>2883</v>
      </c>
      <c r="B14019" s="60" t="s">
        <v>788</v>
      </c>
    </row>
    <row r="14020" ht="12.75" customHeight="1">
      <c r="A14020" s="59" t="s">
        <v>2883</v>
      </c>
      <c r="B14020" s="60" t="s">
        <v>792</v>
      </c>
    </row>
    <row r="14021" ht="12.75" customHeight="1">
      <c r="A14021" s="59" t="s">
        <v>2883</v>
      </c>
      <c r="B14021" s="60" t="s">
        <v>796</v>
      </c>
    </row>
    <row r="14022" ht="12.75" customHeight="1">
      <c r="A14022" s="59" t="s">
        <v>2883</v>
      </c>
      <c r="B14022" s="60" t="s">
        <v>800</v>
      </c>
    </row>
    <row r="14023" ht="12.75" customHeight="1">
      <c r="A14023" s="59" t="s">
        <v>2883</v>
      </c>
      <c r="B14023" s="60" t="s">
        <v>826</v>
      </c>
    </row>
    <row r="14024" ht="12.75" customHeight="1">
      <c r="A14024" s="59" t="s">
        <v>2883</v>
      </c>
      <c r="B14024" s="60" t="s">
        <v>827</v>
      </c>
    </row>
    <row r="14025" ht="12.75" customHeight="1">
      <c r="A14025" s="59" t="s">
        <v>2883</v>
      </c>
      <c r="B14025" s="60" t="s">
        <v>828</v>
      </c>
    </row>
    <row r="14026" ht="12.75" customHeight="1">
      <c r="A14026" s="59" t="s">
        <v>2883</v>
      </c>
      <c r="B14026" s="60" t="s">
        <v>829</v>
      </c>
    </row>
    <row r="14027" ht="12.75" customHeight="1">
      <c r="A14027" s="59" t="s">
        <v>2883</v>
      </c>
      <c r="B14027" s="60" t="s">
        <v>830</v>
      </c>
    </row>
    <row r="14028" ht="12.75" customHeight="1">
      <c r="A14028" s="59" t="s">
        <v>2883</v>
      </c>
      <c r="B14028" s="60" t="s">
        <v>831</v>
      </c>
    </row>
    <row r="14029" ht="12.75" customHeight="1">
      <c r="A14029" s="59" t="s">
        <v>2883</v>
      </c>
      <c r="B14029" s="60" t="s">
        <v>832</v>
      </c>
    </row>
    <row r="14030" ht="12.75" customHeight="1">
      <c r="A14030" s="59" t="s">
        <v>2883</v>
      </c>
      <c r="B14030" s="60" t="s">
        <v>833</v>
      </c>
    </row>
    <row r="14031" ht="12.75" customHeight="1">
      <c r="A14031" s="59" t="s">
        <v>2883</v>
      </c>
      <c r="B14031" s="60" t="s">
        <v>834</v>
      </c>
    </row>
    <row r="14032" ht="12.75" customHeight="1">
      <c r="A14032" s="59" t="s">
        <v>2883</v>
      </c>
      <c r="B14032" s="60">
        <v>14.0</v>
      </c>
    </row>
    <row r="14033" ht="12.75" customHeight="1">
      <c r="A14033" s="59" t="s">
        <v>2883</v>
      </c>
      <c r="B14033" s="60" t="s">
        <v>835</v>
      </c>
    </row>
    <row r="14034" ht="12.75" customHeight="1">
      <c r="A14034" s="59" t="s">
        <v>2883</v>
      </c>
      <c r="B14034" s="60">
        <v>16.0</v>
      </c>
    </row>
    <row r="14035" ht="12.75" customHeight="1">
      <c r="A14035" s="59" t="s">
        <v>2883</v>
      </c>
      <c r="B14035" s="60" t="s">
        <v>836</v>
      </c>
    </row>
    <row r="14036" ht="12.75" customHeight="1">
      <c r="A14036" s="59" t="s">
        <v>2883</v>
      </c>
      <c r="B14036" s="60">
        <v>18.0</v>
      </c>
    </row>
    <row r="14037" ht="12.75" customHeight="1">
      <c r="A14037" s="59" t="s">
        <v>2883</v>
      </c>
      <c r="B14037" s="60" t="s">
        <v>837</v>
      </c>
    </row>
    <row r="14038" ht="12.75" customHeight="1">
      <c r="A14038" s="59" t="s">
        <v>2883</v>
      </c>
      <c r="B14038" s="60">
        <v>20.0</v>
      </c>
    </row>
    <row r="14039" ht="12.75" customHeight="1">
      <c r="A14039" s="59" t="s">
        <v>2883</v>
      </c>
      <c r="B14039" s="60" t="s">
        <v>838</v>
      </c>
    </row>
    <row r="14040" ht="12.75" customHeight="1">
      <c r="A14040" s="59" t="s">
        <v>2883</v>
      </c>
      <c r="B14040" s="60">
        <v>22.0</v>
      </c>
    </row>
    <row r="14041" ht="12.75" customHeight="1">
      <c r="A14041" s="59" t="s">
        <v>2883</v>
      </c>
      <c r="B14041" s="60" t="s">
        <v>839</v>
      </c>
    </row>
    <row r="14042" ht="12.75" customHeight="1">
      <c r="A14042" s="59" t="s">
        <v>2883</v>
      </c>
      <c r="B14042" s="60">
        <v>24.0</v>
      </c>
    </row>
    <row r="14043" ht="12.75" customHeight="1">
      <c r="A14043" s="59" t="s">
        <v>2883</v>
      </c>
      <c r="B14043" s="60" t="s">
        <v>840</v>
      </c>
    </row>
    <row r="14044" ht="12.75" customHeight="1">
      <c r="A14044" s="59" t="s">
        <v>2883</v>
      </c>
      <c r="B14044" s="60">
        <v>26.0</v>
      </c>
    </row>
    <row r="14045" ht="12.75" customHeight="1">
      <c r="A14045" s="59" t="s">
        <v>2883</v>
      </c>
      <c r="B14045" s="60" t="s">
        <v>841</v>
      </c>
    </row>
    <row r="14046" ht="12.75" customHeight="1">
      <c r="A14046" s="59" t="s">
        <v>2883</v>
      </c>
      <c r="B14046" s="60">
        <v>28.0</v>
      </c>
    </row>
    <row r="14047" ht="12.75" customHeight="1">
      <c r="A14047" s="59" t="s">
        <v>2883</v>
      </c>
      <c r="B14047" s="60" t="s">
        <v>842</v>
      </c>
    </row>
    <row r="14048" ht="12.75" customHeight="1">
      <c r="A14048" s="59" t="s">
        <v>2883</v>
      </c>
      <c r="B14048" s="60">
        <v>30.0</v>
      </c>
    </row>
    <row r="14049" ht="12.75" customHeight="1">
      <c r="A14049" s="59" t="s">
        <v>2883</v>
      </c>
      <c r="B14049" s="60" t="s">
        <v>843</v>
      </c>
    </row>
    <row r="14050" ht="12.75" customHeight="1">
      <c r="A14050" s="59" t="s">
        <v>2883</v>
      </c>
      <c r="B14050" s="60">
        <v>32.0</v>
      </c>
    </row>
    <row r="14051" ht="12.75" customHeight="1">
      <c r="A14051" s="59" t="s">
        <v>2883</v>
      </c>
      <c r="B14051" s="60" t="s">
        <v>844</v>
      </c>
    </row>
    <row r="14052" ht="12.75" customHeight="1">
      <c r="A14052" s="59" t="s">
        <v>2883</v>
      </c>
      <c r="B14052" s="60" t="s">
        <v>845</v>
      </c>
    </row>
    <row r="14053" ht="12.75" customHeight="1">
      <c r="A14053" s="59" t="s">
        <v>2883</v>
      </c>
      <c r="B14053" s="60" t="s">
        <v>846</v>
      </c>
    </row>
    <row r="14054" ht="12.75" customHeight="1">
      <c r="A14054" s="59" t="s">
        <v>2883</v>
      </c>
      <c r="B14054" s="60" t="s">
        <v>847</v>
      </c>
    </row>
    <row r="14055" ht="12.75" customHeight="1">
      <c r="A14055" s="59" t="s">
        <v>2883</v>
      </c>
      <c r="B14055" s="60" t="s">
        <v>848</v>
      </c>
    </row>
    <row r="14056" ht="12.75" customHeight="1">
      <c r="A14056" s="59" t="s">
        <v>2883</v>
      </c>
      <c r="B14056" s="60" t="s">
        <v>849</v>
      </c>
    </row>
    <row r="14057" ht="12.75" customHeight="1">
      <c r="A14057" s="59" t="s">
        <v>2883</v>
      </c>
      <c r="B14057" s="60" t="s">
        <v>850</v>
      </c>
    </row>
    <row r="14058" ht="12.75" customHeight="1">
      <c r="A14058" s="59" t="s">
        <v>2883</v>
      </c>
      <c r="B14058" s="60" t="s">
        <v>851</v>
      </c>
    </row>
    <row r="14059" ht="12.75" customHeight="1">
      <c r="A14059" s="59" t="s">
        <v>2883</v>
      </c>
      <c r="B14059" s="60" t="s">
        <v>852</v>
      </c>
    </row>
    <row r="14060" ht="12.75" customHeight="1">
      <c r="A14060" s="59" t="s">
        <v>2883</v>
      </c>
      <c r="B14060" s="60" t="s">
        <v>853</v>
      </c>
    </row>
    <row r="14061" ht="12.75" customHeight="1">
      <c r="A14061" s="59" t="s">
        <v>2883</v>
      </c>
      <c r="B14061" s="60" t="s">
        <v>854</v>
      </c>
    </row>
    <row r="14062" ht="12.75" customHeight="1">
      <c r="A14062" s="59" t="s">
        <v>2883</v>
      </c>
      <c r="B14062" s="60" t="s">
        <v>855</v>
      </c>
    </row>
    <row r="14063" ht="12.75" customHeight="1">
      <c r="A14063" s="59" t="s">
        <v>2883</v>
      </c>
      <c r="B14063" s="60" t="s">
        <v>856</v>
      </c>
    </row>
    <row r="14064" ht="12.75" customHeight="1">
      <c r="A14064" s="59" t="s">
        <v>2883</v>
      </c>
      <c r="B14064" s="60" t="s">
        <v>857</v>
      </c>
    </row>
    <row r="14065" ht="12.75" customHeight="1">
      <c r="A14065" s="59" t="s">
        <v>2883</v>
      </c>
      <c r="B14065" s="60" t="s">
        <v>858</v>
      </c>
    </row>
    <row r="14066" ht="12.75" customHeight="1">
      <c r="A14066" s="59" t="s">
        <v>2883</v>
      </c>
      <c r="B14066" s="60" t="s">
        <v>859</v>
      </c>
    </row>
    <row r="14067" ht="12.75" customHeight="1">
      <c r="A14067" s="59" t="s">
        <v>2883</v>
      </c>
      <c r="B14067" s="60" t="s">
        <v>860</v>
      </c>
    </row>
    <row r="14068" ht="12.75" customHeight="1">
      <c r="A14068" s="59" t="s">
        <v>2883</v>
      </c>
      <c r="B14068" s="60" t="s">
        <v>861</v>
      </c>
    </row>
    <row r="14069" ht="12.75" customHeight="1">
      <c r="A14069" s="59" t="s">
        <v>2883</v>
      </c>
      <c r="B14069" s="60" t="s">
        <v>862</v>
      </c>
    </row>
    <row r="14070" ht="12.75" customHeight="1">
      <c r="A14070" s="59" t="s">
        <v>2883</v>
      </c>
      <c r="B14070" s="60" t="s">
        <v>863</v>
      </c>
    </row>
    <row r="14071" ht="12.75" customHeight="1">
      <c r="A14071" s="59" t="s">
        <v>2883</v>
      </c>
      <c r="B14071" s="60" t="s">
        <v>864</v>
      </c>
    </row>
    <row r="14072" ht="12.75" customHeight="1">
      <c r="A14072" s="59" t="s">
        <v>2883</v>
      </c>
      <c r="B14072" s="60" t="s">
        <v>865</v>
      </c>
    </row>
    <row r="14073" ht="12.75" customHeight="1">
      <c r="A14073" s="59" t="s">
        <v>2883</v>
      </c>
      <c r="B14073" s="60" t="s">
        <v>866</v>
      </c>
    </row>
    <row r="14074" ht="12.75" customHeight="1">
      <c r="A14074" s="59" t="s">
        <v>2883</v>
      </c>
      <c r="B14074" s="60" t="s">
        <v>867</v>
      </c>
    </row>
    <row r="14075" ht="12.75" customHeight="1">
      <c r="A14075" s="59" t="s">
        <v>2883</v>
      </c>
      <c r="B14075" s="60" t="s">
        <v>868</v>
      </c>
    </row>
    <row r="14076" ht="12.75" customHeight="1">
      <c r="A14076" s="59" t="s">
        <v>2883</v>
      </c>
      <c r="B14076" s="60" t="s">
        <v>869</v>
      </c>
    </row>
    <row r="14077" ht="12.75" customHeight="1">
      <c r="A14077" s="59" t="s">
        <v>2883</v>
      </c>
      <c r="B14077" s="60" t="s">
        <v>870</v>
      </c>
    </row>
    <row r="14078" ht="12.75" customHeight="1">
      <c r="A14078" s="59" t="s">
        <v>2883</v>
      </c>
      <c r="B14078" s="60" t="s">
        <v>871</v>
      </c>
    </row>
    <row r="14079" ht="12.75" customHeight="1">
      <c r="A14079" s="59" t="s">
        <v>2883</v>
      </c>
      <c r="B14079" s="60" t="s">
        <v>872</v>
      </c>
    </row>
    <row r="14080" ht="12.75" customHeight="1">
      <c r="A14080" s="59" t="s">
        <v>2883</v>
      </c>
      <c r="B14080" s="60" t="s">
        <v>873</v>
      </c>
    </row>
    <row r="14081" ht="12.75" customHeight="1">
      <c r="A14081" s="59" t="s">
        <v>2883</v>
      </c>
      <c r="B14081" s="60" t="s">
        <v>874</v>
      </c>
    </row>
    <row r="14082" ht="12.75" customHeight="1">
      <c r="A14082" s="59" t="s">
        <v>2883</v>
      </c>
      <c r="B14082" s="60" t="s">
        <v>875</v>
      </c>
    </row>
    <row r="14083" ht="12.75" customHeight="1">
      <c r="A14083" s="59" t="s">
        <v>2883</v>
      </c>
      <c r="B14083" s="60" t="s">
        <v>876</v>
      </c>
    </row>
    <row r="14084" ht="12.75" customHeight="1">
      <c r="A14084" s="59" t="s">
        <v>2883</v>
      </c>
      <c r="B14084" s="60" t="s">
        <v>877</v>
      </c>
    </row>
    <row r="14085" ht="12.75" customHeight="1">
      <c r="A14085" s="59" t="s">
        <v>2883</v>
      </c>
      <c r="B14085" s="60" t="s">
        <v>878</v>
      </c>
    </row>
    <row r="14086" ht="12.75" customHeight="1">
      <c r="A14086" s="59" t="s">
        <v>2883</v>
      </c>
      <c r="B14086" s="60" t="s">
        <v>879</v>
      </c>
    </row>
    <row r="14087" ht="12.75" customHeight="1">
      <c r="A14087" s="59" t="s">
        <v>2883</v>
      </c>
      <c r="B14087" s="60" t="s">
        <v>880</v>
      </c>
    </row>
    <row r="14088" ht="12.75" customHeight="1">
      <c r="A14088" s="59" t="s">
        <v>2883</v>
      </c>
      <c r="B14088" s="60" t="s">
        <v>881</v>
      </c>
    </row>
    <row r="14089" ht="12.75" customHeight="1">
      <c r="A14089" s="59" t="s">
        <v>2883</v>
      </c>
      <c r="B14089" s="60" t="s">
        <v>882</v>
      </c>
    </row>
    <row r="14090" ht="12.75" customHeight="1">
      <c r="A14090" s="59" t="s">
        <v>2883</v>
      </c>
      <c r="B14090" s="60" t="s">
        <v>883</v>
      </c>
    </row>
    <row r="14091" ht="12.75" customHeight="1">
      <c r="A14091" s="59" t="s">
        <v>2883</v>
      </c>
      <c r="B14091" s="60" t="s">
        <v>884</v>
      </c>
    </row>
    <row r="14092" ht="12.75" customHeight="1">
      <c r="A14092" s="59" t="s">
        <v>2883</v>
      </c>
      <c r="B14092" s="60" t="s">
        <v>885</v>
      </c>
    </row>
    <row r="14093" ht="12.75" customHeight="1">
      <c r="A14093" s="59" t="s">
        <v>2883</v>
      </c>
      <c r="B14093" s="60" t="s">
        <v>886</v>
      </c>
    </row>
    <row r="14094" ht="12.75" customHeight="1">
      <c r="A14094" s="59" t="s">
        <v>2883</v>
      </c>
      <c r="B14094" s="60" t="s">
        <v>887</v>
      </c>
    </row>
    <row r="14095" ht="12.75" customHeight="1">
      <c r="A14095" s="59" t="s">
        <v>2883</v>
      </c>
      <c r="B14095" s="60" t="s">
        <v>888</v>
      </c>
    </row>
    <row r="14096" ht="12.75" customHeight="1">
      <c r="A14096" s="59" t="s">
        <v>2883</v>
      </c>
      <c r="B14096" s="60" t="s">
        <v>889</v>
      </c>
    </row>
    <row r="14097" ht="12.75" customHeight="1">
      <c r="A14097" s="59" t="s">
        <v>2883</v>
      </c>
      <c r="B14097" s="60" t="s">
        <v>890</v>
      </c>
    </row>
    <row r="14098" ht="12.75" customHeight="1">
      <c r="A14098" s="59" t="s">
        <v>2883</v>
      </c>
      <c r="B14098" s="60" t="s">
        <v>891</v>
      </c>
    </row>
    <row r="14099" ht="12.75" customHeight="1">
      <c r="A14099" s="59" t="s">
        <v>2883</v>
      </c>
      <c r="B14099" s="60" t="s">
        <v>892</v>
      </c>
    </row>
    <row r="14100" ht="12.75" customHeight="1">
      <c r="A14100" s="59" t="s">
        <v>2883</v>
      </c>
      <c r="B14100" s="60" t="s">
        <v>893</v>
      </c>
    </row>
    <row r="14101" ht="12.75" customHeight="1">
      <c r="A14101" s="59" t="s">
        <v>2883</v>
      </c>
      <c r="B14101" s="60" t="s">
        <v>894</v>
      </c>
    </row>
    <row r="14102" ht="12.75" customHeight="1">
      <c r="A14102" s="59" t="s">
        <v>2883</v>
      </c>
      <c r="B14102" s="60" t="s">
        <v>895</v>
      </c>
    </row>
    <row r="14103" ht="12.75" customHeight="1">
      <c r="A14103" s="59" t="s">
        <v>2883</v>
      </c>
      <c r="B14103" s="60" t="s">
        <v>896</v>
      </c>
    </row>
    <row r="14104" ht="12.75" customHeight="1">
      <c r="A14104" s="59" t="s">
        <v>2883</v>
      </c>
      <c r="B14104" s="60" t="s">
        <v>897</v>
      </c>
    </row>
    <row r="14105" ht="12.75" customHeight="1">
      <c r="A14105" s="59" t="s">
        <v>2883</v>
      </c>
      <c r="B14105" s="60" t="s">
        <v>898</v>
      </c>
    </row>
    <row r="14106" ht="12.75" customHeight="1">
      <c r="A14106" s="59" t="s">
        <v>2883</v>
      </c>
      <c r="B14106" s="60" t="s">
        <v>899</v>
      </c>
    </row>
    <row r="14107" ht="12.75" customHeight="1">
      <c r="A14107" s="59" t="s">
        <v>2883</v>
      </c>
      <c r="B14107" s="60" t="s">
        <v>900</v>
      </c>
    </row>
    <row r="14108" ht="12.75" customHeight="1">
      <c r="A14108" s="59" t="s">
        <v>2883</v>
      </c>
      <c r="B14108" s="60" t="s">
        <v>901</v>
      </c>
    </row>
    <row r="14109" ht="12.75" customHeight="1">
      <c r="A14109" s="59" t="s">
        <v>2883</v>
      </c>
      <c r="B14109" s="60" t="s">
        <v>902</v>
      </c>
    </row>
    <row r="14110" ht="12.75" customHeight="1">
      <c r="A14110" s="59" t="s">
        <v>2883</v>
      </c>
      <c r="B14110" s="60" t="s">
        <v>903</v>
      </c>
    </row>
    <row r="14111" ht="12.75" customHeight="1">
      <c r="A14111" s="59" t="s">
        <v>2883</v>
      </c>
      <c r="B14111" s="60" t="s">
        <v>904</v>
      </c>
    </row>
    <row r="14112" ht="12.75" customHeight="1">
      <c r="A14112" s="59" t="s">
        <v>2883</v>
      </c>
      <c r="B14112" s="60" t="s">
        <v>905</v>
      </c>
    </row>
    <row r="14113" ht="12.75" customHeight="1">
      <c r="A14113" s="59" t="s">
        <v>2883</v>
      </c>
      <c r="B14113" s="60" t="s">
        <v>906</v>
      </c>
    </row>
    <row r="14114" ht="12.75" customHeight="1">
      <c r="A14114" s="59" t="s">
        <v>2883</v>
      </c>
      <c r="B14114" s="60" t="s">
        <v>907</v>
      </c>
    </row>
    <row r="14115" ht="12.75" customHeight="1">
      <c r="A14115" s="59" t="s">
        <v>2883</v>
      </c>
      <c r="B14115" s="60" t="s">
        <v>908</v>
      </c>
    </row>
    <row r="14116" ht="12.75" customHeight="1">
      <c r="A14116" s="59" t="s">
        <v>2883</v>
      </c>
      <c r="B14116" s="60" t="s">
        <v>909</v>
      </c>
    </row>
    <row r="14117" ht="12.75" customHeight="1">
      <c r="A14117" s="59" t="s">
        <v>2883</v>
      </c>
      <c r="B14117" s="60" t="s">
        <v>910</v>
      </c>
    </row>
    <row r="14118" ht="12.75" customHeight="1">
      <c r="A14118" s="59" t="s">
        <v>2883</v>
      </c>
      <c r="B14118" s="60" t="s">
        <v>911</v>
      </c>
    </row>
    <row r="14119" ht="12.75" customHeight="1">
      <c r="A14119" s="59" t="s">
        <v>2883</v>
      </c>
      <c r="B14119" s="60" t="s">
        <v>912</v>
      </c>
    </row>
    <row r="14120" ht="12.75" customHeight="1">
      <c r="A14120" s="59" t="s">
        <v>2883</v>
      </c>
      <c r="B14120" s="60" t="s">
        <v>913</v>
      </c>
    </row>
    <row r="14121" ht="12.75" customHeight="1">
      <c r="A14121" s="59" t="s">
        <v>2883</v>
      </c>
      <c r="B14121" s="60" t="s">
        <v>914</v>
      </c>
    </row>
    <row r="14122" ht="12.75" customHeight="1">
      <c r="A14122" s="59" t="s">
        <v>2883</v>
      </c>
      <c r="B14122" s="60" t="s">
        <v>915</v>
      </c>
    </row>
    <row r="14123" ht="12.75" customHeight="1">
      <c r="A14123" s="59" t="s">
        <v>2883</v>
      </c>
      <c r="B14123" s="60" t="s">
        <v>916</v>
      </c>
    </row>
    <row r="14124" ht="12.75" customHeight="1">
      <c r="A14124" s="59" t="s">
        <v>2883</v>
      </c>
      <c r="B14124" s="60" t="s">
        <v>917</v>
      </c>
    </row>
    <row r="14125" ht="12.75" customHeight="1">
      <c r="A14125" s="59" t="s">
        <v>2883</v>
      </c>
      <c r="B14125" s="60" t="s">
        <v>918</v>
      </c>
    </row>
    <row r="14126" ht="12.75" customHeight="1">
      <c r="A14126" s="59" t="s">
        <v>2883</v>
      </c>
      <c r="B14126" s="60" t="s">
        <v>919</v>
      </c>
    </row>
    <row r="14127" ht="12.75" customHeight="1">
      <c r="A14127" s="59" t="s">
        <v>2883</v>
      </c>
      <c r="B14127" s="60" t="s">
        <v>920</v>
      </c>
    </row>
    <row r="14128" ht="12.75" customHeight="1">
      <c r="A14128" s="59" t="s">
        <v>2883</v>
      </c>
      <c r="B14128" s="60" t="s">
        <v>921</v>
      </c>
    </row>
    <row r="14129" ht="12.75" customHeight="1">
      <c r="A14129" s="59" t="s">
        <v>2883</v>
      </c>
      <c r="B14129" s="60" t="s">
        <v>922</v>
      </c>
    </row>
    <row r="14130" ht="12.75" customHeight="1">
      <c r="A14130" s="59" t="s">
        <v>2883</v>
      </c>
      <c r="B14130" s="60" t="s">
        <v>923</v>
      </c>
    </row>
    <row r="14131" ht="12.75" customHeight="1">
      <c r="A14131" s="59" t="s">
        <v>2883</v>
      </c>
      <c r="B14131" s="60" t="s">
        <v>924</v>
      </c>
    </row>
    <row r="14132" ht="12.75" customHeight="1">
      <c r="A14132" s="59" t="s">
        <v>2883</v>
      </c>
      <c r="B14132" s="60" t="s">
        <v>925</v>
      </c>
    </row>
    <row r="14133" ht="12.75" customHeight="1">
      <c r="A14133" s="59" t="s">
        <v>2883</v>
      </c>
      <c r="B14133" s="60" t="s">
        <v>926</v>
      </c>
    </row>
    <row r="14134" ht="12.75" customHeight="1">
      <c r="A14134" s="59" t="s">
        <v>2883</v>
      </c>
      <c r="B14134" s="60" t="s">
        <v>927</v>
      </c>
    </row>
    <row r="14135" ht="12.75" customHeight="1">
      <c r="A14135" s="59" t="s">
        <v>2883</v>
      </c>
      <c r="B14135" s="60" t="s">
        <v>928</v>
      </c>
    </row>
    <row r="14136" ht="12.75" customHeight="1">
      <c r="A14136" s="59" t="s">
        <v>2883</v>
      </c>
      <c r="B14136" s="60" t="s">
        <v>929</v>
      </c>
    </row>
    <row r="14137" ht="12.75" customHeight="1">
      <c r="A14137" s="59" t="s">
        <v>2883</v>
      </c>
      <c r="B14137" s="60" t="s">
        <v>930</v>
      </c>
    </row>
    <row r="14138" ht="12.75" customHeight="1">
      <c r="A14138" s="59" t="s">
        <v>2883</v>
      </c>
      <c r="B14138" s="60" t="s">
        <v>931</v>
      </c>
    </row>
    <row r="14139" ht="12.75" customHeight="1">
      <c r="A14139" s="59" t="s">
        <v>2883</v>
      </c>
      <c r="B14139" s="60" t="s">
        <v>932</v>
      </c>
    </row>
    <row r="14140" ht="12.75" customHeight="1">
      <c r="A14140" s="59" t="s">
        <v>2883</v>
      </c>
      <c r="B14140" s="60" t="s">
        <v>933</v>
      </c>
    </row>
    <row r="14141" ht="12.75" customHeight="1">
      <c r="A14141" s="59" t="s">
        <v>2883</v>
      </c>
      <c r="B14141" s="60" t="s">
        <v>934</v>
      </c>
    </row>
    <row r="14142" ht="12.75" customHeight="1">
      <c r="A14142" s="59" t="s">
        <v>2883</v>
      </c>
      <c r="B14142" s="60" t="s">
        <v>935</v>
      </c>
    </row>
    <row r="14143" ht="12.75" customHeight="1">
      <c r="A14143" s="59" t="s">
        <v>2883</v>
      </c>
      <c r="B14143" s="60" t="s">
        <v>936</v>
      </c>
    </row>
    <row r="14144" ht="12.75" customHeight="1">
      <c r="A14144" s="59" t="s">
        <v>2883</v>
      </c>
      <c r="B14144" s="60" t="s">
        <v>937</v>
      </c>
    </row>
    <row r="14145" ht="12.75" customHeight="1">
      <c r="A14145" s="59" t="s">
        <v>2883</v>
      </c>
      <c r="B14145" s="60" t="s">
        <v>938</v>
      </c>
    </row>
    <row r="14146" ht="12.75" customHeight="1">
      <c r="A14146" s="59" t="s">
        <v>2883</v>
      </c>
      <c r="B14146" s="60" t="s">
        <v>939</v>
      </c>
    </row>
    <row r="14147" ht="12.75" customHeight="1">
      <c r="A14147" s="59" t="s">
        <v>2883</v>
      </c>
      <c r="B14147" s="60" t="s">
        <v>940</v>
      </c>
    </row>
    <row r="14148" ht="12.75" customHeight="1">
      <c r="A14148" s="59" t="s">
        <v>2883</v>
      </c>
      <c r="B14148" s="60" t="s">
        <v>941</v>
      </c>
    </row>
    <row r="14149" ht="12.75" customHeight="1">
      <c r="A14149" s="59" t="s">
        <v>2883</v>
      </c>
      <c r="B14149" s="60" t="s">
        <v>942</v>
      </c>
    </row>
    <row r="14150" ht="12.75" customHeight="1">
      <c r="A14150" s="59" t="s">
        <v>2883</v>
      </c>
      <c r="B14150" s="60" t="s">
        <v>943</v>
      </c>
    </row>
    <row r="14151" ht="12.75" customHeight="1">
      <c r="A14151" s="59" t="s">
        <v>2883</v>
      </c>
      <c r="B14151" s="60" t="s">
        <v>944</v>
      </c>
    </row>
    <row r="14152" ht="12.75" customHeight="1">
      <c r="A14152" s="59" t="s">
        <v>2883</v>
      </c>
      <c r="B14152" s="60" t="s">
        <v>945</v>
      </c>
    </row>
    <row r="14153" ht="12.75" customHeight="1">
      <c r="A14153" s="59" t="s">
        <v>2883</v>
      </c>
      <c r="B14153" s="60" t="s">
        <v>946</v>
      </c>
    </row>
    <row r="14154" ht="12.75" customHeight="1">
      <c r="A14154" s="59" t="s">
        <v>2883</v>
      </c>
      <c r="B14154" s="60" t="s">
        <v>947</v>
      </c>
    </row>
    <row r="14155" ht="12.75" customHeight="1">
      <c r="A14155" s="59" t="s">
        <v>2883</v>
      </c>
      <c r="B14155" s="60" t="s">
        <v>948</v>
      </c>
    </row>
    <row r="14156" ht="12.75" customHeight="1">
      <c r="A14156" s="59" t="s">
        <v>2883</v>
      </c>
      <c r="B14156" s="60" t="s">
        <v>949</v>
      </c>
    </row>
    <row r="14157" ht="12.75" customHeight="1">
      <c r="A14157" s="59" t="s">
        <v>2883</v>
      </c>
      <c r="B14157" s="60" t="s">
        <v>950</v>
      </c>
    </row>
    <row r="14158" ht="12.75" customHeight="1">
      <c r="A14158" s="59" t="s">
        <v>2883</v>
      </c>
      <c r="B14158" s="60" t="s">
        <v>951</v>
      </c>
    </row>
    <row r="14159" ht="12.75" customHeight="1">
      <c r="A14159" s="59" t="s">
        <v>2883</v>
      </c>
      <c r="B14159" s="60" t="s">
        <v>952</v>
      </c>
    </row>
    <row r="14160" ht="12.75" customHeight="1">
      <c r="A14160" s="59" t="s">
        <v>2883</v>
      </c>
      <c r="B14160" s="60" t="s">
        <v>953</v>
      </c>
    </row>
    <row r="14161" ht="12.75" customHeight="1">
      <c r="A14161" s="59" t="s">
        <v>2883</v>
      </c>
      <c r="B14161" s="60" t="s">
        <v>954</v>
      </c>
    </row>
    <row r="14162" ht="12.75" customHeight="1">
      <c r="A14162" s="59" t="s">
        <v>2883</v>
      </c>
      <c r="B14162" s="60" t="s">
        <v>955</v>
      </c>
    </row>
    <row r="14163" ht="12.75" customHeight="1">
      <c r="A14163" s="59" t="s">
        <v>2883</v>
      </c>
      <c r="B14163" s="60" t="s">
        <v>956</v>
      </c>
    </row>
    <row r="14164" ht="12.75" customHeight="1">
      <c r="A14164" s="59" t="s">
        <v>2883</v>
      </c>
      <c r="B14164" s="60" t="s">
        <v>957</v>
      </c>
    </row>
    <row r="14165" ht="12.75" customHeight="1">
      <c r="A14165" s="59" t="s">
        <v>2883</v>
      </c>
      <c r="B14165" s="60" t="s">
        <v>958</v>
      </c>
    </row>
    <row r="14166" ht="12.75" customHeight="1">
      <c r="A14166" s="59" t="s">
        <v>2883</v>
      </c>
      <c r="B14166" s="60" t="s">
        <v>959</v>
      </c>
    </row>
    <row r="14167" ht="12.75" customHeight="1">
      <c r="A14167" s="59" t="s">
        <v>2883</v>
      </c>
      <c r="B14167" s="60" t="s">
        <v>960</v>
      </c>
    </row>
    <row r="14168" ht="12.75" customHeight="1">
      <c r="A14168" s="59" t="s">
        <v>2883</v>
      </c>
      <c r="B14168" s="60" t="s">
        <v>961</v>
      </c>
    </row>
    <row r="14169" ht="12.75" customHeight="1">
      <c r="A14169" s="59" t="s">
        <v>2883</v>
      </c>
      <c r="B14169" s="60" t="s">
        <v>962</v>
      </c>
    </row>
    <row r="14170" ht="12.75" customHeight="1">
      <c r="A14170" s="59" t="s">
        <v>2883</v>
      </c>
      <c r="B14170" s="60" t="s">
        <v>963</v>
      </c>
    </row>
    <row r="14171" ht="12.75" customHeight="1">
      <c r="A14171" s="59" t="s">
        <v>2883</v>
      </c>
      <c r="B14171" s="60" t="s">
        <v>964</v>
      </c>
    </row>
    <row r="14172" ht="12.75" customHeight="1">
      <c r="A14172" s="59" t="s">
        <v>2883</v>
      </c>
      <c r="B14172" s="60" t="s">
        <v>965</v>
      </c>
    </row>
    <row r="14173" ht="12.75" customHeight="1">
      <c r="A14173" s="59" t="s">
        <v>2883</v>
      </c>
      <c r="B14173" s="60" t="s">
        <v>966</v>
      </c>
    </row>
    <row r="14174" ht="12.75" customHeight="1">
      <c r="A14174" s="59" t="s">
        <v>2883</v>
      </c>
      <c r="B14174" s="60" t="s">
        <v>967</v>
      </c>
    </row>
    <row r="14175" ht="12.75" customHeight="1">
      <c r="A14175" s="59" t="s">
        <v>2883</v>
      </c>
      <c r="B14175" s="60" t="s">
        <v>968</v>
      </c>
    </row>
    <row r="14176" ht="12.75" customHeight="1">
      <c r="A14176" s="59" t="s">
        <v>2883</v>
      </c>
      <c r="B14176" s="60" t="s">
        <v>969</v>
      </c>
    </row>
    <row r="14177" ht="12.75" customHeight="1">
      <c r="A14177" s="59" t="s">
        <v>2883</v>
      </c>
      <c r="B14177" s="60" t="s">
        <v>970</v>
      </c>
    </row>
    <row r="14178" ht="12.75" customHeight="1">
      <c r="A14178" s="59" t="s">
        <v>2883</v>
      </c>
      <c r="B14178" s="60" t="s">
        <v>971</v>
      </c>
    </row>
    <row r="14179" ht="12.75" customHeight="1">
      <c r="A14179" s="59" t="s">
        <v>2883</v>
      </c>
      <c r="B14179" s="60" t="s">
        <v>972</v>
      </c>
    </row>
    <row r="14180" ht="12.75" customHeight="1">
      <c r="A14180" s="59" t="s">
        <v>2883</v>
      </c>
      <c r="B14180" s="60" t="s">
        <v>973</v>
      </c>
    </row>
    <row r="14181" ht="12.75" customHeight="1">
      <c r="A14181" s="59" t="s">
        <v>2883</v>
      </c>
      <c r="B14181" s="60" t="s">
        <v>974</v>
      </c>
    </row>
    <row r="14182" ht="12.75" customHeight="1">
      <c r="A14182" s="59" t="s">
        <v>2883</v>
      </c>
      <c r="B14182" s="60" t="s">
        <v>975</v>
      </c>
    </row>
    <row r="14183" ht="12.75" customHeight="1">
      <c r="A14183" s="59" t="s">
        <v>2883</v>
      </c>
      <c r="B14183" s="60" t="s">
        <v>976</v>
      </c>
    </row>
    <row r="14184" ht="12.75" customHeight="1">
      <c r="A14184" s="59" t="s">
        <v>2883</v>
      </c>
      <c r="B14184" s="60" t="s">
        <v>977</v>
      </c>
    </row>
    <row r="14185" ht="12.75" customHeight="1">
      <c r="A14185" s="59" t="s">
        <v>2883</v>
      </c>
      <c r="B14185" s="60" t="s">
        <v>978</v>
      </c>
    </row>
    <row r="14186" ht="12.75" customHeight="1">
      <c r="A14186" s="59" t="s">
        <v>2883</v>
      </c>
      <c r="B14186" s="60" t="s">
        <v>979</v>
      </c>
    </row>
    <row r="14187" ht="12.75" customHeight="1">
      <c r="A14187" s="59" t="s">
        <v>2883</v>
      </c>
      <c r="B14187" s="60" t="s">
        <v>980</v>
      </c>
    </row>
    <row r="14188" ht="12.75" customHeight="1">
      <c r="A14188" s="59" t="s">
        <v>2883</v>
      </c>
      <c r="B14188" s="60" t="s">
        <v>981</v>
      </c>
    </row>
    <row r="14189" ht="12.75" customHeight="1">
      <c r="A14189" s="59" t="s">
        <v>2883</v>
      </c>
      <c r="B14189" s="60" t="s">
        <v>982</v>
      </c>
    </row>
    <row r="14190" ht="12.75" customHeight="1">
      <c r="A14190" s="59" t="s">
        <v>2883</v>
      </c>
      <c r="B14190" s="60" t="s">
        <v>983</v>
      </c>
    </row>
    <row r="14191" ht="12.75" customHeight="1">
      <c r="A14191" s="59" t="s">
        <v>2883</v>
      </c>
      <c r="B14191" s="60" t="s">
        <v>984</v>
      </c>
    </row>
    <row r="14192" ht="12.75" customHeight="1">
      <c r="A14192" s="59" t="s">
        <v>2883</v>
      </c>
      <c r="B14192" s="60" t="s">
        <v>985</v>
      </c>
    </row>
    <row r="14193" ht="12.75" customHeight="1">
      <c r="A14193" s="59" t="s">
        <v>2883</v>
      </c>
      <c r="B14193" s="60" t="s">
        <v>986</v>
      </c>
    </row>
    <row r="14194" ht="12.75" customHeight="1">
      <c r="A14194" s="59" t="s">
        <v>2883</v>
      </c>
      <c r="B14194" s="60" t="s">
        <v>987</v>
      </c>
    </row>
    <row r="14195" ht="12.75" customHeight="1">
      <c r="A14195" s="59" t="s">
        <v>2883</v>
      </c>
      <c r="B14195" s="60" t="s">
        <v>988</v>
      </c>
    </row>
    <row r="14196" ht="12.75" customHeight="1">
      <c r="A14196" s="59" t="s">
        <v>2883</v>
      </c>
      <c r="B14196" s="60" t="s">
        <v>989</v>
      </c>
    </row>
    <row r="14197" ht="12.75" customHeight="1">
      <c r="A14197" s="59" t="s">
        <v>2883</v>
      </c>
      <c r="B14197" s="60" t="s">
        <v>990</v>
      </c>
    </row>
    <row r="14198" ht="12.75" customHeight="1">
      <c r="A14198" s="59" t="s">
        <v>2883</v>
      </c>
      <c r="B14198" s="60" t="s">
        <v>991</v>
      </c>
    </row>
    <row r="14199" ht="12.75" customHeight="1">
      <c r="A14199" s="59" t="s">
        <v>2883</v>
      </c>
      <c r="B14199" s="60" t="s">
        <v>992</v>
      </c>
    </row>
    <row r="14200" ht="12.75" customHeight="1">
      <c r="A14200" s="59" t="s">
        <v>2883</v>
      </c>
      <c r="B14200" s="60" t="s">
        <v>993</v>
      </c>
    </row>
    <row r="14201" ht="12.75" customHeight="1">
      <c r="A14201" s="59" t="s">
        <v>2883</v>
      </c>
      <c r="B14201" s="60" t="s">
        <v>994</v>
      </c>
    </row>
    <row r="14202" ht="12.75" customHeight="1">
      <c r="A14202" s="59" t="s">
        <v>2883</v>
      </c>
      <c r="B14202" s="60" t="s">
        <v>995</v>
      </c>
    </row>
    <row r="14203" ht="12.75" customHeight="1">
      <c r="A14203" s="59" t="s">
        <v>2883</v>
      </c>
      <c r="B14203" s="60" t="s">
        <v>996</v>
      </c>
    </row>
    <row r="14204" ht="12.75" customHeight="1">
      <c r="A14204" s="59" t="s">
        <v>2883</v>
      </c>
      <c r="B14204" s="60" t="s">
        <v>997</v>
      </c>
    </row>
    <row r="14205" ht="12.75" customHeight="1">
      <c r="A14205" s="59" t="s">
        <v>2883</v>
      </c>
      <c r="B14205" s="60" t="s">
        <v>998</v>
      </c>
    </row>
    <row r="14206" ht="12.75" customHeight="1">
      <c r="A14206" s="59" t="s">
        <v>2883</v>
      </c>
      <c r="B14206" s="60" t="s">
        <v>999</v>
      </c>
    </row>
    <row r="14207" ht="12.75" customHeight="1">
      <c r="A14207" s="59" t="s">
        <v>2883</v>
      </c>
      <c r="B14207" s="60" t="s">
        <v>1000</v>
      </c>
    </row>
    <row r="14208" ht="12.75" customHeight="1">
      <c r="A14208" s="59" t="s">
        <v>2883</v>
      </c>
      <c r="B14208" s="60" t="s">
        <v>1001</v>
      </c>
    </row>
    <row r="14209" ht="12.75" customHeight="1">
      <c r="A14209" s="59" t="s">
        <v>2883</v>
      </c>
      <c r="B14209" s="60" t="s">
        <v>1002</v>
      </c>
    </row>
    <row r="14210" ht="12.75" customHeight="1">
      <c r="A14210" s="59" t="s">
        <v>2883</v>
      </c>
      <c r="B14210" s="60" t="s">
        <v>1003</v>
      </c>
    </row>
    <row r="14211" ht="12.75" customHeight="1">
      <c r="A14211" s="59" t="s">
        <v>2883</v>
      </c>
      <c r="B14211" s="60" t="s">
        <v>1004</v>
      </c>
    </row>
    <row r="14212" ht="12.75" customHeight="1">
      <c r="A14212" s="59" t="s">
        <v>2883</v>
      </c>
      <c r="B14212" s="60" t="s">
        <v>1005</v>
      </c>
    </row>
    <row r="14213" ht="12.75" customHeight="1">
      <c r="A14213" s="59" t="s">
        <v>2883</v>
      </c>
      <c r="B14213" s="60" t="s">
        <v>1006</v>
      </c>
    </row>
    <row r="14214" ht="12.75" customHeight="1">
      <c r="A14214" s="59" t="s">
        <v>2883</v>
      </c>
      <c r="B14214" s="60" t="s">
        <v>1007</v>
      </c>
    </row>
    <row r="14215" ht="12.75" customHeight="1">
      <c r="A14215" s="59" t="s">
        <v>2883</v>
      </c>
      <c r="B14215" s="60" t="s">
        <v>1008</v>
      </c>
    </row>
    <row r="14216" ht="12.75" customHeight="1">
      <c r="A14216" s="59" t="s">
        <v>2883</v>
      </c>
      <c r="B14216" s="60" t="s">
        <v>1009</v>
      </c>
    </row>
    <row r="14217" ht="12.75" customHeight="1">
      <c r="A14217" s="59" t="s">
        <v>2883</v>
      </c>
      <c r="B14217" s="60" t="s">
        <v>1010</v>
      </c>
    </row>
    <row r="14218" ht="12.75" customHeight="1">
      <c r="A14218" s="59" t="s">
        <v>2883</v>
      </c>
      <c r="B14218" s="60" t="s">
        <v>1011</v>
      </c>
    </row>
    <row r="14219" ht="12.75" customHeight="1">
      <c r="A14219" s="59" t="s">
        <v>2883</v>
      </c>
      <c r="B14219" s="60" t="s">
        <v>1012</v>
      </c>
    </row>
    <row r="14220" ht="12.75" customHeight="1">
      <c r="A14220" s="59" t="s">
        <v>2883</v>
      </c>
      <c r="B14220" s="60" t="s">
        <v>1013</v>
      </c>
    </row>
    <row r="14221" ht="12.75" customHeight="1">
      <c r="A14221" s="59" t="s">
        <v>2883</v>
      </c>
      <c r="B14221" s="60" t="s">
        <v>1014</v>
      </c>
    </row>
    <row r="14222" ht="12.75" customHeight="1">
      <c r="A14222" s="59" t="s">
        <v>2883</v>
      </c>
      <c r="B14222" s="60" t="s">
        <v>1015</v>
      </c>
    </row>
    <row r="14223" ht="12.75" customHeight="1">
      <c r="A14223" s="59" t="s">
        <v>2883</v>
      </c>
      <c r="B14223" s="60" t="s">
        <v>1016</v>
      </c>
    </row>
    <row r="14224" ht="12.75" customHeight="1">
      <c r="A14224" s="59" t="s">
        <v>2883</v>
      </c>
      <c r="B14224" s="60" t="s">
        <v>1017</v>
      </c>
    </row>
    <row r="14225" ht="12.75" customHeight="1">
      <c r="A14225" s="59" t="s">
        <v>2883</v>
      </c>
      <c r="B14225" s="60" t="s">
        <v>1018</v>
      </c>
    </row>
    <row r="14226" ht="12.75" customHeight="1">
      <c r="A14226" s="59" t="s">
        <v>2883</v>
      </c>
      <c r="B14226" s="60" t="s">
        <v>1019</v>
      </c>
    </row>
    <row r="14227" ht="12.75" customHeight="1">
      <c r="A14227" s="59" t="s">
        <v>2883</v>
      </c>
      <c r="B14227" s="60" t="s">
        <v>1020</v>
      </c>
    </row>
    <row r="14228" ht="12.75" customHeight="1">
      <c r="A14228" s="59" t="s">
        <v>2883</v>
      </c>
      <c r="B14228" s="60" t="s">
        <v>1021</v>
      </c>
    </row>
    <row r="14229" ht="12.75" customHeight="1">
      <c r="A14229" s="59" t="s">
        <v>2883</v>
      </c>
      <c r="B14229" s="60" t="s">
        <v>1022</v>
      </c>
    </row>
    <row r="14230" ht="12.75" customHeight="1">
      <c r="A14230" s="59" t="s">
        <v>2883</v>
      </c>
      <c r="B14230" s="60" t="s">
        <v>1023</v>
      </c>
    </row>
    <row r="14231" ht="12.75" customHeight="1">
      <c r="A14231" s="59" t="s">
        <v>2883</v>
      </c>
      <c r="B14231" s="60" t="s">
        <v>1024</v>
      </c>
    </row>
    <row r="14232" ht="12.75" customHeight="1">
      <c r="A14232" s="59" t="s">
        <v>2883</v>
      </c>
      <c r="B14232" s="60" t="s">
        <v>1025</v>
      </c>
    </row>
    <row r="14233" ht="12.75" customHeight="1">
      <c r="A14233" s="59" t="s">
        <v>2883</v>
      </c>
      <c r="B14233" s="60" t="s">
        <v>1026</v>
      </c>
    </row>
    <row r="14234" ht="12.75" customHeight="1">
      <c r="A14234" s="59" t="s">
        <v>2883</v>
      </c>
      <c r="B14234" s="60" t="s">
        <v>1027</v>
      </c>
    </row>
    <row r="14235" ht="12.75" customHeight="1">
      <c r="A14235" s="59" t="s">
        <v>2883</v>
      </c>
      <c r="B14235" s="60" t="s">
        <v>1028</v>
      </c>
    </row>
    <row r="14236" ht="12.75" customHeight="1">
      <c r="A14236" s="59" t="s">
        <v>2883</v>
      </c>
      <c r="B14236" s="60" t="s">
        <v>1029</v>
      </c>
    </row>
    <row r="14237" ht="12.75" customHeight="1">
      <c r="A14237" s="59" t="s">
        <v>2883</v>
      </c>
      <c r="B14237" s="60" t="s">
        <v>1030</v>
      </c>
    </row>
    <row r="14238" ht="12.75" customHeight="1">
      <c r="A14238" s="59" t="s">
        <v>2883</v>
      </c>
      <c r="B14238" s="60" t="s">
        <v>1031</v>
      </c>
    </row>
    <row r="14239" ht="12.75" customHeight="1">
      <c r="A14239" s="59" t="s">
        <v>2883</v>
      </c>
      <c r="B14239" s="60" t="s">
        <v>1032</v>
      </c>
    </row>
    <row r="14240" ht="12.75" customHeight="1">
      <c r="A14240" s="59" t="s">
        <v>2883</v>
      </c>
      <c r="B14240" s="60" t="s">
        <v>1033</v>
      </c>
    </row>
    <row r="14241" ht="12.75" customHeight="1">
      <c r="A14241" s="59" t="s">
        <v>2883</v>
      </c>
      <c r="B14241" s="60" t="s">
        <v>1034</v>
      </c>
    </row>
    <row r="14242" ht="12.75" customHeight="1">
      <c r="A14242" s="59" t="s">
        <v>2883</v>
      </c>
      <c r="B14242" s="60" t="s">
        <v>1035</v>
      </c>
    </row>
    <row r="14243" ht="12.75" customHeight="1">
      <c r="A14243" s="59" t="s">
        <v>2883</v>
      </c>
      <c r="B14243" s="60" t="s">
        <v>1036</v>
      </c>
    </row>
    <row r="14244" ht="12.75" customHeight="1">
      <c r="A14244" s="59" t="s">
        <v>2883</v>
      </c>
      <c r="B14244" s="60" t="s">
        <v>1037</v>
      </c>
    </row>
    <row r="14245" ht="12.75" customHeight="1">
      <c r="A14245" s="59" t="s">
        <v>2883</v>
      </c>
      <c r="B14245" s="60" t="s">
        <v>1038</v>
      </c>
    </row>
    <row r="14246" ht="12.75" customHeight="1">
      <c r="A14246" s="59" t="s">
        <v>2883</v>
      </c>
      <c r="B14246" s="60" t="s">
        <v>1039</v>
      </c>
    </row>
    <row r="14247" ht="12.75" customHeight="1">
      <c r="A14247" s="59" t="s">
        <v>2883</v>
      </c>
      <c r="B14247" s="60" t="s">
        <v>1040</v>
      </c>
    </row>
    <row r="14248" ht="12.75" customHeight="1">
      <c r="A14248" s="59" t="s">
        <v>2883</v>
      </c>
      <c r="B14248" s="60" t="s">
        <v>1041</v>
      </c>
    </row>
    <row r="14249" ht="12.75" customHeight="1">
      <c r="A14249" s="59" t="s">
        <v>2883</v>
      </c>
      <c r="B14249" s="60" t="s">
        <v>1042</v>
      </c>
    </row>
    <row r="14250" ht="12.75" customHeight="1">
      <c r="A14250" s="59" t="s">
        <v>2883</v>
      </c>
      <c r="B14250" s="60" t="s">
        <v>1043</v>
      </c>
    </row>
    <row r="14251" ht="12.75" customHeight="1">
      <c r="A14251" s="59" t="s">
        <v>2883</v>
      </c>
      <c r="B14251" s="60" t="s">
        <v>1044</v>
      </c>
    </row>
    <row r="14252" ht="12.75" customHeight="1">
      <c r="A14252" s="59" t="s">
        <v>2883</v>
      </c>
      <c r="B14252" s="60" t="s">
        <v>1045</v>
      </c>
    </row>
    <row r="14253" ht="12.75" customHeight="1">
      <c r="A14253" s="59" t="s">
        <v>2883</v>
      </c>
      <c r="B14253" s="60" t="s">
        <v>1046</v>
      </c>
    </row>
    <row r="14254" ht="12.75" customHeight="1">
      <c r="A14254" s="59" t="s">
        <v>2883</v>
      </c>
      <c r="B14254" s="60" t="s">
        <v>1047</v>
      </c>
    </row>
    <row r="14255" ht="12.75" customHeight="1">
      <c r="A14255" s="59" t="s">
        <v>2883</v>
      </c>
      <c r="B14255" s="60" t="s">
        <v>1048</v>
      </c>
    </row>
    <row r="14256" ht="12.75" customHeight="1">
      <c r="A14256" s="59" t="s">
        <v>2883</v>
      </c>
      <c r="B14256" s="60" t="s">
        <v>1049</v>
      </c>
    </row>
    <row r="14257" ht="12.75" customHeight="1">
      <c r="A14257" s="59" t="s">
        <v>2883</v>
      </c>
      <c r="B14257" s="60" t="s">
        <v>1050</v>
      </c>
    </row>
    <row r="14258" ht="12.75" customHeight="1">
      <c r="A14258" s="59" t="s">
        <v>2883</v>
      </c>
      <c r="B14258" s="60" t="s">
        <v>1051</v>
      </c>
    </row>
    <row r="14259" ht="12.75" customHeight="1">
      <c r="A14259" s="59" t="s">
        <v>2883</v>
      </c>
      <c r="B14259" s="60" t="s">
        <v>1052</v>
      </c>
    </row>
    <row r="14260" ht="12.75" customHeight="1">
      <c r="A14260" s="59" t="s">
        <v>2883</v>
      </c>
      <c r="B14260" s="60" t="s">
        <v>1053</v>
      </c>
    </row>
    <row r="14261" ht="12.75" customHeight="1">
      <c r="A14261" s="59" t="s">
        <v>2883</v>
      </c>
      <c r="B14261" s="60" t="s">
        <v>1054</v>
      </c>
    </row>
    <row r="14262" ht="12.75" customHeight="1">
      <c r="A14262" s="59" t="s">
        <v>2883</v>
      </c>
      <c r="B14262" s="60" t="s">
        <v>1055</v>
      </c>
    </row>
    <row r="14263" ht="12.75" customHeight="1">
      <c r="A14263" s="59" t="s">
        <v>2883</v>
      </c>
      <c r="B14263" s="60" t="s">
        <v>1056</v>
      </c>
    </row>
    <row r="14264" ht="12.75" customHeight="1">
      <c r="A14264" s="59" t="s">
        <v>2883</v>
      </c>
      <c r="B14264" s="60" t="s">
        <v>1057</v>
      </c>
    </row>
    <row r="14265" ht="12.75" customHeight="1">
      <c r="A14265" s="59" t="s">
        <v>2883</v>
      </c>
      <c r="B14265" s="60" t="s">
        <v>1058</v>
      </c>
    </row>
    <row r="14266" ht="12.75" customHeight="1">
      <c r="A14266" s="59" t="s">
        <v>2883</v>
      </c>
      <c r="B14266" s="60" t="s">
        <v>1059</v>
      </c>
    </row>
    <row r="14267" ht="12.75" customHeight="1">
      <c r="A14267" s="59" t="s">
        <v>2883</v>
      </c>
      <c r="B14267" s="60" t="s">
        <v>1060</v>
      </c>
    </row>
    <row r="14268" ht="12.75" customHeight="1">
      <c r="A14268" s="59" t="s">
        <v>2883</v>
      </c>
      <c r="B14268" s="60" t="s">
        <v>1061</v>
      </c>
    </row>
    <row r="14269" ht="12.75" customHeight="1">
      <c r="A14269" s="59" t="s">
        <v>2883</v>
      </c>
      <c r="B14269" s="60" t="s">
        <v>1062</v>
      </c>
    </row>
    <row r="14270" ht="12.75" customHeight="1">
      <c r="A14270" s="59" t="s">
        <v>2883</v>
      </c>
      <c r="B14270" s="60" t="s">
        <v>1063</v>
      </c>
    </row>
    <row r="14271" ht="12.75" customHeight="1">
      <c r="A14271" s="59" t="s">
        <v>2883</v>
      </c>
      <c r="B14271" s="60" t="s">
        <v>1064</v>
      </c>
    </row>
    <row r="14272" ht="12.75" customHeight="1">
      <c r="A14272" s="59" t="s">
        <v>2883</v>
      </c>
      <c r="B14272" s="60" t="s">
        <v>1065</v>
      </c>
    </row>
    <row r="14273" ht="12.75" customHeight="1">
      <c r="A14273" s="59" t="s">
        <v>2883</v>
      </c>
      <c r="B14273" s="60" t="s">
        <v>1066</v>
      </c>
    </row>
    <row r="14274" ht="12.75" customHeight="1">
      <c r="A14274" s="59" t="s">
        <v>2883</v>
      </c>
      <c r="B14274" s="60" t="s">
        <v>1067</v>
      </c>
    </row>
    <row r="14275" ht="12.75" customHeight="1">
      <c r="A14275" s="59" t="s">
        <v>2883</v>
      </c>
      <c r="B14275" s="60" t="s">
        <v>1068</v>
      </c>
    </row>
    <row r="14276" ht="12.75" customHeight="1">
      <c r="A14276" s="59" t="s">
        <v>2883</v>
      </c>
      <c r="B14276" s="60" t="s">
        <v>1069</v>
      </c>
    </row>
    <row r="14277" ht="12.75" customHeight="1">
      <c r="A14277" s="59" t="s">
        <v>2883</v>
      </c>
      <c r="B14277" s="60" t="s">
        <v>1070</v>
      </c>
    </row>
    <row r="14278" ht="12.75" customHeight="1">
      <c r="A14278" s="59" t="s">
        <v>2883</v>
      </c>
      <c r="B14278" s="60" t="s">
        <v>1071</v>
      </c>
    </row>
    <row r="14279" ht="12.75" customHeight="1">
      <c r="A14279" s="59" t="s">
        <v>2883</v>
      </c>
      <c r="B14279" s="60" t="s">
        <v>1072</v>
      </c>
    </row>
    <row r="14280" ht="12.75" customHeight="1">
      <c r="A14280" s="59" t="s">
        <v>2883</v>
      </c>
      <c r="B14280" s="60" t="s">
        <v>1073</v>
      </c>
    </row>
    <row r="14281" ht="12.75" customHeight="1">
      <c r="A14281" s="59" t="s">
        <v>2883</v>
      </c>
      <c r="B14281" s="60" t="s">
        <v>1074</v>
      </c>
    </row>
    <row r="14282" ht="12.75" customHeight="1">
      <c r="A14282" s="59" t="s">
        <v>2883</v>
      </c>
      <c r="B14282" s="60" t="s">
        <v>1075</v>
      </c>
    </row>
    <row r="14283" ht="12.75" customHeight="1">
      <c r="A14283" s="59" t="s">
        <v>2883</v>
      </c>
      <c r="B14283" s="60" t="s">
        <v>1076</v>
      </c>
    </row>
    <row r="14284" ht="12.75" customHeight="1">
      <c r="A14284" s="59" t="s">
        <v>2883</v>
      </c>
      <c r="B14284" s="60" t="s">
        <v>1077</v>
      </c>
    </row>
    <row r="14285" ht="12.75" customHeight="1">
      <c r="A14285" s="59" t="s">
        <v>2883</v>
      </c>
      <c r="B14285" s="60" t="s">
        <v>1078</v>
      </c>
    </row>
    <row r="14286" ht="12.75" customHeight="1">
      <c r="A14286" s="59" t="s">
        <v>2883</v>
      </c>
      <c r="B14286" s="60" t="s">
        <v>1079</v>
      </c>
    </row>
    <row r="14287" ht="12.75" customHeight="1">
      <c r="A14287" s="59" t="s">
        <v>2883</v>
      </c>
      <c r="B14287" s="60" t="s">
        <v>1080</v>
      </c>
    </row>
    <row r="14288" ht="12.75" customHeight="1">
      <c r="A14288" s="59" t="s">
        <v>2883</v>
      </c>
      <c r="B14288" s="60" t="s">
        <v>1081</v>
      </c>
    </row>
    <row r="14289" ht="12.75" customHeight="1">
      <c r="A14289" s="59" t="s">
        <v>2883</v>
      </c>
      <c r="B14289" s="60" t="s">
        <v>1082</v>
      </c>
    </row>
    <row r="14290" ht="12.75" customHeight="1">
      <c r="A14290" s="59" t="s">
        <v>2883</v>
      </c>
      <c r="B14290" s="60" t="s">
        <v>1083</v>
      </c>
    </row>
    <row r="14291" ht="12.75" customHeight="1">
      <c r="A14291" s="59" t="s">
        <v>2883</v>
      </c>
      <c r="B14291" s="60" t="s">
        <v>1084</v>
      </c>
    </row>
    <row r="14292" ht="12.75" customHeight="1">
      <c r="A14292" s="59" t="s">
        <v>2883</v>
      </c>
      <c r="B14292" s="60" t="s">
        <v>1085</v>
      </c>
    </row>
    <row r="14293" ht="12.75" customHeight="1">
      <c r="A14293" s="59" t="s">
        <v>2883</v>
      </c>
      <c r="B14293" s="60" t="s">
        <v>1086</v>
      </c>
    </row>
    <row r="14294" ht="12.75" customHeight="1">
      <c r="A14294" s="59" t="s">
        <v>2883</v>
      </c>
      <c r="B14294" s="60" t="s">
        <v>1087</v>
      </c>
    </row>
    <row r="14295" ht="12.75" customHeight="1">
      <c r="A14295" s="59" t="s">
        <v>2883</v>
      </c>
      <c r="B14295" s="60" t="s">
        <v>1088</v>
      </c>
    </row>
    <row r="14296" ht="12.75" customHeight="1">
      <c r="A14296" s="59" t="s">
        <v>2883</v>
      </c>
      <c r="B14296" s="60" t="s">
        <v>1089</v>
      </c>
    </row>
    <row r="14297" ht="12.75" customHeight="1">
      <c r="A14297" s="59" t="s">
        <v>2883</v>
      </c>
      <c r="B14297" s="60" t="s">
        <v>1090</v>
      </c>
    </row>
    <row r="14298" ht="12.75" customHeight="1">
      <c r="A14298" s="59" t="s">
        <v>2883</v>
      </c>
      <c r="B14298" s="60" t="s">
        <v>1091</v>
      </c>
    </row>
    <row r="14299" ht="12.75" customHeight="1">
      <c r="A14299" s="59" t="s">
        <v>2883</v>
      </c>
      <c r="B14299" s="60" t="s">
        <v>1092</v>
      </c>
    </row>
    <row r="14300" ht="12.75" customHeight="1">
      <c r="A14300" s="59" t="s">
        <v>2883</v>
      </c>
      <c r="B14300" s="60" t="s">
        <v>1093</v>
      </c>
    </row>
    <row r="14301" ht="12.75" customHeight="1">
      <c r="A14301" s="59" t="s">
        <v>2883</v>
      </c>
      <c r="B14301" s="60" t="s">
        <v>1094</v>
      </c>
    </row>
    <row r="14302" ht="12.75" customHeight="1">
      <c r="A14302" s="59" t="s">
        <v>2883</v>
      </c>
      <c r="B14302" s="60" t="s">
        <v>1095</v>
      </c>
    </row>
    <row r="14303" ht="12.75" customHeight="1">
      <c r="A14303" s="59" t="s">
        <v>2883</v>
      </c>
      <c r="B14303" s="60" t="s">
        <v>1096</v>
      </c>
    </row>
    <row r="14304" ht="12.75" customHeight="1">
      <c r="A14304" s="59" t="s">
        <v>2883</v>
      </c>
      <c r="B14304" s="60" t="s">
        <v>1097</v>
      </c>
    </row>
    <row r="14305" ht="12.75" customHeight="1">
      <c r="A14305" s="59" t="s">
        <v>2883</v>
      </c>
      <c r="B14305" s="60" t="s">
        <v>1098</v>
      </c>
    </row>
    <row r="14306" ht="12.75" customHeight="1">
      <c r="A14306" s="59" t="s">
        <v>2883</v>
      </c>
      <c r="B14306" s="60" t="s">
        <v>1099</v>
      </c>
    </row>
    <row r="14307" ht="12.75" customHeight="1">
      <c r="A14307" s="59" t="s">
        <v>2883</v>
      </c>
      <c r="B14307" s="60" t="s">
        <v>1100</v>
      </c>
    </row>
    <row r="14308" ht="12.75" customHeight="1">
      <c r="A14308" s="59" t="s">
        <v>2883</v>
      </c>
      <c r="B14308" s="60" t="s">
        <v>1101</v>
      </c>
    </row>
    <row r="14309" ht="12.75" customHeight="1">
      <c r="A14309" s="59" t="s">
        <v>2883</v>
      </c>
      <c r="B14309" s="60" t="s">
        <v>1102</v>
      </c>
    </row>
    <row r="14310" ht="12.75" customHeight="1">
      <c r="A14310" s="59" t="s">
        <v>2883</v>
      </c>
      <c r="B14310" s="60" t="s">
        <v>1103</v>
      </c>
    </row>
    <row r="14311" ht="12.75" customHeight="1">
      <c r="A14311" s="59" t="s">
        <v>2883</v>
      </c>
      <c r="B14311" s="60" t="s">
        <v>1104</v>
      </c>
    </row>
    <row r="14312" ht="12.75" customHeight="1">
      <c r="A14312" s="59" t="s">
        <v>2883</v>
      </c>
      <c r="B14312" s="60" t="s">
        <v>1105</v>
      </c>
    </row>
    <row r="14313" ht="12.75" customHeight="1">
      <c r="A14313" s="59" t="s">
        <v>2883</v>
      </c>
      <c r="B14313" s="60" t="s">
        <v>1106</v>
      </c>
    </row>
    <row r="14314" ht="12.75" customHeight="1">
      <c r="A14314" s="59" t="s">
        <v>2883</v>
      </c>
      <c r="B14314" s="60" t="s">
        <v>1107</v>
      </c>
    </row>
    <row r="14315" ht="12.75" customHeight="1">
      <c r="A14315" s="59" t="s">
        <v>2883</v>
      </c>
      <c r="B14315" s="60" t="s">
        <v>1108</v>
      </c>
    </row>
    <row r="14316" ht="12.75" customHeight="1">
      <c r="A14316" s="59" t="s">
        <v>2883</v>
      </c>
      <c r="B14316" s="60" t="s">
        <v>1109</v>
      </c>
    </row>
    <row r="14317" ht="12.75" customHeight="1">
      <c r="A14317" s="59" t="s">
        <v>2883</v>
      </c>
      <c r="B14317" s="60" t="s">
        <v>1110</v>
      </c>
    </row>
    <row r="14318" ht="12.75" customHeight="1">
      <c r="A14318" s="59" t="s">
        <v>2883</v>
      </c>
      <c r="B14318" s="60" t="s">
        <v>1111</v>
      </c>
    </row>
    <row r="14319" ht="12.75" customHeight="1">
      <c r="A14319" s="59" t="s">
        <v>2883</v>
      </c>
      <c r="B14319" s="60" t="s">
        <v>1112</v>
      </c>
    </row>
    <row r="14320" ht="12.75" customHeight="1">
      <c r="A14320" s="59" t="s">
        <v>2883</v>
      </c>
      <c r="B14320" s="60" t="s">
        <v>1113</v>
      </c>
    </row>
    <row r="14321" ht="12.75" customHeight="1">
      <c r="A14321" s="59" t="s">
        <v>2883</v>
      </c>
      <c r="B14321" s="60" t="s">
        <v>1114</v>
      </c>
    </row>
    <row r="14322" ht="12.75" customHeight="1">
      <c r="A14322" s="59" t="s">
        <v>2883</v>
      </c>
      <c r="B14322" s="60" t="s">
        <v>1115</v>
      </c>
    </row>
    <row r="14323" ht="12.75" customHeight="1">
      <c r="A14323" s="59" t="s">
        <v>2883</v>
      </c>
      <c r="B14323" s="60" t="s">
        <v>1116</v>
      </c>
    </row>
    <row r="14324" ht="12.75" customHeight="1">
      <c r="A14324" s="59" t="s">
        <v>2883</v>
      </c>
      <c r="B14324" s="60" t="s">
        <v>1117</v>
      </c>
    </row>
    <row r="14325" ht="12.75" customHeight="1">
      <c r="A14325" s="59" t="s">
        <v>2883</v>
      </c>
      <c r="B14325" s="60" t="s">
        <v>1118</v>
      </c>
    </row>
    <row r="14326" ht="12.75" customHeight="1">
      <c r="A14326" s="59" t="s">
        <v>2883</v>
      </c>
      <c r="B14326" s="60" t="s">
        <v>1119</v>
      </c>
    </row>
    <row r="14327" ht="12.75" customHeight="1">
      <c r="A14327" s="59" t="s">
        <v>2883</v>
      </c>
      <c r="B14327" s="60" t="s">
        <v>1120</v>
      </c>
    </row>
    <row r="14328" ht="12.75" customHeight="1">
      <c r="A14328" s="59" t="s">
        <v>2883</v>
      </c>
      <c r="B14328" s="60" t="s">
        <v>1121</v>
      </c>
    </row>
    <row r="14329" ht="12.75" customHeight="1">
      <c r="A14329" s="59" t="s">
        <v>2883</v>
      </c>
      <c r="B14329" s="60" t="s">
        <v>1122</v>
      </c>
    </row>
    <row r="14330" ht="12.75" customHeight="1">
      <c r="A14330" s="59" t="s">
        <v>2883</v>
      </c>
      <c r="B14330" s="60" t="s">
        <v>1123</v>
      </c>
    </row>
    <row r="14331" ht="12.75" customHeight="1">
      <c r="A14331" s="59" t="s">
        <v>2883</v>
      </c>
      <c r="B14331" s="60" t="s">
        <v>1124</v>
      </c>
    </row>
    <row r="14332" ht="12.75" customHeight="1">
      <c r="A14332" s="59" t="s">
        <v>2883</v>
      </c>
      <c r="B14332" s="60" t="s">
        <v>1125</v>
      </c>
    </row>
    <row r="14333" ht="12.75" customHeight="1">
      <c r="A14333" s="59" t="s">
        <v>2883</v>
      </c>
      <c r="B14333" s="60" t="s">
        <v>1126</v>
      </c>
    </row>
    <row r="14334" ht="12.75" customHeight="1">
      <c r="A14334" s="59" t="s">
        <v>2883</v>
      </c>
      <c r="B14334" s="60" t="s">
        <v>1127</v>
      </c>
    </row>
    <row r="14335" ht="12.75" customHeight="1">
      <c r="A14335" s="59" t="s">
        <v>2883</v>
      </c>
      <c r="B14335" s="60" t="s">
        <v>1128</v>
      </c>
    </row>
    <row r="14336" ht="12.75" customHeight="1">
      <c r="A14336" s="59" t="s">
        <v>2883</v>
      </c>
      <c r="B14336" s="60" t="s">
        <v>1129</v>
      </c>
    </row>
    <row r="14337" ht="12.75" customHeight="1">
      <c r="A14337" s="59" t="s">
        <v>2883</v>
      </c>
      <c r="B14337" s="60" t="s">
        <v>1130</v>
      </c>
    </row>
    <row r="14338" ht="12.75" customHeight="1">
      <c r="A14338" s="59" t="s">
        <v>2883</v>
      </c>
      <c r="B14338" s="60" t="s">
        <v>1131</v>
      </c>
    </row>
    <row r="14339" ht="12.75" customHeight="1">
      <c r="A14339" s="59" t="s">
        <v>2883</v>
      </c>
      <c r="B14339" s="60" t="s">
        <v>1132</v>
      </c>
    </row>
    <row r="14340" ht="12.75" customHeight="1">
      <c r="A14340" s="59" t="s">
        <v>2883</v>
      </c>
      <c r="B14340" s="60" t="s">
        <v>1133</v>
      </c>
    </row>
    <row r="14341" ht="12.75" customHeight="1">
      <c r="A14341" s="59" t="s">
        <v>2883</v>
      </c>
      <c r="B14341" s="60" t="s">
        <v>1134</v>
      </c>
    </row>
    <row r="14342" ht="12.75" customHeight="1">
      <c r="A14342" s="59" t="s">
        <v>2883</v>
      </c>
      <c r="B14342" s="60" t="s">
        <v>1135</v>
      </c>
    </row>
    <row r="14343" ht="12.75" customHeight="1">
      <c r="A14343" s="59" t="s">
        <v>2883</v>
      </c>
      <c r="B14343" s="60" t="s">
        <v>1136</v>
      </c>
    </row>
    <row r="14344" ht="12.75" customHeight="1">
      <c r="A14344" s="59" t="s">
        <v>2883</v>
      </c>
      <c r="B14344" s="60" t="s">
        <v>1137</v>
      </c>
    </row>
    <row r="14345" ht="12.75" customHeight="1">
      <c r="A14345" s="59" t="s">
        <v>2883</v>
      </c>
      <c r="B14345" s="60" t="s">
        <v>1138</v>
      </c>
    </row>
    <row r="14346" ht="12.75" customHeight="1">
      <c r="A14346" s="59" t="s">
        <v>2883</v>
      </c>
      <c r="B14346" s="60" t="s">
        <v>1139</v>
      </c>
    </row>
    <row r="14347" ht="12.75" customHeight="1">
      <c r="A14347" s="59" t="s">
        <v>2883</v>
      </c>
      <c r="B14347" s="60" t="s">
        <v>1140</v>
      </c>
    </row>
    <row r="14348" ht="12.75" customHeight="1">
      <c r="A14348" s="59" t="s">
        <v>2883</v>
      </c>
      <c r="B14348" s="60" t="s">
        <v>1141</v>
      </c>
    </row>
    <row r="14349" ht="12.75" customHeight="1">
      <c r="A14349" s="59" t="s">
        <v>2883</v>
      </c>
      <c r="B14349" s="60" t="s">
        <v>1142</v>
      </c>
    </row>
    <row r="14350" ht="12.75" customHeight="1">
      <c r="A14350" s="59" t="s">
        <v>2883</v>
      </c>
      <c r="B14350" s="60" t="s">
        <v>1143</v>
      </c>
    </row>
    <row r="14351" ht="12.75" customHeight="1">
      <c r="A14351" s="59" t="s">
        <v>2883</v>
      </c>
      <c r="B14351" s="60" t="s">
        <v>1144</v>
      </c>
    </row>
    <row r="14352" ht="12.75" customHeight="1">
      <c r="A14352" s="59" t="s">
        <v>2883</v>
      </c>
      <c r="B14352" s="60" t="s">
        <v>1145</v>
      </c>
    </row>
    <row r="14353" ht="12.75" customHeight="1">
      <c r="A14353" s="59" t="s">
        <v>2883</v>
      </c>
      <c r="B14353" s="60" t="s">
        <v>1146</v>
      </c>
    </row>
    <row r="14354" ht="12.75" customHeight="1">
      <c r="A14354" s="59" t="s">
        <v>2883</v>
      </c>
      <c r="B14354" s="60" t="s">
        <v>1147</v>
      </c>
    </row>
    <row r="14355" ht="12.75" customHeight="1">
      <c r="A14355" s="59" t="s">
        <v>2883</v>
      </c>
      <c r="B14355" s="60" t="s">
        <v>1148</v>
      </c>
    </row>
    <row r="14356" ht="12.75" customHeight="1">
      <c r="A14356" s="59" t="s">
        <v>2883</v>
      </c>
      <c r="B14356" s="60" t="s">
        <v>1149</v>
      </c>
    </row>
    <row r="14357" ht="12.75" customHeight="1">
      <c r="A14357" s="59" t="s">
        <v>2883</v>
      </c>
      <c r="B14357" s="60" t="s">
        <v>1150</v>
      </c>
    </row>
    <row r="14358" ht="12.75" customHeight="1">
      <c r="A14358" s="59" t="s">
        <v>2883</v>
      </c>
      <c r="B14358" s="60" t="s">
        <v>1151</v>
      </c>
    </row>
    <row r="14359" ht="12.75" customHeight="1">
      <c r="A14359" s="59" t="s">
        <v>2883</v>
      </c>
      <c r="B14359" s="60" t="s">
        <v>1152</v>
      </c>
    </row>
    <row r="14360" ht="12.75" customHeight="1">
      <c r="A14360" s="59" t="s">
        <v>2883</v>
      </c>
      <c r="B14360" s="60" t="s">
        <v>1153</v>
      </c>
    </row>
    <row r="14361" ht="12.75" customHeight="1">
      <c r="A14361" s="59" t="s">
        <v>2883</v>
      </c>
      <c r="B14361" s="60" t="s">
        <v>1154</v>
      </c>
    </row>
    <row r="14362" ht="12.75" customHeight="1">
      <c r="A14362" s="59" t="s">
        <v>2883</v>
      </c>
      <c r="B14362" s="60" t="s">
        <v>1155</v>
      </c>
    </row>
    <row r="14363" ht="12.75" customHeight="1">
      <c r="A14363" s="59" t="s">
        <v>2883</v>
      </c>
      <c r="B14363" s="60" t="s">
        <v>1156</v>
      </c>
    </row>
    <row r="14364" ht="12.75" customHeight="1">
      <c r="A14364" s="59" t="s">
        <v>2883</v>
      </c>
      <c r="B14364" s="60" t="s">
        <v>1157</v>
      </c>
    </row>
    <row r="14365" ht="12.75" customHeight="1">
      <c r="A14365" s="59" t="s">
        <v>2883</v>
      </c>
      <c r="B14365" s="60" t="s">
        <v>1158</v>
      </c>
    </row>
    <row r="14366" ht="12.75" customHeight="1">
      <c r="A14366" s="59" t="s">
        <v>2883</v>
      </c>
      <c r="B14366" s="60" t="s">
        <v>1159</v>
      </c>
    </row>
    <row r="14367" ht="12.75" customHeight="1">
      <c r="A14367" s="59" t="s">
        <v>2883</v>
      </c>
      <c r="B14367" s="60" t="s">
        <v>1160</v>
      </c>
    </row>
    <row r="14368" ht="12.75" customHeight="1">
      <c r="A14368" s="59" t="s">
        <v>2883</v>
      </c>
      <c r="B14368" s="60" t="s">
        <v>1161</v>
      </c>
    </row>
    <row r="14369" ht="12.75" customHeight="1">
      <c r="A14369" s="59" t="s">
        <v>2883</v>
      </c>
      <c r="B14369" s="60" t="s">
        <v>1162</v>
      </c>
    </row>
    <row r="14370" ht="12.75" customHeight="1">
      <c r="A14370" s="59" t="s">
        <v>2883</v>
      </c>
      <c r="B14370" s="60" t="s">
        <v>1163</v>
      </c>
    </row>
    <row r="14371" ht="12.75" customHeight="1">
      <c r="A14371" s="59" t="s">
        <v>2883</v>
      </c>
      <c r="B14371" s="60" t="s">
        <v>1164</v>
      </c>
    </row>
    <row r="14372" ht="12.75" customHeight="1">
      <c r="A14372" s="59" t="s">
        <v>2883</v>
      </c>
      <c r="B14372" s="60" t="s">
        <v>1165</v>
      </c>
    </row>
    <row r="14373" ht="12.75" customHeight="1">
      <c r="A14373" s="59" t="s">
        <v>2883</v>
      </c>
      <c r="B14373" s="60" t="s">
        <v>1166</v>
      </c>
    </row>
    <row r="14374" ht="12.75" customHeight="1">
      <c r="A14374" s="59" t="s">
        <v>2883</v>
      </c>
      <c r="B14374" s="60" t="s">
        <v>1167</v>
      </c>
    </row>
    <row r="14375" ht="12.75" customHeight="1">
      <c r="A14375" s="59" t="s">
        <v>2883</v>
      </c>
      <c r="B14375" s="60" t="s">
        <v>1168</v>
      </c>
    </row>
    <row r="14376" ht="12.75" customHeight="1">
      <c r="A14376" s="59" t="s">
        <v>2883</v>
      </c>
      <c r="B14376" s="60" t="s">
        <v>1169</v>
      </c>
    </row>
    <row r="14377" ht="12.75" customHeight="1">
      <c r="A14377" s="59" t="s">
        <v>2883</v>
      </c>
      <c r="B14377" s="60" t="s">
        <v>1170</v>
      </c>
    </row>
    <row r="14378" ht="12.75" customHeight="1">
      <c r="A14378" s="59" t="s">
        <v>2883</v>
      </c>
      <c r="B14378" s="60" t="s">
        <v>1171</v>
      </c>
    </row>
    <row r="14379" ht="12.75" customHeight="1">
      <c r="A14379" s="59" t="s">
        <v>2883</v>
      </c>
      <c r="B14379" s="60" t="s">
        <v>1172</v>
      </c>
    </row>
    <row r="14380" ht="12.75" customHeight="1">
      <c r="A14380" s="59" t="s">
        <v>2883</v>
      </c>
      <c r="B14380" s="60" t="s">
        <v>1173</v>
      </c>
    </row>
    <row r="14381" ht="12.75" customHeight="1">
      <c r="A14381" s="59" t="s">
        <v>2883</v>
      </c>
      <c r="B14381" s="60" t="s">
        <v>1174</v>
      </c>
    </row>
    <row r="14382" ht="12.75" customHeight="1">
      <c r="A14382" s="59" t="s">
        <v>2883</v>
      </c>
      <c r="B14382" s="60" t="s">
        <v>1175</v>
      </c>
    </row>
    <row r="14383" ht="12.75" customHeight="1">
      <c r="A14383" s="59" t="s">
        <v>2883</v>
      </c>
      <c r="B14383" s="60" t="s">
        <v>1176</v>
      </c>
    </row>
    <row r="14384" ht="12.75" customHeight="1">
      <c r="A14384" s="59" t="s">
        <v>2883</v>
      </c>
      <c r="B14384" s="60" t="s">
        <v>1177</v>
      </c>
    </row>
    <row r="14385" ht="12.75" customHeight="1">
      <c r="A14385" s="59" t="s">
        <v>2883</v>
      </c>
      <c r="B14385" s="60" t="s">
        <v>1178</v>
      </c>
    </row>
    <row r="14386" ht="12.75" customHeight="1">
      <c r="A14386" s="59" t="s">
        <v>2883</v>
      </c>
      <c r="B14386" s="60" t="s">
        <v>1179</v>
      </c>
    </row>
    <row r="14387" ht="12.75" customHeight="1">
      <c r="A14387" s="59" t="s">
        <v>2883</v>
      </c>
      <c r="B14387" s="60" t="s">
        <v>1180</v>
      </c>
    </row>
    <row r="14388" ht="12.75" customHeight="1">
      <c r="A14388" s="59" t="s">
        <v>2883</v>
      </c>
      <c r="B14388" s="60" t="s">
        <v>1181</v>
      </c>
    </row>
    <row r="14389" ht="12.75" customHeight="1">
      <c r="A14389" s="59" t="s">
        <v>2883</v>
      </c>
      <c r="B14389" s="60" t="s">
        <v>1182</v>
      </c>
    </row>
    <row r="14390" ht="12.75" customHeight="1">
      <c r="A14390" s="59" t="s">
        <v>2883</v>
      </c>
      <c r="B14390" s="60" t="s">
        <v>1183</v>
      </c>
    </row>
    <row r="14391" ht="12.75" customHeight="1">
      <c r="A14391" s="59" t="s">
        <v>2883</v>
      </c>
      <c r="B14391" s="60" t="s">
        <v>1184</v>
      </c>
    </row>
    <row r="14392" ht="12.75" customHeight="1">
      <c r="A14392" s="59" t="s">
        <v>2883</v>
      </c>
      <c r="B14392" s="60" t="s">
        <v>1185</v>
      </c>
    </row>
    <row r="14393" ht="12.75" customHeight="1">
      <c r="A14393" s="59" t="s">
        <v>2883</v>
      </c>
      <c r="B14393" s="60" t="s">
        <v>1186</v>
      </c>
    </row>
    <row r="14394" ht="12.75" customHeight="1">
      <c r="A14394" s="59" t="s">
        <v>2883</v>
      </c>
      <c r="B14394" s="60" t="s">
        <v>1187</v>
      </c>
    </row>
    <row r="14395" ht="12.75" customHeight="1">
      <c r="A14395" s="59" t="s">
        <v>2883</v>
      </c>
      <c r="B14395" s="60" t="s">
        <v>1188</v>
      </c>
    </row>
    <row r="14396" ht="12.75" customHeight="1">
      <c r="A14396" s="59" t="s">
        <v>2883</v>
      </c>
      <c r="B14396" s="60" t="s">
        <v>1189</v>
      </c>
    </row>
    <row r="14397" ht="12.75" customHeight="1">
      <c r="A14397" s="59" t="s">
        <v>2883</v>
      </c>
      <c r="B14397" s="60" t="s">
        <v>1190</v>
      </c>
    </row>
    <row r="14398" ht="12.75" customHeight="1">
      <c r="A14398" s="59" t="s">
        <v>2883</v>
      </c>
      <c r="B14398" s="60" t="s">
        <v>1191</v>
      </c>
    </row>
    <row r="14399" ht="12.75" customHeight="1">
      <c r="A14399" s="59" t="s">
        <v>2883</v>
      </c>
      <c r="B14399" s="60" t="s">
        <v>1192</v>
      </c>
    </row>
    <row r="14400" ht="12.75" customHeight="1">
      <c r="A14400" s="59" t="s">
        <v>2884</v>
      </c>
      <c r="B14400" s="60">
        <v>0.0</v>
      </c>
    </row>
    <row r="14401" ht="12.75" customHeight="1">
      <c r="A14401" s="59" t="s">
        <v>2884</v>
      </c>
      <c r="B14401" s="60">
        <v>0.0</v>
      </c>
    </row>
    <row r="14402" ht="12.75" customHeight="1">
      <c r="A14402" s="59" t="s">
        <v>2884</v>
      </c>
      <c r="B14402" s="60">
        <v>2.0</v>
      </c>
    </row>
    <row r="14403" ht="12.75" customHeight="1">
      <c r="A14403" s="59" t="s">
        <v>2884</v>
      </c>
      <c r="B14403" s="60">
        <v>4.0</v>
      </c>
    </row>
    <row r="14404" ht="12.75" customHeight="1">
      <c r="A14404" s="59" t="s">
        <v>2884</v>
      </c>
      <c r="B14404" s="60">
        <v>6.0</v>
      </c>
    </row>
    <row r="14405" ht="12.75" customHeight="1">
      <c r="A14405" s="59" t="s">
        <v>2884</v>
      </c>
      <c r="B14405" s="60">
        <v>8.0</v>
      </c>
    </row>
    <row r="14406" ht="12.75" customHeight="1">
      <c r="A14406" s="59" t="s">
        <v>2884</v>
      </c>
      <c r="B14406" s="60">
        <v>10.0</v>
      </c>
    </row>
    <row r="14407" ht="12.75" customHeight="1">
      <c r="A14407" s="59" t="s">
        <v>2884</v>
      </c>
      <c r="B14407" s="60">
        <v>12.0</v>
      </c>
    </row>
    <row r="14408" ht="12.75" customHeight="1">
      <c r="A14408" s="59" t="s">
        <v>2884</v>
      </c>
      <c r="B14408" s="60" t="s">
        <v>803</v>
      </c>
    </row>
    <row r="14409" ht="12.75" customHeight="1">
      <c r="A14409" s="59" t="s">
        <v>2884</v>
      </c>
      <c r="B14409" s="60" t="s">
        <v>804</v>
      </c>
    </row>
    <row r="14410" ht="12.75" customHeight="1">
      <c r="A14410" s="59" t="s">
        <v>2884</v>
      </c>
      <c r="B14410" s="60" t="s">
        <v>76</v>
      </c>
    </row>
    <row r="14411" ht="12.75" customHeight="1">
      <c r="A14411" s="59" t="s">
        <v>2884</v>
      </c>
      <c r="B14411" s="60" t="s">
        <v>80</v>
      </c>
    </row>
    <row r="14412" ht="12.75" customHeight="1">
      <c r="A14412" s="59" t="s">
        <v>2884</v>
      </c>
      <c r="B14412" s="60" t="s">
        <v>83</v>
      </c>
    </row>
    <row r="14413" ht="12.75" customHeight="1">
      <c r="A14413" s="59" t="s">
        <v>2884</v>
      </c>
      <c r="B14413" s="60" t="s">
        <v>85</v>
      </c>
    </row>
    <row r="14414" ht="12.75" customHeight="1">
      <c r="A14414" s="59" t="s">
        <v>2884</v>
      </c>
      <c r="B14414" s="60" t="s">
        <v>805</v>
      </c>
    </row>
    <row r="14415" ht="12.75" customHeight="1">
      <c r="A14415" s="59" t="s">
        <v>2884</v>
      </c>
      <c r="B14415" s="60" t="s">
        <v>806</v>
      </c>
    </row>
    <row r="14416" ht="12.75" customHeight="1">
      <c r="A14416" s="59" t="s">
        <v>2884</v>
      </c>
      <c r="B14416" s="60" t="s">
        <v>807</v>
      </c>
    </row>
    <row r="14417" ht="12.75" customHeight="1">
      <c r="A14417" s="59" t="s">
        <v>2884</v>
      </c>
      <c r="B14417" s="60" t="s">
        <v>753</v>
      </c>
    </row>
    <row r="14418" ht="12.75" customHeight="1">
      <c r="A14418" s="59" t="s">
        <v>2884</v>
      </c>
      <c r="B14418" s="60" t="s">
        <v>757</v>
      </c>
    </row>
    <row r="14419" ht="12.75" customHeight="1">
      <c r="A14419" s="59" t="s">
        <v>2884</v>
      </c>
      <c r="B14419" s="60" t="s">
        <v>761</v>
      </c>
    </row>
    <row r="14420" ht="12.75" customHeight="1">
      <c r="A14420" s="59" t="s">
        <v>2884</v>
      </c>
      <c r="B14420" s="60" t="s">
        <v>765</v>
      </c>
    </row>
    <row r="14421" ht="12.75" customHeight="1">
      <c r="A14421" s="59" t="s">
        <v>2884</v>
      </c>
      <c r="B14421" s="60" t="s">
        <v>808</v>
      </c>
    </row>
    <row r="14422" ht="12.75" customHeight="1">
      <c r="A14422" s="59" t="s">
        <v>2884</v>
      </c>
      <c r="B14422" s="60" t="s">
        <v>809</v>
      </c>
    </row>
    <row r="14423" ht="12.75" customHeight="1">
      <c r="A14423" s="59" t="s">
        <v>2884</v>
      </c>
      <c r="B14423" s="60" t="s">
        <v>810</v>
      </c>
    </row>
    <row r="14424" ht="12.75" customHeight="1">
      <c r="A14424" s="59" t="s">
        <v>2884</v>
      </c>
      <c r="B14424" s="60" t="s">
        <v>811</v>
      </c>
    </row>
    <row r="14425" ht="12.75" customHeight="1">
      <c r="A14425" s="59" t="s">
        <v>2884</v>
      </c>
      <c r="B14425" s="60" t="s">
        <v>812</v>
      </c>
    </row>
    <row r="14426" ht="12.75" customHeight="1">
      <c r="A14426" s="59" t="s">
        <v>2884</v>
      </c>
      <c r="B14426" s="60" t="s">
        <v>813</v>
      </c>
    </row>
    <row r="14427" ht="12.75" customHeight="1">
      <c r="A14427" s="59" t="s">
        <v>2884</v>
      </c>
      <c r="B14427" s="60" t="s">
        <v>814</v>
      </c>
    </row>
    <row r="14428" ht="12.75" customHeight="1">
      <c r="A14428" s="59" t="s">
        <v>2884</v>
      </c>
      <c r="B14428" s="60" t="s">
        <v>815</v>
      </c>
    </row>
    <row r="14429" ht="12.75" customHeight="1">
      <c r="A14429" s="59" t="s">
        <v>2884</v>
      </c>
      <c r="B14429" s="60" t="s">
        <v>816</v>
      </c>
    </row>
    <row r="14430" ht="12.75" customHeight="1">
      <c r="A14430" s="59" t="s">
        <v>2884</v>
      </c>
      <c r="B14430" s="60" t="s">
        <v>771</v>
      </c>
    </row>
    <row r="14431" ht="12.75" customHeight="1">
      <c r="A14431" s="59" t="s">
        <v>2884</v>
      </c>
      <c r="B14431" s="60" t="s">
        <v>775</v>
      </c>
    </row>
    <row r="14432" ht="12.75" customHeight="1">
      <c r="A14432" s="59" t="s">
        <v>2884</v>
      </c>
      <c r="B14432" s="60" t="s">
        <v>779</v>
      </c>
    </row>
    <row r="14433" ht="12.75" customHeight="1">
      <c r="A14433" s="59" t="s">
        <v>2884</v>
      </c>
      <c r="B14433" s="60" t="s">
        <v>783</v>
      </c>
    </row>
    <row r="14434" ht="12.75" customHeight="1">
      <c r="A14434" s="59" t="s">
        <v>2884</v>
      </c>
      <c r="B14434" s="60" t="s">
        <v>817</v>
      </c>
    </row>
    <row r="14435" ht="12.75" customHeight="1">
      <c r="A14435" s="59" t="s">
        <v>2884</v>
      </c>
      <c r="B14435" s="60" t="s">
        <v>818</v>
      </c>
    </row>
    <row r="14436" ht="12.75" customHeight="1">
      <c r="A14436" s="59" t="s">
        <v>2884</v>
      </c>
      <c r="B14436" s="60" t="s">
        <v>819</v>
      </c>
    </row>
    <row r="14437" ht="12.75" customHeight="1">
      <c r="A14437" s="59" t="s">
        <v>2884</v>
      </c>
      <c r="B14437" s="60" t="s">
        <v>820</v>
      </c>
    </row>
    <row r="14438" ht="12.75" customHeight="1">
      <c r="A14438" s="59" t="s">
        <v>2884</v>
      </c>
      <c r="B14438" s="60" t="s">
        <v>821</v>
      </c>
    </row>
    <row r="14439" ht="12.75" customHeight="1">
      <c r="A14439" s="59" t="s">
        <v>2884</v>
      </c>
      <c r="B14439" s="60" t="s">
        <v>822</v>
      </c>
    </row>
    <row r="14440" ht="12.75" customHeight="1">
      <c r="A14440" s="59" t="s">
        <v>2884</v>
      </c>
      <c r="B14440" s="60" t="s">
        <v>823</v>
      </c>
    </row>
    <row r="14441" ht="12.75" customHeight="1">
      <c r="A14441" s="59" t="s">
        <v>2884</v>
      </c>
      <c r="B14441" s="60" t="s">
        <v>824</v>
      </c>
    </row>
    <row r="14442" ht="12.75" customHeight="1">
      <c r="A14442" s="59" t="s">
        <v>2884</v>
      </c>
      <c r="B14442" s="60" t="s">
        <v>825</v>
      </c>
    </row>
    <row r="14443" ht="12.75" customHeight="1">
      <c r="A14443" s="59" t="s">
        <v>2884</v>
      </c>
      <c r="B14443" s="60" t="s">
        <v>788</v>
      </c>
    </row>
    <row r="14444" ht="12.75" customHeight="1">
      <c r="A14444" s="59" t="s">
        <v>2884</v>
      </c>
      <c r="B14444" s="60" t="s">
        <v>792</v>
      </c>
    </row>
    <row r="14445" ht="12.75" customHeight="1">
      <c r="A14445" s="59" t="s">
        <v>2884</v>
      </c>
      <c r="B14445" s="60" t="s">
        <v>796</v>
      </c>
    </row>
    <row r="14446" ht="12.75" customHeight="1">
      <c r="A14446" s="59" t="s">
        <v>2884</v>
      </c>
      <c r="B14446" s="60" t="s">
        <v>800</v>
      </c>
    </row>
    <row r="14447" ht="12.75" customHeight="1">
      <c r="A14447" s="59" t="s">
        <v>2884</v>
      </c>
      <c r="B14447" s="60" t="s">
        <v>826</v>
      </c>
    </row>
    <row r="14448" ht="12.75" customHeight="1">
      <c r="A14448" s="59" t="s">
        <v>2884</v>
      </c>
      <c r="B14448" s="60" t="s">
        <v>827</v>
      </c>
    </row>
    <row r="14449" ht="12.75" customHeight="1">
      <c r="A14449" s="59" t="s">
        <v>2884</v>
      </c>
      <c r="B14449" s="60" t="s">
        <v>828</v>
      </c>
    </row>
    <row r="14450" ht="12.75" customHeight="1">
      <c r="A14450" s="59" t="s">
        <v>2884</v>
      </c>
      <c r="B14450" s="60" t="s">
        <v>829</v>
      </c>
    </row>
    <row r="14451" ht="12.75" customHeight="1">
      <c r="A14451" s="59" t="s">
        <v>2884</v>
      </c>
      <c r="B14451" s="60" t="s">
        <v>830</v>
      </c>
    </row>
    <row r="14452" ht="12.75" customHeight="1">
      <c r="A14452" s="59" t="s">
        <v>2884</v>
      </c>
      <c r="B14452" s="60" t="s">
        <v>831</v>
      </c>
    </row>
    <row r="14453" ht="12.75" customHeight="1">
      <c r="A14453" s="59" t="s">
        <v>2884</v>
      </c>
      <c r="B14453" s="60" t="s">
        <v>832</v>
      </c>
    </row>
    <row r="14454" ht="12.75" customHeight="1">
      <c r="A14454" s="59" t="s">
        <v>2884</v>
      </c>
      <c r="B14454" s="60" t="s">
        <v>833</v>
      </c>
    </row>
    <row r="14455" ht="12.75" customHeight="1">
      <c r="A14455" s="59" t="s">
        <v>2884</v>
      </c>
      <c r="B14455" s="60" t="s">
        <v>834</v>
      </c>
    </row>
    <row r="14456" ht="12.75" customHeight="1">
      <c r="A14456" s="59" t="s">
        <v>2884</v>
      </c>
      <c r="B14456" s="60">
        <v>14.0</v>
      </c>
    </row>
    <row r="14457" ht="12.75" customHeight="1">
      <c r="A14457" s="59" t="s">
        <v>2884</v>
      </c>
      <c r="B14457" s="60" t="s">
        <v>835</v>
      </c>
    </row>
    <row r="14458" ht="12.75" customHeight="1">
      <c r="A14458" s="59" t="s">
        <v>2884</v>
      </c>
      <c r="B14458" s="60">
        <v>16.0</v>
      </c>
    </row>
    <row r="14459" ht="12.75" customHeight="1">
      <c r="A14459" s="59" t="s">
        <v>2884</v>
      </c>
      <c r="B14459" s="60" t="s">
        <v>836</v>
      </c>
    </row>
    <row r="14460" ht="12.75" customHeight="1">
      <c r="A14460" s="59" t="s">
        <v>2884</v>
      </c>
      <c r="B14460" s="60">
        <v>18.0</v>
      </c>
    </row>
    <row r="14461" ht="12.75" customHeight="1">
      <c r="A14461" s="59" t="s">
        <v>2884</v>
      </c>
      <c r="B14461" s="60" t="s">
        <v>837</v>
      </c>
    </row>
    <row r="14462" ht="12.75" customHeight="1">
      <c r="A14462" s="59" t="s">
        <v>2884</v>
      </c>
      <c r="B14462" s="60">
        <v>20.0</v>
      </c>
    </row>
    <row r="14463" ht="12.75" customHeight="1">
      <c r="A14463" s="59" t="s">
        <v>2884</v>
      </c>
      <c r="B14463" s="60" t="s">
        <v>838</v>
      </c>
    </row>
    <row r="14464" ht="12.75" customHeight="1">
      <c r="A14464" s="59" t="s">
        <v>2884</v>
      </c>
      <c r="B14464" s="60">
        <v>22.0</v>
      </c>
    </row>
    <row r="14465" ht="12.75" customHeight="1">
      <c r="A14465" s="59" t="s">
        <v>2884</v>
      </c>
      <c r="B14465" s="60" t="s">
        <v>839</v>
      </c>
    </row>
    <row r="14466" ht="12.75" customHeight="1">
      <c r="A14466" s="59" t="s">
        <v>2884</v>
      </c>
      <c r="B14466" s="60">
        <v>24.0</v>
      </c>
    </row>
    <row r="14467" ht="12.75" customHeight="1">
      <c r="A14467" s="59" t="s">
        <v>2884</v>
      </c>
      <c r="B14467" s="60" t="s">
        <v>840</v>
      </c>
    </row>
    <row r="14468" ht="12.75" customHeight="1">
      <c r="A14468" s="59" t="s">
        <v>2884</v>
      </c>
      <c r="B14468" s="60">
        <v>26.0</v>
      </c>
    </row>
    <row r="14469" ht="12.75" customHeight="1">
      <c r="A14469" s="59" t="s">
        <v>2884</v>
      </c>
      <c r="B14469" s="60" t="s">
        <v>841</v>
      </c>
    </row>
    <row r="14470" ht="12.75" customHeight="1">
      <c r="A14470" s="59" t="s">
        <v>2884</v>
      </c>
      <c r="B14470" s="60">
        <v>28.0</v>
      </c>
    </row>
    <row r="14471" ht="12.75" customHeight="1">
      <c r="A14471" s="59" t="s">
        <v>2884</v>
      </c>
      <c r="B14471" s="60" t="s">
        <v>842</v>
      </c>
    </row>
    <row r="14472" ht="12.75" customHeight="1">
      <c r="A14472" s="59" t="s">
        <v>2884</v>
      </c>
      <c r="B14472" s="60">
        <v>30.0</v>
      </c>
    </row>
    <row r="14473" ht="12.75" customHeight="1">
      <c r="A14473" s="59" t="s">
        <v>2884</v>
      </c>
      <c r="B14473" s="60" t="s">
        <v>843</v>
      </c>
    </row>
    <row r="14474" ht="12.75" customHeight="1">
      <c r="A14474" s="59" t="s">
        <v>2884</v>
      </c>
      <c r="B14474" s="60">
        <v>32.0</v>
      </c>
    </row>
    <row r="14475" ht="12.75" customHeight="1">
      <c r="A14475" s="59" t="s">
        <v>2884</v>
      </c>
      <c r="B14475" s="60" t="s">
        <v>844</v>
      </c>
    </row>
    <row r="14476" ht="12.75" customHeight="1">
      <c r="A14476" s="59" t="s">
        <v>2884</v>
      </c>
      <c r="B14476" s="60" t="s">
        <v>845</v>
      </c>
    </row>
    <row r="14477" ht="12.75" customHeight="1">
      <c r="A14477" s="59" t="s">
        <v>2884</v>
      </c>
      <c r="B14477" s="60" t="s">
        <v>846</v>
      </c>
    </row>
    <row r="14478" ht="12.75" customHeight="1">
      <c r="A14478" s="59" t="s">
        <v>2884</v>
      </c>
      <c r="B14478" s="60" t="s">
        <v>847</v>
      </c>
    </row>
    <row r="14479" ht="12.75" customHeight="1">
      <c r="A14479" s="59" t="s">
        <v>2884</v>
      </c>
      <c r="B14479" s="60" t="s">
        <v>848</v>
      </c>
    </row>
    <row r="14480" ht="12.75" customHeight="1">
      <c r="A14480" s="59" t="s">
        <v>2884</v>
      </c>
      <c r="B14480" s="60" t="s">
        <v>849</v>
      </c>
    </row>
    <row r="14481" ht="12.75" customHeight="1">
      <c r="A14481" s="59" t="s">
        <v>2884</v>
      </c>
      <c r="B14481" s="60" t="s">
        <v>850</v>
      </c>
    </row>
    <row r="14482" ht="12.75" customHeight="1">
      <c r="A14482" s="59" t="s">
        <v>2884</v>
      </c>
      <c r="B14482" s="60" t="s">
        <v>851</v>
      </c>
    </row>
    <row r="14483" ht="12.75" customHeight="1">
      <c r="A14483" s="59" t="s">
        <v>2884</v>
      </c>
      <c r="B14483" s="60" t="s">
        <v>852</v>
      </c>
    </row>
    <row r="14484" ht="12.75" customHeight="1">
      <c r="A14484" s="59" t="s">
        <v>2884</v>
      </c>
      <c r="B14484" s="60" t="s">
        <v>853</v>
      </c>
    </row>
    <row r="14485" ht="12.75" customHeight="1">
      <c r="A14485" s="59" t="s">
        <v>2884</v>
      </c>
      <c r="B14485" s="60" t="s">
        <v>854</v>
      </c>
    </row>
    <row r="14486" ht="12.75" customHeight="1">
      <c r="A14486" s="59" t="s">
        <v>2884</v>
      </c>
      <c r="B14486" s="60" t="s">
        <v>855</v>
      </c>
    </row>
    <row r="14487" ht="12.75" customHeight="1">
      <c r="A14487" s="59" t="s">
        <v>2884</v>
      </c>
      <c r="B14487" s="60" t="s">
        <v>856</v>
      </c>
    </row>
    <row r="14488" ht="12.75" customHeight="1">
      <c r="A14488" s="59" t="s">
        <v>2884</v>
      </c>
      <c r="B14488" s="60" t="s">
        <v>857</v>
      </c>
    </row>
    <row r="14489" ht="12.75" customHeight="1">
      <c r="A14489" s="59" t="s">
        <v>2884</v>
      </c>
      <c r="B14489" s="60" t="s">
        <v>858</v>
      </c>
    </row>
    <row r="14490" ht="12.75" customHeight="1">
      <c r="A14490" s="59" t="s">
        <v>2884</v>
      </c>
      <c r="B14490" s="60" t="s">
        <v>859</v>
      </c>
    </row>
    <row r="14491" ht="12.75" customHeight="1">
      <c r="A14491" s="59" t="s">
        <v>2884</v>
      </c>
      <c r="B14491" s="60" t="s">
        <v>860</v>
      </c>
    </row>
    <row r="14492" ht="12.75" customHeight="1">
      <c r="A14492" s="59" t="s">
        <v>2884</v>
      </c>
      <c r="B14492" s="60" t="s">
        <v>861</v>
      </c>
    </row>
    <row r="14493" ht="12.75" customHeight="1">
      <c r="A14493" s="59" t="s">
        <v>2884</v>
      </c>
      <c r="B14493" s="60" t="s">
        <v>862</v>
      </c>
    </row>
    <row r="14494" ht="12.75" customHeight="1">
      <c r="A14494" s="59" t="s">
        <v>2884</v>
      </c>
      <c r="B14494" s="60" t="s">
        <v>863</v>
      </c>
    </row>
    <row r="14495" ht="12.75" customHeight="1">
      <c r="A14495" s="59" t="s">
        <v>2884</v>
      </c>
      <c r="B14495" s="60" t="s">
        <v>864</v>
      </c>
    </row>
    <row r="14496" ht="12.75" customHeight="1">
      <c r="A14496" s="59" t="s">
        <v>2884</v>
      </c>
      <c r="B14496" s="60" t="s">
        <v>865</v>
      </c>
    </row>
    <row r="14497" ht="12.75" customHeight="1">
      <c r="A14497" s="59" t="s">
        <v>2884</v>
      </c>
      <c r="B14497" s="60" t="s">
        <v>866</v>
      </c>
    </row>
    <row r="14498" ht="12.75" customHeight="1">
      <c r="A14498" s="59" t="s">
        <v>2884</v>
      </c>
      <c r="B14498" s="60" t="s">
        <v>867</v>
      </c>
    </row>
    <row r="14499" ht="12.75" customHeight="1">
      <c r="A14499" s="59" t="s">
        <v>2884</v>
      </c>
      <c r="B14499" s="60" t="s">
        <v>868</v>
      </c>
    </row>
    <row r="14500" ht="12.75" customHeight="1">
      <c r="A14500" s="59" t="s">
        <v>2884</v>
      </c>
      <c r="B14500" s="60" t="s">
        <v>869</v>
      </c>
    </row>
    <row r="14501" ht="12.75" customHeight="1">
      <c r="A14501" s="59" t="s">
        <v>2884</v>
      </c>
      <c r="B14501" s="60" t="s">
        <v>870</v>
      </c>
    </row>
    <row r="14502" ht="12.75" customHeight="1">
      <c r="A14502" s="59" t="s">
        <v>2884</v>
      </c>
      <c r="B14502" s="60" t="s">
        <v>871</v>
      </c>
    </row>
    <row r="14503" ht="12.75" customHeight="1">
      <c r="A14503" s="59" t="s">
        <v>2884</v>
      </c>
      <c r="B14503" s="60" t="s">
        <v>872</v>
      </c>
    </row>
    <row r="14504" ht="12.75" customHeight="1">
      <c r="A14504" s="59" t="s">
        <v>2884</v>
      </c>
      <c r="B14504" s="60" t="s">
        <v>873</v>
      </c>
    </row>
    <row r="14505" ht="12.75" customHeight="1">
      <c r="A14505" s="59" t="s">
        <v>2884</v>
      </c>
      <c r="B14505" s="60" t="s">
        <v>874</v>
      </c>
    </row>
    <row r="14506" ht="12.75" customHeight="1">
      <c r="A14506" s="59" t="s">
        <v>2884</v>
      </c>
      <c r="B14506" s="60" t="s">
        <v>875</v>
      </c>
    </row>
    <row r="14507" ht="12.75" customHeight="1">
      <c r="A14507" s="59" t="s">
        <v>2884</v>
      </c>
      <c r="B14507" s="60" t="s">
        <v>876</v>
      </c>
    </row>
    <row r="14508" ht="12.75" customHeight="1">
      <c r="A14508" s="59" t="s">
        <v>2884</v>
      </c>
      <c r="B14508" s="60" t="s">
        <v>877</v>
      </c>
    </row>
    <row r="14509" ht="12.75" customHeight="1">
      <c r="A14509" s="59" t="s">
        <v>2884</v>
      </c>
      <c r="B14509" s="60" t="s">
        <v>878</v>
      </c>
    </row>
    <row r="14510" ht="12.75" customHeight="1">
      <c r="A14510" s="59" t="s">
        <v>2884</v>
      </c>
      <c r="B14510" s="60" t="s">
        <v>879</v>
      </c>
    </row>
    <row r="14511" ht="12.75" customHeight="1">
      <c r="A14511" s="59" t="s">
        <v>2884</v>
      </c>
      <c r="B14511" s="60" t="s">
        <v>880</v>
      </c>
    </row>
    <row r="14512" ht="12.75" customHeight="1">
      <c r="A14512" s="59" t="s">
        <v>2884</v>
      </c>
      <c r="B14512" s="60" t="s">
        <v>881</v>
      </c>
    </row>
    <row r="14513" ht="12.75" customHeight="1">
      <c r="A14513" s="59" t="s">
        <v>2884</v>
      </c>
      <c r="B14513" s="60" t="s">
        <v>882</v>
      </c>
    </row>
    <row r="14514" ht="12.75" customHeight="1">
      <c r="A14514" s="59" t="s">
        <v>2884</v>
      </c>
      <c r="B14514" s="60" t="s">
        <v>883</v>
      </c>
    </row>
    <row r="14515" ht="12.75" customHeight="1">
      <c r="A14515" s="59" t="s">
        <v>2884</v>
      </c>
      <c r="B14515" s="60" t="s">
        <v>884</v>
      </c>
    </row>
    <row r="14516" ht="12.75" customHeight="1">
      <c r="A14516" s="59" t="s">
        <v>2884</v>
      </c>
      <c r="B14516" s="60" t="s">
        <v>885</v>
      </c>
    </row>
    <row r="14517" ht="12.75" customHeight="1">
      <c r="A14517" s="59" t="s">
        <v>2884</v>
      </c>
      <c r="B14517" s="60" t="s">
        <v>886</v>
      </c>
    </row>
    <row r="14518" ht="12.75" customHeight="1">
      <c r="A14518" s="59" t="s">
        <v>2884</v>
      </c>
      <c r="B14518" s="60" t="s">
        <v>887</v>
      </c>
    </row>
    <row r="14519" ht="12.75" customHeight="1">
      <c r="A14519" s="59" t="s">
        <v>2884</v>
      </c>
      <c r="B14519" s="60" t="s">
        <v>888</v>
      </c>
    </row>
    <row r="14520" ht="12.75" customHeight="1">
      <c r="A14520" s="59" t="s">
        <v>2884</v>
      </c>
      <c r="B14520" s="60" t="s">
        <v>889</v>
      </c>
    </row>
    <row r="14521" ht="12.75" customHeight="1">
      <c r="A14521" s="59" t="s">
        <v>2884</v>
      </c>
      <c r="B14521" s="60" t="s">
        <v>890</v>
      </c>
    </row>
    <row r="14522" ht="12.75" customHeight="1">
      <c r="A14522" s="59" t="s">
        <v>2884</v>
      </c>
      <c r="B14522" s="60" t="s">
        <v>891</v>
      </c>
    </row>
    <row r="14523" ht="12.75" customHeight="1">
      <c r="A14523" s="59" t="s">
        <v>2884</v>
      </c>
      <c r="B14523" s="60" t="s">
        <v>892</v>
      </c>
    </row>
    <row r="14524" ht="12.75" customHeight="1">
      <c r="A14524" s="59" t="s">
        <v>2884</v>
      </c>
      <c r="B14524" s="60" t="s">
        <v>893</v>
      </c>
    </row>
    <row r="14525" ht="12.75" customHeight="1">
      <c r="A14525" s="59" t="s">
        <v>2884</v>
      </c>
      <c r="B14525" s="60" t="s">
        <v>894</v>
      </c>
    </row>
    <row r="14526" ht="12.75" customHeight="1">
      <c r="A14526" s="59" t="s">
        <v>2884</v>
      </c>
      <c r="B14526" s="60" t="s">
        <v>895</v>
      </c>
    </row>
    <row r="14527" ht="12.75" customHeight="1">
      <c r="A14527" s="59" t="s">
        <v>2884</v>
      </c>
      <c r="B14527" s="60" t="s">
        <v>896</v>
      </c>
    </row>
    <row r="14528" ht="12.75" customHeight="1">
      <c r="A14528" s="59" t="s">
        <v>2884</v>
      </c>
      <c r="B14528" s="60" t="s">
        <v>897</v>
      </c>
    </row>
    <row r="14529" ht="12.75" customHeight="1">
      <c r="A14529" s="59" t="s">
        <v>2884</v>
      </c>
      <c r="B14529" s="60" t="s">
        <v>898</v>
      </c>
    </row>
    <row r="14530" ht="12.75" customHeight="1">
      <c r="A14530" s="59" t="s">
        <v>2884</v>
      </c>
      <c r="B14530" s="60" t="s">
        <v>899</v>
      </c>
    </row>
    <row r="14531" ht="12.75" customHeight="1">
      <c r="A14531" s="59" t="s">
        <v>2884</v>
      </c>
      <c r="B14531" s="60" t="s">
        <v>900</v>
      </c>
    </row>
    <row r="14532" ht="12.75" customHeight="1">
      <c r="A14532" s="59" t="s">
        <v>2884</v>
      </c>
      <c r="B14532" s="60" t="s">
        <v>901</v>
      </c>
    </row>
    <row r="14533" ht="12.75" customHeight="1">
      <c r="A14533" s="59" t="s">
        <v>2884</v>
      </c>
      <c r="B14533" s="60" t="s">
        <v>902</v>
      </c>
    </row>
    <row r="14534" ht="12.75" customHeight="1">
      <c r="A14534" s="59" t="s">
        <v>2884</v>
      </c>
      <c r="B14534" s="60" t="s">
        <v>903</v>
      </c>
    </row>
    <row r="14535" ht="12.75" customHeight="1">
      <c r="A14535" s="59" t="s">
        <v>2884</v>
      </c>
      <c r="B14535" s="60" t="s">
        <v>904</v>
      </c>
    </row>
    <row r="14536" ht="12.75" customHeight="1">
      <c r="A14536" s="59" t="s">
        <v>2884</v>
      </c>
      <c r="B14536" s="60" t="s">
        <v>905</v>
      </c>
    </row>
    <row r="14537" ht="12.75" customHeight="1">
      <c r="A14537" s="59" t="s">
        <v>2884</v>
      </c>
      <c r="B14537" s="60" t="s">
        <v>906</v>
      </c>
    </row>
    <row r="14538" ht="12.75" customHeight="1">
      <c r="A14538" s="59" t="s">
        <v>2884</v>
      </c>
      <c r="B14538" s="60" t="s">
        <v>907</v>
      </c>
    </row>
    <row r="14539" ht="12.75" customHeight="1">
      <c r="A14539" s="59" t="s">
        <v>2884</v>
      </c>
      <c r="B14539" s="60" t="s">
        <v>908</v>
      </c>
    </row>
    <row r="14540" ht="12.75" customHeight="1">
      <c r="A14540" s="59" t="s">
        <v>2884</v>
      </c>
      <c r="B14540" s="60" t="s">
        <v>909</v>
      </c>
    </row>
    <row r="14541" ht="12.75" customHeight="1">
      <c r="A14541" s="59" t="s">
        <v>2884</v>
      </c>
      <c r="B14541" s="60" t="s">
        <v>910</v>
      </c>
    </row>
    <row r="14542" ht="12.75" customHeight="1">
      <c r="A14542" s="59" t="s">
        <v>2884</v>
      </c>
      <c r="B14542" s="60" t="s">
        <v>911</v>
      </c>
    </row>
    <row r="14543" ht="12.75" customHeight="1">
      <c r="A14543" s="59" t="s">
        <v>2884</v>
      </c>
      <c r="B14543" s="60" t="s">
        <v>912</v>
      </c>
    </row>
    <row r="14544" ht="12.75" customHeight="1">
      <c r="A14544" s="59" t="s">
        <v>2884</v>
      </c>
      <c r="B14544" s="60" t="s">
        <v>913</v>
      </c>
    </row>
    <row r="14545" ht="12.75" customHeight="1">
      <c r="A14545" s="59" t="s">
        <v>2884</v>
      </c>
      <c r="B14545" s="60" t="s">
        <v>914</v>
      </c>
    </row>
    <row r="14546" ht="12.75" customHeight="1">
      <c r="A14546" s="59" t="s">
        <v>2884</v>
      </c>
      <c r="B14546" s="60" t="s">
        <v>915</v>
      </c>
    </row>
    <row r="14547" ht="12.75" customHeight="1">
      <c r="A14547" s="59" t="s">
        <v>2884</v>
      </c>
      <c r="B14547" s="60" t="s">
        <v>916</v>
      </c>
    </row>
    <row r="14548" ht="12.75" customHeight="1">
      <c r="A14548" s="59" t="s">
        <v>2884</v>
      </c>
      <c r="B14548" s="60" t="s">
        <v>917</v>
      </c>
    </row>
    <row r="14549" ht="12.75" customHeight="1">
      <c r="A14549" s="59" t="s">
        <v>2884</v>
      </c>
      <c r="B14549" s="60" t="s">
        <v>918</v>
      </c>
    </row>
    <row r="14550" ht="12.75" customHeight="1">
      <c r="A14550" s="59" t="s">
        <v>2884</v>
      </c>
      <c r="B14550" s="60" t="s">
        <v>919</v>
      </c>
    </row>
    <row r="14551" ht="12.75" customHeight="1">
      <c r="A14551" s="59" t="s">
        <v>2884</v>
      </c>
      <c r="B14551" s="60" t="s">
        <v>920</v>
      </c>
    </row>
    <row r="14552" ht="12.75" customHeight="1">
      <c r="A14552" s="59" t="s">
        <v>2884</v>
      </c>
      <c r="B14552" s="60" t="s">
        <v>921</v>
      </c>
    </row>
    <row r="14553" ht="12.75" customHeight="1">
      <c r="A14553" s="59" t="s">
        <v>2884</v>
      </c>
      <c r="B14553" s="60" t="s">
        <v>922</v>
      </c>
    </row>
    <row r="14554" ht="12.75" customHeight="1">
      <c r="A14554" s="59" t="s">
        <v>2884</v>
      </c>
      <c r="B14554" s="60" t="s">
        <v>923</v>
      </c>
    </row>
    <row r="14555" ht="12.75" customHeight="1">
      <c r="A14555" s="59" t="s">
        <v>2884</v>
      </c>
      <c r="B14555" s="60" t="s">
        <v>924</v>
      </c>
    </row>
    <row r="14556" ht="12.75" customHeight="1">
      <c r="A14556" s="59" t="s">
        <v>2884</v>
      </c>
      <c r="B14556" s="60" t="s">
        <v>925</v>
      </c>
    </row>
    <row r="14557" ht="12.75" customHeight="1">
      <c r="A14557" s="59" t="s">
        <v>2884</v>
      </c>
      <c r="B14557" s="60" t="s">
        <v>926</v>
      </c>
    </row>
    <row r="14558" ht="12.75" customHeight="1">
      <c r="A14558" s="59" t="s">
        <v>2884</v>
      </c>
      <c r="B14558" s="60" t="s">
        <v>927</v>
      </c>
    </row>
    <row r="14559" ht="12.75" customHeight="1">
      <c r="A14559" s="59" t="s">
        <v>2884</v>
      </c>
      <c r="B14559" s="60" t="s">
        <v>928</v>
      </c>
    </row>
    <row r="14560" ht="12.75" customHeight="1">
      <c r="A14560" s="59" t="s">
        <v>2884</v>
      </c>
      <c r="B14560" s="60" t="s">
        <v>929</v>
      </c>
    </row>
    <row r="14561" ht="12.75" customHeight="1">
      <c r="A14561" s="59" t="s">
        <v>2884</v>
      </c>
      <c r="B14561" s="60" t="s">
        <v>930</v>
      </c>
    </row>
    <row r="14562" ht="12.75" customHeight="1">
      <c r="A14562" s="59" t="s">
        <v>2884</v>
      </c>
      <c r="B14562" s="60" t="s">
        <v>931</v>
      </c>
    </row>
    <row r="14563" ht="12.75" customHeight="1">
      <c r="A14563" s="59" t="s">
        <v>2884</v>
      </c>
      <c r="B14563" s="60" t="s">
        <v>932</v>
      </c>
    </row>
    <row r="14564" ht="12.75" customHeight="1">
      <c r="A14564" s="59" t="s">
        <v>2884</v>
      </c>
      <c r="B14564" s="60" t="s">
        <v>933</v>
      </c>
    </row>
    <row r="14565" ht="12.75" customHeight="1">
      <c r="A14565" s="59" t="s">
        <v>2884</v>
      </c>
      <c r="B14565" s="60" t="s">
        <v>934</v>
      </c>
    </row>
    <row r="14566" ht="12.75" customHeight="1">
      <c r="A14566" s="59" t="s">
        <v>2884</v>
      </c>
      <c r="B14566" s="60" t="s">
        <v>935</v>
      </c>
    </row>
    <row r="14567" ht="12.75" customHeight="1">
      <c r="A14567" s="59" t="s">
        <v>2884</v>
      </c>
      <c r="B14567" s="60" t="s">
        <v>936</v>
      </c>
    </row>
    <row r="14568" ht="12.75" customHeight="1">
      <c r="A14568" s="59" t="s">
        <v>2884</v>
      </c>
      <c r="B14568" s="60" t="s">
        <v>937</v>
      </c>
    </row>
    <row r="14569" ht="12.75" customHeight="1">
      <c r="A14569" s="59" t="s">
        <v>2884</v>
      </c>
      <c r="B14569" s="60" t="s">
        <v>938</v>
      </c>
    </row>
    <row r="14570" ht="12.75" customHeight="1">
      <c r="A14570" s="59" t="s">
        <v>2884</v>
      </c>
      <c r="B14570" s="60" t="s">
        <v>939</v>
      </c>
    </row>
    <row r="14571" ht="12.75" customHeight="1">
      <c r="A14571" s="59" t="s">
        <v>2884</v>
      </c>
      <c r="B14571" s="60" t="s">
        <v>940</v>
      </c>
    </row>
    <row r="14572" ht="12.75" customHeight="1">
      <c r="A14572" s="59" t="s">
        <v>2884</v>
      </c>
      <c r="B14572" s="60" t="s">
        <v>941</v>
      </c>
    </row>
    <row r="14573" ht="12.75" customHeight="1">
      <c r="A14573" s="59" t="s">
        <v>2884</v>
      </c>
      <c r="B14573" s="60" t="s">
        <v>942</v>
      </c>
    </row>
    <row r="14574" ht="12.75" customHeight="1">
      <c r="A14574" s="59" t="s">
        <v>2884</v>
      </c>
      <c r="B14574" s="60" t="s">
        <v>943</v>
      </c>
    </row>
    <row r="14575" ht="12.75" customHeight="1">
      <c r="A14575" s="59" t="s">
        <v>2884</v>
      </c>
      <c r="B14575" s="60" t="s">
        <v>944</v>
      </c>
    </row>
    <row r="14576" ht="12.75" customHeight="1">
      <c r="A14576" s="59" t="s">
        <v>2884</v>
      </c>
      <c r="B14576" s="60" t="s">
        <v>945</v>
      </c>
    </row>
    <row r="14577" ht="12.75" customHeight="1">
      <c r="A14577" s="59" t="s">
        <v>2884</v>
      </c>
      <c r="B14577" s="60" t="s">
        <v>946</v>
      </c>
    </row>
    <row r="14578" ht="12.75" customHeight="1">
      <c r="A14578" s="59" t="s">
        <v>2884</v>
      </c>
      <c r="B14578" s="60" t="s">
        <v>947</v>
      </c>
    </row>
    <row r="14579" ht="12.75" customHeight="1">
      <c r="A14579" s="59" t="s">
        <v>2884</v>
      </c>
      <c r="B14579" s="60" t="s">
        <v>948</v>
      </c>
    </row>
    <row r="14580" ht="12.75" customHeight="1">
      <c r="A14580" s="59" t="s">
        <v>2884</v>
      </c>
      <c r="B14580" s="60" t="s">
        <v>949</v>
      </c>
    </row>
    <row r="14581" ht="12.75" customHeight="1">
      <c r="A14581" s="59" t="s">
        <v>2884</v>
      </c>
      <c r="B14581" s="60" t="s">
        <v>950</v>
      </c>
    </row>
    <row r="14582" ht="12.75" customHeight="1">
      <c r="A14582" s="59" t="s">
        <v>2884</v>
      </c>
      <c r="B14582" s="60" t="s">
        <v>951</v>
      </c>
    </row>
    <row r="14583" ht="12.75" customHeight="1">
      <c r="A14583" s="59" t="s">
        <v>2884</v>
      </c>
      <c r="B14583" s="60" t="s">
        <v>952</v>
      </c>
    </row>
    <row r="14584" ht="12.75" customHeight="1">
      <c r="A14584" s="59" t="s">
        <v>2884</v>
      </c>
      <c r="B14584" s="60" t="s">
        <v>953</v>
      </c>
    </row>
    <row r="14585" ht="12.75" customHeight="1">
      <c r="A14585" s="59" t="s">
        <v>2884</v>
      </c>
      <c r="B14585" s="60" t="s">
        <v>954</v>
      </c>
    </row>
    <row r="14586" ht="12.75" customHeight="1">
      <c r="A14586" s="59" t="s">
        <v>2884</v>
      </c>
      <c r="B14586" s="60" t="s">
        <v>955</v>
      </c>
    </row>
    <row r="14587" ht="12.75" customHeight="1">
      <c r="A14587" s="59" t="s">
        <v>2884</v>
      </c>
      <c r="B14587" s="60" t="s">
        <v>956</v>
      </c>
    </row>
    <row r="14588" ht="12.75" customHeight="1">
      <c r="A14588" s="59" t="s">
        <v>2884</v>
      </c>
      <c r="B14588" s="60" t="s">
        <v>957</v>
      </c>
    </row>
    <row r="14589" ht="12.75" customHeight="1">
      <c r="A14589" s="59" t="s">
        <v>2884</v>
      </c>
      <c r="B14589" s="60" t="s">
        <v>958</v>
      </c>
    </row>
    <row r="14590" ht="12.75" customHeight="1">
      <c r="A14590" s="59" t="s">
        <v>2884</v>
      </c>
      <c r="B14590" s="60" t="s">
        <v>959</v>
      </c>
    </row>
    <row r="14591" ht="12.75" customHeight="1">
      <c r="A14591" s="59" t="s">
        <v>2884</v>
      </c>
      <c r="B14591" s="60" t="s">
        <v>960</v>
      </c>
    </row>
    <row r="14592" ht="12.75" customHeight="1">
      <c r="A14592" s="59" t="s">
        <v>2884</v>
      </c>
      <c r="B14592" s="60" t="s">
        <v>961</v>
      </c>
    </row>
    <row r="14593" ht="12.75" customHeight="1">
      <c r="A14593" s="59" t="s">
        <v>2884</v>
      </c>
      <c r="B14593" s="60" t="s">
        <v>962</v>
      </c>
    </row>
    <row r="14594" ht="12.75" customHeight="1">
      <c r="A14594" s="59" t="s">
        <v>2884</v>
      </c>
      <c r="B14594" s="60" t="s">
        <v>963</v>
      </c>
    </row>
    <row r="14595" ht="12.75" customHeight="1">
      <c r="A14595" s="59" t="s">
        <v>2884</v>
      </c>
      <c r="B14595" s="60" t="s">
        <v>964</v>
      </c>
    </row>
    <row r="14596" ht="12.75" customHeight="1">
      <c r="A14596" s="59" t="s">
        <v>2884</v>
      </c>
      <c r="B14596" s="60" t="s">
        <v>965</v>
      </c>
    </row>
    <row r="14597" ht="12.75" customHeight="1">
      <c r="A14597" s="59" t="s">
        <v>2884</v>
      </c>
      <c r="B14597" s="60" t="s">
        <v>966</v>
      </c>
    </row>
    <row r="14598" ht="12.75" customHeight="1">
      <c r="A14598" s="59" t="s">
        <v>2884</v>
      </c>
      <c r="B14598" s="60" t="s">
        <v>967</v>
      </c>
    </row>
    <row r="14599" ht="12.75" customHeight="1">
      <c r="A14599" s="59" t="s">
        <v>2884</v>
      </c>
      <c r="B14599" s="60" t="s">
        <v>968</v>
      </c>
    </row>
    <row r="14600" ht="12.75" customHeight="1">
      <c r="A14600" s="59" t="s">
        <v>2884</v>
      </c>
      <c r="B14600" s="60" t="s">
        <v>969</v>
      </c>
    </row>
    <row r="14601" ht="12.75" customHeight="1">
      <c r="A14601" s="59" t="s">
        <v>2884</v>
      </c>
      <c r="B14601" s="60" t="s">
        <v>970</v>
      </c>
    </row>
    <row r="14602" ht="12.75" customHeight="1">
      <c r="A14602" s="59" t="s">
        <v>2884</v>
      </c>
      <c r="B14602" s="60" t="s">
        <v>971</v>
      </c>
    </row>
    <row r="14603" ht="12.75" customHeight="1">
      <c r="A14603" s="59" t="s">
        <v>2884</v>
      </c>
      <c r="B14603" s="60" t="s">
        <v>972</v>
      </c>
    </row>
    <row r="14604" ht="12.75" customHeight="1">
      <c r="A14604" s="59" t="s">
        <v>2884</v>
      </c>
      <c r="B14604" s="60" t="s">
        <v>973</v>
      </c>
    </row>
    <row r="14605" ht="12.75" customHeight="1">
      <c r="A14605" s="59" t="s">
        <v>2884</v>
      </c>
      <c r="B14605" s="60" t="s">
        <v>974</v>
      </c>
    </row>
    <row r="14606" ht="12.75" customHeight="1">
      <c r="A14606" s="59" t="s">
        <v>2884</v>
      </c>
      <c r="B14606" s="60" t="s">
        <v>975</v>
      </c>
    </row>
    <row r="14607" ht="12.75" customHeight="1">
      <c r="A14607" s="59" t="s">
        <v>2884</v>
      </c>
      <c r="B14607" s="60" t="s">
        <v>976</v>
      </c>
    </row>
    <row r="14608" ht="12.75" customHeight="1">
      <c r="A14608" s="59" t="s">
        <v>2884</v>
      </c>
      <c r="B14608" s="60" t="s">
        <v>977</v>
      </c>
    </row>
    <row r="14609" ht="12.75" customHeight="1">
      <c r="A14609" s="59" t="s">
        <v>2884</v>
      </c>
      <c r="B14609" s="60" t="s">
        <v>978</v>
      </c>
    </row>
    <row r="14610" ht="12.75" customHeight="1">
      <c r="A14610" s="59" t="s">
        <v>2884</v>
      </c>
      <c r="B14610" s="60" t="s">
        <v>979</v>
      </c>
    </row>
    <row r="14611" ht="12.75" customHeight="1">
      <c r="A14611" s="59" t="s">
        <v>2884</v>
      </c>
      <c r="B14611" s="60" t="s">
        <v>980</v>
      </c>
    </row>
    <row r="14612" ht="12.75" customHeight="1">
      <c r="A14612" s="59" t="s">
        <v>2884</v>
      </c>
      <c r="B14612" s="60" t="s">
        <v>981</v>
      </c>
    </row>
    <row r="14613" ht="12.75" customHeight="1">
      <c r="A14613" s="59" t="s">
        <v>2884</v>
      </c>
      <c r="B14613" s="60" t="s">
        <v>982</v>
      </c>
    </row>
    <row r="14614" ht="12.75" customHeight="1">
      <c r="A14614" s="59" t="s">
        <v>2884</v>
      </c>
      <c r="B14614" s="60" t="s">
        <v>983</v>
      </c>
    </row>
    <row r="14615" ht="12.75" customHeight="1">
      <c r="A14615" s="59" t="s">
        <v>2884</v>
      </c>
      <c r="B14615" s="60" t="s">
        <v>984</v>
      </c>
    </row>
    <row r="14616" ht="12.75" customHeight="1">
      <c r="A14616" s="59" t="s">
        <v>2884</v>
      </c>
      <c r="B14616" s="60" t="s">
        <v>985</v>
      </c>
    </row>
    <row r="14617" ht="12.75" customHeight="1">
      <c r="A14617" s="59" t="s">
        <v>2884</v>
      </c>
      <c r="B14617" s="60" t="s">
        <v>986</v>
      </c>
    </row>
    <row r="14618" ht="12.75" customHeight="1">
      <c r="A14618" s="59" t="s">
        <v>2884</v>
      </c>
      <c r="B14618" s="60" t="s">
        <v>987</v>
      </c>
    </row>
    <row r="14619" ht="12.75" customHeight="1">
      <c r="A14619" s="59" t="s">
        <v>2884</v>
      </c>
      <c r="B14619" s="60" t="s">
        <v>988</v>
      </c>
    </row>
    <row r="14620" ht="12.75" customHeight="1">
      <c r="A14620" s="59" t="s">
        <v>2884</v>
      </c>
      <c r="B14620" s="60" t="s">
        <v>989</v>
      </c>
    </row>
    <row r="14621" ht="12.75" customHeight="1">
      <c r="A14621" s="59" t="s">
        <v>2884</v>
      </c>
      <c r="B14621" s="60" t="s">
        <v>990</v>
      </c>
    </row>
    <row r="14622" ht="12.75" customHeight="1">
      <c r="A14622" s="59" t="s">
        <v>2884</v>
      </c>
      <c r="B14622" s="60" t="s">
        <v>991</v>
      </c>
    </row>
    <row r="14623" ht="12.75" customHeight="1">
      <c r="A14623" s="59" t="s">
        <v>2884</v>
      </c>
      <c r="B14623" s="60" t="s">
        <v>992</v>
      </c>
    </row>
    <row r="14624" ht="12.75" customHeight="1">
      <c r="A14624" s="59" t="s">
        <v>2884</v>
      </c>
      <c r="B14624" s="60" t="s">
        <v>993</v>
      </c>
    </row>
    <row r="14625" ht="12.75" customHeight="1">
      <c r="A14625" s="59" t="s">
        <v>2884</v>
      </c>
      <c r="B14625" s="60" t="s">
        <v>994</v>
      </c>
    </row>
    <row r="14626" ht="12.75" customHeight="1">
      <c r="A14626" s="59" t="s">
        <v>2884</v>
      </c>
      <c r="B14626" s="60" t="s">
        <v>995</v>
      </c>
    </row>
    <row r="14627" ht="12.75" customHeight="1">
      <c r="A14627" s="59" t="s">
        <v>2884</v>
      </c>
      <c r="B14627" s="60" t="s">
        <v>996</v>
      </c>
    </row>
    <row r="14628" ht="12.75" customHeight="1">
      <c r="A14628" s="59" t="s">
        <v>2884</v>
      </c>
      <c r="B14628" s="60" t="s">
        <v>997</v>
      </c>
    </row>
    <row r="14629" ht="12.75" customHeight="1">
      <c r="A14629" s="59" t="s">
        <v>2884</v>
      </c>
      <c r="B14629" s="60" t="s">
        <v>998</v>
      </c>
    </row>
    <row r="14630" ht="12.75" customHeight="1">
      <c r="A14630" s="59" t="s">
        <v>2884</v>
      </c>
      <c r="B14630" s="60" t="s">
        <v>999</v>
      </c>
    </row>
    <row r="14631" ht="12.75" customHeight="1">
      <c r="A14631" s="59" t="s">
        <v>2884</v>
      </c>
      <c r="B14631" s="60" t="s">
        <v>1000</v>
      </c>
    </row>
    <row r="14632" ht="12.75" customHeight="1">
      <c r="A14632" s="59" t="s">
        <v>2884</v>
      </c>
      <c r="B14632" s="60" t="s">
        <v>1001</v>
      </c>
    </row>
    <row r="14633" ht="12.75" customHeight="1">
      <c r="A14633" s="59" t="s">
        <v>2884</v>
      </c>
      <c r="B14633" s="60" t="s">
        <v>1002</v>
      </c>
    </row>
    <row r="14634" ht="12.75" customHeight="1">
      <c r="A14634" s="59" t="s">
        <v>2884</v>
      </c>
      <c r="B14634" s="60" t="s">
        <v>1003</v>
      </c>
    </row>
    <row r="14635" ht="12.75" customHeight="1">
      <c r="A14635" s="59" t="s">
        <v>2884</v>
      </c>
      <c r="B14635" s="60" t="s">
        <v>1004</v>
      </c>
    </row>
    <row r="14636" ht="12.75" customHeight="1">
      <c r="A14636" s="59" t="s">
        <v>2884</v>
      </c>
      <c r="B14636" s="60" t="s">
        <v>1005</v>
      </c>
    </row>
    <row r="14637" ht="12.75" customHeight="1">
      <c r="A14637" s="59" t="s">
        <v>2884</v>
      </c>
      <c r="B14637" s="60" t="s">
        <v>1006</v>
      </c>
    </row>
    <row r="14638" ht="12.75" customHeight="1">
      <c r="A14638" s="59" t="s">
        <v>2884</v>
      </c>
      <c r="B14638" s="60" t="s">
        <v>1007</v>
      </c>
    </row>
    <row r="14639" ht="12.75" customHeight="1">
      <c r="A14639" s="59" t="s">
        <v>2884</v>
      </c>
      <c r="B14639" s="60" t="s">
        <v>1008</v>
      </c>
    </row>
    <row r="14640" ht="12.75" customHeight="1">
      <c r="A14640" s="59" t="s">
        <v>2884</v>
      </c>
      <c r="B14640" s="60" t="s">
        <v>1009</v>
      </c>
    </row>
    <row r="14641" ht="12.75" customHeight="1">
      <c r="A14641" s="59" t="s">
        <v>2884</v>
      </c>
      <c r="B14641" s="60" t="s">
        <v>1010</v>
      </c>
    </row>
    <row r="14642" ht="12.75" customHeight="1">
      <c r="A14642" s="59" t="s">
        <v>2884</v>
      </c>
      <c r="B14642" s="60" t="s">
        <v>1011</v>
      </c>
    </row>
    <row r="14643" ht="12.75" customHeight="1">
      <c r="A14643" s="59" t="s">
        <v>2884</v>
      </c>
      <c r="B14643" s="60" t="s">
        <v>1012</v>
      </c>
    </row>
    <row r="14644" ht="12.75" customHeight="1">
      <c r="A14644" s="59" t="s">
        <v>2884</v>
      </c>
      <c r="B14644" s="60" t="s">
        <v>1013</v>
      </c>
    </row>
    <row r="14645" ht="12.75" customHeight="1">
      <c r="A14645" s="59" t="s">
        <v>2884</v>
      </c>
      <c r="B14645" s="60" t="s">
        <v>1014</v>
      </c>
    </row>
    <row r="14646" ht="12.75" customHeight="1">
      <c r="A14646" s="59" t="s">
        <v>2884</v>
      </c>
      <c r="B14646" s="60" t="s">
        <v>1015</v>
      </c>
    </row>
    <row r="14647" ht="12.75" customHeight="1">
      <c r="A14647" s="59" t="s">
        <v>2884</v>
      </c>
      <c r="B14647" s="60" t="s">
        <v>1016</v>
      </c>
    </row>
    <row r="14648" ht="12.75" customHeight="1">
      <c r="A14648" s="59" t="s">
        <v>2884</v>
      </c>
      <c r="B14648" s="60" t="s">
        <v>1017</v>
      </c>
    </row>
    <row r="14649" ht="12.75" customHeight="1">
      <c r="A14649" s="59" t="s">
        <v>2884</v>
      </c>
      <c r="B14649" s="60" t="s">
        <v>1018</v>
      </c>
    </row>
    <row r="14650" ht="12.75" customHeight="1">
      <c r="A14650" s="59" t="s">
        <v>2884</v>
      </c>
      <c r="B14650" s="60" t="s">
        <v>1019</v>
      </c>
    </row>
    <row r="14651" ht="12.75" customHeight="1">
      <c r="A14651" s="59" t="s">
        <v>2884</v>
      </c>
      <c r="B14651" s="60" t="s">
        <v>1020</v>
      </c>
    </row>
    <row r="14652" ht="12.75" customHeight="1">
      <c r="A14652" s="59" t="s">
        <v>2884</v>
      </c>
      <c r="B14652" s="60" t="s">
        <v>1021</v>
      </c>
    </row>
    <row r="14653" ht="12.75" customHeight="1">
      <c r="A14653" s="59" t="s">
        <v>2884</v>
      </c>
      <c r="B14653" s="60" t="s">
        <v>1022</v>
      </c>
    </row>
    <row r="14654" ht="12.75" customHeight="1">
      <c r="A14654" s="59" t="s">
        <v>2884</v>
      </c>
      <c r="B14654" s="60" t="s">
        <v>1023</v>
      </c>
    </row>
    <row r="14655" ht="12.75" customHeight="1">
      <c r="A14655" s="59" t="s">
        <v>2884</v>
      </c>
      <c r="B14655" s="60" t="s">
        <v>1024</v>
      </c>
    </row>
    <row r="14656" ht="12.75" customHeight="1">
      <c r="A14656" s="59" t="s">
        <v>2884</v>
      </c>
      <c r="B14656" s="60" t="s">
        <v>1025</v>
      </c>
    </row>
    <row r="14657" ht="12.75" customHeight="1">
      <c r="A14657" s="59" t="s">
        <v>2884</v>
      </c>
      <c r="B14657" s="60" t="s">
        <v>1026</v>
      </c>
    </row>
    <row r="14658" ht="12.75" customHeight="1">
      <c r="A14658" s="59" t="s">
        <v>2884</v>
      </c>
      <c r="B14658" s="60" t="s">
        <v>1027</v>
      </c>
    </row>
    <row r="14659" ht="12.75" customHeight="1">
      <c r="A14659" s="59" t="s">
        <v>2884</v>
      </c>
      <c r="B14659" s="60" t="s">
        <v>1028</v>
      </c>
    </row>
    <row r="14660" ht="12.75" customHeight="1">
      <c r="A14660" s="59" t="s">
        <v>2884</v>
      </c>
      <c r="B14660" s="60" t="s">
        <v>1029</v>
      </c>
    </row>
    <row r="14661" ht="12.75" customHeight="1">
      <c r="A14661" s="59" t="s">
        <v>2884</v>
      </c>
      <c r="B14661" s="60" t="s">
        <v>1030</v>
      </c>
    </row>
    <row r="14662" ht="12.75" customHeight="1">
      <c r="A14662" s="59" t="s">
        <v>2884</v>
      </c>
      <c r="B14662" s="60" t="s">
        <v>1031</v>
      </c>
    </row>
    <row r="14663" ht="12.75" customHeight="1">
      <c r="A14663" s="59" t="s">
        <v>2884</v>
      </c>
      <c r="B14663" s="60" t="s">
        <v>1032</v>
      </c>
    </row>
    <row r="14664" ht="12.75" customHeight="1">
      <c r="A14664" s="59" t="s">
        <v>2884</v>
      </c>
      <c r="B14664" s="60" t="s">
        <v>1033</v>
      </c>
    </row>
    <row r="14665" ht="12.75" customHeight="1">
      <c r="A14665" s="59" t="s">
        <v>2884</v>
      </c>
      <c r="B14665" s="60" t="s">
        <v>1034</v>
      </c>
    </row>
    <row r="14666" ht="12.75" customHeight="1">
      <c r="A14666" s="59" t="s">
        <v>2884</v>
      </c>
      <c r="B14666" s="60" t="s">
        <v>1035</v>
      </c>
    </row>
    <row r="14667" ht="12.75" customHeight="1">
      <c r="A14667" s="59" t="s">
        <v>2884</v>
      </c>
      <c r="B14667" s="60" t="s">
        <v>1036</v>
      </c>
    </row>
    <row r="14668" ht="12.75" customHeight="1">
      <c r="A14668" s="59" t="s">
        <v>2884</v>
      </c>
      <c r="B14668" s="60" t="s">
        <v>1037</v>
      </c>
    </row>
    <row r="14669" ht="12.75" customHeight="1">
      <c r="A14669" s="59" t="s">
        <v>2884</v>
      </c>
      <c r="B14669" s="60" t="s">
        <v>1038</v>
      </c>
    </row>
    <row r="14670" ht="12.75" customHeight="1">
      <c r="A14670" s="59" t="s">
        <v>2884</v>
      </c>
      <c r="B14670" s="60" t="s">
        <v>1039</v>
      </c>
    </row>
    <row r="14671" ht="12.75" customHeight="1">
      <c r="A14671" s="59" t="s">
        <v>2884</v>
      </c>
      <c r="B14671" s="60" t="s">
        <v>1040</v>
      </c>
    </row>
    <row r="14672" ht="12.75" customHeight="1">
      <c r="A14672" s="59" t="s">
        <v>2884</v>
      </c>
      <c r="B14672" s="60" t="s">
        <v>1041</v>
      </c>
    </row>
    <row r="14673" ht="12.75" customHeight="1">
      <c r="A14673" s="59" t="s">
        <v>2884</v>
      </c>
      <c r="B14673" s="60" t="s">
        <v>1042</v>
      </c>
    </row>
    <row r="14674" ht="12.75" customHeight="1">
      <c r="A14674" s="59" t="s">
        <v>2884</v>
      </c>
      <c r="B14674" s="60" t="s">
        <v>1043</v>
      </c>
    </row>
    <row r="14675" ht="12.75" customHeight="1">
      <c r="A14675" s="59" t="s">
        <v>2884</v>
      </c>
      <c r="B14675" s="60" t="s">
        <v>1044</v>
      </c>
    </row>
    <row r="14676" ht="12.75" customHeight="1">
      <c r="A14676" s="59" t="s">
        <v>2884</v>
      </c>
      <c r="B14676" s="60" t="s">
        <v>1045</v>
      </c>
    </row>
    <row r="14677" ht="12.75" customHeight="1">
      <c r="A14677" s="59" t="s">
        <v>2884</v>
      </c>
      <c r="B14677" s="60" t="s">
        <v>1046</v>
      </c>
    </row>
    <row r="14678" ht="12.75" customHeight="1">
      <c r="A14678" s="59" t="s">
        <v>2884</v>
      </c>
      <c r="B14678" s="60" t="s">
        <v>1047</v>
      </c>
    </row>
    <row r="14679" ht="12.75" customHeight="1">
      <c r="A14679" s="59" t="s">
        <v>2884</v>
      </c>
      <c r="B14679" s="60" t="s">
        <v>1048</v>
      </c>
    </row>
    <row r="14680" ht="12.75" customHeight="1">
      <c r="A14680" s="59" t="s">
        <v>2884</v>
      </c>
      <c r="B14680" s="60" t="s">
        <v>1049</v>
      </c>
    </row>
    <row r="14681" ht="12.75" customHeight="1">
      <c r="A14681" s="59" t="s">
        <v>2884</v>
      </c>
      <c r="B14681" s="60" t="s">
        <v>1050</v>
      </c>
    </row>
    <row r="14682" ht="12.75" customHeight="1">
      <c r="A14682" s="59" t="s">
        <v>2884</v>
      </c>
      <c r="B14682" s="60" t="s">
        <v>1051</v>
      </c>
    </row>
    <row r="14683" ht="12.75" customHeight="1">
      <c r="A14683" s="59" t="s">
        <v>2884</v>
      </c>
      <c r="B14683" s="60" t="s">
        <v>1052</v>
      </c>
    </row>
    <row r="14684" ht="12.75" customHeight="1">
      <c r="A14684" s="59" t="s">
        <v>2884</v>
      </c>
      <c r="B14684" s="60" t="s">
        <v>1053</v>
      </c>
    </row>
    <row r="14685" ht="12.75" customHeight="1">
      <c r="A14685" s="59" t="s">
        <v>2884</v>
      </c>
      <c r="B14685" s="60" t="s">
        <v>1054</v>
      </c>
    </row>
    <row r="14686" ht="12.75" customHeight="1">
      <c r="A14686" s="59" t="s">
        <v>2884</v>
      </c>
      <c r="B14686" s="60" t="s">
        <v>1055</v>
      </c>
    </row>
    <row r="14687" ht="12.75" customHeight="1">
      <c r="A14687" s="59" t="s">
        <v>2884</v>
      </c>
      <c r="B14687" s="60" t="s">
        <v>1056</v>
      </c>
    </row>
    <row r="14688" ht="12.75" customHeight="1">
      <c r="A14688" s="59" t="s">
        <v>2884</v>
      </c>
      <c r="B14688" s="60" t="s">
        <v>1057</v>
      </c>
    </row>
    <row r="14689" ht="12.75" customHeight="1">
      <c r="A14689" s="59" t="s">
        <v>2884</v>
      </c>
      <c r="B14689" s="60" t="s">
        <v>1058</v>
      </c>
    </row>
    <row r="14690" ht="12.75" customHeight="1">
      <c r="A14690" s="59" t="s">
        <v>2884</v>
      </c>
      <c r="B14690" s="60" t="s">
        <v>1059</v>
      </c>
    </row>
    <row r="14691" ht="12.75" customHeight="1">
      <c r="A14691" s="59" t="s">
        <v>2884</v>
      </c>
      <c r="B14691" s="60" t="s">
        <v>1060</v>
      </c>
    </row>
    <row r="14692" ht="12.75" customHeight="1">
      <c r="A14692" s="59" t="s">
        <v>2884</v>
      </c>
      <c r="B14692" s="60" t="s">
        <v>1061</v>
      </c>
    </row>
    <row r="14693" ht="12.75" customHeight="1">
      <c r="A14693" s="59" t="s">
        <v>2884</v>
      </c>
      <c r="B14693" s="60" t="s">
        <v>1062</v>
      </c>
    </row>
    <row r="14694" ht="12.75" customHeight="1">
      <c r="A14694" s="59" t="s">
        <v>2884</v>
      </c>
      <c r="B14694" s="60" t="s">
        <v>1063</v>
      </c>
    </row>
    <row r="14695" ht="12.75" customHeight="1">
      <c r="A14695" s="59" t="s">
        <v>2884</v>
      </c>
      <c r="B14695" s="60" t="s">
        <v>1064</v>
      </c>
    </row>
    <row r="14696" ht="12.75" customHeight="1">
      <c r="A14696" s="59" t="s">
        <v>2884</v>
      </c>
      <c r="B14696" s="60" t="s">
        <v>1065</v>
      </c>
    </row>
    <row r="14697" ht="12.75" customHeight="1">
      <c r="A14697" s="59" t="s">
        <v>2884</v>
      </c>
      <c r="B14697" s="60" t="s">
        <v>1066</v>
      </c>
    </row>
    <row r="14698" ht="12.75" customHeight="1">
      <c r="A14698" s="59" t="s">
        <v>2884</v>
      </c>
      <c r="B14698" s="60" t="s">
        <v>1067</v>
      </c>
    </row>
    <row r="14699" ht="12.75" customHeight="1">
      <c r="A14699" s="59" t="s">
        <v>2884</v>
      </c>
      <c r="B14699" s="60" t="s">
        <v>1068</v>
      </c>
    </row>
    <row r="14700" ht="12.75" customHeight="1">
      <c r="A14700" s="59" t="s">
        <v>2884</v>
      </c>
      <c r="B14700" s="60" t="s">
        <v>1069</v>
      </c>
    </row>
    <row r="14701" ht="12.75" customHeight="1">
      <c r="A14701" s="59" t="s">
        <v>2884</v>
      </c>
      <c r="B14701" s="60" t="s">
        <v>1070</v>
      </c>
    </row>
    <row r="14702" ht="12.75" customHeight="1">
      <c r="A14702" s="59" t="s">
        <v>2884</v>
      </c>
      <c r="B14702" s="60" t="s">
        <v>1071</v>
      </c>
    </row>
    <row r="14703" ht="12.75" customHeight="1">
      <c r="A14703" s="59" t="s">
        <v>2884</v>
      </c>
      <c r="B14703" s="60" t="s">
        <v>1072</v>
      </c>
    </row>
    <row r="14704" ht="12.75" customHeight="1">
      <c r="A14704" s="59" t="s">
        <v>2884</v>
      </c>
      <c r="B14704" s="60" t="s">
        <v>1073</v>
      </c>
    </row>
    <row r="14705" ht="12.75" customHeight="1">
      <c r="A14705" s="59" t="s">
        <v>2884</v>
      </c>
      <c r="B14705" s="60" t="s">
        <v>1074</v>
      </c>
    </row>
    <row r="14706" ht="12.75" customHeight="1">
      <c r="A14706" s="59" t="s">
        <v>2884</v>
      </c>
      <c r="B14706" s="60" t="s">
        <v>1075</v>
      </c>
    </row>
    <row r="14707" ht="12.75" customHeight="1">
      <c r="A14707" s="59" t="s">
        <v>2884</v>
      </c>
      <c r="B14707" s="60" t="s">
        <v>1076</v>
      </c>
    </row>
    <row r="14708" ht="12.75" customHeight="1">
      <c r="A14708" s="59" t="s">
        <v>2884</v>
      </c>
      <c r="B14708" s="60" t="s">
        <v>1077</v>
      </c>
    </row>
    <row r="14709" ht="12.75" customHeight="1">
      <c r="A14709" s="59" t="s">
        <v>2884</v>
      </c>
      <c r="B14709" s="60" t="s">
        <v>1078</v>
      </c>
    </row>
    <row r="14710" ht="12.75" customHeight="1">
      <c r="A14710" s="59" t="s">
        <v>2884</v>
      </c>
      <c r="B14710" s="60" t="s">
        <v>1079</v>
      </c>
    </row>
    <row r="14711" ht="12.75" customHeight="1">
      <c r="A14711" s="59" t="s">
        <v>2884</v>
      </c>
      <c r="B14711" s="60" t="s">
        <v>1080</v>
      </c>
    </row>
    <row r="14712" ht="12.75" customHeight="1">
      <c r="A14712" s="59" t="s">
        <v>2884</v>
      </c>
      <c r="B14712" s="60" t="s">
        <v>1081</v>
      </c>
    </row>
    <row r="14713" ht="12.75" customHeight="1">
      <c r="A14713" s="59" t="s">
        <v>2884</v>
      </c>
      <c r="B14713" s="60" t="s">
        <v>1082</v>
      </c>
    </row>
    <row r="14714" ht="12.75" customHeight="1">
      <c r="A14714" s="59" t="s">
        <v>2884</v>
      </c>
      <c r="B14714" s="60" t="s">
        <v>1083</v>
      </c>
    </row>
    <row r="14715" ht="12.75" customHeight="1">
      <c r="A14715" s="59" t="s">
        <v>2884</v>
      </c>
      <c r="B14715" s="60" t="s">
        <v>1084</v>
      </c>
    </row>
    <row r="14716" ht="12.75" customHeight="1">
      <c r="A14716" s="59" t="s">
        <v>2884</v>
      </c>
      <c r="B14716" s="60" t="s">
        <v>1085</v>
      </c>
    </row>
    <row r="14717" ht="12.75" customHeight="1">
      <c r="A14717" s="59" t="s">
        <v>2884</v>
      </c>
      <c r="B14717" s="60" t="s">
        <v>1086</v>
      </c>
    </row>
    <row r="14718" ht="12.75" customHeight="1">
      <c r="A14718" s="59" t="s">
        <v>2884</v>
      </c>
      <c r="B14718" s="60" t="s">
        <v>1087</v>
      </c>
    </row>
    <row r="14719" ht="12.75" customHeight="1">
      <c r="A14719" s="59" t="s">
        <v>2884</v>
      </c>
      <c r="B14719" s="60" t="s">
        <v>1088</v>
      </c>
    </row>
    <row r="14720" ht="12.75" customHeight="1">
      <c r="A14720" s="59" t="s">
        <v>2884</v>
      </c>
      <c r="B14720" s="60" t="s">
        <v>1089</v>
      </c>
    </row>
    <row r="14721" ht="12.75" customHeight="1">
      <c r="A14721" s="59" t="s">
        <v>2884</v>
      </c>
      <c r="B14721" s="60" t="s">
        <v>1090</v>
      </c>
    </row>
    <row r="14722" ht="12.75" customHeight="1">
      <c r="A14722" s="59" t="s">
        <v>2884</v>
      </c>
      <c r="B14722" s="60" t="s">
        <v>1091</v>
      </c>
    </row>
    <row r="14723" ht="12.75" customHeight="1">
      <c r="A14723" s="59" t="s">
        <v>2884</v>
      </c>
      <c r="B14723" s="60" t="s">
        <v>1092</v>
      </c>
    </row>
    <row r="14724" ht="12.75" customHeight="1">
      <c r="A14724" s="59" t="s">
        <v>2884</v>
      </c>
      <c r="B14724" s="60" t="s">
        <v>1093</v>
      </c>
    </row>
    <row r="14725" ht="12.75" customHeight="1">
      <c r="A14725" s="59" t="s">
        <v>2884</v>
      </c>
      <c r="B14725" s="60" t="s">
        <v>1094</v>
      </c>
    </row>
    <row r="14726" ht="12.75" customHeight="1">
      <c r="A14726" s="59" t="s">
        <v>2884</v>
      </c>
      <c r="B14726" s="60" t="s">
        <v>1095</v>
      </c>
    </row>
    <row r="14727" ht="12.75" customHeight="1">
      <c r="A14727" s="59" t="s">
        <v>2884</v>
      </c>
      <c r="B14727" s="60" t="s">
        <v>1096</v>
      </c>
    </row>
    <row r="14728" ht="12.75" customHeight="1">
      <c r="A14728" s="59" t="s">
        <v>2884</v>
      </c>
      <c r="B14728" s="60" t="s">
        <v>1097</v>
      </c>
    </row>
    <row r="14729" ht="12.75" customHeight="1">
      <c r="A14729" s="59" t="s">
        <v>2884</v>
      </c>
      <c r="B14729" s="60" t="s">
        <v>1098</v>
      </c>
    </row>
    <row r="14730" ht="12.75" customHeight="1">
      <c r="A14730" s="59" t="s">
        <v>2884</v>
      </c>
      <c r="B14730" s="60" t="s">
        <v>1099</v>
      </c>
    </row>
    <row r="14731" ht="12.75" customHeight="1">
      <c r="A14731" s="59" t="s">
        <v>2884</v>
      </c>
      <c r="B14731" s="60" t="s">
        <v>1100</v>
      </c>
    </row>
    <row r="14732" ht="12.75" customHeight="1">
      <c r="A14732" s="59" t="s">
        <v>2884</v>
      </c>
      <c r="B14732" s="60" t="s">
        <v>1101</v>
      </c>
    </row>
    <row r="14733" ht="12.75" customHeight="1">
      <c r="A14733" s="59" t="s">
        <v>2884</v>
      </c>
      <c r="B14733" s="60" t="s">
        <v>1102</v>
      </c>
    </row>
    <row r="14734" ht="12.75" customHeight="1">
      <c r="A14734" s="59" t="s">
        <v>2884</v>
      </c>
      <c r="B14734" s="60" t="s">
        <v>1103</v>
      </c>
    </row>
    <row r="14735" ht="12.75" customHeight="1">
      <c r="A14735" s="59" t="s">
        <v>2884</v>
      </c>
      <c r="B14735" s="60" t="s">
        <v>1104</v>
      </c>
    </row>
    <row r="14736" ht="12.75" customHeight="1">
      <c r="A14736" s="59" t="s">
        <v>2884</v>
      </c>
      <c r="B14736" s="60" t="s">
        <v>1105</v>
      </c>
    </row>
    <row r="14737" ht="12.75" customHeight="1">
      <c r="A14737" s="59" t="s">
        <v>2884</v>
      </c>
      <c r="B14737" s="60" t="s">
        <v>1106</v>
      </c>
    </row>
    <row r="14738" ht="12.75" customHeight="1">
      <c r="A14738" s="59" t="s">
        <v>2884</v>
      </c>
      <c r="B14738" s="60" t="s">
        <v>1107</v>
      </c>
    </row>
    <row r="14739" ht="12.75" customHeight="1">
      <c r="A14739" s="59" t="s">
        <v>2884</v>
      </c>
      <c r="B14739" s="60" t="s">
        <v>1108</v>
      </c>
    </row>
    <row r="14740" ht="12.75" customHeight="1">
      <c r="A14740" s="59" t="s">
        <v>2884</v>
      </c>
      <c r="B14740" s="60" t="s">
        <v>1109</v>
      </c>
    </row>
    <row r="14741" ht="12.75" customHeight="1">
      <c r="A14741" s="59" t="s">
        <v>2884</v>
      </c>
      <c r="B14741" s="60" t="s">
        <v>1110</v>
      </c>
    </row>
    <row r="14742" ht="12.75" customHeight="1">
      <c r="A14742" s="59" t="s">
        <v>2884</v>
      </c>
      <c r="B14742" s="60" t="s">
        <v>1111</v>
      </c>
    </row>
    <row r="14743" ht="12.75" customHeight="1">
      <c r="A14743" s="59" t="s">
        <v>2884</v>
      </c>
      <c r="B14743" s="60" t="s">
        <v>1112</v>
      </c>
    </row>
    <row r="14744" ht="12.75" customHeight="1">
      <c r="A14744" s="59" t="s">
        <v>2884</v>
      </c>
      <c r="B14744" s="60" t="s">
        <v>1113</v>
      </c>
    </row>
    <row r="14745" ht="12.75" customHeight="1">
      <c r="A14745" s="59" t="s">
        <v>2884</v>
      </c>
      <c r="B14745" s="60" t="s">
        <v>1114</v>
      </c>
    </row>
    <row r="14746" ht="12.75" customHeight="1">
      <c r="A14746" s="59" t="s">
        <v>2884</v>
      </c>
      <c r="B14746" s="60" t="s">
        <v>1115</v>
      </c>
    </row>
    <row r="14747" ht="12.75" customHeight="1">
      <c r="A14747" s="59" t="s">
        <v>2884</v>
      </c>
      <c r="B14747" s="60" t="s">
        <v>1116</v>
      </c>
    </row>
    <row r="14748" ht="12.75" customHeight="1">
      <c r="A14748" s="59" t="s">
        <v>2884</v>
      </c>
      <c r="B14748" s="60" t="s">
        <v>1117</v>
      </c>
    </row>
    <row r="14749" ht="12.75" customHeight="1">
      <c r="A14749" s="59" t="s">
        <v>2884</v>
      </c>
      <c r="B14749" s="60" t="s">
        <v>1118</v>
      </c>
    </row>
    <row r="14750" ht="12.75" customHeight="1">
      <c r="A14750" s="59" t="s">
        <v>2884</v>
      </c>
      <c r="B14750" s="60" t="s">
        <v>1119</v>
      </c>
    </row>
    <row r="14751" ht="12.75" customHeight="1">
      <c r="A14751" s="59" t="s">
        <v>2884</v>
      </c>
      <c r="B14751" s="60" t="s">
        <v>1120</v>
      </c>
    </row>
    <row r="14752" ht="12.75" customHeight="1">
      <c r="A14752" s="59" t="s">
        <v>2884</v>
      </c>
      <c r="B14752" s="60" t="s">
        <v>1121</v>
      </c>
    </row>
    <row r="14753" ht="12.75" customHeight="1">
      <c r="A14753" s="59" t="s">
        <v>2884</v>
      </c>
      <c r="B14753" s="60" t="s">
        <v>1122</v>
      </c>
    </row>
    <row r="14754" ht="12.75" customHeight="1">
      <c r="A14754" s="59" t="s">
        <v>2884</v>
      </c>
      <c r="B14754" s="60" t="s">
        <v>1123</v>
      </c>
    </row>
    <row r="14755" ht="12.75" customHeight="1">
      <c r="A14755" s="59" t="s">
        <v>2884</v>
      </c>
      <c r="B14755" s="60" t="s">
        <v>1124</v>
      </c>
    </row>
    <row r="14756" ht="12.75" customHeight="1">
      <c r="A14756" s="59" t="s">
        <v>2884</v>
      </c>
      <c r="B14756" s="60" t="s">
        <v>1125</v>
      </c>
    </row>
    <row r="14757" ht="12.75" customHeight="1">
      <c r="A14757" s="59" t="s">
        <v>2884</v>
      </c>
      <c r="B14757" s="60" t="s">
        <v>1126</v>
      </c>
    </row>
    <row r="14758" ht="12.75" customHeight="1">
      <c r="A14758" s="59" t="s">
        <v>2884</v>
      </c>
      <c r="B14758" s="60" t="s">
        <v>1127</v>
      </c>
    </row>
    <row r="14759" ht="12.75" customHeight="1">
      <c r="A14759" s="59" t="s">
        <v>2884</v>
      </c>
      <c r="B14759" s="60" t="s">
        <v>1128</v>
      </c>
    </row>
    <row r="14760" ht="12.75" customHeight="1">
      <c r="A14760" s="59" t="s">
        <v>2884</v>
      </c>
      <c r="B14760" s="60" t="s">
        <v>1129</v>
      </c>
    </row>
    <row r="14761" ht="12.75" customHeight="1">
      <c r="A14761" s="59" t="s">
        <v>2884</v>
      </c>
      <c r="B14761" s="60" t="s">
        <v>1130</v>
      </c>
    </row>
    <row r="14762" ht="12.75" customHeight="1">
      <c r="A14762" s="59" t="s">
        <v>2884</v>
      </c>
      <c r="B14762" s="60" t="s">
        <v>1131</v>
      </c>
    </row>
    <row r="14763" ht="12.75" customHeight="1">
      <c r="A14763" s="59" t="s">
        <v>2884</v>
      </c>
      <c r="B14763" s="60" t="s">
        <v>1132</v>
      </c>
    </row>
    <row r="14764" ht="12.75" customHeight="1">
      <c r="A14764" s="59" t="s">
        <v>2884</v>
      </c>
      <c r="B14764" s="60" t="s">
        <v>1133</v>
      </c>
    </row>
    <row r="14765" ht="12.75" customHeight="1">
      <c r="A14765" s="59" t="s">
        <v>2884</v>
      </c>
      <c r="B14765" s="60" t="s">
        <v>1134</v>
      </c>
    </row>
    <row r="14766" ht="12.75" customHeight="1">
      <c r="A14766" s="59" t="s">
        <v>2884</v>
      </c>
      <c r="B14766" s="60" t="s">
        <v>1135</v>
      </c>
    </row>
    <row r="14767" ht="12.75" customHeight="1">
      <c r="A14767" s="59" t="s">
        <v>2884</v>
      </c>
      <c r="B14767" s="60" t="s">
        <v>1136</v>
      </c>
    </row>
    <row r="14768" ht="12.75" customHeight="1">
      <c r="A14768" s="59" t="s">
        <v>2884</v>
      </c>
      <c r="B14768" s="60" t="s">
        <v>1137</v>
      </c>
    </row>
    <row r="14769" ht="12.75" customHeight="1">
      <c r="A14769" s="59" t="s">
        <v>2884</v>
      </c>
      <c r="B14769" s="60" t="s">
        <v>1138</v>
      </c>
    </row>
    <row r="14770" ht="12.75" customHeight="1">
      <c r="A14770" s="59" t="s">
        <v>2884</v>
      </c>
      <c r="B14770" s="60" t="s">
        <v>1139</v>
      </c>
    </row>
    <row r="14771" ht="12.75" customHeight="1">
      <c r="A14771" s="59" t="s">
        <v>2884</v>
      </c>
      <c r="B14771" s="60" t="s">
        <v>1140</v>
      </c>
    </row>
    <row r="14772" ht="12.75" customHeight="1">
      <c r="A14772" s="59" t="s">
        <v>2884</v>
      </c>
      <c r="B14772" s="60" t="s">
        <v>1141</v>
      </c>
    </row>
    <row r="14773" ht="12.75" customHeight="1">
      <c r="A14773" s="59" t="s">
        <v>2884</v>
      </c>
      <c r="B14773" s="60" t="s">
        <v>1142</v>
      </c>
    </row>
    <row r="14774" ht="12.75" customHeight="1">
      <c r="A14774" s="59" t="s">
        <v>2884</v>
      </c>
      <c r="B14774" s="60" t="s">
        <v>1143</v>
      </c>
    </row>
    <row r="14775" ht="12.75" customHeight="1">
      <c r="A14775" s="59" t="s">
        <v>2884</v>
      </c>
      <c r="B14775" s="60" t="s">
        <v>1144</v>
      </c>
    </row>
    <row r="14776" ht="12.75" customHeight="1">
      <c r="A14776" s="59" t="s">
        <v>2884</v>
      </c>
      <c r="B14776" s="60" t="s">
        <v>1145</v>
      </c>
    </row>
    <row r="14777" ht="12.75" customHeight="1">
      <c r="A14777" s="59" t="s">
        <v>2884</v>
      </c>
      <c r="B14777" s="60" t="s">
        <v>1146</v>
      </c>
    </row>
    <row r="14778" ht="12.75" customHeight="1">
      <c r="A14778" s="59" t="s">
        <v>2884</v>
      </c>
      <c r="B14778" s="60" t="s">
        <v>1147</v>
      </c>
    </row>
    <row r="14779" ht="12.75" customHeight="1">
      <c r="A14779" s="59" t="s">
        <v>2884</v>
      </c>
      <c r="B14779" s="60" t="s">
        <v>1148</v>
      </c>
    </row>
    <row r="14780" ht="12.75" customHeight="1">
      <c r="A14780" s="59" t="s">
        <v>2884</v>
      </c>
      <c r="B14780" s="60" t="s">
        <v>1149</v>
      </c>
    </row>
    <row r="14781" ht="12.75" customHeight="1">
      <c r="A14781" s="59" t="s">
        <v>2884</v>
      </c>
      <c r="B14781" s="60" t="s">
        <v>1150</v>
      </c>
    </row>
    <row r="14782" ht="12.75" customHeight="1">
      <c r="A14782" s="59" t="s">
        <v>2884</v>
      </c>
      <c r="B14782" s="60" t="s">
        <v>1151</v>
      </c>
    </row>
    <row r="14783" ht="12.75" customHeight="1">
      <c r="A14783" s="59" t="s">
        <v>2884</v>
      </c>
      <c r="B14783" s="60" t="s">
        <v>1152</v>
      </c>
    </row>
    <row r="14784" ht="12.75" customHeight="1">
      <c r="A14784" s="59" t="s">
        <v>2884</v>
      </c>
      <c r="B14784" s="60" t="s">
        <v>1153</v>
      </c>
    </row>
    <row r="14785" ht="12.75" customHeight="1">
      <c r="A14785" s="59" t="s">
        <v>2884</v>
      </c>
      <c r="B14785" s="60" t="s">
        <v>1154</v>
      </c>
    </row>
    <row r="14786" ht="12.75" customHeight="1">
      <c r="A14786" s="59" t="s">
        <v>2884</v>
      </c>
      <c r="B14786" s="60" t="s">
        <v>1155</v>
      </c>
    </row>
    <row r="14787" ht="12.75" customHeight="1">
      <c r="A14787" s="59" t="s">
        <v>2884</v>
      </c>
      <c r="B14787" s="60" t="s">
        <v>1156</v>
      </c>
    </row>
    <row r="14788" ht="12.75" customHeight="1">
      <c r="A14788" s="59" t="s">
        <v>2884</v>
      </c>
      <c r="B14788" s="60" t="s">
        <v>1157</v>
      </c>
    </row>
    <row r="14789" ht="12.75" customHeight="1">
      <c r="A14789" s="59" t="s">
        <v>2884</v>
      </c>
      <c r="B14789" s="60" t="s">
        <v>1158</v>
      </c>
    </row>
    <row r="14790" ht="12.75" customHeight="1">
      <c r="A14790" s="59" t="s">
        <v>2884</v>
      </c>
      <c r="B14790" s="60" t="s">
        <v>1159</v>
      </c>
    </row>
    <row r="14791" ht="12.75" customHeight="1">
      <c r="A14791" s="59" t="s">
        <v>2884</v>
      </c>
      <c r="B14791" s="60" t="s">
        <v>1160</v>
      </c>
    </row>
    <row r="14792" ht="12.75" customHeight="1">
      <c r="A14792" s="59" t="s">
        <v>2884</v>
      </c>
      <c r="B14792" s="60" t="s">
        <v>1161</v>
      </c>
    </row>
    <row r="14793" ht="12.75" customHeight="1">
      <c r="A14793" s="59" t="s">
        <v>2884</v>
      </c>
      <c r="B14793" s="60" t="s">
        <v>1162</v>
      </c>
    </row>
    <row r="14794" ht="12.75" customHeight="1">
      <c r="A14794" s="59" t="s">
        <v>2884</v>
      </c>
      <c r="B14794" s="60" t="s">
        <v>1163</v>
      </c>
    </row>
    <row r="14795" ht="12.75" customHeight="1">
      <c r="A14795" s="59" t="s">
        <v>2884</v>
      </c>
      <c r="B14795" s="60" t="s">
        <v>1164</v>
      </c>
    </row>
    <row r="14796" ht="12.75" customHeight="1">
      <c r="A14796" s="59" t="s">
        <v>2884</v>
      </c>
      <c r="B14796" s="60" t="s">
        <v>1165</v>
      </c>
    </row>
    <row r="14797" ht="12.75" customHeight="1">
      <c r="A14797" s="59" t="s">
        <v>2884</v>
      </c>
      <c r="B14797" s="60" t="s">
        <v>1166</v>
      </c>
    </row>
    <row r="14798" ht="12.75" customHeight="1">
      <c r="A14798" s="59" t="s">
        <v>2884</v>
      </c>
      <c r="B14798" s="60" t="s">
        <v>1167</v>
      </c>
    </row>
    <row r="14799" ht="12.75" customHeight="1">
      <c r="A14799" s="59" t="s">
        <v>2884</v>
      </c>
      <c r="B14799" s="60" t="s">
        <v>1168</v>
      </c>
    </row>
    <row r="14800" ht="12.75" customHeight="1">
      <c r="A14800" s="59" t="s">
        <v>2884</v>
      </c>
      <c r="B14800" s="60" t="s">
        <v>1169</v>
      </c>
    </row>
    <row r="14801" ht="12.75" customHeight="1">
      <c r="A14801" s="59" t="s">
        <v>2884</v>
      </c>
      <c r="B14801" s="60" t="s">
        <v>1170</v>
      </c>
    </row>
    <row r="14802" ht="12.75" customHeight="1">
      <c r="A14802" s="59" t="s">
        <v>2884</v>
      </c>
      <c r="B14802" s="60" t="s">
        <v>1171</v>
      </c>
    </row>
    <row r="14803" ht="12.75" customHeight="1">
      <c r="A14803" s="59" t="s">
        <v>2884</v>
      </c>
      <c r="B14803" s="60" t="s">
        <v>1172</v>
      </c>
    </row>
    <row r="14804" ht="12.75" customHeight="1">
      <c r="A14804" s="59" t="s">
        <v>2884</v>
      </c>
      <c r="B14804" s="60" t="s">
        <v>1173</v>
      </c>
    </row>
    <row r="14805" ht="12.75" customHeight="1">
      <c r="A14805" s="59" t="s">
        <v>2884</v>
      </c>
      <c r="B14805" s="60" t="s">
        <v>1174</v>
      </c>
    </row>
    <row r="14806" ht="12.75" customHeight="1">
      <c r="A14806" s="59" t="s">
        <v>2884</v>
      </c>
      <c r="B14806" s="60" t="s">
        <v>1175</v>
      </c>
    </row>
    <row r="14807" ht="12.75" customHeight="1">
      <c r="A14807" s="59" t="s">
        <v>2884</v>
      </c>
      <c r="B14807" s="60" t="s">
        <v>1176</v>
      </c>
    </row>
    <row r="14808" ht="12.75" customHeight="1">
      <c r="A14808" s="59" t="s">
        <v>2884</v>
      </c>
      <c r="B14808" s="60" t="s">
        <v>1177</v>
      </c>
    </row>
    <row r="14809" ht="12.75" customHeight="1">
      <c r="A14809" s="59" t="s">
        <v>2884</v>
      </c>
      <c r="B14809" s="60" t="s">
        <v>1178</v>
      </c>
    </row>
    <row r="14810" ht="12.75" customHeight="1">
      <c r="A14810" s="59" t="s">
        <v>2884</v>
      </c>
      <c r="B14810" s="60" t="s">
        <v>1179</v>
      </c>
    </row>
    <row r="14811" ht="12.75" customHeight="1">
      <c r="A14811" s="59" t="s">
        <v>2884</v>
      </c>
      <c r="B14811" s="60" t="s">
        <v>1180</v>
      </c>
    </row>
    <row r="14812" ht="12.75" customHeight="1">
      <c r="A14812" s="59" t="s">
        <v>2884</v>
      </c>
      <c r="B14812" s="60" t="s">
        <v>1181</v>
      </c>
    </row>
    <row r="14813" ht="12.75" customHeight="1">
      <c r="A14813" s="59" t="s">
        <v>2884</v>
      </c>
      <c r="B14813" s="60" t="s">
        <v>1182</v>
      </c>
    </row>
    <row r="14814" ht="12.75" customHeight="1">
      <c r="A14814" s="59" t="s">
        <v>2884</v>
      </c>
      <c r="B14814" s="60" t="s">
        <v>1183</v>
      </c>
    </row>
    <row r="14815" ht="12.75" customHeight="1">
      <c r="A14815" s="59" t="s">
        <v>2884</v>
      </c>
      <c r="B14815" s="60" t="s">
        <v>1184</v>
      </c>
    </row>
    <row r="14816" ht="12.75" customHeight="1">
      <c r="A14816" s="59" t="s">
        <v>2884</v>
      </c>
      <c r="B14816" s="60" t="s">
        <v>1185</v>
      </c>
    </row>
    <row r="14817" ht="12.75" customHeight="1">
      <c r="A14817" s="59" t="s">
        <v>2884</v>
      </c>
      <c r="B14817" s="60" t="s">
        <v>1186</v>
      </c>
    </row>
    <row r="14818" ht="12.75" customHeight="1">
      <c r="A14818" s="59" t="s">
        <v>2884</v>
      </c>
      <c r="B14818" s="60" t="s">
        <v>1187</v>
      </c>
    </row>
    <row r="14819" ht="12.75" customHeight="1">
      <c r="A14819" s="59" t="s">
        <v>2884</v>
      </c>
      <c r="B14819" s="60" t="s">
        <v>1188</v>
      </c>
    </row>
    <row r="14820" ht="12.75" customHeight="1">
      <c r="A14820" s="59" t="s">
        <v>2884</v>
      </c>
      <c r="B14820" s="60" t="s">
        <v>1189</v>
      </c>
    </row>
    <row r="14821" ht="12.75" customHeight="1">
      <c r="A14821" s="59" t="s">
        <v>2884</v>
      </c>
      <c r="B14821" s="60" t="s">
        <v>1190</v>
      </c>
    </row>
    <row r="14822" ht="12.75" customHeight="1">
      <c r="A14822" s="59" t="s">
        <v>2884</v>
      </c>
      <c r="B14822" s="60" t="s">
        <v>1191</v>
      </c>
    </row>
    <row r="14823" ht="12.75" customHeight="1">
      <c r="A14823" s="59" t="s">
        <v>2884</v>
      </c>
      <c r="B14823" s="60" t="s">
        <v>1192</v>
      </c>
    </row>
    <row r="14824" ht="12.75" customHeight="1">
      <c r="A14824" s="59" t="s">
        <v>2885</v>
      </c>
      <c r="B14824" s="60" t="s">
        <v>745</v>
      </c>
    </row>
    <row r="14825" ht="12.75" customHeight="1">
      <c r="A14825" s="59" t="s">
        <v>2885</v>
      </c>
      <c r="B14825" s="60" t="s">
        <v>746</v>
      </c>
    </row>
    <row r="14826" ht="12.75" customHeight="1">
      <c r="A14826" s="59" t="s">
        <v>2885</v>
      </c>
      <c r="B14826" s="60" t="s">
        <v>747</v>
      </c>
    </row>
    <row r="14827" ht="12.75" customHeight="1">
      <c r="A14827" s="59" t="s">
        <v>2885</v>
      </c>
      <c r="B14827" s="60" t="s">
        <v>748</v>
      </c>
    </row>
    <row r="14828" ht="12.75" customHeight="1">
      <c r="A14828" s="59" t="s">
        <v>2870</v>
      </c>
      <c r="B14828" s="60" t="s">
        <v>804</v>
      </c>
    </row>
    <row r="14829" ht="12.75" customHeight="1">
      <c r="A14829" s="59" t="s">
        <v>2870</v>
      </c>
      <c r="B14829" s="60" t="s">
        <v>76</v>
      </c>
    </row>
    <row r="14830" ht="12.75" customHeight="1">
      <c r="A14830" s="59" t="s">
        <v>2870</v>
      </c>
      <c r="B14830" s="60" t="s">
        <v>80</v>
      </c>
    </row>
    <row r="14831" ht="12.75" customHeight="1">
      <c r="A14831" s="59" t="s">
        <v>2870</v>
      </c>
      <c r="B14831" s="60" t="s">
        <v>83</v>
      </c>
    </row>
    <row r="14832" ht="12.75" customHeight="1">
      <c r="A14832" s="59" t="s">
        <v>2870</v>
      </c>
      <c r="B14832" s="60" t="s">
        <v>85</v>
      </c>
    </row>
    <row r="14833" ht="12.75" customHeight="1">
      <c r="A14833" s="59" t="s">
        <v>2870</v>
      </c>
      <c r="B14833" s="60">
        <v>28.0</v>
      </c>
    </row>
    <row r="14834" ht="12.75" customHeight="1">
      <c r="A14834" s="59" t="s">
        <v>2870</v>
      </c>
      <c r="B14834" s="60">
        <v>29.0</v>
      </c>
    </row>
    <row r="14835" ht="12.75" customHeight="1">
      <c r="A14835" s="59" t="s">
        <v>2870</v>
      </c>
      <c r="B14835" s="60">
        <v>30.0</v>
      </c>
    </row>
    <row r="14836" ht="12.75" customHeight="1">
      <c r="A14836" s="59" t="s">
        <v>2870</v>
      </c>
      <c r="B14836" s="60">
        <v>31.0</v>
      </c>
    </row>
    <row r="14837" ht="12.75" customHeight="1">
      <c r="A14837" s="59" t="s">
        <v>2870</v>
      </c>
      <c r="B14837" s="60">
        <v>32.0</v>
      </c>
    </row>
    <row r="14838" ht="12.75" customHeight="1">
      <c r="A14838" s="59" t="s">
        <v>2870</v>
      </c>
      <c r="B14838" s="60">
        <v>33.0</v>
      </c>
    </row>
    <row r="14839" ht="12.75" customHeight="1">
      <c r="A14839" s="59" t="s">
        <v>2870</v>
      </c>
      <c r="B14839" s="60">
        <v>34.0</v>
      </c>
    </row>
    <row r="14840" ht="12.75" customHeight="1">
      <c r="A14840" s="59" t="s">
        <v>2870</v>
      </c>
      <c r="B14840" s="60">
        <v>35.0</v>
      </c>
    </row>
    <row r="14841" ht="12.75" customHeight="1">
      <c r="A14841" s="59" t="s">
        <v>2870</v>
      </c>
      <c r="B14841" s="60">
        <v>36.0</v>
      </c>
    </row>
    <row r="14842" ht="12.75" customHeight="1">
      <c r="A14842" s="59" t="s">
        <v>2870</v>
      </c>
      <c r="B14842" s="60">
        <v>37.0</v>
      </c>
    </row>
    <row r="14843" ht="12.75" customHeight="1">
      <c r="A14843" s="59" t="s">
        <v>2870</v>
      </c>
      <c r="B14843" s="60">
        <v>38.0</v>
      </c>
    </row>
    <row r="14844" ht="12.75" customHeight="1">
      <c r="A14844" s="59" t="s">
        <v>2870</v>
      </c>
      <c r="B14844" s="60">
        <v>39.0</v>
      </c>
    </row>
    <row r="14845" ht="12.75" customHeight="1">
      <c r="A14845" s="59" t="s">
        <v>2870</v>
      </c>
      <c r="B14845" s="60">
        <v>40.0</v>
      </c>
    </row>
    <row r="14846" ht="12.75" customHeight="1">
      <c r="A14846" s="59" t="s">
        <v>2870</v>
      </c>
      <c r="B14846" s="60" t="s">
        <v>810</v>
      </c>
    </row>
    <row r="14847" ht="12.75" customHeight="1">
      <c r="A14847" s="59" t="s">
        <v>2870</v>
      </c>
      <c r="B14847" s="60" t="s">
        <v>811</v>
      </c>
    </row>
    <row r="14848" ht="12.75" customHeight="1">
      <c r="A14848" s="59" t="s">
        <v>2870</v>
      </c>
      <c r="B14848" s="60" t="s">
        <v>812</v>
      </c>
    </row>
    <row r="14849" ht="12.75" customHeight="1">
      <c r="A14849" s="59" t="s">
        <v>2870</v>
      </c>
      <c r="B14849" s="60" t="s">
        <v>813</v>
      </c>
    </row>
    <row r="14850" ht="12.75" customHeight="1">
      <c r="A14850" s="59" t="s">
        <v>2870</v>
      </c>
      <c r="B14850" s="60" t="s">
        <v>814</v>
      </c>
    </row>
    <row r="14851" ht="12.75" customHeight="1">
      <c r="A14851" s="59" t="s">
        <v>2870</v>
      </c>
      <c r="B14851" s="60" t="s">
        <v>1952</v>
      </c>
    </row>
    <row r="14852" ht="12.75" customHeight="1">
      <c r="A14852" s="59" t="s">
        <v>2870</v>
      </c>
      <c r="B14852" s="60" t="s">
        <v>1953</v>
      </c>
    </row>
    <row r="14853" ht="12.75" customHeight="1">
      <c r="A14853" s="59" t="s">
        <v>2870</v>
      </c>
      <c r="B14853" s="60" t="s">
        <v>1954</v>
      </c>
    </row>
    <row r="14854" ht="12.75" customHeight="1">
      <c r="A14854" s="59" t="s">
        <v>2870</v>
      </c>
      <c r="B14854" s="60" t="s">
        <v>1955</v>
      </c>
    </row>
    <row r="14855" ht="12.75" customHeight="1">
      <c r="A14855" s="59" t="s">
        <v>2870</v>
      </c>
      <c r="B14855" s="60" t="s">
        <v>1956</v>
      </c>
    </row>
    <row r="14856" ht="12.75" customHeight="1">
      <c r="A14856" s="59" t="s">
        <v>2870</v>
      </c>
      <c r="B14856" s="60" t="s">
        <v>1957</v>
      </c>
    </row>
    <row r="14857" ht="12.75" customHeight="1">
      <c r="A14857" s="59" t="s">
        <v>2870</v>
      </c>
      <c r="B14857" s="60" t="s">
        <v>1958</v>
      </c>
    </row>
    <row r="14858" ht="12.75" customHeight="1">
      <c r="A14858" s="59" t="s">
        <v>2870</v>
      </c>
      <c r="B14858" s="60" t="s">
        <v>1959</v>
      </c>
    </row>
    <row r="14859" ht="12.75" customHeight="1">
      <c r="A14859" s="59" t="s">
        <v>2870</v>
      </c>
      <c r="B14859" s="60" t="s">
        <v>1960</v>
      </c>
    </row>
    <row r="14860" ht="12.75" customHeight="1">
      <c r="A14860" s="59" t="s">
        <v>2870</v>
      </c>
      <c r="B14860" s="60" t="s">
        <v>1961</v>
      </c>
    </row>
    <row r="14861" ht="12.75" customHeight="1">
      <c r="A14861" s="59" t="s">
        <v>2870</v>
      </c>
      <c r="B14861" s="60" t="s">
        <v>1962</v>
      </c>
    </row>
    <row r="14862" ht="12.75" customHeight="1">
      <c r="A14862" s="59" t="s">
        <v>2870</v>
      </c>
      <c r="B14862" s="60" t="s">
        <v>1963</v>
      </c>
    </row>
    <row r="14863" ht="12.75" customHeight="1">
      <c r="A14863" s="59" t="s">
        <v>2870</v>
      </c>
      <c r="B14863" s="60" t="s">
        <v>1964</v>
      </c>
    </row>
    <row r="14864" ht="12.75" customHeight="1">
      <c r="A14864" s="59" t="s">
        <v>2870</v>
      </c>
      <c r="B14864" s="60" t="s">
        <v>820</v>
      </c>
    </row>
    <row r="14865" ht="12.75" customHeight="1">
      <c r="A14865" s="59" t="s">
        <v>2870</v>
      </c>
      <c r="B14865" s="60" t="s">
        <v>821</v>
      </c>
    </row>
    <row r="14866" ht="12.75" customHeight="1">
      <c r="A14866" s="59" t="s">
        <v>2870</v>
      </c>
      <c r="B14866" s="60" t="s">
        <v>822</v>
      </c>
    </row>
    <row r="14867" ht="12.75" customHeight="1">
      <c r="A14867" s="59" t="s">
        <v>2870</v>
      </c>
      <c r="B14867" s="60" t="s">
        <v>823</v>
      </c>
    </row>
    <row r="14868" ht="12.75" customHeight="1">
      <c r="A14868" s="59" t="s">
        <v>2870</v>
      </c>
      <c r="B14868" s="60" t="s">
        <v>824</v>
      </c>
    </row>
    <row r="14869" ht="12.75" customHeight="1">
      <c r="A14869" s="59" t="s">
        <v>2870</v>
      </c>
      <c r="B14869" s="60" t="s">
        <v>875</v>
      </c>
    </row>
    <row r="14870" ht="12.75" customHeight="1">
      <c r="A14870" s="59" t="s">
        <v>2870</v>
      </c>
      <c r="B14870" s="60" t="s">
        <v>1205</v>
      </c>
    </row>
    <row r="14871" ht="12.75" customHeight="1">
      <c r="A14871" s="59" t="s">
        <v>2870</v>
      </c>
      <c r="B14871" s="60" t="s">
        <v>876</v>
      </c>
    </row>
    <row r="14872" ht="12.75" customHeight="1">
      <c r="A14872" s="59" t="s">
        <v>2870</v>
      </c>
      <c r="B14872" s="60" t="s">
        <v>1206</v>
      </c>
    </row>
    <row r="14873" ht="12.75" customHeight="1">
      <c r="A14873" s="59" t="s">
        <v>2870</v>
      </c>
      <c r="B14873" s="60" t="s">
        <v>877</v>
      </c>
    </row>
    <row r="14874" ht="12.75" customHeight="1">
      <c r="A14874" s="59" t="s">
        <v>2870</v>
      </c>
      <c r="B14874" s="60" t="s">
        <v>1230</v>
      </c>
    </row>
    <row r="14875" ht="12.75" customHeight="1">
      <c r="A14875" s="59" t="s">
        <v>2870</v>
      </c>
      <c r="B14875" s="60" t="s">
        <v>878</v>
      </c>
    </row>
    <row r="14876" ht="12.75" customHeight="1">
      <c r="A14876" s="59" t="s">
        <v>2870</v>
      </c>
      <c r="B14876" s="60" t="s">
        <v>1966</v>
      </c>
    </row>
    <row r="14877" ht="12.75" customHeight="1">
      <c r="A14877" s="59" t="s">
        <v>2870</v>
      </c>
      <c r="B14877" s="60" t="s">
        <v>879</v>
      </c>
    </row>
    <row r="14878" ht="12.75" customHeight="1">
      <c r="A14878" s="59" t="s">
        <v>2870</v>
      </c>
      <c r="B14878" s="60" t="s">
        <v>1967</v>
      </c>
    </row>
    <row r="14879" ht="12.75" customHeight="1">
      <c r="A14879" s="59" t="s">
        <v>2870</v>
      </c>
      <c r="B14879" s="60" t="s">
        <v>880</v>
      </c>
    </row>
    <row r="14880" ht="12.75" customHeight="1">
      <c r="A14880" s="59" t="s">
        <v>2870</v>
      </c>
      <c r="B14880" s="60" t="s">
        <v>1968</v>
      </c>
    </row>
    <row r="14881" ht="12.75" customHeight="1">
      <c r="A14881" s="59" t="s">
        <v>2870</v>
      </c>
      <c r="B14881" s="60" t="s">
        <v>1969</v>
      </c>
    </row>
    <row r="14882" ht="12.75" customHeight="1">
      <c r="A14882" s="59" t="s">
        <v>2870</v>
      </c>
      <c r="B14882" s="60" t="s">
        <v>830</v>
      </c>
    </row>
    <row r="14883" ht="12.75" customHeight="1">
      <c r="A14883" s="59" t="s">
        <v>2870</v>
      </c>
      <c r="B14883" s="60" t="s">
        <v>831</v>
      </c>
    </row>
    <row r="14884" ht="12.75" customHeight="1">
      <c r="A14884" s="59" t="s">
        <v>2870</v>
      </c>
      <c r="B14884" s="60" t="s">
        <v>832</v>
      </c>
    </row>
    <row r="14885" ht="12.75" customHeight="1">
      <c r="A14885" s="59" t="s">
        <v>2870</v>
      </c>
      <c r="B14885" s="60" t="s">
        <v>833</v>
      </c>
    </row>
    <row r="14886" ht="12.75" customHeight="1">
      <c r="A14886" s="59" t="s">
        <v>2870</v>
      </c>
      <c r="B14886" s="60" t="s">
        <v>834</v>
      </c>
    </row>
    <row r="14887" ht="12.75" customHeight="1">
      <c r="A14887" s="59" t="s">
        <v>2870</v>
      </c>
      <c r="B14887" s="60" t="s">
        <v>894</v>
      </c>
    </row>
    <row r="14888" ht="12.75" customHeight="1">
      <c r="A14888" s="59" t="s">
        <v>2870</v>
      </c>
      <c r="B14888" s="60" t="s">
        <v>1211</v>
      </c>
    </row>
    <row r="14889" ht="12.75" customHeight="1">
      <c r="A14889" s="59" t="s">
        <v>2870</v>
      </c>
      <c r="B14889" s="60" t="s">
        <v>895</v>
      </c>
    </row>
    <row r="14890" ht="12.75" customHeight="1">
      <c r="A14890" s="59" t="s">
        <v>2870</v>
      </c>
      <c r="B14890" s="60" t="s">
        <v>1212</v>
      </c>
    </row>
    <row r="14891" ht="12.75" customHeight="1">
      <c r="A14891" s="59" t="s">
        <v>2870</v>
      </c>
      <c r="B14891" s="60" t="s">
        <v>896</v>
      </c>
    </row>
    <row r="14892" ht="12.75" customHeight="1">
      <c r="A14892" s="59" t="s">
        <v>2870</v>
      </c>
      <c r="B14892" s="60" t="s">
        <v>1239</v>
      </c>
    </row>
    <row r="14893" ht="12.75" customHeight="1">
      <c r="A14893" s="59" t="s">
        <v>2870</v>
      </c>
      <c r="B14893" s="60" t="s">
        <v>897</v>
      </c>
    </row>
    <row r="14894" ht="12.75" customHeight="1">
      <c r="A14894" s="59" t="s">
        <v>2870</v>
      </c>
      <c r="B14894" s="60" t="s">
        <v>1971</v>
      </c>
    </row>
    <row r="14895" ht="12.75" customHeight="1">
      <c r="A14895" s="59" t="s">
        <v>2870</v>
      </c>
      <c r="B14895" s="60" t="s">
        <v>898</v>
      </c>
    </row>
    <row r="14896" ht="12.75" customHeight="1">
      <c r="A14896" s="59" t="s">
        <v>2870</v>
      </c>
      <c r="B14896" s="60" t="s">
        <v>1972</v>
      </c>
    </row>
    <row r="14897" ht="12.75" customHeight="1">
      <c r="A14897" s="59" t="s">
        <v>2870</v>
      </c>
      <c r="B14897" s="60" t="s">
        <v>899</v>
      </c>
    </row>
    <row r="14898" ht="12.75" customHeight="1">
      <c r="A14898" s="59" t="s">
        <v>2870</v>
      </c>
      <c r="B14898" s="60" t="s">
        <v>1973</v>
      </c>
    </row>
    <row r="14899" ht="12.75" customHeight="1">
      <c r="A14899" s="59" t="s">
        <v>2870</v>
      </c>
      <c r="B14899" s="60" t="s">
        <v>1974</v>
      </c>
    </row>
    <row r="14900" ht="12.75" customHeight="1">
      <c r="A14900" s="59" t="s">
        <v>2870</v>
      </c>
      <c r="B14900" s="60" t="s">
        <v>845</v>
      </c>
    </row>
    <row r="14901" ht="12.75" customHeight="1">
      <c r="A14901" s="59" t="s">
        <v>2870</v>
      </c>
      <c r="B14901" s="60" t="s">
        <v>2291</v>
      </c>
    </row>
    <row r="14902" ht="12.75" customHeight="1">
      <c r="A14902" s="59" t="s">
        <v>2870</v>
      </c>
      <c r="B14902" s="60" t="s">
        <v>2292</v>
      </c>
    </row>
    <row r="14903" ht="12.75" customHeight="1">
      <c r="A14903" s="59" t="s">
        <v>2870</v>
      </c>
      <c r="B14903" s="60" t="s">
        <v>2293</v>
      </c>
    </row>
    <row r="14904" ht="12.75" customHeight="1">
      <c r="A14904" s="59" t="s">
        <v>2870</v>
      </c>
      <c r="B14904" s="60" t="s">
        <v>2294</v>
      </c>
    </row>
    <row r="14905" ht="12.75" customHeight="1">
      <c r="A14905" s="59" t="s">
        <v>2870</v>
      </c>
      <c r="B14905" s="60" t="s">
        <v>2295</v>
      </c>
    </row>
    <row r="14906" ht="12.75" customHeight="1">
      <c r="A14906" s="59" t="s">
        <v>2870</v>
      </c>
      <c r="B14906" s="60" t="s">
        <v>2296</v>
      </c>
    </row>
    <row r="14907" ht="12.75" customHeight="1">
      <c r="A14907" s="59" t="s">
        <v>2870</v>
      </c>
      <c r="B14907" s="60" t="s">
        <v>2297</v>
      </c>
    </row>
    <row r="14908" ht="12.75" customHeight="1">
      <c r="A14908" s="59" t="s">
        <v>2870</v>
      </c>
      <c r="B14908" s="60" t="s">
        <v>2298</v>
      </c>
    </row>
    <row r="14909" ht="12.75" customHeight="1">
      <c r="A14909" s="59" t="s">
        <v>2870</v>
      </c>
      <c r="B14909" s="60" t="s">
        <v>2299</v>
      </c>
    </row>
    <row r="14910" ht="12.75" customHeight="1">
      <c r="A14910" s="59" t="s">
        <v>2870</v>
      </c>
      <c r="B14910" s="60" t="s">
        <v>2300</v>
      </c>
    </row>
    <row r="14911" ht="12.75" customHeight="1">
      <c r="A14911" s="59" t="s">
        <v>2870</v>
      </c>
      <c r="B14911" s="60" t="s">
        <v>2301</v>
      </c>
    </row>
    <row r="14912" ht="12.75" customHeight="1">
      <c r="A14912" s="59" t="s">
        <v>2870</v>
      </c>
      <c r="B14912" s="60" t="s">
        <v>2335</v>
      </c>
    </row>
    <row r="14913" ht="12.75" customHeight="1">
      <c r="A14913" s="59" t="s">
        <v>2870</v>
      </c>
      <c r="B14913" s="60" t="s">
        <v>2336</v>
      </c>
    </row>
    <row r="14914" ht="12.75" customHeight="1">
      <c r="A14914" s="59" t="s">
        <v>2870</v>
      </c>
      <c r="B14914" s="60" t="s">
        <v>2337</v>
      </c>
    </row>
    <row r="14915" ht="12.75" customHeight="1">
      <c r="A14915" s="59" t="s">
        <v>2870</v>
      </c>
      <c r="B14915" s="60" t="s">
        <v>2338</v>
      </c>
    </row>
    <row r="14916" ht="12.75" customHeight="1">
      <c r="A14916" s="59" t="s">
        <v>2870</v>
      </c>
      <c r="B14916" s="60" t="s">
        <v>2339</v>
      </c>
    </row>
    <row r="14917" ht="12.75" customHeight="1">
      <c r="A14917" s="59" t="s">
        <v>2870</v>
      </c>
      <c r="B14917" s="60">
        <v>41.0</v>
      </c>
    </row>
    <row r="14918" ht="12.75" customHeight="1">
      <c r="A14918" s="59" t="s">
        <v>2870</v>
      </c>
      <c r="B14918" s="60">
        <v>42.0</v>
      </c>
    </row>
    <row r="14919" ht="12.75" customHeight="1">
      <c r="A14919" s="59" t="s">
        <v>2870</v>
      </c>
      <c r="B14919" s="60">
        <v>43.0</v>
      </c>
    </row>
    <row r="14920" ht="12.75" customHeight="1">
      <c r="A14920" s="59" t="s">
        <v>2870</v>
      </c>
      <c r="B14920" s="60">
        <v>44.0</v>
      </c>
    </row>
    <row r="14921" ht="12.75" customHeight="1">
      <c r="A14921" s="59" t="s">
        <v>2870</v>
      </c>
      <c r="B14921" s="60">
        <v>46.0</v>
      </c>
    </row>
    <row r="14922" ht="12.75" customHeight="1">
      <c r="A14922" s="59" t="s">
        <v>2870</v>
      </c>
      <c r="B14922" s="60">
        <v>48.0</v>
      </c>
    </row>
    <row r="14923" ht="12.75" customHeight="1">
      <c r="A14923" s="59" t="s">
        <v>2870</v>
      </c>
      <c r="B14923" s="60">
        <v>50.0</v>
      </c>
    </row>
    <row r="14924" ht="12.75" customHeight="1">
      <c r="A14924" s="59" t="s">
        <v>2870</v>
      </c>
      <c r="B14924" s="60">
        <v>52.0</v>
      </c>
    </row>
    <row r="14925" ht="12.75" customHeight="1">
      <c r="A14925" s="59" t="s">
        <v>2870</v>
      </c>
      <c r="B14925" s="60">
        <v>54.0</v>
      </c>
    </row>
    <row r="14926" ht="12.75" customHeight="1">
      <c r="A14926" s="59" t="s">
        <v>2870</v>
      </c>
      <c r="B14926" s="60">
        <v>56.0</v>
      </c>
    </row>
    <row r="14927" ht="12.75" customHeight="1">
      <c r="A14927" s="59" t="s">
        <v>2870</v>
      </c>
      <c r="B14927" s="60">
        <v>58.0</v>
      </c>
    </row>
    <row r="14928" ht="12.75" customHeight="1">
      <c r="A14928" s="59" t="s">
        <v>2870</v>
      </c>
      <c r="B14928" s="60">
        <v>60.0</v>
      </c>
    </row>
    <row r="14929" ht="12.75" customHeight="1">
      <c r="A14929" s="59" t="s">
        <v>2870</v>
      </c>
      <c r="B14929" s="60" t="s">
        <v>862</v>
      </c>
    </row>
    <row r="14930" ht="12.75" customHeight="1">
      <c r="A14930" s="59" t="s">
        <v>2870</v>
      </c>
      <c r="B14930" s="60" t="s">
        <v>2302</v>
      </c>
    </row>
    <row r="14931" ht="12.75" customHeight="1">
      <c r="A14931" s="59" t="s">
        <v>2870</v>
      </c>
      <c r="B14931" s="60" t="s">
        <v>2303</v>
      </c>
    </row>
    <row r="14932" ht="12.75" customHeight="1">
      <c r="A14932" s="59" t="s">
        <v>2870</v>
      </c>
      <c r="B14932" s="60" t="s">
        <v>2304</v>
      </c>
    </row>
    <row r="14933" ht="12.75" customHeight="1">
      <c r="A14933" s="59" t="s">
        <v>2870</v>
      </c>
      <c r="B14933" s="60" t="s">
        <v>2305</v>
      </c>
    </row>
    <row r="14934" ht="12.75" customHeight="1">
      <c r="A14934" s="59" t="s">
        <v>2870</v>
      </c>
      <c r="B14934" s="60" t="s">
        <v>2306</v>
      </c>
    </row>
    <row r="14935" ht="12.75" customHeight="1">
      <c r="A14935" s="59" t="s">
        <v>2870</v>
      </c>
      <c r="B14935" s="60" t="s">
        <v>2307</v>
      </c>
    </row>
    <row r="14936" ht="12.75" customHeight="1">
      <c r="A14936" s="59" t="s">
        <v>2870</v>
      </c>
      <c r="B14936" s="60" t="s">
        <v>2308</v>
      </c>
    </row>
    <row r="14937" ht="12.75" customHeight="1">
      <c r="A14937" s="59" t="s">
        <v>2870</v>
      </c>
      <c r="B14937" s="60" t="s">
        <v>2309</v>
      </c>
    </row>
    <row r="14938" ht="12.75" customHeight="1">
      <c r="A14938" s="59" t="s">
        <v>2870</v>
      </c>
      <c r="B14938" s="60" t="s">
        <v>2310</v>
      </c>
    </row>
    <row r="14939" ht="12.75" customHeight="1">
      <c r="A14939" s="59" t="s">
        <v>2870</v>
      </c>
      <c r="B14939" s="60" t="s">
        <v>2311</v>
      </c>
    </row>
    <row r="14940" ht="12.75" customHeight="1">
      <c r="A14940" s="59" t="s">
        <v>2870</v>
      </c>
      <c r="B14940" s="60" t="s">
        <v>2312</v>
      </c>
    </row>
    <row r="14941" ht="12.75" customHeight="1">
      <c r="A14941" s="59" t="s">
        <v>2870</v>
      </c>
      <c r="B14941" s="60" t="s">
        <v>2341</v>
      </c>
    </row>
    <row r="14942" ht="12.75" customHeight="1">
      <c r="A14942" s="59" t="s">
        <v>2870</v>
      </c>
      <c r="B14942" s="60" t="s">
        <v>2342</v>
      </c>
    </row>
    <row r="14943" ht="12.75" customHeight="1">
      <c r="A14943" s="59" t="s">
        <v>2870</v>
      </c>
      <c r="B14943" s="60" t="s">
        <v>2343</v>
      </c>
    </row>
    <row r="14944" ht="12.75" customHeight="1">
      <c r="A14944" s="59" t="s">
        <v>2870</v>
      </c>
      <c r="B14944" s="60" t="s">
        <v>2344</v>
      </c>
    </row>
    <row r="14945" ht="12.75" customHeight="1">
      <c r="A14945" s="59" t="s">
        <v>2870</v>
      </c>
      <c r="B14945" s="60" t="s">
        <v>2345</v>
      </c>
    </row>
    <row r="14946" ht="12.75" customHeight="1">
      <c r="A14946" s="59" t="s">
        <v>2870</v>
      </c>
      <c r="B14946" s="60" t="s">
        <v>1965</v>
      </c>
    </row>
    <row r="14947" ht="12.75" customHeight="1">
      <c r="A14947" s="59" t="s">
        <v>2870</v>
      </c>
      <c r="B14947" s="60" t="s">
        <v>2347</v>
      </c>
    </row>
    <row r="14948" ht="12.75" customHeight="1">
      <c r="A14948" s="59" t="s">
        <v>2870</v>
      </c>
      <c r="B14948" s="60" t="s">
        <v>2348</v>
      </c>
    </row>
    <row r="14949" ht="12.75" customHeight="1">
      <c r="A14949" s="59" t="s">
        <v>2870</v>
      </c>
      <c r="B14949" s="60" t="s">
        <v>2349</v>
      </c>
    </row>
    <row r="14950" ht="12.75" customHeight="1">
      <c r="A14950" s="59" t="s">
        <v>2870</v>
      </c>
      <c r="B14950" s="60" t="s">
        <v>2350</v>
      </c>
    </row>
    <row r="14951" ht="12.75" customHeight="1">
      <c r="A14951" s="59" t="s">
        <v>2870</v>
      </c>
      <c r="B14951" s="60" t="s">
        <v>2351</v>
      </c>
    </row>
    <row r="14952" ht="12.75" customHeight="1">
      <c r="A14952" s="59" t="s">
        <v>2870</v>
      </c>
      <c r="B14952" s="60" t="s">
        <v>2352</v>
      </c>
    </row>
    <row r="14953" ht="12.75" customHeight="1">
      <c r="A14953" s="59" t="s">
        <v>2870</v>
      </c>
      <c r="B14953" s="60" t="s">
        <v>2353</v>
      </c>
    </row>
    <row r="14954" ht="12.75" customHeight="1">
      <c r="A14954" s="59" t="s">
        <v>2870</v>
      </c>
      <c r="B14954" s="60" t="s">
        <v>2354</v>
      </c>
    </row>
    <row r="14955" ht="12.75" customHeight="1">
      <c r="A14955" s="59" t="s">
        <v>2870</v>
      </c>
      <c r="B14955" s="60" t="s">
        <v>2355</v>
      </c>
    </row>
    <row r="14956" ht="12.75" customHeight="1">
      <c r="A14956" s="59" t="s">
        <v>2870</v>
      </c>
      <c r="B14956" s="60" t="s">
        <v>2356</v>
      </c>
    </row>
    <row r="14957" ht="12.75" customHeight="1">
      <c r="A14957" s="59" t="s">
        <v>2870</v>
      </c>
      <c r="B14957" s="60" t="s">
        <v>2357</v>
      </c>
    </row>
    <row r="14958" ht="12.75" customHeight="1">
      <c r="A14958" s="59" t="s">
        <v>2870</v>
      </c>
      <c r="B14958" s="60" t="s">
        <v>881</v>
      </c>
    </row>
    <row r="14959" ht="12.75" customHeight="1">
      <c r="A14959" s="59" t="s">
        <v>2870</v>
      </c>
      <c r="B14959" s="60" t="s">
        <v>2313</v>
      </c>
    </row>
    <row r="14960" ht="12.75" customHeight="1">
      <c r="A14960" s="59" t="s">
        <v>2870</v>
      </c>
      <c r="B14960" s="60" t="s">
        <v>2314</v>
      </c>
    </row>
    <row r="14961" ht="12.75" customHeight="1">
      <c r="A14961" s="59" t="s">
        <v>2870</v>
      </c>
      <c r="B14961" s="60" t="s">
        <v>2315</v>
      </c>
    </row>
    <row r="14962" ht="12.75" customHeight="1">
      <c r="A14962" s="59" t="s">
        <v>2870</v>
      </c>
      <c r="B14962" s="60" t="s">
        <v>2316</v>
      </c>
    </row>
    <row r="14963" ht="12.75" customHeight="1">
      <c r="A14963" s="59" t="s">
        <v>2870</v>
      </c>
      <c r="B14963" s="60" t="s">
        <v>2317</v>
      </c>
    </row>
    <row r="14964" ht="12.75" customHeight="1">
      <c r="A14964" s="59" t="s">
        <v>2870</v>
      </c>
      <c r="B14964" s="60" t="s">
        <v>2318</v>
      </c>
    </row>
    <row r="14965" ht="12.75" customHeight="1">
      <c r="A14965" s="59" t="s">
        <v>2870</v>
      </c>
      <c r="B14965" s="60" t="s">
        <v>2319</v>
      </c>
    </row>
    <row r="14966" ht="12.75" customHeight="1">
      <c r="A14966" s="59" t="s">
        <v>2870</v>
      </c>
      <c r="B14966" s="60" t="s">
        <v>2320</v>
      </c>
    </row>
    <row r="14967" ht="12.75" customHeight="1">
      <c r="A14967" s="59" t="s">
        <v>2870</v>
      </c>
      <c r="B14967" s="60" t="s">
        <v>2321</v>
      </c>
    </row>
    <row r="14968" ht="12.75" customHeight="1">
      <c r="A14968" s="59" t="s">
        <v>2870</v>
      </c>
      <c r="B14968" s="60" t="s">
        <v>2322</v>
      </c>
    </row>
    <row r="14969" ht="12.75" customHeight="1">
      <c r="A14969" s="59" t="s">
        <v>2870</v>
      </c>
      <c r="B14969" s="60" t="s">
        <v>2323</v>
      </c>
    </row>
    <row r="14970" ht="12.75" customHeight="1">
      <c r="A14970" s="59" t="s">
        <v>2870</v>
      </c>
      <c r="B14970" s="60" t="s">
        <v>2358</v>
      </c>
    </row>
    <row r="14971" ht="12.75" customHeight="1">
      <c r="A14971" s="59" t="s">
        <v>2870</v>
      </c>
      <c r="B14971" s="60" t="s">
        <v>2359</v>
      </c>
    </row>
    <row r="14972" ht="12.75" customHeight="1">
      <c r="A14972" s="59" t="s">
        <v>2870</v>
      </c>
      <c r="B14972" s="60" t="s">
        <v>2360</v>
      </c>
    </row>
    <row r="14973" ht="12.75" customHeight="1">
      <c r="A14973" s="59" t="s">
        <v>2870</v>
      </c>
      <c r="B14973" s="60" t="s">
        <v>2361</v>
      </c>
    </row>
    <row r="14974" ht="12.75" customHeight="1">
      <c r="A14974" s="59" t="s">
        <v>2870</v>
      </c>
      <c r="B14974" s="60" t="s">
        <v>2362</v>
      </c>
    </row>
    <row r="14975" ht="12.75" customHeight="1">
      <c r="A14975" s="59" t="s">
        <v>2870</v>
      </c>
      <c r="B14975" s="60" t="s">
        <v>1970</v>
      </c>
    </row>
    <row r="14976" ht="12.75" customHeight="1">
      <c r="A14976" s="59" t="s">
        <v>2870</v>
      </c>
      <c r="B14976" s="60" t="s">
        <v>2364</v>
      </c>
    </row>
    <row r="14977" ht="12.75" customHeight="1">
      <c r="A14977" s="59" t="s">
        <v>2870</v>
      </c>
      <c r="B14977" s="60" t="s">
        <v>2365</v>
      </c>
    </row>
    <row r="14978" ht="12.75" customHeight="1">
      <c r="A14978" s="59" t="s">
        <v>2870</v>
      </c>
      <c r="B14978" s="60" t="s">
        <v>2366</v>
      </c>
    </row>
    <row r="14979" ht="12.75" customHeight="1">
      <c r="A14979" s="59" t="s">
        <v>2870</v>
      </c>
      <c r="B14979" s="60" t="s">
        <v>2367</v>
      </c>
    </row>
    <row r="14980" ht="12.75" customHeight="1">
      <c r="A14980" s="59" t="s">
        <v>2870</v>
      </c>
      <c r="B14980" s="60" t="s">
        <v>2368</v>
      </c>
    </row>
    <row r="14981" ht="12.75" customHeight="1">
      <c r="A14981" s="59" t="s">
        <v>2870</v>
      </c>
      <c r="B14981" s="60" t="s">
        <v>2369</v>
      </c>
    </row>
    <row r="14982" ht="12.75" customHeight="1">
      <c r="A14982" s="59" t="s">
        <v>2870</v>
      </c>
      <c r="B14982" s="60" t="s">
        <v>2370</v>
      </c>
    </row>
    <row r="14983" ht="12.75" customHeight="1">
      <c r="A14983" s="59" t="s">
        <v>2870</v>
      </c>
      <c r="B14983" s="60" t="s">
        <v>2371</v>
      </c>
    </row>
    <row r="14984" ht="12.75" customHeight="1">
      <c r="A14984" s="59" t="s">
        <v>2870</v>
      </c>
      <c r="B14984" s="60" t="s">
        <v>2372</v>
      </c>
    </row>
    <row r="14985" ht="12.75" customHeight="1">
      <c r="A14985" s="59" t="s">
        <v>2870</v>
      </c>
      <c r="B14985" s="60" t="s">
        <v>2373</v>
      </c>
    </row>
    <row r="14986" ht="12.75" customHeight="1">
      <c r="A14986" s="59" t="s">
        <v>2870</v>
      </c>
      <c r="B14986" s="60" t="s">
        <v>2374</v>
      </c>
    </row>
    <row r="14987" ht="12.75" customHeight="1">
      <c r="A14987" s="59" t="s">
        <v>2870</v>
      </c>
      <c r="B14987" s="60" t="s">
        <v>900</v>
      </c>
    </row>
    <row r="14988" ht="12.75" customHeight="1">
      <c r="A14988" s="59" t="s">
        <v>2870</v>
      </c>
      <c r="B14988" s="60" t="s">
        <v>2324</v>
      </c>
    </row>
    <row r="14989" ht="12.75" customHeight="1">
      <c r="A14989" s="59" t="s">
        <v>2870</v>
      </c>
      <c r="B14989" s="60" t="s">
        <v>2325</v>
      </c>
    </row>
    <row r="14990" ht="12.75" customHeight="1">
      <c r="A14990" s="59" t="s">
        <v>2870</v>
      </c>
      <c r="B14990" s="60" t="s">
        <v>2326</v>
      </c>
    </row>
    <row r="14991" ht="12.75" customHeight="1">
      <c r="A14991" s="59" t="s">
        <v>2870</v>
      </c>
      <c r="B14991" s="60" t="s">
        <v>2327</v>
      </c>
    </row>
    <row r="14992" ht="12.75" customHeight="1">
      <c r="A14992" s="59" t="s">
        <v>2870</v>
      </c>
      <c r="B14992" s="60" t="s">
        <v>2328</v>
      </c>
    </row>
    <row r="14993" ht="12.75" customHeight="1">
      <c r="A14993" s="59" t="s">
        <v>2870</v>
      </c>
      <c r="B14993" s="60" t="s">
        <v>2329</v>
      </c>
    </row>
    <row r="14994" ht="12.75" customHeight="1">
      <c r="A14994" s="59" t="s">
        <v>2870</v>
      </c>
      <c r="B14994" s="60" t="s">
        <v>2330</v>
      </c>
    </row>
    <row r="14995" ht="12.75" customHeight="1">
      <c r="A14995" s="59" t="s">
        <v>2870</v>
      </c>
      <c r="B14995" s="60" t="s">
        <v>2331</v>
      </c>
    </row>
    <row r="14996" ht="12.75" customHeight="1">
      <c r="A14996" s="59" t="s">
        <v>2870</v>
      </c>
      <c r="B14996" s="60" t="s">
        <v>2332</v>
      </c>
    </row>
    <row r="14997" ht="12.75" customHeight="1">
      <c r="A14997" s="59" t="s">
        <v>2870</v>
      </c>
      <c r="B14997" s="60" t="s">
        <v>2333</v>
      </c>
    </row>
    <row r="14998" ht="12.75" customHeight="1">
      <c r="A14998" s="59" t="s">
        <v>2870</v>
      </c>
      <c r="B14998" s="60" t="s">
        <v>2334</v>
      </c>
    </row>
    <row r="14999" ht="12.75" customHeight="1">
      <c r="A14999" s="59" t="s">
        <v>2870</v>
      </c>
      <c r="B14999" s="60" t="s">
        <v>2375</v>
      </c>
    </row>
    <row r="15000" ht="12.75" customHeight="1">
      <c r="A15000" s="59" t="s">
        <v>2870</v>
      </c>
      <c r="B15000" s="60" t="s">
        <v>2376</v>
      </c>
    </row>
    <row r="15001" ht="12.75" customHeight="1">
      <c r="A15001" s="59" t="s">
        <v>2870</v>
      </c>
      <c r="B15001" s="60" t="s">
        <v>2377</v>
      </c>
    </row>
    <row r="15002" ht="12.75" customHeight="1">
      <c r="A15002" s="59" t="s">
        <v>2870</v>
      </c>
      <c r="B15002" s="60" t="s">
        <v>2378</v>
      </c>
    </row>
    <row r="15003" ht="12.75" customHeight="1">
      <c r="A15003" s="59" t="s">
        <v>2870</v>
      </c>
      <c r="B15003" s="60" t="s">
        <v>2379</v>
      </c>
    </row>
    <row r="15004" ht="12.75" customHeight="1">
      <c r="A15004" s="59" t="s">
        <v>2870</v>
      </c>
      <c r="B15004" s="60" t="s">
        <v>1975</v>
      </c>
    </row>
    <row r="15005" ht="12.75" customHeight="1">
      <c r="A15005" s="59" t="s">
        <v>2870</v>
      </c>
      <c r="B15005" s="60" t="s">
        <v>2381</v>
      </c>
    </row>
    <row r="15006" ht="12.75" customHeight="1">
      <c r="A15006" s="59" t="s">
        <v>2870</v>
      </c>
      <c r="B15006" s="60" t="s">
        <v>2382</v>
      </c>
    </row>
    <row r="15007" ht="12.75" customHeight="1">
      <c r="A15007" s="59" t="s">
        <v>2870</v>
      </c>
      <c r="B15007" s="60" t="s">
        <v>2383</v>
      </c>
    </row>
    <row r="15008" ht="12.75" customHeight="1">
      <c r="A15008" s="59" t="s">
        <v>2870</v>
      </c>
      <c r="B15008" s="60" t="s">
        <v>2384</v>
      </c>
    </row>
    <row r="15009" ht="12.75" customHeight="1">
      <c r="A15009" s="59" t="s">
        <v>2870</v>
      </c>
      <c r="B15009" s="60" t="s">
        <v>2385</v>
      </c>
    </row>
    <row r="15010" ht="12.75" customHeight="1">
      <c r="A15010" s="59" t="s">
        <v>2870</v>
      </c>
      <c r="B15010" s="60" t="s">
        <v>2386</v>
      </c>
    </row>
    <row r="15011" ht="12.75" customHeight="1">
      <c r="A15011" s="59" t="s">
        <v>2870</v>
      </c>
      <c r="B15011" s="60" t="s">
        <v>2387</v>
      </c>
    </row>
    <row r="15012" ht="12.75" customHeight="1">
      <c r="A15012" s="59" t="s">
        <v>2870</v>
      </c>
      <c r="B15012" s="60" t="s">
        <v>2388</v>
      </c>
    </row>
    <row r="15013" ht="12.75" customHeight="1">
      <c r="A15013" s="59" t="s">
        <v>2870</v>
      </c>
      <c r="B15013" s="60" t="s">
        <v>2389</v>
      </c>
    </row>
    <row r="15014" ht="12.75" customHeight="1">
      <c r="A15014" s="59" t="s">
        <v>2870</v>
      </c>
      <c r="B15014" s="60" t="s">
        <v>2390</v>
      </c>
    </row>
    <row r="15015" ht="12.75" customHeight="1">
      <c r="A15015" s="59" t="s">
        <v>2870</v>
      </c>
      <c r="B15015" s="60" t="s">
        <v>2391</v>
      </c>
    </row>
    <row r="15016" ht="12.75" customHeight="1">
      <c r="A15016" s="59" t="s">
        <v>2886</v>
      </c>
      <c r="B15016" s="60" t="s">
        <v>804</v>
      </c>
    </row>
    <row r="15017" ht="12.75" customHeight="1">
      <c r="A15017" s="59" t="s">
        <v>2886</v>
      </c>
      <c r="B15017" s="60" t="s">
        <v>76</v>
      </c>
    </row>
    <row r="15018" ht="12.75" customHeight="1">
      <c r="A15018" s="59" t="s">
        <v>2886</v>
      </c>
      <c r="B15018" s="60" t="s">
        <v>80</v>
      </c>
    </row>
    <row r="15019" ht="12.75" customHeight="1">
      <c r="A15019" s="59" t="s">
        <v>2886</v>
      </c>
      <c r="B15019" s="60" t="s">
        <v>83</v>
      </c>
    </row>
    <row r="15020" ht="12.75" customHeight="1">
      <c r="A15020" s="59" t="s">
        <v>2886</v>
      </c>
      <c r="B15020" s="60" t="s">
        <v>85</v>
      </c>
    </row>
    <row r="15021" ht="12.75" customHeight="1">
      <c r="A15021" s="59" t="s">
        <v>2886</v>
      </c>
      <c r="B15021" s="60">
        <v>28.0</v>
      </c>
    </row>
    <row r="15022" ht="12.75" customHeight="1">
      <c r="A15022" s="59" t="s">
        <v>2886</v>
      </c>
      <c r="B15022" s="60">
        <v>29.0</v>
      </c>
    </row>
    <row r="15023" ht="12.75" customHeight="1">
      <c r="A15023" s="59" t="s">
        <v>2886</v>
      </c>
      <c r="B15023" s="60">
        <v>30.0</v>
      </c>
    </row>
    <row r="15024" ht="12.75" customHeight="1">
      <c r="A15024" s="59" t="s">
        <v>2886</v>
      </c>
      <c r="B15024" s="60">
        <v>31.0</v>
      </c>
    </row>
    <row r="15025" ht="12.75" customHeight="1">
      <c r="A15025" s="59" t="s">
        <v>2886</v>
      </c>
      <c r="B15025" s="60">
        <v>32.0</v>
      </c>
    </row>
    <row r="15026" ht="12.75" customHeight="1">
      <c r="A15026" s="59" t="s">
        <v>2886</v>
      </c>
      <c r="B15026" s="60">
        <v>33.0</v>
      </c>
    </row>
    <row r="15027" ht="12.75" customHeight="1">
      <c r="A15027" s="59" t="s">
        <v>2886</v>
      </c>
      <c r="B15027" s="60">
        <v>34.0</v>
      </c>
    </row>
    <row r="15028" ht="12.75" customHeight="1">
      <c r="A15028" s="59" t="s">
        <v>2886</v>
      </c>
      <c r="B15028" s="60">
        <v>35.0</v>
      </c>
    </row>
    <row r="15029" ht="12.75" customHeight="1">
      <c r="A15029" s="59" t="s">
        <v>2886</v>
      </c>
      <c r="B15029" s="60">
        <v>36.0</v>
      </c>
    </row>
    <row r="15030" ht="12.75" customHeight="1">
      <c r="A15030" s="59" t="s">
        <v>2886</v>
      </c>
      <c r="B15030" s="60">
        <v>37.0</v>
      </c>
    </row>
    <row r="15031" ht="12.75" customHeight="1">
      <c r="A15031" s="59" t="s">
        <v>2886</v>
      </c>
      <c r="B15031" s="60">
        <v>38.0</v>
      </c>
    </row>
    <row r="15032" ht="12.75" customHeight="1">
      <c r="A15032" s="59" t="s">
        <v>2886</v>
      </c>
      <c r="B15032" s="60">
        <v>39.0</v>
      </c>
    </row>
    <row r="15033" ht="12.75" customHeight="1">
      <c r="A15033" s="59" t="s">
        <v>2886</v>
      </c>
      <c r="B15033" s="60">
        <v>40.0</v>
      </c>
    </row>
    <row r="15034" ht="12.75" customHeight="1">
      <c r="A15034" s="59" t="s">
        <v>2886</v>
      </c>
      <c r="B15034" s="60" t="s">
        <v>810</v>
      </c>
    </row>
    <row r="15035" ht="12.75" customHeight="1">
      <c r="A15035" s="59" t="s">
        <v>2886</v>
      </c>
      <c r="B15035" s="60" t="s">
        <v>811</v>
      </c>
    </row>
    <row r="15036" ht="12.75" customHeight="1">
      <c r="A15036" s="59" t="s">
        <v>2886</v>
      </c>
      <c r="B15036" s="60" t="s">
        <v>812</v>
      </c>
    </row>
    <row r="15037" ht="12.75" customHeight="1">
      <c r="A15037" s="59" t="s">
        <v>2886</v>
      </c>
      <c r="B15037" s="60" t="s">
        <v>813</v>
      </c>
    </row>
    <row r="15038" ht="12.75" customHeight="1">
      <c r="A15038" s="59" t="s">
        <v>2886</v>
      </c>
      <c r="B15038" s="60" t="s">
        <v>814</v>
      </c>
    </row>
    <row r="15039" ht="12.75" customHeight="1">
      <c r="A15039" s="59" t="s">
        <v>2886</v>
      </c>
      <c r="B15039" s="60" t="s">
        <v>1952</v>
      </c>
    </row>
    <row r="15040" ht="12.75" customHeight="1">
      <c r="A15040" s="59" t="s">
        <v>2886</v>
      </c>
      <c r="B15040" s="60" t="s">
        <v>1953</v>
      </c>
    </row>
    <row r="15041" ht="12.75" customHeight="1">
      <c r="A15041" s="59" t="s">
        <v>2886</v>
      </c>
      <c r="B15041" s="60" t="s">
        <v>1954</v>
      </c>
    </row>
    <row r="15042" ht="12.75" customHeight="1">
      <c r="A15042" s="59" t="s">
        <v>2886</v>
      </c>
      <c r="B15042" s="60" t="s">
        <v>1955</v>
      </c>
    </row>
    <row r="15043" ht="12.75" customHeight="1">
      <c r="A15043" s="59" t="s">
        <v>2886</v>
      </c>
      <c r="B15043" s="60" t="s">
        <v>1956</v>
      </c>
    </row>
    <row r="15044" ht="12.75" customHeight="1">
      <c r="A15044" s="59" t="s">
        <v>2886</v>
      </c>
      <c r="B15044" s="60" t="s">
        <v>1957</v>
      </c>
    </row>
    <row r="15045" ht="12.75" customHeight="1">
      <c r="A15045" s="59" t="s">
        <v>2886</v>
      </c>
      <c r="B15045" s="60" t="s">
        <v>1958</v>
      </c>
    </row>
    <row r="15046" ht="12.75" customHeight="1">
      <c r="A15046" s="59" t="s">
        <v>2886</v>
      </c>
      <c r="B15046" s="60" t="s">
        <v>1959</v>
      </c>
    </row>
    <row r="15047" ht="12.75" customHeight="1">
      <c r="A15047" s="59" t="s">
        <v>2886</v>
      </c>
      <c r="B15047" s="60" t="s">
        <v>1960</v>
      </c>
    </row>
    <row r="15048" ht="12.75" customHeight="1">
      <c r="A15048" s="59" t="s">
        <v>2886</v>
      </c>
      <c r="B15048" s="60" t="s">
        <v>1961</v>
      </c>
    </row>
    <row r="15049" ht="12.75" customHeight="1">
      <c r="A15049" s="59" t="s">
        <v>2886</v>
      </c>
      <c r="B15049" s="60" t="s">
        <v>1962</v>
      </c>
    </row>
    <row r="15050" ht="12.75" customHeight="1">
      <c r="A15050" s="59" t="s">
        <v>2886</v>
      </c>
      <c r="B15050" s="60" t="s">
        <v>1963</v>
      </c>
    </row>
    <row r="15051" ht="12.75" customHeight="1">
      <c r="A15051" s="59" t="s">
        <v>2886</v>
      </c>
      <c r="B15051" s="60" t="s">
        <v>1964</v>
      </c>
    </row>
    <row r="15052" ht="12.75" customHeight="1">
      <c r="A15052" s="59" t="s">
        <v>2886</v>
      </c>
      <c r="B15052" s="60" t="s">
        <v>820</v>
      </c>
    </row>
    <row r="15053" ht="12.75" customHeight="1">
      <c r="A15053" s="59" t="s">
        <v>2886</v>
      </c>
      <c r="B15053" s="60" t="s">
        <v>821</v>
      </c>
    </row>
    <row r="15054" ht="12.75" customHeight="1">
      <c r="A15054" s="59" t="s">
        <v>2886</v>
      </c>
      <c r="B15054" s="60" t="s">
        <v>822</v>
      </c>
    </row>
    <row r="15055" ht="12.75" customHeight="1">
      <c r="A15055" s="59" t="s">
        <v>2886</v>
      </c>
      <c r="B15055" s="60" t="s">
        <v>823</v>
      </c>
    </row>
    <row r="15056" ht="12.75" customHeight="1">
      <c r="A15056" s="59" t="s">
        <v>2886</v>
      </c>
      <c r="B15056" s="60" t="s">
        <v>824</v>
      </c>
    </row>
    <row r="15057" ht="12.75" customHeight="1">
      <c r="A15057" s="59" t="s">
        <v>2886</v>
      </c>
      <c r="B15057" s="60" t="s">
        <v>875</v>
      </c>
    </row>
    <row r="15058" ht="12.75" customHeight="1">
      <c r="A15058" s="59" t="s">
        <v>2886</v>
      </c>
      <c r="B15058" s="60" t="s">
        <v>1205</v>
      </c>
    </row>
    <row r="15059" ht="12.75" customHeight="1">
      <c r="A15059" s="59" t="s">
        <v>2886</v>
      </c>
      <c r="B15059" s="60" t="s">
        <v>876</v>
      </c>
    </row>
    <row r="15060" ht="12.75" customHeight="1">
      <c r="A15060" s="59" t="s">
        <v>2886</v>
      </c>
      <c r="B15060" s="60" t="s">
        <v>1206</v>
      </c>
    </row>
    <row r="15061" ht="12.75" customHeight="1">
      <c r="A15061" s="59" t="s">
        <v>2886</v>
      </c>
      <c r="B15061" s="60" t="s">
        <v>877</v>
      </c>
    </row>
    <row r="15062" ht="12.75" customHeight="1">
      <c r="A15062" s="59" t="s">
        <v>2886</v>
      </c>
      <c r="B15062" s="60" t="s">
        <v>1230</v>
      </c>
    </row>
    <row r="15063" ht="12.75" customHeight="1">
      <c r="A15063" s="59" t="s">
        <v>2886</v>
      </c>
      <c r="B15063" s="60" t="s">
        <v>878</v>
      </c>
    </row>
    <row r="15064" ht="12.75" customHeight="1">
      <c r="A15064" s="59" t="s">
        <v>2886</v>
      </c>
      <c r="B15064" s="60" t="s">
        <v>1966</v>
      </c>
    </row>
    <row r="15065" ht="12.75" customHeight="1">
      <c r="A15065" s="59" t="s">
        <v>2886</v>
      </c>
      <c r="B15065" s="60" t="s">
        <v>879</v>
      </c>
    </row>
    <row r="15066" ht="12.75" customHeight="1">
      <c r="A15066" s="59" t="s">
        <v>2886</v>
      </c>
      <c r="B15066" s="60" t="s">
        <v>1967</v>
      </c>
    </row>
    <row r="15067" ht="12.75" customHeight="1">
      <c r="A15067" s="59" t="s">
        <v>2886</v>
      </c>
      <c r="B15067" s="60" t="s">
        <v>880</v>
      </c>
    </row>
    <row r="15068" ht="12.75" customHeight="1">
      <c r="A15068" s="59" t="s">
        <v>2886</v>
      </c>
      <c r="B15068" s="60" t="s">
        <v>1968</v>
      </c>
    </row>
    <row r="15069" ht="12.75" customHeight="1">
      <c r="A15069" s="59" t="s">
        <v>2886</v>
      </c>
      <c r="B15069" s="60" t="s">
        <v>1969</v>
      </c>
    </row>
    <row r="15070" ht="12.75" customHeight="1">
      <c r="A15070" s="59" t="s">
        <v>2886</v>
      </c>
      <c r="B15070" s="60" t="s">
        <v>830</v>
      </c>
    </row>
    <row r="15071" ht="12.75" customHeight="1">
      <c r="A15071" s="59" t="s">
        <v>2886</v>
      </c>
      <c r="B15071" s="60" t="s">
        <v>831</v>
      </c>
    </row>
    <row r="15072" ht="12.75" customHeight="1">
      <c r="A15072" s="59" t="s">
        <v>2886</v>
      </c>
      <c r="B15072" s="60" t="s">
        <v>832</v>
      </c>
    </row>
    <row r="15073" ht="12.75" customHeight="1">
      <c r="A15073" s="59" t="s">
        <v>2886</v>
      </c>
      <c r="B15073" s="60" t="s">
        <v>833</v>
      </c>
    </row>
    <row r="15074" ht="12.75" customHeight="1">
      <c r="A15074" s="59" t="s">
        <v>2886</v>
      </c>
      <c r="B15074" s="60" t="s">
        <v>834</v>
      </c>
    </row>
    <row r="15075" ht="12.75" customHeight="1">
      <c r="A15075" s="59" t="s">
        <v>2886</v>
      </c>
      <c r="B15075" s="60" t="s">
        <v>894</v>
      </c>
    </row>
    <row r="15076" ht="12.75" customHeight="1">
      <c r="A15076" s="59" t="s">
        <v>2886</v>
      </c>
      <c r="B15076" s="60" t="s">
        <v>1211</v>
      </c>
    </row>
    <row r="15077" ht="12.75" customHeight="1">
      <c r="A15077" s="59" t="s">
        <v>2886</v>
      </c>
      <c r="B15077" s="60" t="s">
        <v>895</v>
      </c>
    </row>
    <row r="15078" ht="12.75" customHeight="1">
      <c r="A15078" s="59" t="s">
        <v>2886</v>
      </c>
      <c r="B15078" s="60" t="s">
        <v>1212</v>
      </c>
    </row>
    <row r="15079" ht="12.75" customHeight="1">
      <c r="A15079" s="59" t="s">
        <v>2886</v>
      </c>
      <c r="B15079" s="60" t="s">
        <v>896</v>
      </c>
    </row>
    <row r="15080" ht="12.75" customHeight="1">
      <c r="A15080" s="59" t="s">
        <v>2886</v>
      </c>
      <c r="B15080" s="60" t="s">
        <v>1239</v>
      </c>
    </row>
    <row r="15081" ht="12.75" customHeight="1">
      <c r="A15081" s="59" t="s">
        <v>2886</v>
      </c>
      <c r="B15081" s="60" t="s">
        <v>897</v>
      </c>
    </row>
    <row r="15082" ht="12.75" customHeight="1">
      <c r="A15082" s="59" t="s">
        <v>2886</v>
      </c>
      <c r="B15082" s="60" t="s">
        <v>1971</v>
      </c>
    </row>
    <row r="15083" ht="12.75" customHeight="1">
      <c r="A15083" s="59" t="s">
        <v>2886</v>
      </c>
      <c r="B15083" s="60" t="s">
        <v>898</v>
      </c>
    </row>
    <row r="15084" ht="12.75" customHeight="1">
      <c r="A15084" s="59" t="s">
        <v>2886</v>
      </c>
      <c r="B15084" s="60" t="s">
        <v>1972</v>
      </c>
    </row>
    <row r="15085" ht="12.75" customHeight="1">
      <c r="A15085" s="59" t="s">
        <v>2886</v>
      </c>
      <c r="B15085" s="60" t="s">
        <v>899</v>
      </c>
    </row>
    <row r="15086" ht="12.75" customHeight="1">
      <c r="A15086" s="59" t="s">
        <v>2886</v>
      </c>
      <c r="B15086" s="60" t="s">
        <v>1973</v>
      </c>
    </row>
    <row r="15087" ht="12.75" customHeight="1">
      <c r="A15087" s="59" t="s">
        <v>2886</v>
      </c>
      <c r="B15087" s="60" t="s">
        <v>1974</v>
      </c>
    </row>
    <row r="15088" ht="12.75" customHeight="1">
      <c r="A15088" s="59" t="s">
        <v>2886</v>
      </c>
      <c r="B15088" s="60" t="s">
        <v>845</v>
      </c>
    </row>
    <row r="15089" ht="12.75" customHeight="1">
      <c r="A15089" s="59" t="s">
        <v>2886</v>
      </c>
      <c r="B15089" s="60" t="s">
        <v>2291</v>
      </c>
    </row>
    <row r="15090" ht="12.75" customHeight="1">
      <c r="A15090" s="59" t="s">
        <v>2886</v>
      </c>
      <c r="B15090" s="60" t="s">
        <v>2292</v>
      </c>
    </row>
    <row r="15091" ht="12.75" customHeight="1">
      <c r="A15091" s="59" t="s">
        <v>2886</v>
      </c>
      <c r="B15091" s="60" t="s">
        <v>2293</v>
      </c>
    </row>
    <row r="15092" ht="12.75" customHeight="1">
      <c r="A15092" s="59" t="s">
        <v>2886</v>
      </c>
      <c r="B15092" s="60" t="s">
        <v>2294</v>
      </c>
    </row>
    <row r="15093" ht="12.75" customHeight="1">
      <c r="A15093" s="59" t="s">
        <v>2886</v>
      </c>
      <c r="B15093" s="60" t="s">
        <v>2295</v>
      </c>
    </row>
    <row r="15094" ht="12.75" customHeight="1">
      <c r="A15094" s="59" t="s">
        <v>2886</v>
      </c>
      <c r="B15094" s="60" t="s">
        <v>2296</v>
      </c>
    </row>
    <row r="15095" ht="12.75" customHeight="1">
      <c r="A15095" s="59" t="s">
        <v>2886</v>
      </c>
      <c r="B15095" s="60" t="s">
        <v>2297</v>
      </c>
    </row>
    <row r="15096" ht="12.75" customHeight="1">
      <c r="A15096" s="59" t="s">
        <v>2886</v>
      </c>
      <c r="B15096" s="60" t="s">
        <v>2298</v>
      </c>
    </row>
    <row r="15097" ht="12.75" customHeight="1">
      <c r="A15097" s="59" t="s">
        <v>2886</v>
      </c>
      <c r="B15097" s="60" t="s">
        <v>2299</v>
      </c>
    </row>
    <row r="15098" ht="12.75" customHeight="1">
      <c r="A15098" s="59" t="s">
        <v>2886</v>
      </c>
      <c r="B15098" s="60" t="s">
        <v>2300</v>
      </c>
    </row>
    <row r="15099" ht="12.75" customHeight="1">
      <c r="A15099" s="59" t="s">
        <v>2886</v>
      </c>
      <c r="B15099" s="60" t="s">
        <v>2301</v>
      </c>
    </row>
    <row r="15100" ht="12.75" customHeight="1">
      <c r="A15100" s="59" t="s">
        <v>2886</v>
      </c>
      <c r="B15100" s="60" t="s">
        <v>2335</v>
      </c>
    </row>
    <row r="15101" ht="12.75" customHeight="1">
      <c r="A15101" s="59" t="s">
        <v>2886</v>
      </c>
      <c r="B15101" s="60" t="s">
        <v>2336</v>
      </c>
    </row>
    <row r="15102" ht="12.75" customHeight="1">
      <c r="A15102" s="59" t="s">
        <v>2886</v>
      </c>
      <c r="B15102" s="60" t="s">
        <v>2337</v>
      </c>
    </row>
    <row r="15103" ht="12.75" customHeight="1">
      <c r="A15103" s="59" t="s">
        <v>2886</v>
      </c>
      <c r="B15103" s="60" t="s">
        <v>2338</v>
      </c>
    </row>
    <row r="15104" ht="12.75" customHeight="1">
      <c r="A15104" s="59" t="s">
        <v>2886</v>
      </c>
      <c r="B15104" s="60" t="s">
        <v>2339</v>
      </c>
    </row>
    <row r="15105" ht="12.75" customHeight="1">
      <c r="A15105" s="59" t="s">
        <v>2886</v>
      </c>
      <c r="B15105" s="60">
        <v>41.0</v>
      </c>
    </row>
    <row r="15106" ht="12.75" customHeight="1">
      <c r="A15106" s="59" t="s">
        <v>2886</v>
      </c>
      <c r="B15106" s="60">
        <v>42.0</v>
      </c>
    </row>
    <row r="15107" ht="12.75" customHeight="1">
      <c r="A15107" s="59" t="s">
        <v>2886</v>
      </c>
      <c r="B15107" s="60">
        <v>43.0</v>
      </c>
    </row>
    <row r="15108" ht="12.75" customHeight="1">
      <c r="A15108" s="59" t="s">
        <v>2886</v>
      </c>
      <c r="B15108" s="60">
        <v>44.0</v>
      </c>
    </row>
    <row r="15109" ht="12.75" customHeight="1">
      <c r="A15109" s="59" t="s">
        <v>2886</v>
      </c>
      <c r="B15109" s="60">
        <v>46.0</v>
      </c>
    </row>
    <row r="15110" ht="12.75" customHeight="1">
      <c r="A15110" s="59" t="s">
        <v>2886</v>
      </c>
      <c r="B15110" s="60">
        <v>48.0</v>
      </c>
    </row>
    <row r="15111" ht="12.75" customHeight="1">
      <c r="A15111" s="59" t="s">
        <v>2886</v>
      </c>
      <c r="B15111" s="60">
        <v>50.0</v>
      </c>
    </row>
    <row r="15112" ht="12.75" customHeight="1">
      <c r="A15112" s="59" t="s">
        <v>2886</v>
      </c>
      <c r="B15112" s="60">
        <v>52.0</v>
      </c>
    </row>
    <row r="15113" ht="12.75" customHeight="1">
      <c r="A15113" s="59" t="s">
        <v>2886</v>
      </c>
      <c r="B15113" s="60">
        <v>54.0</v>
      </c>
    </row>
    <row r="15114" ht="12.75" customHeight="1">
      <c r="A15114" s="59" t="s">
        <v>2886</v>
      </c>
      <c r="B15114" s="60">
        <v>56.0</v>
      </c>
    </row>
    <row r="15115" ht="12.75" customHeight="1">
      <c r="A15115" s="59" t="s">
        <v>2886</v>
      </c>
      <c r="B15115" s="60">
        <v>58.0</v>
      </c>
    </row>
    <row r="15116" ht="12.75" customHeight="1">
      <c r="A15116" s="59" t="s">
        <v>2886</v>
      </c>
      <c r="B15116" s="60">
        <v>60.0</v>
      </c>
    </row>
    <row r="15117" ht="12.75" customHeight="1">
      <c r="A15117" s="59" t="s">
        <v>2886</v>
      </c>
      <c r="B15117" s="60" t="s">
        <v>862</v>
      </c>
    </row>
    <row r="15118" ht="12.75" customHeight="1">
      <c r="A15118" s="59" t="s">
        <v>2886</v>
      </c>
      <c r="B15118" s="60" t="s">
        <v>2302</v>
      </c>
    </row>
    <row r="15119" ht="12.75" customHeight="1">
      <c r="A15119" s="59" t="s">
        <v>2886</v>
      </c>
      <c r="B15119" s="60" t="s">
        <v>2303</v>
      </c>
    </row>
    <row r="15120" ht="12.75" customHeight="1">
      <c r="A15120" s="59" t="s">
        <v>2886</v>
      </c>
      <c r="B15120" s="60" t="s">
        <v>2304</v>
      </c>
    </row>
    <row r="15121" ht="12.75" customHeight="1">
      <c r="A15121" s="59" t="s">
        <v>2886</v>
      </c>
      <c r="B15121" s="60" t="s">
        <v>2305</v>
      </c>
    </row>
    <row r="15122" ht="12.75" customHeight="1">
      <c r="A15122" s="59" t="s">
        <v>2886</v>
      </c>
      <c r="B15122" s="60" t="s">
        <v>2306</v>
      </c>
    </row>
    <row r="15123" ht="12.75" customHeight="1">
      <c r="A15123" s="59" t="s">
        <v>2886</v>
      </c>
      <c r="B15123" s="60" t="s">
        <v>2307</v>
      </c>
    </row>
    <row r="15124" ht="12.75" customHeight="1">
      <c r="A15124" s="59" t="s">
        <v>2886</v>
      </c>
      <c r="B15124" s="60" t="s">
        <v>2308</v>
      </c>
    </row>
    <row r="15125" ht="12.75" customHeight="1">
      <c r="A15125" s="59" t="s">
        <v>2886</v>
      </c>
      <c r="B15125" s="60" t="s">
        <v>2309</v>
      </c>
    </row>
    <row r="15126" ht="12.75" customHeight="1">
      <c r="A15126" s="59" t="s">
        <v>2886</v>
      </c>
      <c r="B15126" s="60" t="s">
        <v>2310</v>
      </c>
    </row>
    <row r="15127" ht="12.75" customHeight="1">
      <c r="A15127" s="59" t="s">
        <v>2886</v>
      </c>
      <c r="B15127" s="60" t="s">
        <v>2311</v>
      </c>
    </row>
    <row r="15128" ht="12.75" customHeight="1">
      <c r="A15128" s="59" t="s">
        <v>2886</v>
      </c>
      <c r="B15128" s="60" t="s">
        <v>2312</v>
      </c>
    </row>
    <row r="15129" ht="12.75" customHeight="1">
      <c r="A15129" s="59" t="s">
        <v>2886</v>
      </c>
      <c r="B15129" s="60" t="s">
        <v>2341</v>
      </c>
    </row>
    <row r="15130" ht="12.75" customHeight="1">
      <c r="A15130" s="59" t="s">
        <v>2886</v>
      </c>
      <c r="B15130" s="60" t="s">
        <v>2342</v>
      </c>
    </row>
    <row r="15131" ht="12.75" customHeight="1">
      <c r="A15131" s="59" t="s">
        <v>2886</v>
      </c>
      <c r="B15131" s="60" t="s">
        <v>2343</v>
      </c>
    </row>
    <row r="15132" ht="12.75" customHeight="1">
      <c r="A15132" s="59" t="s">
        <v>2886</v>
      </c>
      <c r="B15132" s="60" t="s">
        <v>2344</v>
      </c>
    </row>
    <row r="15133" ht="12.75" customHeight="1">
      <c r="A15133" s="59" t="s">
        <v>2886</v>
      </c>
      <c r="B15133" s="60" t="s">
        <v>2345</v>
      </c>
    </row>
    <row r="15134" ht="12.75" customHeight="1">
      <c r="A15134" s="59" t="s">
        <v>2886</v>
      </c>
      <c r="B15134" s="60" t="s">
        <v>1965</v>
      </c>
    </row>
    <row r="15135" ht="12.75" customHeight="1">
      <c r="A15135" s="59" t="s">
        <v>2886</v>
      </c>
      <c r="B15135" s="60" t="s">
        <v>2347</v>
      </c>
    </row>
    <row r="15136" ht="12.75" customHeight="1">
      <c r="A15136" s="59" t="s">
        <v>2886</v>
      </c>
      <c r="B15136" s="60" t="s">
        <v>2348</v>
      </c>
    </row>
    <row r="15137" ht="12.75" customHeight="1">
      <c r="A15137" s="59" t="s">
        <v>2886</v>
      </c>
      <c r="B15137" s="60" t="s">
        <v>2349</v>
      </c>
    </row>
    <row r="15138" ht="12.75" customHeight="1">
      <c r="A15138" s="59" t="s">
        <v>2886</v>
      </c>
      <c r="B15138" s="60" t="s">
        <v>2350</v>
      </c>
    </row>
    <row r="15139" ht="12.75" customHeight="1">
      <c r="A15139" s="59" t="s">
        <v>2886</v>
      </c>
      <c r="B15139" s="60" t="s">
        <v>2351</v>
      </c>
    </row>
    <row r="15140" ht="12.75" customHeight="1">
      <c r="A15140" s="59" t="s">
        <v>2886</v>
      </c>
      <c r="B15140" s="60" t="s">
        <v>2352</v>
      </c>
    </row>
    <row r="15141" ht="12.75" customHeight="1">
      <c r="A15141" s="59" t="s">
        <v>2886</v>
      </c>
      <c r="B15141" s="60" t="s">
        <v>2353</v>
      </c>
    </row>
    <row r="15142" ht="12.75" customHeight="1">
      <c r="A15142" s="59" t="s">
        <v>2886</v>
      </c>
      <c r="B15142" s="60" t="s">
        <v>2354</v>
      </c>
    </row>
    <row r="15143" ht="12.75" customHeight="1">
      <c r="A15143" s="59" t="s">
        <v>2886</v>
      </c>
      <c r="B15143" s="60" t="s">
        <v>2355</v>
      </c>
    </row>
    <row r="15144" ht="12.75" customHeight="1">
      <c r="A15144" s="59" t="s">
        <v>2886</v>
      </c>
      <c r="B15144" s="60" t="s">
        <v>2356</v>
      </c>
    </row>
    <row r="15145" ht="12.75" customHeight="1">
      <c r="A15145" s="59" t="s">
        <v>2886</v>
      </c>
      <c r="B15145" s="60" t="s">
        <v>2357</v>
      </c>
    </row>
    <row r="15146" ht="12.75" customHeight="1">
      <c r="A15146" s="59" t="s">
        <v>2886</v>
      </c>
      <c r="B15146" s="60" t="s">
        <v>881</v>
      </c>
    </row>
    <row r="15147" ht="12.75" customHeight="1">
      <c r="A15147" s="59" t="s">
        <v>2886</v>
      </c>
      <c r="B15147" s="60" t="s">
        <v>2313</v>
      </c>
    </row>
    <row r="15148" ht="12.75" customHeight="1">
      <c r="A15148" s="59" t="s">
        <v>2886</v>
      </c>
      <c r="B15148" s="60" t="s">
        <v>2314</v>
      </c>
    </row>
    <row r="15149" ht="12.75" customHeight="1">
      <c r="A15149" s="59" t="s">
        <v>2886</v>
      </c>
      <c r="B15149" s="60" t="s">
        <v>2315</v>
      </c>
    </row>
    <row r="15150" ht="12.75" customHeight="1">
      <c r="A15150" s="59" t="s">
        <v>2886</v>
      </c>
      <c r="B15150" s="60" t="s">
        <v>2316</v>
      </c>
    </row>
    <row r="15151" ht="12.75" customHeight="1">
      <c r="A15151" s="59" t="s">
        <v>2886</v>
      </c>
      <c r="B15151" s="60" t="s">
        <v>2317</v>
      </c>
    </row>
    <row r="15152" ht="12.75" customHeight="1">
      <c r="A15152" s="59" t="s">
        <v>2886</v>
      </c>
      <c r="B15152" s="60" t="s">
        <v>2318</v>
      </c>
    </row>
    <row r="15153" ht="12.75" customHeight="1">
      <c r="A15153" s="59" t="s">
        <v>2886</v>
      </c>
      <c r="B15153" s="60" t="s">
        <v>2319</v>
      </c>
    </row>
    <row r="15154" ht="12.75" customHeight="1">
      <c r="A15154" s="59" t="s">
        <v>2886</v>
      </c>
      <c r="B15154" s="60" t="s">
        <v>2320</v>
      </c>
    </row>
    <row r="15155" ht="12.75" customHeight="1">
      <c r="A15155" s="59" t="s">
        <v>2886</v>
      </c>
      <c r="B15155" s="60" t="s">
        <v>2321</v>
      </c>
    </row>
    <row r="15156" ht="12.75" customHeight="1">
      <c r="A15156" s="59" t="s">
        <v>2886</v>
      </c>
      <c r="B15156" s="60" t="s">
        <v>2322</v>
      </c>
    </row>
    <row r="15157" ht="12.75" customHeight="1">
      <c r="A15157" s="59" t="s">
        <v>2886</v>
      </c>
      <c r="B15157" s="60" t="s">
        <v>2323</v>
      </c>
    </row>
    <row r="15158" ht="12.75" customHeight="1">
      <c r="A15158" s="59" t="s">
        <v>2886</v>
      </c>
      <c r="B15158" s="60" t="s">
        <v>2358</v>
      </c>
    </row>
    <row r="15159" ht="12.75" customHeight="1">
      <c r="A15159" s="59" t="s">
        <v>2886</v>
      </c>
      <c r="B15159" s="60" t="s">
        <v>2359</v>
      </c>
    </row>
    <row r="15160" ht="12.75" customHeight="1">
      <c r="A15160" s="59" t="s">
        <v>2886</v>
      </c>
      <c r="B15160" s="60" t="s">
        <v>2360</v>
      </c>
    </row>
    <row r="15161" ht="12.75" customHeight="1">
      <c r="A15161" s="59" t="s">
        <v>2886</v>
      </c>
      <c r="B15161" s="60" t="s">
        <v>2361</v>
      </c>
    </row>
    <row r="15162" ht="12.75" customHeight="1">
      <c r="A15162" s="59" t="s">
        <v>2886</v>
      </c>
      <c r="B15162" s="60" t="s">
        <v>2362</v>
      </c>
    </row>
    <row r="15163" ht="12.75" customHeight="1">
      <c r="A15163" s="59" t="s">
        <v>2886</v>
      </c>
      <c r="B15163" s="60" t="s">
        <v>1970</v>
      </c>
    </row>
    <row r="15164" ht="12.75" customHeight="1">
      <c r="A15164" s="59" t="s">
        <v>2886</v>
      </c>
      <c r="B15164" s="60" t="s">
        <v>2364</v>
      </c>
    </row>
    <row r="15165" ht="12.75" customHeight="1">
      <c r="A15165" s="59" t="s">
        <v>2886</v>
      </c>
      <c r="B15165" s="60" t="s">
        <v>2365</v>
      </c>
    </row>
    <row r="15166" ht="12.75" customHeight="1">
      <c r="A15166" s="59" t="s">
        <v>2886</v>
      </c>
      <c r="B15166" s="60" t="s">
        <v>2366</v>
      </c>
    </row>
    <row r="15167" ht="12.75" customHeight="1">
      <c r="A15167" s="59" t="s">
        <v>2886</v>
      </c>
      <c r="B15167" s="60" t="s">
        <v>2367</v>
      </c>
    </row>
    <row r="15168" ht="12.75" customHeight="1">
      <c r="A15168" s="59" t="s">
        <v>2886</v>
      </c>
      <c r="B15168" s="60" t="s">
        <v>2368</v>
      </c>
    </row>
    <row r="15169" ht="12.75" customHeight="1">
      <c r="A15169" s="59" t="s">
        <v>2886</v>
      </c>
      <c r="B15169" s="60" t="s">
        <v>2369</v>
      </c>
    </row>
    <row r="15170" ht="12.75" customHeight="1">
      <c r="A15170" s="59" t="s">
        <v>2886</v>
      </c>
      <c r="B15170" s="60" t="s">
        <v>2370</v>
      </c>
    </row>
    <row r="15171" ht="12.75" customHeight="1">
      <c r="A15171" s="59" t="s">
        <v>2886</v>
      </c>
      <c r="B15171" s="60" t="s">
        <v>2371</v>
      </c>
    </row>
    <row r="15172" ht="12.75" customHeight="1">
      <c r="A15172" s="59" t="s">
        <v>2886</v>
      </c>
      <c r="B15172" s="60" t="s">
        <v>2372</v>
      </c>
    </row>
    <row r="15173" ht="12.75" customHeight="1">
      <c r="A15173" s="59" t="s">
        <v>2886</v>
      </c>
      <c r="B15173" s="60" t="s">
        <v>2373</v>
      </c>
    </row>
    <row r="15174" ht="12.75" customHeight="1">
      <c r="A15174" s="59" t="s">
        <v>2886</v>
      </c>
      <c r="B15174" s="60" t="s">
        <v>2374</v>
      </c>
    </row>
    <row r="15175" ht="12.75" customHeight="1">
      <c r="A15175" s="59" t="s">
        <v>2886</v>
      </c>
      <c r="B15175" s="60" t="s">
        <v>900</v>
      </c>
    </row>
    <row r="15176" ht="12.75" customHeight="1">
      <c r="A15176" s="59" t="s">
        <v>2886</v>
      </c>
      <c r="B15176" s="60" t="s">
        <v>2324</v>
      </c>
    </row>
    <row r="15177" ht="12.75" customHeight="1">
      <c r="A15177" s="59" t="s">
        <v>2886</v>
      </c>
      <c r="B15177" s="60" t="s">
        <v>2325</v>
      </c>
    </row>
    <row r="15178" ht="12.75" customHeight="1">
      <c r="A15178" s="59" t="s">
        <v>2886</v>
      </c>
      <c r="B15178" s="60" t="s">
        <v>2326</v>
      </c>
    </row>
    <row r="15179" ht="12.75" customHeight="1">
      <c r="A15179" s="59" t="s">
        <v>2886</v>
      </c>
      <c r="B15179" s="60" t="s">
        <v>2327</v>
      </c>
    </row>
    <row r="15180" ht="12.75" customHeight="1">
      <c r="A15180" s="59" t="s">
        <v>2886</v>
      </c>
      <c r="B15180" s="60" t="s">
        <v>2328</v>
      </c>
    </row>
    <row r="15181" ht="12.75" customHeight="1">
      <c r="A15181" s="59" t="s">
        <v>2886</v>
      </c>
      <c r="B15181" s="60" t="s">
        <v>2329</v>
      </c>
    </row>
    <row r="15182" ht="12.75" customHeight="1">
      <c r="A15182" s="59" t="s">
        <v>2886</v>
      </c>
      <c r="B15182" s="60" t="s">
        <v>2330</v>
      </c>
    </row>
    <row r="15183" ht="12.75" customHeight="1">
      <c r="A15183" s="59" t="s">
        <v>2886</v>
      </c>
      <c r="B15183" s="60" t="s">
        <v>2331</v>
      </c>
    </row>
    <row r="15184" ht="12.75" customHeight="1">
      <c r="A15184" s="59" t="s">
        <v>2886</v>
      </c>
      <c r="B15184" s="60" t="s">
        <v>2332</v>
      </c>
    </row>
    <row r="15185" ht="12.75" customHeight="1">
      <c r="A15185" s="59" t="s">
        <v>2886</v>
      </c>
      <c r="B15185" s="60" t="s">
        <v>2333</v>
      </c>
    </row>
    <row r="15186" ht="12.75" customHeight="1">
      <c r="A15186" s="59" t="s">
        <v>2886</v>
      </c>
      <c r="B15186" s="60" t="s">
        <v>2334</v>
      </c>
    </row>
    <row r="15187" ht="12.75" customHeight="1">
      <c r="A15187" s="59" t="s">
        <v>2886</v>
      </c>
      <c r="B15187" s="60" t="s">
        <v>2375</v>
      </c>
    </row>
    <row r="15188" ht="12.75" customHeight="1">
      <c r="A15188" s="59" t="s">
        <v>2886</v>
      </c>
      <c r="B15188" s="60" t="s">
        <v>2376</v>
      </c>
    </row>
    <row r="15189" ht="12.75" customHeight="1">
      <c r="A15189" s="59" t="s">
        <v>2886</v>
      </c>
      <c r="B15189" s="60" t="s">
        <v>2377</v>
      </c>
    </row>
    <row r="15190" ht="12.75" customHeight="1">
      <c r="A15190" s="59" t="s">
        <v>2886</v>
      </c>
      <c r="B15190" s="60" t="s">
        <v>2378</v>
      </c>
    </row>
    <row r="15191" ht="12.75" customHeight="1">
      <c r="A15191" s="59" t="s">
        <v>2886</v>
      </c>
      <c r="B15191" s="60" t="s">
        <v>2379</v>
      </c>
    </row>
    <row r="15192" ht="12.75" customHeight="1">
      <c r="A15192" s="59" t="s">
        <v>2886</v>
      </c>
      <c r="B15192" s="60" t="s">
        <v>1975</v>
      </c>
    </row>
    <row r="15193" ht="12.75" customHeight="1">
      <c r="A15193" s="59" t="s">
        <v>2886</v>
      </c>
      <c r="B15193" s="60" t="s">
        <v>2381</v>
      </c>
    </row>
    <row r="15194" ht="12.75" customHeight="1">
      <c r="A15194" s="59" t="s">
        <v>2886</v>
      </c>
      <c r="B15194" s="60" t="s">
        <v>2382</v>
      </c>
    </row>
    <row r="15195" ht="12.75" customHeight="1">
      <c r="A15195" s="59" t="s">
        <v>2886</v>
      </c>
      <c r="B15195" s="60" t="s">
        <v>2383</v>
      </c>
    </row>
    <row r="15196" ht="12.75" customHeight="1">
      <c r="A15196" s="59" t="s">
        <v>2886</v>
      </c>
      <c r="B15196" s="60" t="s">
        <v>2384</v>
      </c>
    </row>
    <row r="15197" ht="12.75" customHeight="1">
      <c r="A15197" s="59" t="s">
        <v>2886</v>
      </c>
      <c r="B15197" s="60" t="s">
        <v>2385</v>
      </c>
    </row>
    <row r="15198" ht="12.75" customHeight="1">
      <c r="A15198" s="59" t="s">
        <v>2886</v>
      </c>
      <c r="B15198" s="60" t="s">
        <v>2386</v>
      </c>
    </row>
    <row r="15199" ht="12.75" customHeight="1">
      <c r="A15199" s="59" t="s">
        <v>2886</v>
      </c>
      <c r="B15199" s="60" t="s">
        <v>2387</v>
      </c>
    </row>
    <row r="15200" ht="12.75" customHeight="1">
      <c r="A15200" s="59" t="s">
        <v>2886</v>
      </c>
      <c r="B15200" s="60" t="s">
        <v>2388</v>
      </c>
    </row>
    <row r="15201" ht="12.75" customHeight="1">
      <c r="A15201" s="59" t="s">
        <v>2886</v>
      </c>
      <c r="B15201" s="60" t="s">
        <v>2389</v>
      </c>
    </row>
    <row r="15202" ht="12.75" customHeight="1">
      <c r="A15202" s="59" t="s">
        <v>2886</v>
      </c>
      <c r="B15202" s="60" t="s">
        <v>2390</v>
      </c>
    </row>
    <row r="15203" ht="12.75" customHeight="1">
      <c r="A15203" s="59" t="s">
        <v>2886</v>
      </c>
      <c r="B15203" s="60" t="s">
        <v>2391</v>
      </c>
    </row>
    <row r="15204" ht="12.75" customHeight="1">
      <c r="A15204" s="59" t="s">
        <v>2887</v>
      </c>
      <c r="B15204" s="60" t="s">
        <v>804</v>
      </c>
    </row>
    <row r="15205" ht="12.75" customHeight="1">
      <c r="A15205" s="59" t="s">
        <v>2887</v>
      </c>
      <c r="B15205" s="60" t="s">
        <v>76</v>
      </c>
    </row>
    <row r="15206" ht="12.75" customHeight="1">
      <c r="A15206" s="59" t="s">
        <v>2887</v>
      </c>
      <c r="B15206" s="60" t="s">
        <v>80</v>
      </c>
    </row>
    <row r="15207" ht="12.75" customHeight="1">
      <c r="A15207" s="59" t="s">
        <v>2887</v>
      </c>
      <c r="B15207" s="60" t="s">
        <v>83</v>
      </c>
    </row>
    <row r="15208" ht="12.75" customHeight="1">
      <c r="A15208" s="59" t="s">
        <v>2887</v>
      </c>
      <c r="B15208" s="60" t="s">
        <v>85</v>
      </c>
    </row>
    <row r="15209" ht="12.75" customHeight="1">
      <c r="A15209" s="59" t="s">
        <v>2887</v>
      </c>
      <c r="B15209" s="60">
        <v>28.0</v>
      </c>
    </row>
    <row r="15210" ht="12.75" customHeight="1">
      <c r="A15210" s="59" t="s">
        <v>2887</v>
      </c>
      <c r="B15210" s="60">
        <v>29.0</v>
      </c>
    </row>
    <row r="15211" ht="12.75" customHeight="1">
      <c r="A15211" s="59" t="s">
        <v>2887</v>
      </c>
      <c r="B15211" s="60">
        <v>30.0</v>
      </c>
    </row>
    <row r="15212" ht="12.75" customHeight="1">
      <c r="A15212" s="59" t="s">
        <v>2887</v>
      </c>
      <c r="B15212" s="60">
        <v>31.0</v>
      </c>
    </row>
    <row r="15213" ht="12.75" customHeight="1">
      <c r="A15213" s="59" t="s">
        <v>2887</v>
      </c>
      <c r="B15213" s="60">
        <v>32.0</v>
      </c>
    </row>
    <row r="15214" ht="12.75" customHeight="1">
      <c r="A15214" s="59" t="s">
        <v>2887</v>
      </c>
      <c r="B15214" s="60">
        <v>33.0</v>
      </c>
    </row>
    <row r="15215" ht="12.75" customHeight="1">
      <c r="A15215" s="59" t="s">
        <v>2887</v>
      </c>
      <c r="B15215" s="60">
        <v>34.0</v>
      </c>
    </row>
    <row r="15216" ht="12.75" customHeight="1">
      <c r="A15216" s="59" t="s">
        <v>2887</v>
      </c>
      <c r="B15216" s="60">
        <v>35.0</v>
      </c>
    </row>
    <row r="15217" ht="12.75" customHeight="1">
      <c r="A15217" s="59" t="s">
        <v>2887</v>
      </c>
      <c r="B15217" s="60">
        <v>36.0</v>
      </c>
    </row>
    <row r="15218" ht="12.75" customHeight="1">
      <c r="A15218" s="59" t="s">
        <v>2887</v>
      </c>
      <c r="B15218" s="60">
        <v>37.0</v>
      </c>
    </row>
    <row r="15219" ht="12.75" customHeight="1">
      <c r="A15219" s="59" t="s">
        <v>2887</v>
      </c>
      <c r="B15219" s="60">
        <v>38.0</v>
      </c>
    </row>
    <row r="15220" ht="12.75" customHeight="1">
      <c r="A15220" s="59" t="s">
        <v>2887</v>
      </c>
      <c r="B15220" s="60">
        <v>39.0</v>
      </c>
    </row>
    <row r="15221" ht="12.75" customHeight="1">
      <c r="A15221" s="59" t="s">
        <v>2887</v>
      </c>
      <c r="B15221" s="60">
        <v>40.0</v>
      </c>
    </row>
    <row r="15222" ht="12.75" customHeight="1">
      <c r="A15222" s="59" t="s">
        <v>2887</v>
      </c>
      <c r="B15222" s="60" t="s">
        <v>810</v>
      </c>
    </row>
    <row r="15223" ht="12.75" customHeight="1">
      <c r="A15223" s="59" t="s">
        <v>2887</v>
      </c>
      <c r="B15223" s="60" t="s">
        <v>811</v>
      </c>
    </row>
    <row r="15224" ht="12.75" customHeight="1">
      <c r="A15224" s="59" t="s">
        <v>2887</v>
      </c>
      <c r="B15224" s="60" t="s">
        <v>812</v>
      </c>
    </row>
    <row r="15225" ht="12.75" customHeight="1">
      <c r="A15225" s="59" t="s">
        <v>2887</v>
      </c>
      <c r="B15225" s="60" t="s">
        <v>813</v>
      </c>
    </row>
    <row r="15226" ht="12.75" customHeight="1">
      <c r="A15226" s="59" t="s">
        <v>2887</v>
      </c>
      <c r="B15226" s="60" t="s">
        <v>814</v>
      </c>
    </row>
    <row r="15227" ht="12.75" customHeight="1">
      <c r="A15227" s="59" t="s">
        <v>2887</v>
      </c>
      <c r="B15227" s="60" t="s">
        <v>1952</v>
      </c>
    </row>
    <row r="15228" ht="12.75" customHeight="1">
      <c r="A15228" s="59" t="s">
        <v>2887</v>
      </c>
      <c r="B15228" s="60" t="s">
        <v>1953</v>
      </c>
    </row>
    <row r="15229" ht="12.75" customHeight="1">
      <c r="A15229" s="59" t="s">
        <v>2887</v>
      </c>
      <c r="B15229" s="60" t="s">
        <v>1954</v>
      </c>
    </row>
    <row r="15230" ht="12.75" customHeight="1">
      <c r="A15230" s="59" t="s">
        <v>2887</v>
      </c>
      <c r="B15230" s="60" t="s">
        <v>1955</v>
      </c>
    </row>
    <row r="15231" ht="12.75" customHeight="1">
      <c r="A15231" s="59" t="s">
        <v>2887</v>
      </c>
      <c r="B15231" s="60" t="s">
        <v>1956</v>
      </c>
    </row>
    <row r="15232" ht="12.75" customHeight="1">
      <c r="A15232" s="59" t="s">
        <v>2887</v>
      </c>
      <c r="B15232" s="60" t="s">
        <v>1957</v>
      </c>
    </row>
    <row r="15233" ht="12.75" customHeight="1">
      <c r="A15233" s="59" t="s">
        <v>2887</v>
      </c>
      <c r="B15233" s="60" t="s">
        <v>1958</v>
      </c>
    </row>
    <row r="15234" ht="12.75" customHeight="1">
      <c r="A15234" s="59" t="s">
        <v>2887</v>
      </c>
      <c r="B15234" s="60" t="s">
        <v>1959</v>
      </c>
    </row>
    <row r="15235" ht="12.75" customHeight="1">
      <c r="A15235" s="59" t="s">
        <v>2887</v>
      </c>
      <c r="B15235" s="60" t="s">
        <v>1960</v>
      </c>
    </row>
    <row r="15236" ht="12.75" customHeight="1">
      <c r="A15236" s="59" t="s">
        <v>2887</v>
      </c>
      <c r="B15236" s="60" t="s">
        <v>1961</v>
      </c>
    </row>
    <row r="15237" ht="12.75" customHeight="1">
      <c r="A15237" s="59" t="s">
        <v>2887</v>
      </c>
      <c r="B15237" s="60" t="s">
        <v>1962</v>
      </c>
    </row>
    <row r="15238" ht="12.75" customHeight="1">
      <c r="A15238" s="59" t="s">
        <v>2887</v>
      </c>
      <c r="B15238" s="60" t="s">
        <v>1963</v>
      </c>
    </row>
    <row r="15239" ht="12.75" customHeight="1">
      <c r="A15239" s="59" t="s">
        <v>2887</v>
      </c>
      <c r="B15239" s="60" t="s">
        <v>1964</v>
      </c>
    </row>
    <row r="15240" ht="12.75" customHeight="1">
      <c r="A15240" s="59" t="s">
        <v>2887</v>
      </c>
      <c r="B15240" s="60" t="s">
        <v>820</v>
      </c>
    </row>
    <row r="15241" ht="12.75" customHeight="1">
      <c r="A15241" s="59" t="s">
        <v>2887</v>
      </c>
      <c r="B15241" s="60" t="s">
        <v>821</v>
      </c>
    </row>
    <row r="15242" ht="12.75" customHeight="1">
      <c r="A15242" s="59" t="s">
        <v>2887</v>
      </c>
      <c r="B15242" s="60" t="s">
        <v>822</v>
      </c>
    </row>
    <row r="15243" ht="12.75" customHeight="1">
      <c r="A15243" s="59" t="s">
        <v>2887</v>
      </c>
      <c r="B15243" s="60" t="s">
        <v>823</v>
      </c>
    </row>
    <row r="15244" ht="12.75" customHeight="1">
      <c r="A15244" s="59" t="s">
        <v>2887</v>
      </c>
      <c r="B15244" s="60" t="s">
        <v>824</v>
      </c>
    </row>
    <row r="15245" ht="12.75" customHeight="1">
      <c r="A15245" s="59" t="s">
        <v>2887</v>
      </c>
      <c r="B15245" s="60" t="s">
        <v>875</v>
      </c>
    </row>
    <row r="15246" ht="12.75" customHeight="1">
      <c r="A15246" s="59" t="s">
        <v>2887</v>
      </c>
      <c r="B15246" s="60" t="s">
        <v>1205</v>
      </c>
    </row>
    <row r="15247" ht="12.75" customHeight="1">
      <c r="A15247" s="59" t="s">
        <v>2887</v>
      </c>
      <c r="B15247" s="60" t="s">
        <v>876</v>
      </c>
    </row>
    <row r="15248" ht="12.75" customHeight="1">
      <c r="A15248" s="59" t="s">
        <v>2887</v>
      </c>
      <c r="B15248" s="60" t="s">
        <v>1206</v>
      </c>
    </row>
    <row r="15249" ht="12.75" customHeight="1">
      <c r="A15249" s="59" t="s">
        <v>2887</v>
      </c>
      <c r="B15249" s="60" t="s">
        <v>877</v>
      </c>
    </row>
    <row r="15250" ht="12.75" customHeight="1">
      <c r="A15250" s="59" t="s">
        <v>2887</v>
      </c>
      <c r="B15250" s="60" t="s">
        <v>1230</v>
      </c>
    </row>
    <row r="15251" ht="12.75" customHeight="1">
      <c r="A15251" s="59" t="s">
        <v>2887</v>
      </c>
      <c r="B15251" s="60" t="s">
        <v>878</v>
      </c>
    </row>
    <row r="15252" ht="12.75" customHeight="1">
      <c r="A15252" s="59" t="s">
        <v>2887</v>
      </c>
      <c r="B15252" s="60" t="s">
        <v>1966</v>
      </c>
    </row>
    <row r="15253" ht="12.75" customHeight="1">
      <c r="A15253" s="59" t="s">
        <v>2887</v>
      </c>
      <c r="B15253" s="60" t="s">
        <v>879</v>
      </c>
    </row>
    <row r="15254" ht="12.75" customHeight="1">
      <c r="A15254" s="59" t="s">
        <v>2887</v>
      </c>
      <c r="B15254" s="60" t="s">
        <v>1967</v>
      </c>
    </row>
    <row r="15255" ht="12.75" customHeight="1">
      <c r="A15255" s="59" t="s">
        <v>2887</v>
      </c>
      <c r="B15255" s="60" t="s">
        <v>880</v>
      </c>
    </row>
    <row r="15256" ht="12.75" customHeight="1">
      <c r="A15256" s="59" t="s">
        <v>2887</v>
      </c>
      <c r="B15256" s="60" t="s">
        <v>1968</v>
      </c>
    </row>
    <row r="15257" ht="12.75" customHeight="1">
      <c r="A15257" s="59" t="s">
        <v>2887</v>
      </c>
      <c r="B15257" s="60" t="s">
        <v>1969</v>
      </c>
    </row>
    <row r="15258" ht="12.75" customHeight="1">
      <c r="A15258" s="59" t="s">
        <v>2887</v>
      </c>
      <c r="B15258" s="60" t="s">
        <v>830</v>
      </c>
    </row>
    <row r="15259" ht="12.75" customHeight="1">
      <c r="A15259" s="59" t="s">
        <v>2887</v>
      </c>
      <c r="B15259" s="60" t="s">
        <v>831</v>
      </c>
    </row>
    <row r="15260" ht="12.75" customHeight="1">
      <c r="A15260" s="59" t="s">
        <v>2887</v>
      </c>
      <c r="B15260" s="60" t="s">
        <v>832</v>
      </c>
    </row>
    <row r="15261" ht="12.75" customHeight="1">
      <c r="A15261" s="59" t="s">
        <v>2887</v>
      </c>
      <c r="B15261" s="60" t="s">
        <v>833</v>
      </c>
    </row>
    <row r="15262" ht="12.75" customHeight="1">
      <c r="A15262" s="59" t="s">
        <v>2887</v>
      </c>
      <c r="B15262" s="60" t="s">
        <v>834</v>
      </c>
    </row>
    <row r="15263" ht="12.75" customHeight="1">
      <c r="A15263" s="59" t="s">
        <v>2887</v>
      </c>
      <c r="B15263" s="60" t="s">
        <v>894</v>
      </c>
    </row>
    <row r="15264" ht="12.75" customHeight="1">
      <c r="A15264" s="59" t="s">
        <v>2887</v>
      </c>
      <c r="B15264" s="60" t="s">
        <v>1211</v>
      </c>
    </row>
    <row r="15265" ht="12.75" customHeight="1">
      <c r="A15265" s="59" t="s">
        <v>2887</v>
      </c>
      <c r="B15265" s="60" t="s">
        <v>895</v>
      </c>
    </row>
    <row r="15266" ht="12.75" customHeight="1">
      <c r="A15266" s="59" t="s">
        <v>2887</v>
      </c>
      <c r="B15266" s="60" t="s">
        <v>1212</v>
      </c>
    </row>
    <row r="15267" ht="12.75" customHeight="1">
      <c r="A15267" s="59" t="s">
        <v>2887</v>
      </c>
      <c r="B15267" s="60" t="s">
        <v>896</v>
      </c>
    </row>
    <row r="15268" ht="12.75" customHeight="1">
      <c r="A15268" s="59" t="s">
        <v>2887</v>
      </c>
      <c r="B15268" s="60" t="s">
        <v>1239</v>
      </c>
    </row>
    <row r="15269" ht="12.75" customHeight="1">
      <c r="A15269" s="59" t="s">
        <v>2887</v>
      </c>
      <c r="B15269" s="60" t="s">
        <v>897</v>
      </c>
    </row>
    <row r="15270" ht="12.75" customHeight="1">
      <c r="A15270" s="59" t="s">
        <v>2887</v>
      </c>
      <c r="B15270" s="60" t="s">
        <v>1971</v>
      </c>
    </row>
    <row r="15271" ht="12.75" customHeight="1">
      <c r="A15271" s="59" t="s">
        <v>2887</v>
      </c>
      <c r="B15271" s="60" t="s">
        <v>898</v>
      </c>
    </row>
    <row r="15272" ht="12.75" customHeight="1">
      <c r="A15272" s="59" t="s">
        <v>2887</v>
      </c>
      <c r="B15272" s="60" t="s">
        <v>1972</v>
      </c>
    </row>
    <row r="15273" ht="12.75" customHeight="1">
      <c r="A15273" s="59" t="s">
        <v>2887</v>
      </c>
      <c r="B15273" s="60" t="s">
        <v>899</v>
      </c>
    </row>
    <row r="15274" ht="12.75" customHeight="1">
      <c r="A15274" s="59" t="s">
        <v>2887</v>
      </c>
      <c r="B15274" s="60" t="s">
        <v>1973</v>
      </c>
    </row>
    <row r="15275" ht="12.75" customHeight="1">
      <c r="A15275" s="59" t="s">
        <v>2887</v>
      </c>
      <c r="B15275" s="60" t="s">
        <v>1974</v>
      </c>
    </row>
    <row r="15276" ht="12.75" customHeight="1">
      <c r="A15276" s="59" t="s">
        <v>2887</v>
      </c>
      <c r="B15276" s="60" t="s">
        <v>845</v>
      </c>
    </row>
    <row r="15277" ht="12.75" customHeight="1">
      <c r="A15277" s="59" t="s">
        <v>2887</v>
      </c>
      <c r="B15277" s="60" t="s">
        <v>2291</v>
      </c>
    </row>
    <row r="15278" ht="12.75" customHeight="1">
      <c r="A15278" s="59" t="s">
        <v>2887</v>
      </c>
      <c r="B15278" s="60" t="s">
        <v>2292</v>
      </c>
    </row>
    <row r="15279" ht="12.75" customHeight="1">
      <c r="A15279" s="59" t="s">
        <v>2887</v>
      </c>
      <c r="B15279" s="60" t="s">
        <v>2293</v>
      </c>
    </row>
    <row r="15280" ht="12.75" customHeight="1">
      <c r="A15280" s="59" t="s">
        <v>2887</v>
      </c>
      <c r="B15280" s="60" t="s">
        <v>2294</v>
      </c>
    </row>
    <row r="15281" ht="12.75" customHeight="1">
      <c r="A15281" s="59" t="s">
        <v>2887</v>
      </c>
      <c r="B15281" s="60" t="s">
        <v>2295</v>
      </c>
    </row>
    <row r="15282" ht="12.75" customHeight="1">
      <c r="A15282" s="59" t="s">
        <v>2887</v>
      </c>
      <c r="B15282" s="60" t="s">
        <v>2296</v>
      </c>
    </row>
    <row r="15283" ht="12.75" customHeight="1">
      <c r="A15283" s="59" t="s">
        <v>2887</v>
      </c>
      <c r="B15283" s="60" t="s">
        <v>2297</v>
      </c>
    </row>
    <row r="15284" ht="12.75" customHeight="1">
      <c r="A15284" s="59" t="s">
        <v>2887</v>
      </c>
      <c r="B15284" s="60" t="s">
        <v>2298</v>
      </c>
    </row>
    <row r="15285" ht="12.75" customHeight="1">
      <c r="A15285" s="59" t="s">
        <v>2887</v>
      </c>
      <c r="B15285" s="60" t="s">
        <v>2299</v>
      </c>
    </row>
    <row r="15286" ht="12.75" customHeight="1">
      <c r="A15286" s="59" t="s">
        <v>2887</v>
      </c>
      <c r="B15286" s="60" t="s">
        <v>2300</v>
      </c>
    </row>
    <row r="15287" ht="12.75" customHeight="1">
      <c r="A15287" s="59" t="s">
        <v>2887</v>
      </c>
      <c r="B15287" s="60" t="s">
        <v>2301</v>
      </c>
    </row>
    <row r="15288" ht="12.75" customHeight="1">
      <c r="A15288" s="59" t="s">
        <v>2887</v>
      </c>
      <c r="B15288" s="60" t="s">
        <v>2335</v>
      </c>
    </row>
    <row r="15289" ht="12.75" customHeight="1">
      <c r="A15289" s="59" t="s">
        <v>2887</v>
      </c>
      <c r="B15289" s="60" t="s">
        <v>2336</v>
      </c>
    </row>
    <row r="15290" ht="12.75" customHeight="1">
      <c r="A15290" s="59" t="s">
        <v>2887</v>
      </c>
      <c r="B15290" s="60" t="s">
        <v>2337</v>
      </c>
    </row>
    <row r="15291" ht="12.75" customHeight="1">
      <c r="A15291" s="59" t="s">
        <v>2887</v>
      </c>
      <c r="B15291" s="60" t="s">
        <v>2338</v>
      </c>
    </row>
    <row r="15292" ht="12.75" customHeight="1">
      <c r="A15292" s="59" t="s">
        <v>2887</v>
      </c>
      <c r="B15292" s="60" t="s">
        <v>2339</v>
      </c>
    </row>
    <row r="15293" ht="12.75" customHeight="1">
      <c r="A15293" s="59" t="s">
        <v>2887</v>
      </c>
      <c r="B15293" s="60">
        <v>41.0</v>
      </c>
    </row>
    <row r="15294" ht="12.75" customHeight="1">
      <c r="A15294" s="59" t="s">
        <v>2887</v>
      </c>
      <c r="B15294" s="60">
        <v>42.0</v>
      </c>
    </row>
    <row r="15295" ht="12.75" customHeight="1">
      <c r="A15295" s="59" t="s">
        <v>2887</v>
      </c>
      <c r="B15295" s="60">
        <v>43.0</v>
      </c>
    </row>
    <row r="15296" ht="12.75" customHeight="1">
      <c r="A15296" s="59" t="s">
        <v>2887</v>
      </c>
      <c r="B15296" s="60">
        <v>44.0</v>
      </c>
    </row>
    <row r="15297" ht="12.75" customHeight="1">
      <c r="A15297" s="59" t="s">
        <v>2887</v>
      </c>
      <c r="B15297" s="60">
        <v>46.0</v>
      </c>
    </row>
    <row r="15298" ht="12.75" customHeight="1">
      <c r="A15298" s="59" t="s">
        <v>2887</v>
      </c>
      <c r="B15298" s="60">
        <v>48.0</v>
      </c>
    </row>
    <row r="15299" ht="12.75" customHeight="1">
      <c r="A15299" s="59" t="s">
        <v>2887</v>
      </c>
      <c r="B15299" s="60">
        <v>50.0</v>
      </c>
    </row>
    <row r="15300" ht="12.75" customHeight="1">
      <c r="A15300" s="59" t="s">
        <v>2887</v>
      </c>
      <c r="B15300" s="60">
        <v>52.0</v>
      </c>
    </row>
    <row r="15301" ht="12.75" customHeight="1">
      <c r="A15301" s="59" t="s">
        <v>2887</v>
      </c>
      <c r="B15301" s="60">
        <v>54.0</v>
      </c>
    </row>
    <row r="15302" ht="12.75" customHeight="1">
      <c r="A15302" s="59" t="s">
        <v>2887</v>
      </c>
      <c r="B15302" s="60">
        <v>56.0</v>
      </c>
    </row>
    <row r="15303" ht="12.75" customHeight="1">
      <c r="A15303" s="59" t="s">
        <v>2887</v>
      </c>
      <c r="B15303" s="60">
        <v>58.0</v>
      </c>
    </row>
    <row r="15304" ht="12.75" customHeight="1">
      <c r="A15304" s="59" t="s">
        <v>2887</v>
      </c>
      <c r="B15304" s="60">
        <v>60.0</v>
      </c>
    </row>
    <row r="15305" ht="12.75" customHeight="1">
      <c r="A15305" s="59" t="s">
        <v>2887</v>
      </c>
      <c r="B15305" s="60" t="s">
        <v>862</v>
      </c>
    </row>
    <row r="15306" ht="12.75" customHeight="1">
      <c r="A15306" s="59" t="s">
        <v>2887</v>
      </c>
      <c r="B15306" s="60" t="s">
        <v>2302</v>
      </c>
    </row>
    <row r="15307" ht="12.75" customHeight="1">
      <c r="A15307" s="59" t="s">
        <v>2887</v>
      </c>
      <c r="B15307" s="60" t="s">
        <v>2303</v>
      </c>
    </row>
    <row r="15308" ht="12.75" customHeight="1">
      <c r="A15308" s="59" t="s">
        <v>2887</v>
      </c>
      <c r="B15308" s="60" t="s">
        <v>2304</v>
      </c>
    </row>
    <row r="15309" ht="12.75" customHeight="1">
      <c r="A15309" s="59" t="s">
        <v>2887</v>
      </c>
      <c r="B15309" s="60" t="s">
        <v>2305</v>
      </c>
    </row>
    <row r="15310" ht="12.75" customHeight="1">
      <c r="A15310" s="59" t="s">
        <v>2887</v>
      </c>
      <c r="B15310" s="60" t="s">
        <v>2306</v>
      </c>
    </row>
    <row r="15311" ht="12.75" customHeight="1">
      <c r="A15311" s="59" t="s">
        <v>2887</v>
      </c>
      <c r="B15311" s="60" t="s">
        <v>2307</v>
      </c>
    </row>
    <row r="15312" ht="12.75" customHeight="1">
      <c r="A15312" s="59" t="s">
        <v>2887</v>
      </c>
      <c r="B15312" s="60" t="s">
        <v>2308</v>
      </c>
    </row>
    <row r="15313" ht="12.75" customHeight="1">
      <c r="A15313" s="59" t="s">
        <v>2887</v>
      </c>
      <c r="B15313" s="60" t="s">
        <v>2309</v>
      </c>
    </row>
    <row r="15314" ht="12.75" customHeight="1">
      <c r="A15314" s="59" t="s">
        <v>2887</v>
      </c>
      <c r="B15314" s="60" t="s">
        <v>2310</v>
      </c>
    </row>
    <row r="15315" ht="12.75" customHeight="1">
      <c r="A15315" s="59" t="s">
        <v>2887</v>
      </c>
      <c r="B15315" s="60" t="s">
        <v>2311</v>
      </c>
    </row>
    <row r="15316" ht="12.75" customHeight="1">
      <c r="A15316" s="59" t="s">
        <v>2887</v>
      </c>
      <c r="B15316" s="60" t="s">
        <v>2312</v>
      </c>
    </row>
    <row r="15317" ht="12.75" customHeight="1">
      <c r="A15317" s="59" t="s">
        <v>2887</v>
      </c>
      <c r="B15317" s="60" t="s">
        <v>2341</v>
      </c>
    </row>
    <row r="15318" ht="12.75" customHeight="1">
      <c r="A15318" s="59" t="s">
        <v>2887</v>
      </c>
      <c r="B15318" s="60" t="s">
        <v>2342</v>
      </c>
    </row>
    <row r="15319" ht="12.75" customHeight="1">
      <c r="A15319" s="59" t="s">
        <v>2887</v>
      </c>
      <c r="B15319" s="60" t="s">
        <v>2343</v>
      </c>
    </row>
    <row r="15320" ht="12.75" customHeight="1">
      <c r="A15320" s="59" t="s">
        <v>2887</v>
      </c>
      <c r="B15320" s="60" t="s">
        <v>2344</v>
      </c>
    </row>
    <row r="15321" ht="12.75" customHeight="1">
      <c r="A15321" s="59" t="s">
        <v>2887</v>
      </c>
      <c r="B15321" s="60" t="s">
        <v>2345</v>
      </c>
    </row>
    <row r="15322" ht="12.75" customHeight="1">
      <c r="A15322" s="59" t="s">
        <v>2887</v>
      </c>
      <c r="B15322" s="60" t="s">
        <v>1965</v>
      </c>
    </row>
    <row r="15323" ht="12.75" customHeight="1">
      <c r="A15323" s="59" t="s">
        <v>2887</v>
      </c>
      <c r="B15323" s="60" t="s">
        <v>2347</v>
      </c>
    </row>
    <row r="15324" ht="12.75" customHeight="1">
      <c r="A15324" s="59" t="s">
        <v>2887</v>
      </c>
      <c r="B15324" s="60" t="s">
        <v>2348</v>
      </c>
    </row>
    <row r="15325" ht="12.75" customHeight="1">
      <c r="A15325" s="59" t="s">
        <v>2887</v>
      </c>
      <c r="B15325" s="60" t="s">
        <v>2349</v>
      </c>
    </row>
    <row r="15326" ht="12.75" customHeight="1">
      <c r="A15326" s="59" t="s">
        <v>2887</v>
      </c>
      <c r="B15326" s="60" t="s">
        <v>2350</v>
      </c>
    </row>
    <row r="15327" ht="12.75" customHeight="1">
      <c r="A15327" s="59" t="s">
        <v>2887</v>
      </c>
      <c r="B15327" s="60" t="s">
        <v>2351</v>
      </c>
    </row>
    <row r="15328" ht="12.75" customHeight="1">
      <c r="A15328" s="59" t="s">
        <v>2887</v>
      </c>
      <c r="B15328" s="60" t="s">
        <v>2352</v>
      </c>
    </row>
    <row r="15329" ht="12.75" customHeight="1">
      <c r="A15329" s="59" t="s">
        <v>2887</v>
      </c>
      <c r="B15329" s="60" t="s">
        <v>2353</v>
      </c>
    </row>
    <row r="15330" ht="12.75" customHeight="1">
      <c r="A15330" s="59" t="s">
        <v>2887</v>
      </c>
      <c r="B15330" s="60" t="s">
        <v>2354</v>
      </c>
    </row>
    <row r="15331" ht="12.75" customHeight="1">
      <c r="A15331" s="59" t="s">
        <v>2887</v>
      </c>
      <c r="B15331" s="60" t="s">
        <v>2355</v>
      </c>
    </row>
    <row r="15332" ht="12.75" customHeight="1">
      <c r="A15332" s="59" t="s">
        <v>2887</v>
      </c>
      <c r="B15332" s="60" t="s">
        <v>2356</v>
      </c>
    </row>
    <row r="15333" ht="12.75" customHeight="1">
      <c r="A15333" s="59" t="s">
        <v>2887</v>
      </c>
      <c r="B15333" s="60" t="s">
        <v>2357</v>
      </c>
    </row>
    <row r="15334" ht="12.75" customHeight="1">
      <c r="A15334" s="59" t="s">
        <v>2887</v>
      </c>
      <c r="B15334" s="60" t="s">
        <v>881</v>
      </c>
    </row>
    <row r="15335" ht="12.75" customHeight="1">
      <c r="A15335" s="59" t="s">
        <v>2887</v>
      </c>
      <c r="B15335" s="60" t="s">
        <v>2313</v>
      </c>
    </row>
    <row r="15336" ht="12.75" customHeight="1">
      <c r="A15336" s="59" t="s">
        <v>2887</v>
      </c>
      <c r="B15336" s="60" t="s">
        <v>2314</v>
      </c>
    </row>
    <row r="15337" ht="12.75" customHeight="1">
      <c r="A15337" s="59" t="s">
        <v>2887</v>
      </c>
      <c r="B15337" s="60" t="s">
        <v>2315</v>
      </c>
    </row>
    <row r="15338" ht="12.75" customHeight="1">
      <c r="A15338" s="59" t="s">
        <v>2887</v>
      </c>
      <c r="B15338" s="60" t="s">
        <v>2316</v>
      </c>
    </row>
    <row r="15339" ht="12.75" customHeight="1">
      <c r="A15339" s="59" t="s">
        <v>2887</v>
      </c>
      <c r="B15339" s="60" t="s">
        <v>2317</v>
      </c>
    </row>
    <row r="15340" ht="12.75" customHeight="1">
      <c r="A15340" s="59" t="s">
        <v>2887</v>
      </c>
      <c r="B15340" s="60" t="s">
        <v>2318</v>
      </c>
    </row>
    <row r="15341" ht="12.75" customHeight="1">
      <c r="A15341" s="59" t="s">
        <v>2887</v>
      </c>
      <c r="B15341" s="60" t="s">
        <v>2319</v>
      </c>
    </row>
    <row r="15342" ht="12.75" customHeight="1">
      <c r="A15342" s="59" t="s">
        <v>2887</v>
      </c>
      <c r="B15342" s="60" t="s">
        <v>2320</v>
      </c>
    </row>
    <row r="15343" ht="12.75" customHeight="1">
      <c r="A15343" s="59" t="s">
        <v>2887</v>
      </c>
      <c r="B15343" s="60" t="s">
        <v>2321</v>
      </c>
    </row>
    <row r="15344" ht="12.75" customHeight="1">
      <c r="A15344" s="59" t="s">
        <v>2887</v>
      </c>
      <c r="B15344" s="60" t="s">
        <v>2322</v>
      </c>
    </row>
    <row r="15345" ht="12.75" customHeight="1">
      <c r="A15345" s="59" t="s">
        <v>2887</v>
      </c>
      <c r="B15345" s="60" t="s">
        <v>2323</v>
      </c>
    </row>
    <row r="15346" ht="12.75" customHeight="1">
      <c r="A15346" s="59" t="s">
        <v>2887</v>
      </c>
      <c r="B15346" s="60" t="s">
        <v>2358</v>
      </c>
    </row>
    <row r="15347" ht="12.75" customHeight="1">
      <c r="A15347" s="59" t="s">
        <v>2887</v>
      </c>
      <c r="B15347" s="60" t="s">
        <v>2359</v>
      </c>
    </row>
    <row r="15348" ht="12.75" customHeight="1">
      <c r="A15348" s="59" t="s">
        <v>2887</v>
      </c>
      <c r="B15348" s="60" t="s">
        <v>2360</v>
      </c>
    </row>
    <row r="15349" ht="12.75" customHeight="1">
      <c r="A15349" s="59" t="s">
        <v>2887</v>
      </c>
      <c r="B15349" s="60" t="s">
        <v>2361</v>
      </c>
    </row>
    <row r="15350" ht="12.75" customHeight="1">
      <c r="A15350" s="59" t="s">
        <v>2887</v>
      </c>
      <c r="B15350" s="60" t="s">
        <v>2362</v>
      </c>
    </row>
    <row r="15351" ht="12.75" customHeight="1">
      <c r="A15351" s="59" t="s">
        <v>2887</v>
      </c>
      <c r="B15351" s="60" t="s">
        <v>1970</v>
      </c>
    </row>
    <row r="15352" ht="12.75" customHeight="1">
      <c r="A15352" s="59" t="s">
        <v>2887</v>
      </c>
      <c r="B15352" s="60" t="s">
        <v>2364</v>
      </c>
    </row>
    <row r="15353" ht="12.75" customHeight="1">
      <c r="A15353" s="59" t="s">
        <v>2887</v>
      </c>
      <c r="B15353" s="60" t="s">
        <v>2365</v>
      </c>
    </row>
    <row r="15354" ht="12.75" customHeight="1">
      <c r="A15354" s="59" t="s">
        <v>2887</v>
      </c>
      <c r="B15354" s="60" t="s">
        <v>2366</v>
      </c>
    </row>
    <row r="15355" ht="12.75" customHeight="1">
      <c r="A15355" s="59" t="s">
        <v>2887</v>
      </c>
      <c r="B15355" s="60" t="s">
        <v>2367</v>
      </c>
    </row>
    <row r="15356" ht="12.75" customHeight="1">
      <c r="A15356" s="59" t="s">
        <v>2887</v>
      </c>
      <c r="B15356" s="60" t="s">
        <v>2368</v>
      </c>
    </row>
    <row r="15357" ht="12.75" customHeight="1">
      <c r="A15357" s="59" t="s">
        <v>2887</v>
      </c>
      <c r="B15357" s="60" t="s">
        <v>2369</v>
      </c>
    </row>
    <row r="15358" ht="12.75" customHeight="1">
      <c r="A15358" s="59" t="s">
        <v>2887</v>
      </c>
      <c r="B15358" s="60" t="s">
        <v>2370</v>
      </c>
    </row>
    <row r="15359" ht="12.75" customHeight="1">
      <c r="A15359" s="59" t="s">
        <v>2887</v>
      </c>
      <c r="B15359" s="60" t="s">
        <v>2371</v>
      </c>
    </row>
    <row r="15360" ht="12.75" customHeight="1">
      <c r="A15360" s="59" t="s">
        <v>2887</v>
      </c>
      <c r="B15360" s="60" t="s">
        <v>2372</v>
      </c>
    </row>
    <row r="15361" ht="12.75" customHeight="1">
      <c r="A15361" s="59" t="s">
        <v>2887</v>
      </c>
      <c r="B15361" s="60" t="s">
        <v>2373</v>
      </c>
    </row>
    <row r="15362" ht="12.75" customHeight="1">
      <c r="A15362" s="59" t="s">
        <v>2887</v>
      </c>
      <c r="B15362" s="60" t="s">
        <v>2374</v>
      </c>
    </row>
    <row r="15363" ht="12.75" customHeight="1">
      <c r="A15363" s="59" t="s">
        <v>2887</v>
      </c>
      <c r="B15363" s="60" t="s">
        <v>900</v>
      </c>
    </row>
    <row r="15364" ht="12.75" customHeight="1">
      <c r="A15364" s="59" t="s">
        <v>2887</v>
      </c>
      <c r="B15364" s="60" t="s">
        <v>2324</v>
      </c>
    </row>
    <row r="15365" ht="12.75" customHeight="1">
      <c r="A15365" s="59" t="s">
        <v>2887</v>
      </c>
      <c r="B15365" s="60" t="s">
        <v>2325</v>
      </c>
    </row>
    <row r="15366" ht="12.75" customHeight="1">
      <c r="A15366" s="59" t="s">
        <v>2887</v>
      </c>
      <c r="B15366" s="60" t="s">
        <v>2326</v>
      </c>
    </row>
    <row r="15367" ht="12.75" customHeight="1">
      <c r="A15367" s="59" t="s">
        <v>2887</v>
      </c>
      <c r="B15367" s="60" t="s">
        <v>2327</v>
      </c>
    </row>
    <row r="15368" ht="12.75" customHeight="1">
      <c r="A15368" s="59" t="s">
        <v>2887</v>
      </c>
      <c r="B15368" s="60" t="s">
        <v>2328</v>
      </c>
    </row>
    <row r="15369" ht="12.75" customHeight="1">
      <c r="A15369" s="59" t="s">
        <v>2887</v>
      </c>
      <c r="B15369" s="60" t="s">
        <v>2329</v>
      </c>
    </row>
    <row r="15370" ht="12.75" customHeight="1">
      <c r="A15370" s="59" t="s">
        <v>2887</v>
      </c>
      <c r="B15370" s="60" t="s">
        <v>2330</v>
      </c>
    </row>
    <row r="15371" ht="12.75" customHeight="1">
      <c r="A15371" s="59" t="s">
        <v>2887</v>
      </c>
      <c r="B15371" s="60" t="s">
        <v>2331</v>
      </c>
    </row>
    <row r="15372" ht="12.75" customHeight="1">
      <c r="A15372" s="59" t="s">
        <v>2887</v>
      </c>
      <c r="B15372" s="60" t="s">
        <v>2332</v>
      </c>
    </row>
    <row r="15373" ht="12.75" customHeight="1">
      <c r="A15373" s="59" t="s">
        <v>2887</v>
      </c>
      <c r="B15373" s="60" t="s">
        <v>2333</v>
      </c>
    </row>
    <row r="15374" ht="12.75" customHeight="1">
      <c r="A15374" s="59" t="s">
        <v>2887</v>
      </c>
      <c r="B15374" s="60" t="s">
        <v>2334</v>
      </c>
    </row>
    <row r="15375" ht="12.75" customHeight="1">
      <c r="A15375" s="59" t="s">
        <v>2887</v>
      </c>
      <c r="B15375" s="60" t="s">
        <v>2375</v>
      </c>
    </row>
    <row r="15376" ht="12.75" customHeight="1">
      <c r="A15376" s="59" t="s">
        <v>2887</v>
      </c>
      <c r="B15376" s="60" t="s">
        <v>2376</v>
      </c>
    </row>
    <row r="15377" ht="12.75" customHeight="1">
      <c r="A15377" s="59" t="s">
        <v>2887</v>
      </c>
      <c r="B15377" s="60" t="s">
        <v>2377</v>
      </c>
    </row>
    <row r="15378" ht="12.75" customHeight="1">
      <c r="A15378" s="59" t="s">
        <v>2887</v>
      </c>
      <c r="B15378" s="60" t="s">
        <v>2378</v>
      </c>
    </row>
    <row r="15379" ht="12.75" customHeight="1">
      <c r="A15379" s="59" t="s">
        <v>2887</v>
      </c>
      <c r="B15379" s="60" t="s">
        <v>2379</v>
      </c>
    </row>
    <row r="15380" ht="12.75" customHeight="1">
      <c r="A15380" s="59" t="s">
        <v>2887</v>
      </c>
      <c r="B15380" s="60" t="s">
        <v>1975</v>
      </c>
    </row>
    <row r="15381" ht="12.75" customHeight="1">
      <c r="A15381" s="59" t="s">
        <v>2887</v>
      </c>
      <c r="B15381" s="60" t="s">
        <v>2381</v>
      </c>
    </row>
    <row r="15382" ht="12.75" customHeight="1">
      <c r="A15382" s="59" t="s">
        <v>2887</v>
      </c>
      <c r="B15382" s="60" t="s">
        <v>2382</v>
      </c>
    </row>
    <row r="15383" ht="12.75" customHeight="1">
      <c r="A15383" s="59" t="s">
        <v>2887</v>
      </c>
      <c r="B15383" s="60" t="s">
        <v>2383</v>
      </c>
    </row>
    <row r="15384" ht="12.75" customHeight="1">
      <c r="A15384" s="59" t="s">
        <v>2887</v>
      </c>
      <c r="B15384" s="60" t="s">
        <v>2384</v>
      </c>
    </row>
    <row r="15385" ht="12.75" customHeight="1">
      <c r="A15385" s="59" t="s">
        <v>2887</v>
      </c>
      <c r="B15385" s="60" t="s">
        <v>2385</v>
      </c>
    </row>
    <row r="15386" ht="12.75" customHeight="1">
      <c r="A15386" s="59" t="s">
        <v>2887</v>
      </c>
      <c r="B15386" s="60" t="s">
        <v>2386</v>
      </c>
    </row>
    <row r="15387" ht="12.75" customHeight="1">
      <c r="A15387" s="59" t="s">
        <v>2887</v>
      </c>
      <c r="B15387" s="60" t="s">
        <v>2387</v>
      </c>
    </row>
    <row r="15388" ht="12.75" customHeight="1">
      <c r="A15388" s="59" t="s">
        <v>2887</v>
      </c>
      <c r="B15388" s="60" t="s">
        <v>2388</v>
      </c>
    </row>
    <row r="15389" ht="12.75" customHeight="1">
      <c r="A15389" s="59" t="s">
        <v>2887</v>
      </c>
      <c r="B15389" s="60" t="s">
        <v>2389</v>
      </c>
    </row>
    <row r="15390" ht="12.75" customHeight="1">
      <c r="A15390" s="59" t="s">
        <v>2887</v>
      </c>
      <c r="B15390" s="60" t="s">
        <v>2390</v>
      </c>
    </row>
    <row r="15391" ht="12.75" customHeight="1">
      <c r="A15391" s="59" t="s">
        <v>2887</v>
      </c>
      <c r="B15391" s="60" t="s">
        <v>2391</v>
      </c>
    </row>
    <row r="15392" ht="12.75" customHeight="1">
      <c r="A15392" s="59" t="s">
        <v>2869</v>
      </c>
      <c r="B15392" s="60" t="s">
        <v>804</v>
      </c>
    </row>
    <row r="15393" ht="12.75" customHeight="1">
      <c r="A15393" s="59" t="s">
        <v>2869</v>
      </c>
      <c r="B15393" s="60" t="s">
        <v>76</v>
      </c>
    </row>
    <row r="15394" ht="12.75" customHeight="1">
      <c r="A15394" s="59" t="s">
        <v>2869</v>
      </c>
      <c r="B15394" s="60" t="s">
        <v>80</v>
      </c>
    </row>
    <row r="15395" ht="12.75" customHeight="1">
      <c r="A15395" s="59" t="s">
        <v>2869</v>
      </c>
      <c r="B15395" s="60" t="s">
        <v>83</v>
      </c>
    </row>
    <row r="15396" ht="12.75" customHeight="1">
      <c r="A15396" s="59" t="s">
        <v>2869</v>
      </c>
      <c r="B15396" s="60" t="s">
        <v>85</v>
      </c>
    </row>
    <row r="15397" ht="12.75" customHeight="1">
      <c r="A15397" s="59" t="s">
        <v>2869</v>
      </c>
      <c r="B15397" s="60" t="s">
        <v>810</v>
      </c>
    </row>
    <row r="15398" ht="12.75" customHeight="1">
      <c r="A15398" s="59" t="s">
        <v>2869</v>
      </c>
      <c r="B15398" s="60" t="s">
        <v>811</v>
      </c>
    </row>
    <row r="15399" ht="12.75" customHeight="1">
      <c r="A15399" s="59" t="s">
        <v>2869</v>
      </c>
      <c r="B15399" s="60" t="s">
        <v>812</v>
      </c>
    </row>
    <row r="15400" ht="12.75" customHeight="1">
      <c r="A15400" s="59" t="s">
        <v>2869</v>
      </c>
      <c r="B15400" s="60" t="s">
        <v>813</v>
      </c>
    </row>
    <row r="15401" ht="12.75" customHeight="1">
      <c r="A15401" s="59" t="s">
        <v>2869</v>
      </c>
      <c r="B15401" s="60" t="s">
        <v>814</v>
      </c>
    </row>
    <row r="15402" ht="12.75" customHeight="1">
      <c r="A15402" s="59" t="s">
        <v>2869</v>
      </c>
      <c r="B15402" s="60" t="s">
        <v>820</v>
      </c>
    </row>
    <row r="15403" ht="12.75" customHeight="1">
      <c r="A15403" s="59" t="s">
        <v>2869</v>
      </c>
      <c r="B15403" s="60" t="s">
        <v>821</v>
      </c>
    </row>
    <row r="15404" ht="12.75" customHeight="1">
      <c r="A15404" s="59" t="s">
        <v>2869</v>
      </c>
      <c r="B15404" s="60" t="s">
        <v>822</v>
      </c>
    </row>
    <row r="15405" ht="12.75" customHeight="1">
      <c r="A15405" s="59" t="s">
        <v>2869</v>
      </c>
      <c r="B15405" s="60" t="s">
        <v>823</v>
      </c>
    </row>
    <row r="15406" ht="12.75" customHeight="1">
      <c r="A15406" s="59" t="s">
        <v>2869</v>
      </c>
      <c r="B15406" s="60" t="s">
        <v>824</v>
      </c>
    </row>
    <row r="15407" ht="12.75" customHeight="1">
      <c r="A15407" s="59" t="s">
        <v>2869</v>
      </c>
      <c r="B15407" s="60" t="s">
        <v>830</v>
      </c>
    </row>
    <row r="15408" ht="12.75" customHeight="1">
      <c r="A15408" s="59" t="s">
        <v>2869</v>
      </c>
      <c r="B15408" s="60" t="s">
        <v>831</v>
      </c>
    </row>
    <row r="15409" ht="12.75" customHeight="1">
      <c r="A15409" s="59" t="s">
        <v>2869</v>
      </c>
      <c r="B15409" s="60" t="s">
        <v>832</v>
      </c>
    </row>
    <row r="15410" ht="12.75" customHeight="1">
      <c r="A15410" s="59" t="s">
        <v>2869</v>
      </c>
      <c r="B15410" s="60" t="s">
        <v>833</v>
      </c>
    </row>
    <row r="15411" ht="12.75" customHeight="1">
      <c r="A15411" s="59" t="s">
        <v>2869</v>
      </c>
      <c r="B15411" s="60" t="s">
        <v>834</v>
      </c>
    </row>
    <row r="15412" ht="12.75" customHeight="1">
      <c r="A15412" s="59" t="s">
        <v>2869</v>
      </c>
      <c r="B15412" s="60" t="s">
        <v>845</v>
      </c>
    </row>
    <row r="15413" ht="12.75" customHeight="1">
      <c r="A15413" s="59" t="s">
        <v>2869</v>
      </c>
      <c r="B15413" s="60" t="s">
        <v>2291</v>
      </c>
    </row>
    <row r="15414" ht="12.75" customHeight="1">
      <c r="A15414" s="59" t="s">
        <v>2869</v>
      </c>
      <c r="B15414" s="60" t="s">
        <v>2292</v>
      </c>
    </row>
    <row r="15415" ht="12.75" customHeight="1">
      <c r="A15415" s="59" t="s">
        <v>2869</v>
      </c>
      <c r="B15415" s="60" t="s">
        <v>2293</v>
      </c>
    </row>
    <row r="15416" ht="12.75" customHeight="1">
      <c r="A15416" s="59" t="s">
        <v>2869</v>
      </c>
      <c r="B15416" s="60" t="s">
        <v>2294</v>
      </c>
    </row>
    <row r="15417" ht="12.75" customHeight="1">
      <c r="A15417" s="59" t="s">
        <v>2869</v>
      </c>
      <c r="B15417" s="60" t="s">
        <v>2295</v>
      </c>
    </row>
    <row r="15418" ht="12.75" customHeight="1">
      <c r="A15418" s="59" t="s">
        <v>2869</v>
      </c>
      <c r="B15418" s="60" t="s">
        <v>2296</v>
      </c>
    </row>
    <row r="15419" ht="12.75" customHeight="1">
      <c r="A15419" s="59" t="s">
        <v>2869</v>
      </c>
      <c r="B15419" s="60" t="s">
        <v>2297</v>
      </c>
    </row>
    <row r="15420" ht="12.75" customHeight="1">
      <c r="A15420" s="59" t="s">
        <v>2869</v>
      </c>
      <c r="B15420" s="60" t="s">
        <v>2298</v>
      </c>
    </row>
    <row r="15421" ht="12.75" customHeight="1">
      <c r="A15421" s="59" t="s">
        <v>2869</v>
      </c>
      <c r="B15421" s="60" t="s">
        <v>2299</v>
      </c>
    </row>
    <row r="15422" ht="12.75" customHeight="1">
      <c r="A15422" s="59" t="s">
        <v>2869</v>
      </c>
      <c r="B15422" s="60" t="s">
        <v>2300</v>
      </c>
    </row>
    <row r="15423" ht="12.75" customHeight="1">
      <c r="A15423" s="59" t="s">
        <v>2869</v>
      </c>
      <c r="B15423" s="60" t="s">
        <v>2301</v>
      </c>
    </row>
    <row r="15424" ht="12.75" customHeight="1">
      <c r="A15424" s="59" t="s">
        <v>2869</v>
      </c>
      <c r="B15424" s="60" t="s">
        <v>862</v>
      </c>
    </row>
    <row r="15425" ht="12.75" customHeight="1">
      <c r="A15425" s="59" t="s">
        <v>2869</v>
      </c>
      <c r="B15425" s="60" t="s">
        <v>2302</v>
      </c>
    </row>
    <row r="15426" ht="12.75" customHeight="1">
      <c r="A15426" s="59" t="s">
        <v>2869</v>
      </c>
      <c r="B15426" s="60" t="s">
        <v>2303</v>
      </c>
    </row>
    <row r="15427" ht="12.75" customHeight="1">
      <c r="A15427" s="59" t="s">
        <v>2869</v>
      </c>
      <c r="B15427" s="60" t="s">
        <v>2304</v>
      </c>
    </row>
    <row r="15428" ht="12.75" customHeight="1">
      <c r="A15428" s="59" t="s">
        <v>2869</v>
      </c>
      <c r="B15428" s="60" t="s">
        <v>2305</v>
      </c>
    </row>
    <row r="15429" ht="12.75" customHeight="1">
      <c r="A15429" s="59" t="s">
        <v>2869</v>
      </c>
      <c r="B15429" s="60" t="s">
        <v>2306</v>
      </c>
    </row>
    <row r="15430" ht="12.75" customHeight="1">
      <c r="A15430" s="59" t="s">
        <v>2869</v>
      </c>
      <c r="B15430" s="60" t="s">
        <v>2307</v>
      </c>
    </row>
    <row r="15431" ht="12.75" customHeight="1">
      <c r="A15431" s="59" t="s">
        <v>2869</v>
      </c>
      <c r="B15431" s="60" t="s">
        <v>2308</v>
      </c>
    </row>
    <row r="15432" ht="12.75" customHeight="1">
      <c r="A15432" s="59" t="s">
        <v>2869</v>
      </c>
      <c r="B15432" s="60" t="s">
        <v>2309</v>
      </c>
    </row>
    <row r="15433" ht="12.75" customHeight="1">
      <c r="A15433" s="59" t="s">
        <v>2869</v>
      </c>
      <c r="B15433" s="60" t="s">
        <v>2310</v>
      </c>
    </row>
    <row r="15434" ht="12.75" customHeight="1">
      <c r="A15434" s="59" t="s">
        <v>2869</v>
      </c>
      <c r="B15434" s="60" t="s">
        <v>2311</v>
      </c>
    </row>
    <row r="15435" ht="12.75" customHeight="1">
      <c r="A15435" s="59" t="s">
        <v>2869</v>
      </c>
      <c r="B15435" s="60" t="s">
        <v>2312</v>
      </c>
    </row>
    <row r="15436" ht="12.75" customHeight="1">
      <c r="A15436" s="59" t="s">
        <v>2869</v>
      </c>
      <c r="B15436" s="60" t="s">
        <v>881</v>
      </c>
    </row>
    <row r="15437" ht="12.75" customHeight="1">
      <c r="A15437" s="59" t="s">
        <v>2869</v>
      </c>
      <c r="B15437" s="60" t="s">
        <v>2313</v>
      </c>
    </row>
    <row r="15438" ht="12.75" customHeight="1">
      <c r="A15438" s="59" t="s">
        <v>2869</v>
      </c>
      <c r="B15438" s="60" t="s">
        <v>2314</v>
      </c>
    </row>
    <row r="15439" ht="12.75" customHeight="1">
      <c r="A15439" s="59" t="s">
        <v>2869</v>
      </c>
      <c r="B15439" s="60" t="s">
        <v>2315</v>
      </c>
    </row>
    <row r="15440" ht="12.75" customHeight="1">
      <c r="A15440" s="59" t="s">
        <v>2869</v>
      </c>
      <c r="B15440" s="60" t="s">
        <v>2316</v>
      </c>
    </row>
    <row r="15441" ht="12.75" customHeight="1">
      <c r="A15441" s="59" t="s">
        <v>2869</v>
      </c>
      <c r="B15441" s="60" t="s">
        <v>2317</v>
      </c>
    </row>
    <row r="15442" ht="12.75" customHeight="1">
      <c r="A15442" s="59" t="s">
        <v>2869</v>
      </c>
      <c r="B15442" s="60" t="s">
        <v>2318</v>
      </c>
    </row>
    <row r="15443" ht="12.75" customHeight="1">
      <c r="A15443" s="59" t="s">
        <v>2869</v>
      </c>
      <c r="B15443" s="60" t="s">
        <v>2319</v>
      </c>
    </row>
    <row r="15444" ht="12.75" customHeight="1">
      <c r="A15444" s="59" t="s">
        <v>2869</v>
      </c>
      <c r="B15444" s="60" t="s">
        <v>2320</v>
      </c>
    </row>
    <row r="15445" ht="12.75" customHeight="1">
      <c r="A15445" s="59" t="s">
        <v>2869</v>
      </c>
      <c r="B15445" s="60" t="s">
        <v>2321</v>
      </c>
    </row>
    <row r="15446" ht="12.75" customHeight="1">
      <c r="A15446" s="59" t="s">
        <v>2869</v>
      </c>
      <c r="B15446" s="60" t="s">
        <v>2322</v>
      </c>
    </row>
    <row r="15447" ht="12.75" customHeight="1">
      <c r="A15447" s="59" t="s">
        <v>2869</v>
      </c>
      <c r="B15447" s="60" t="s">
        <v>2323</v>
      </c>
    </row>
    <row r="15448" ht="12.75" customHeight="1">
      <c r="A15448" s="59" t="s">
        <v>2869</v>
      </c>
      <c r="B15448" s="60" t="s">
        <v>900</v>
      </c>
    </row>
    <row r="15449" ht="12.75" customHeight="1">
      <c r="A15449" s="59" t="s">
        <v>2869</v>
      </c>
      <c r="B15449" s="60" t="s">
        <v>2324</v>
      </c>
    </row>
    <row r="15450" ht="12.75" customHeight="1">
      <c r="A15450" s="59" t="s">
        <v>2869</v>
      </c>
      <c r="B15450" s="60" t="s">
        <v>2325</v>
      </c>
    </row>
    <row r="15451" ht="12.75" customHeight="1">
      <c r="A15451" s="59" t="s">
        <v>2869</v>
      </c>
      <c r="B15451" s="60" t="s">
        <v>2326</v>
      </c>
    </row>
    <row r="15452" ht="12.75" customHeight="1">
      <c r="A15452" s="59" t="s">
        <v>2869</v>
      </c>
      <c r="B15452" s="60" t="s">
        <v>2327</v>
      </c>
    </row>
    <row r="15453" ht="12.75" customHeight="1">
      <c r="A15453" s="59" t="s">
        <v>2869</v>
      </c>
      <c r="B15453" s="60" t="s">
        <v>2328</v>
      </c>
    </row>
    <row r="15454" ht="12.75" customHeight="1">
      <c r="A15454" s="59" t="s">
        <v>2869</v>
      </c>
      <c r="B15454" s="60" t="s">
        <v>2329</v>
      </c>
    </row>
    <row r="15455" ht="12.75" customHeight="1">
      <c r="A15455" s="59" t="s">
        <v>2869</v>
      </c>
      <c r="B15455" s="60" t="s">
        <v>2330</v>
      </c>
    </row>
    <row r="15456" ht="12.75" customHeight="1">
      <c r="A15456" s="59" t="s">
        <v>2869</v>
      </c>
      <c r="B15456" s="60" t="s">
        <v>2331</v>
      </c>
    </row>
    <row r="15457" ht="12.75" customHeight="1">
      <c r="A15457" s="59" t="s">
        <v>2869</v>
      </c>
      <c r="B15457" s="60" t="s">
        <v>2332</v>
      </c>
    </row>
    <row r="15458" ht="12.75" customHeight="1">
      <c r="A15458" s="59" t="s">
        <v>2869</v>
      </c>
      <c r="B15458" s="60" t="s">
        <v>2333</v>
      </c>
    </row>
    <row r="15459" ht="12.75" customHeight="1">
      <c r="A15459" s="59" t="s">
        <v>2869</v>
      </c>
      <c r="B15459" s="60" t="s">
        <v>2334</v>
      </c>
    </row>
    <row r="15460" ht="12.75" customHeight="1">
      <c r="A15460" s="59" t="s">
        <v>2888</v>
      </c>
      <c r="B15460" s="60" t="s">
        <v>804</v>
      </c>
    </row>
    <row r="15461" ht="12.75" customHeight="1">
      <c r="A15461" s="59" t="s">
        <v>2888</v>
      </c>
      <c r="B15461" s="60" t="s">
        <v>76</v>
      </c>
    </row>
    <row r="15462" ht="12.75" customHeight="1">
      <c r="A15462" s="59" t="s">
        <v>2888</v>
      </c>
      <c r="B15462" s="60" t="s">
        <v>80</v>
      </c>
    </row>
    <row r="15463" ht="12.75" customHeight="1">
      <c r="A15463" s="59" t="s">
        <v>2888</v>
      </c>
      <c r="B15463" s="60" t="s">
        <v>83</v>
      </c>
    </row>
    <row r="15464" ht="12.75" customHeight="1">
      <c r="A15464" s="59" t="s">
        <v>2888</v>
      </c>
      <c r="B15464" s="60" t="s">
        <v>85</v>
      </c>
    </row>
    <row r="15465" ht="12.75" customHeight="1">
      <c r="A15465" s="59" t="s">
        <v>2888</v>
      </c>
      <c r="B15465" s="60" t="s">
        <v>810</v>
      </c>
    </row>
    <row r="15466" ht="12.75" customHeight="1">
      <c r="A15466" s="59" t="s">
        <v>2888</v>
      </c>
      <c r="B15466" s="60" t="s">
        <v>811</v>
      </c>
    </row>
    <row r="15467" ht="12.75" customHeight="1">
      <c r="A15467" s="59" t="s">
        <v>2888</v>
      </c>
      <c r="B15467" s="60" t="s">
        <v>812</v>
      </c>
    </row>
    <row r="15468" ht="12.75" customHeight="1">
      <c r="A15468" s="59" t="s">
        <v>2888</v>
      </c>
      <c r="B15468" s="60" t="s">
        <v>813</v>
      </c>
    </row>
    <row r="15469" ht="12.75" customHeight="1">
      <c r="A15469" s="59" t="s">
        <v>2888</v>
      </c>
      <c r="B15469" s="60" t="s">
        <v>814</v>
      </c>
    </row>
    <row r="15470" ht="12.75" customHeight="1">
      <c r="A15470" s="59" t="s">
        <v>2888</v>
      </c>
      <c r="B15470" s="60" t="s">
        <v>820</v>
      </c>
    </row>
    <row r="15471" ht="12.75" customHeight="1">
      <c r="A15471" s="59" t="s">
        <v>2888</v>
      </c>
      <c r="B15471" s="60" t="s">
        <v>821</v>
      </c>
    </row>
    <row r="15472" ht="12.75" customHeight="1">
      <c r="A15472" s="59" t="s">
        <v>2888</v>
      </c>
      <c r="B15472" s="60" t="s">
        <v>822</v>
      </c>
    </row>
    <row r="15473" ht="12.75" customHeight="1">
      <c r="A15473" s="59" t="s">
        <v>2888</v>
      </c>
      <c r="B15473" s="60" t="s">
        <v>823</v>
      </c>
    </row>
    <row r="15474" ht="12.75" customHeight="1">
      <c r="A15474" s="59" t="s">
        <v>2888</v>
      </c>
      <c r="B15474" s="60" t="s">
        <v>824</v>
      </c>
    </row>
    <row r="15475" ht="12.75" customHeight="1">
      <c r="A15475" s="59" t="s">
        <v>2888</v>
      </c>
      <c r="B15475" s="60" t="s">
        <v>830</v>
      </c>
    </row>
    <row r="15476" ht="12.75" customHeight="1">
      <c r="A15476" s="59" t="s">
        <v>2888</v>
      </c>
      <c r="B15476" s="60" t="s">
        <v>831</v>
      </c>
    </row>
    <row r="15477" ht="12.75" customHeight="1">
      <c r="A15477" s="59" t="s">
        <v>2888</v>
      </c>
      <c r="B15477" s="60" t="s">
        <v>832</v>
      </c>
    </row>
    <row r="15478" ht="12.75" customHeight="1">
      <c r="A15478" s="59" t="s">
        <v>2888</v>
      </c>
      <c r="B15478" s="60" t="s">
        <v>833</v>
      </c>
    </row>
    <row r="15479" ht="12.75" customHeight="1">
      <c r="A15479" s="59" t="s">
        <v>2888</v>
      </c>
      <c r="B15479" s="60" t="s">
        <v>834</v>
      </c>
    </row>
    <row r="15480" ht="12.75" customHeight="1">
      <c r="A15480" s="59" t="s">
        <v>2888</v>
      </c>
      <c r="B15480" s="60" t="s">
        <v>845</v>
      </c>
    </row>
    <row r="15481" ht="12.75" customHeight="1">
      <c r="A15481" s="59" t="s">
        <v>2888</v>
      </c>
      <c r="B15481" s="60" t="s">
        <v>2291</v>
      </c>
    </row>
    <row r="15482" ht="12.75" customHeight="1">
      <c r="A15482" s="59" t="s">
        <v>2888</v>
      </c>
      <c r="B15482" s="60" t="s">
        <v>2292</v>
      </c>
    </row>
    <row r="15483" ht="12.75" customHeight="1">
      <c r="A15483" s="59" t="s">
        <v>2888</v>
      </c>
      <c r="B15483" s="60" t="s">
        <v>2293</v>
      </c>
    </row>
    <row r="15484" ht="12.75" customHeight="1">
      <c r="A15484" s="59" t="s">
        <v>2888</v>
      </c>
      <c r="B15484" s="60" t="s">
        <v>2294</v>
      </c>
    </row>
    <row r="15485" ht="12.75" customHeight="1">
      <c r="A15485" s="59" t="s">
        <v>2888</v>
      </c>
      <c r="B15485" s="60" t="s">
        <v>2295</v>
      </c>
    </row>
    <row r="15486" ht="12.75" customHeight="1">
      <c r="A15486" s="59" t="s">
        <v>2888</v>
      </c>
      <c r="B15486" s="60" t="s">
        <v>2296</v>
      </c>
    </row>
    <row r="15487" ht="12.75" customHeight="1">
      <c r="A15487" s="59" t="s">
        <v>2888</v>
      </c>
      <c r="B15487" s="60" t="s">
        <v>2297</v>
      </c>
    </row>
    <row r="15488" ht="12.75" customHeight="1">
      <c r="A15488" s="59" t="s">
        <v>2888</v>
      </c>
      <c r="B15488" s="60" t="s">
        <v>2298</v>
      </c>
    </row>
    <row r="15489" ht="12.75" customHeight="1">
      <c r="A15489" s="59" t="s">
        <v>2888</v>
      </c>
      <c r="B15489" s="60" t="s">
        <v>2299</v>
      </c>
    </row>
    <row r="15490" ht="12.75" customHeight="1">
      <c r="A15490" s="59" t="s">
        <v>2888</v>
      </c>
      <c r="B15490" s="60" t="s">
        <v>2300</v>
      </c>
    </row>
    <row r="15491" ht="12.75" customHeight="1">
      <c r="A15491" s="59" t="s">
        <v>2888</v>
      </c>
      <c r="B15491" s="60" t="s">
        <v>2301</v>
      </c>
    </row>
    <row r="15492" ht="12.75" customHeight="1">
      <c r="A15492" s="59" t="s">
        <v>2888</v>
      </c>
      <c r="B15492" s="60" t="s">
        <v>862</v>
      </c>
    </row>
    <row r="15493" ht="12.75" customHeight="1">
      <c r="A15493" s="59" t="s">
        <v>2888</v>
      </c>
      <c r="B15493" s="60" t="s">
        <v>2302</v>
      </c>
    </row>
    <row r="15494" ht="12.75" customHeight="1">
      <c r="A15494" s="59" t="s">
        <v>2888</v>
      </c>
      <c r="B15494" s="60" t="s">
        <v>2303</v>
      </c>
    </row>
    <row r="15495" ht="12.75" customHeight="1">
      <c r="A15495" s="59" t="s">
        <v>2888</v>
      </c>
      <c r="B15495" s="60" t="s">
        <v>2304</v>
      </c>
    </row>
    <row r="15496" ht="12.75" customHeight="1">
      <c r="A15496" s="59" t="s">
        <v>2888</v>
      </c>
      <c r="B15496" s="60" t="s">
        <v>2305</v>
      </c>
    </row>
    <row r="15497" ht="12.75" customHeight="1">
      <c r="A15497" s="59" t="s">
        <v>2888</v>
      </c>
      <c r="B15497" s="60" t="s">
        <v>2306</v>
      </c>
    </row>
    <row r="15498" ht="12.75" customHeight="1">
      <c r="A15498" s="59" t="s">
        <v>2888</v>
      </c>
      <c r="B15498" s="60" t="s">
        <v>2307</v>
      </c>
    </row>
    <row r="15499" ht="12.75" customHeight="1">
      <c r="A15499" s="59" t="s">
        <v>2888</v>
      </c>
      <c r="B15499" s="60" t="s">
        <v>2308</v>
      </c>
    </row>
    <row r="15500" ht="12.75" customHeight="1">
      <c r="A15500" s="59" t="s">
        <v>2888</v>
      </c>
      <c r="B15500" s="60" t="s">
        <v>2309</v>
      </c>
    </row>
    <row r="15501" ht="12.75" customHeight="1">
      <c r="A15501" s="59" t="s">
        <v>2888</v>
      </c>
      <c r="B15501" s="60" t="s">
        <v>2310</v>
      </c>
    </row>
    <row r="15502" ht="12.75" customHeight="1">
      <c r="A15502" s="59" t="s">
        <v>2888</v>
      </c>
      <c r="B15502" s="60" t="s">
        <v>2311</v>
      </c>
    </row>
    <row r="15503" ht="12.75" customHeight="1">
      <c r="A15503" s="59" t="s">
        <v>2888</v>
      </c>
      <c r="B15503" s="60" t="s">
        <v>2312</v>
      </c>
    </row>
    <row r="15504" ht="12.75" customHeight="1">
      <c r="A15504" s="59" t="s">
        <v>2888</v>
      </c>
      <c r="B15504" s="60" t="s">
        <v>881</v>
      </c>
    </row>
    <row r="15505" ht="12.75" customHeight="1">
      <c r="A15505" s="59" t="s">
        <v>2888</v>
      </c>
      <c r="B15505" s="60" t="s">
        <v>2313</v>
      </c>
    </row>
    <row r="15506" ht="12.75" customHeight="1">
      <c r="A15506" s="59" t="s">
        <v>2888</v>
      </c>
      <c r="B15506" s="60" t="s">
        <v>2314</v>
      </c>
    </row>
    <row r="15507" ht="12.75" customHeight="1">
      <c r="A15507" s="59" t="s">
        <v>2888</v>
      </c>
      <c r="B15507" s="60" t="s">
        <v>2315</v>
      </c>
    </row>
    <row r="15508" ht="12.75" customHeight="1">
      <c r="A15508" s="59" t="s">
        <v>2888</v>
      </c>
      <c r="B15508" s="60" t="s">
        <v>2316</v>
      </c>
    </row>
    <row r="15509" ht="12.75" customHeight="1">
      <c r="A15509" s="59" t="s">
        <v>2888</v>
      </c>
      <c r="B15509" s="60" t="s">
        <v>2317</v>
      </c>
    </row>
    <row r="15510" ht="12.75" customHeight="1">
      <c r="A15510" s="59" t="s">
        <v>2888</v>
      </c>
      <c r="B15510" s="60" t="s">
        <v>2318</v>
      </c>
    </row>
    <row r="15511" ht="12.75" customHeight="1">
      <c r="A15511" s="59" t="s">
        <v>2888</v>
      </c>
      <c r="B15511" s="60" t="s">
        <v>2319</v>
      </c>
    </row>
    <row r="15512" ht="12.75" customHeight="1">
      <c r="A15512" s="59" t="s">
        <v>2888</v>
      </c>
      <c r="B15512" s="60" t="s">
        <v>2320</v>
      </c>
    </row>
    <row r="15513" ht="12.75" customHeight="1">
      <c r="A15513" s="59" t="s">
        <v>2888</v>
      </c>
      <c r="B15513" s="60" t="s">
        <v>2321</v>
      </c>
    </row>
    <row r="15514" ht="12.75" customHeight="1">
      <c r="A15514" s="59" t="s">
        <v>2888</v>
      </c>
      <c r="B15514" s="60" t="s">
        <v>2322</v>
      </c>
    </row>
    <row r="15515" ht="12.75" customHeight="1">
      <c r="A15515" s="59" t="s">
        <v>2888</v>
      </c>
      <c r="B15515" s="60" t="s">
        <v>2323</v>
      </c>
    </row>
    <row r="15516" ht="12.75" customHeight="1">
      <c r="A15516" s="59" t="s">
        <v>2888</v>
      </c>
      <c r="B15516" s="60" t="s">
        <v>900</v>
      </c>
    </row>
    <row r="15517" ht="12.75" customHeight="1">
      <c r="A15517" s="59" t="s">
        <v>2888</v>
      </c>
      <c r="B15517" s="60" t="s">
        <v>2324</v>
      </c>
    </row>
    <row r="15518" ht="12.75" customHeight="1">
      <c r="A15518" s="59" t="s">
        <v>2888</v>
      </c>
      <c r="B15518" s="60" t="s">
        <v>2325</v>
      </c>
    </row>
    <row r="15519" ht="12.75" customHeight="1">
      <c r="A15519" s="59" t="s">
        <v>2888</v>
      </c>
      <c r="B15519" s="60" t="s">
        <v>2326</v>
      </c>
    </row>
    <row r="15520" ht="12.75" customHeight="1">
      <c r="A15520" s="59" t="s">
        <v>2888</v>
      </c>
      <c r="B15520" s="60" t="s">
        <v>2327</v>
      </c>
    </row>
    <row r="15521" ht="12.75" customHeight="1">
      <c r="A15521" s="59" t="s">
        <v>2888</v>
      </c>
      <c r="B15521" s="60" t="s">
        <v>2328</v>
      </c>
    </row>
    <row r="15522" ht="12.75" customHeight="1">
      <c r="A15522" s="59" t="s">
        <v>2888</v>
      </c>
      <c r="B15522" s="60" t="s">
        <v>2329</v>
      </c>
    </row>
    <row r="15523" ht="12.75" customHeight="1">
      <c r="A15523" s="59" t="s">
        <v>2888</v>
      </c>
      <c r="B15523" s="60" t="s">
        <v>2330</v>
      </c>
    </row>
    <row r="15524" ht="12.75" customHeight="1">
      <c r="A15524" s="59" t="s">
        <v>2888</v>
      </c>
      <c r="B15524" s="60" t="s">
        <v>2331</v>
      </c>
    </row>
    <row r="15525" ht="12.75" customHeight="1">
      <c r="A15525" s="59" t="s">
        <v>2888</v>
      </c>
      <c r="B15525" s="60" t="s">
        <v>2332</v>
      </c>
    </row>
    <row r="15526" ht="12.75" customHeight="1">
      <c r="A15526" s="59" t="s">
        <v>2888</v>
      </c>
      <c r="B15526" s="60" t="s">
        <v>2333</v>
      </c>
    </row>
    <row r="15527" ht="12.75" customHeight="1">
      <c r="A15527" s="59" t="s">
        <v>2888</v>
      </c>
      <c r="B15527" s="60" t="s">
        <v>2334</v>
      </c>
    </row>
    <row r="15528" ht="12.75" customHeight="1">
      <c r="A15528" s="59" t="s">
        <v>2889</v>
      </c>
      <c r="B15528" s="60" t="s">
        <v>804</v>
      </c>
    </row>
    <row r="15529" ht="12.75" customHeight="1">
      <c r="A15529" s="59" t="s">
        <v>2889</v>
      </c>
      <c r="B15529" s="60" t="s">
        <v>76</v>
      </c>
    </row>
    <row r="15530" ht="12.75" customHeight="1">
      <c r="A15530" s="59" t="s">
        <v>2889</v>
      </c>
      <c r="B15530" s="60" t="s">
        <v>80</v>
      </c>
    </row>
    <row r="15531" ht="12.75" customHeight="1">
      <c r="A15531" s="59" t="s">
        <v>2889</v>
      </c>
      <c r="B15531" s="60" t="s">
        <v>83</v>
      </c>
    </row>
    <row r="15532" ht="12.75" customHeight="1">
      <c r="A15532" s="59" t="s">
        <v>2889</v>
      </c>
      <c r="B15532" s="60" t="s">
        <v>85</v>
      </c>
    </row>
    <row r="15533" ht="12.75" customHeight="1">
      <c r="A15533" s="59" t="s">
        <v>2889</v>
      </c>
      <c r="B15533" s="60" t="s">
        <v>810</v>
      </c>
    </row>
    <row r="15534" ht="12.75" customHeight="1">
      <c r="A15534" s="59" t="s">
        <v>2889</v>
      </c>
      <c r="B15534" s="60" t="s">
        <v>811</v>
      </c>
    </row>
    <row r="15535" ht="12.75" customHeight="1">
      <c r="A15535" s="59" t="s">
        <v>2889</v>
      </c>
      <c r="B15535" s="60" t="s">
        <v>812</v>
      </c>
    </row>
    <row r="15536" ht="12.75" customHeight="1">
      <c r="A15536" s="59" t="s">
        <v>2889</v>
      </c>
      <c r="B15536" s="60" t="s">
        <v>813</v>
      </c>
    </row>
    <row r="15537" ht="12.75" customHeight="1">
      <c r="A15537" s="59" t="s">
        <v>2889</v>
      </c>
      <c r="B15537" s="60" t="s">
        <v>814</v>
      </c>
    </row>
    <row r="15538" ht="12.75" customHeight="1">
      <c r="A15538" s="59" t="s">
        <v>2889</v>
      </c>
      <c r="B15538" s="60" t="s">
        <v>820</v>
      </c>
    </row>
    <row r="15539" ht="12.75" customHeight="1">
      <c r="A15539" s="59" t="s">
        <v>2889</v>
      </c>
      <c r="B15539" s="60" t="s">
        <v>821</v>
      </c>
    </row>
    <row r="15540" ht="12.75" customHeight="1">
      <c r="A15540" s="59" t="s">
        <v>2889</v>
      </c>
      <c r="B15540" s="60" t="s">
        <v>822</v>
      </c>
    </row>
    <row r="15541" ht="12.75" customHeight="1">
      <c r="A15541" s="59" t="s">
        <v>2889</v>
      </c>
      <c r="B15541" s="60" t="s">
        <v>823</v>
      </c>
    </row>
    <row r="15542" ht="12.75" customHeight="1">
      <c r="A15542" s="59" t="s">
        <v>2889</v>
      </c>
      <c r="B15542" s="60" t="s">
        <v>824</v>
      </c>
    </row>
    <row r="15543" ht="12.75" customHeight="1">
      <c r="A15543" s="59" t="s">
        <v>2889</v>
      </c>
      <c r="B15543" s="60" t="s">
        <v>830</v>
      </c>
    </row>
    <row r="15544" ht="12.75" customHeight="1">
      <c r="A15544" s="59" t="s">
        <v>2889</v>
      </c>
      <c r="B15544" s="60" t="s">
        <v>831</v>
      </c>
    </row>
    <row r="15545" ht="12.75" customHeight="1">
      <c r="A15545" s="59" t="s">
        <v>2889</v>
      </c>
      <c r="B15545" s="60" t="s">
        <v>832</v>
      </c>
    </row>
    <row r="15546" ht="12.75" customHeight="1">
      <c r="A15546" s="59" t="s">
        <v>2889</v>
      </c>
      <c r="B15546" s="60" t="s">
        <v>833</v>
      </c>
    </row>
    <row r="15547" ht="12.75" customHeight="1">
      <c r="A15547" s="59" t="s">
        <v>2889</v>
      </c>
      <c r="B15547" s="60" t="s">
        <v>834</v>
      </c>
    </row>
    <row r="15548" ht="12.75" customHeight="1">
      <c r="A15548" s="59" t="s">
        <v>2889</v>
      </c>
      <c r="B15548" s="60" t="s">
        <v>845</v>
      </c>
    </row>
    <row r="15549" ht="12.75" customHeight="1">
      <c r="A15549" s="59" t="s">
        <v>2889</v>
      </c>
      <c r="B15549" s="60" t="s">
        <v>2291</v>
      </c>
    </row>
    <row r="15550" ht="12.75" customHeight="1">
      <c r="A15550" s="59" t="s">
        <v>2889</v>
      </c>
      <c r="B15550" s="60" t="s">
        <v>2292</v>
      </c>
    </row>
    <row r="15551" ht="12.75" customHeight="1">
      <c r="A15551" s="59" t="s">
        <v>2889</v>
      </c>
      <c r="B15551" s="60" t="s">
        <v>2293</v>
      </c>
    </row>
    <row r="15552" ht="12.75" customHeight="1">
      <c r="A15552" s="59" t="s">
        <v>2889</v>
      </c>
      <c r="B15552" s="60" t="s">
        <v>2294</v>
      </c>
    </row>
    <row r="15553" ht="12.75" customHeight="1">
      <c r="A15553" s="59" t="s">
        <v>2889</v>
      </c>
      <c r="B15553" s="60" t="s">
        <v>2295</v>
      </c>
    </row>
    <row r="15554" ht="12.75" customHeight="1">
      <c r="A15554" s="59" t="s">
        <v>2889</v>
      </c>
      <c r="B15554" s="60" t="s">
        <v>2296</v>
      </c>
    </row>
    <row r="15555" ht="12.75" customHeight="1">
      <c r="A15555" s="59" t="s">
        <v>2889</v>
      </c>
      <c r="B15555" s="60" t="s">
        <v>2297</v>
      </c>
    </row>
    <row r="15556" ht="12.75" customHeight="1">
      <c r="A15556" s="59" t="s">
        <v>2889</v>
      </c>
      <c r="B15556" s="60" t="s">
        <v>2298</v>
      </c>
    </row>
    <row r="15557" ht="12.75" customHeight="1">
      <c r="A15557" s="59" t="s">
        <v>2889</v>
      </c>
      <c r="B15557" s="60" t="s">
        <v>2299</v>
      </c>
    </row>
    <row r="15558" ht="12.75" customHeight="1">
      <c r="A15558" s="59" t="s">
        <v>2889</v>
      </c>
      <c r="B15558" s="60" t="s">
        <v>2300</v>
      </c>
    </row>
    <row r="15559" ht="12.75" customHeight="1">
      <c r="A15559" s="59" t="s">
        <v>2889</v>
      </c>
      <c r="B15559" s="60" t="s">
        <v>2301</v>
      </c>
    </row>
    <row r="15560" ht="12.75" customHeight="1">
      <c r="A15560" s="59" t="s">
        <v>2889</v>
      </c>
      <c r="B15560" s="60" t="s">
        <v>862</v>
      </c>
    </row>
    <row r="15561" ht="12.75" customHeight="1">
      <c r="A15561" s="59" t="s">
        <v>2889</v>
      </c>
      <c r="B15561" s="60" t="s">
        <v>2302</v>
      </c>
    </row>
    <row r="15562" ht="12.75" customHeight="1">
      <c r="A15562" s="59" t="s">
        <v>2889</v>
      </c>
      <c r="B15562" s="60" t="s">
        <v>2303</v>
      </c>
    </row>
    <row r="15563" ht="12.75" customHeight="1">
      <c r="A15563" s="59" t="s">
        <v>2889</v>
      </c>
      <c r="B15563" s="60" t="s">
        <v>2304</v>
      </c>
    </row>
    <row r="15564" ht="12.75" customHeight="1">
      <c r="A15564" s="59" t="s">
        <v>2889</v>
      </c>
      <c r="B15564" s="60" t="s">
        <v>2305</v>
      </c>
    </row>
    <row r="15565" ht="12.75" customHeight="1">
      <c r="A15565" s="59" t="s">
        <v>2889</v>
      </c>
      <c r="B15565" s="60" t="s">
        <v>2306</v>
      </c>
    </row>
    <row r="15566" ht="12.75" customHeight="1">
      <c r="A15566" s="59" t="s">
        <v>2889</v>
      </c>
      <c r="B15566" s="60" t="s">
        <v>2307</v>
      </c>
    </row>
    <row r="15567" ht="12.75" customHeight="1">
      <c r="A15567" s="59" t="s">
        <v>2889</v>
      </c>
      <c r="B15567" s="60" t="s">
        <v>2308</v>
      </c>
    </row>
    <row r="15568" ht="12.75" customHeight="1">
      <c r="A15568" s="59" t="s">
        <v>2889</v>
      </c>
      <c r="B15568" s="60" t="s">
        <v>2309</v>
      </c>
    </row>
    <row r="15569" ht="12.75" customHeight="1">
      <c r="A15569" s="59" t="s">
        <v>2889</v>
      </c>
      <c r="B15569" s="60" t="s">
        <v>2310</v>
      </c>
    </row>
    <row r="15570" ht="12.75" customHeight="1">
      <c r="A15570" s="59" t="s">
        <v>2889</v>
      </c>
      <c r="B15570" s="60" t="s">
        <v>2311</v>
      </c>
    </row>
    <row r="15571" ht="12.75" customHeight="1">
      <c r="A15571" s="59" t="s">
        <v>2889</v>
      </c>
      <c r="B15571" s="60" t="s">
        <v>2312</v>
      </c>
    </row>
    <row r="15572" ht="12.75" customHeight="1">
      <c r="A15572" s="59" t="s">
        <v>2889</v>
      </c>
      <c r="B15572" s="60" t="s">
        <v>881</v>
      </c>
    </row>
    <row r="15573" ht="12.75" customHeight="1">
      <c r="A15573" s="59" t="s">
        <v>2889</v>
      </c>
      <c r="B15573" s="60" t="s">
        <v>2313</v>
      </c>
    </row>
    <row r="15574" ht="12.75" customHeight="1">
      <c r="A15574" s="59" t="s">
        <v>2889</v>
      </c>
      <c r="B15574" s="60" t="s">
        <v>2314</v>
      </c>
    </row>
    <row r="15575" ht="12.75" customHeight="1">
      <c r="A15575" s="59" t="s">
        <v>2889</v>
      </c>
      <c r="B15575" s="60" t="s">
        <v>2315</v>
      </c>
    </row>
    <row r="15576" ht="12.75" customHeight="1">
      <c r="A15576" s="59" t="s">
        <v>2889</v>
      </c>
      <c r="B15576" s="60" t="s">
        <v>2316</v>
      </c>
    </row>
    <row r="15577" ht="12.75" customHeight="1">
      <c r="A15577" s="59" t="s">
        <v>2889</v>
      </c>
      <c r="B15577" s="60" t="s">
        <v>2317</v>
      </c>
    </row>
    <row r="15578" ht="12.75" customHeight="1">
      <c r="A15578" s="59" t="s">
        <v>2889</v>
      </c>
      <c r="B15578" s="60" t="s">
        <v>2318</v>
      </c>
    </row>
    <row r="15579" ht="12.75" customHeight="1">
      <c r="A15579" s="59" t="s">
        <v>2889</v>
      </c>
      <c r="B15579" s="60" t="s">
        <v>2319</v>
      </c>
    </row>
    <row r="15580" ht="12.75" customHeight="1">
      <c r="A15580" s="59" t="s">
        <v>2889</v>
      </c>
      <c r="B15580" s="60" t="s">
        <v>2320</v>
      </c>
    </row>
    <row r="15581" ht="12.75" customHeight="1">
      <c r="A15581" s="59" t="s">
        <v>2889</v>
      </c>
      <c r="B15581" s="60" t="s">
        <v>2321</v>
      </c>
    </row>
    <row r="15582" ht="12.75" customHeight="1">
      <c r="A15582" s="59" t="s">
        <v>2889</v>
      </c>
      <c r="B15582" s="60" t="s">
        <v>2322</v>
      </c>
    </row>
    <row r="15583" ht="12.75" customHeight="1">
      <c r="A15583" s="59" t="s">
        <v>2889</v>
      </c>
      <c r="B15583" s="60" t="s">
        <v>2323</v>
      </c>
    </row>
    <row r="15584" ht="12.75" customHeight="1">
      <c r="A15584" s="59" t="s">
        <v>2889</v>
      </c>
      <c r="B15584" s="60" t="s">
        <v>900</v>
      </c>
    </row>
    <row r="15585" ht="12.75" customHeight="1">
      <c r="A15585" s="59" t="s">
        <v>2889</v>
      </c>
      <c r="B15585" s="60" t="s">
        <v>2324</v>
      </c>
    </row>
    <row r="15586" ht="12.75" customHeight="1">
      <c r="A15586" s="59" t="s">
        <v>2889</v>
      </c>
      <c r="B15586" s="60" t="s">
        <v>2325</v>
      </c>
    </row>
    <row r="15587" ht="12.75" customHeight="1">
      <c r="A15587" s="59" t="s">
        <v>2889</v>
      </c>
      <c r="B15587" s="60" t="s">
        <v>2326</v>
      </c>
    </row>
    <row r="15588" ht="12.75" customHeight="1">
      <c r="A15588" s="59" t="s">
        <v>2889</v>
      </c>
      <c r="B15588" s="60" t="s">
        <v>2327</v>
      </c>
    </row>
    <row r="15589" ht="12.75" customHeight="1">
      <c r="A15589" s="59" t="s">
        <v>2889</v>
      </c>
      <c r="B15589" s="60" t="s">
        <v>2328</v>
      </c>
    </row>
    <row r="15590" ht="12.75" customHeight="1">
      <c r="A15590" s="59" t="s">
        <v>2889</v>
      </c>
      <c r="B15590" s="60" t="s">
        <v>2329</v>
      </c>
    </row>
    <row r="15591" ht="12.75" customHeight="1">
      <c r="A15591" s="59" t="s">
        <v>2889</v>
      </c>
      <c r="B15591" s="60" t="s">
        <v>2330</v>
      </c>
    </row>
    <row r="15592" ht="12.75" customHeight="1">
      <c r="A15592" s="59" t="s">
        <v>2889</v>
      </c>
      <c r="B15592" s="60" t="s">
        <v>2331</v>
      </c>
    </row>
    <row r="15593" ht="12.75" customHeight="1">
      <c r="A15593" s="59" t="s">
        <v>2889</v>
      </c>
      <c r="B15593" s="60" t="s">
        <v>2332</v>
      </c>
    </row>
    <row r="15594" ht="12.75" customHeight="1">
      <c r="A15594" s="59" t="s">
        <v>2889</v>
      </c>
      <c r="B15594" s="60" t="s">
        <v>2333</v>
      </c>
    </row>
    <row r="15595" ht="12.75" customHeight="1">
      <c r="A15595" s="59" t="s">
        <v>2889</v>
      </c>
      <c r="B15595" s="60" t="s">
        <v>2334</v>
      </c>
    </row>
    <row r="15596" ht="12.75" customHeight="1">
      <c r="A15596" s="59" t="s">
        <v>2890</v>
      </c>
      <c r="B15596" s="60" t="s">
        <v>804</v>
      </c>
    </row>
    <row r="15597" ht="12.75" customHeight="1">
      <c r="A15597" s="59" t="s">
        <v>2890</v>
      </c>
      <c r="B15597" s="60" t="s">
        <v>76</v>
      </c>
    </row>
    <row r="15598" ht="12.75" customHeight="1">
      <c r="A15598" s="59" t="s">
        <v>2890</v>
      </c>
      <c r="B15598" s="60" t="s">
        <v>80</v>
      </c>
    </row>
    <row r="15599" ht="12.75" customHeight="1">
      <c r="A15599" s="59" t="s">
        <v>2890</v>
      </c>
      <c r="B15599" s="60" t="s">
        <v>83</v>
      </c>
    </row>
    <row r="15600" ht="12.75" customHeight="1">
      <c r="A15600" s="59" t="s">
        <v>2890</v>
      </c>
      <c r="B15600" s="60" t="s">
        <v>85</v>
      </c>
    </row>
    <row r="15601" ht="12.75" customHeight="1">
      <c r="A15601" s="59" t="s">
        <v>2890</v>
      </c>
      <c r="B15601" s="60" t="s">
        <v>810</v>
      </c>
    </row>
    <row r="15602" ht="12.75" customHeight="1">
      <c r="A15602" s="59" t="s">
        <v>2890</v>
      </c>
      <c r="B15602" s="60" t="s">
        <v>811</v>
      </c>
    </row>
    <row r="15603" ht="12.75" customHeight="1">
      <c r="A15603" s="59" t="s">
        <v>2890</v>
      </c>
      <c r="B15603" s="60" t="s">
        <v>812</v>
      </c>
    </row>
    <row r="15604" ht="12.75" customHeight="1">
      <c r="A15604" s="59" t="s">
        <v>2890</v>
      </c>
      <c r="B15604" s="60" t="s">
        <v>813</v>
      </c>
    </row>
    <row r="15605" ht="12.75" customHeight="1">
      <c r="A15605" s="59" t="s">
        <v>2890</v>
      </c>
      <c r="B15605" s="60" t="s">
        <v>814</v>
      </c>
    </row>
    <row r="15606" ht="12.75" customHeight="1">
      <c r="A15606" s="59" t="s">
        <v>2890</v>
      </c>
      <c r="B15606" s="60" t="s">
        <v>820</v>
      </c>
    </row>
    <row r="15607" ht="12.75" customHeight="1">
      <c r="A15607" s="59" t="s">
        <v>2890</v>
      </c>
      <c r="B15607" s="60" t="s">
        <v>821</v>
      </c>
    </row>
    <row r="15608" ht="12.75" customHeight="1">
      <c r="A15608" s="59" t="s">
        <v>2890</v>
      </c>
      <c r="B15608" s="60" t="s">
        <v>822</v>
      </c>
    </row>
    <row r="15609" ht="12.75" customHeight="1">
      <c r="A15609" s="59" t="s">
        <v>2890</v>
      </c>
      <c r="B15609" s="60" t="s">
        <v>823</v>
      </c>
    </row>
    <row r="15610" ht="12.75" customHeight="1">
      <c r="A15610" s="59" t="s">
        <v>2890</v>
      </c>
      <c r="B15610" s="60" t="s">
        <v>824</v>
      </c>
    </row>
    <row r="15611" ht="12.75" customHeight="1">
      <c r="A15611" s="59" t="s">
        <v>2890</v>
      </c>
      <c r="B15611" s="60" t="s">
        <v>830</v>
      </c>
    </row>
    <row r="15612" ht="12.75" customHeight="1">
      <c r="A15612" s="59" t="s">
        <v>2890</v>
      </c>
      <c r="B15612" s="60" t="s">
        <v>831</v>
      </c>
    </row>
    <row r="15613" ht="12.75" customHeight="1">
      <c r="A15613" s="59" t="s">
        <v>2890</v>
      </c>
      <c r="B15613" s="60" t="s">
        <v>832</v>
      </c>
    </row>
    <row r="15614" ht="12.75" customHeight="1">
      <c r="A15614" s="59" t="s">
        <v>2890</v>
      </c>
      <c r="B15614" s="60" t="s">
        <v>833</v>
      </c>
    </row>
    <row r="15615" ht="12.75" customHeight="1">
      <c r="A15615" s="59" t="s">
        <v>2890</v>
      </c>
      <c r="B15615" s="60" t="s">
        <v>834</v>
      </c>
    </row>
    <row r="15616" ht="12.75" customHeight="1">
      <c r="A15616" s="59" t="s">
        <v>2890</v>
      </c>
      <c r="B15616" s="60" t="s">
        <v>845</v>
      </c>
    </row>
    <row r="15617" ht="12.75" customHeight="1">
      <c r="A15617" s="59" t="s">
        <v>2890</v>
      </c>
      <c r="B15617" s="60" t="s">
        <v>2291</v>
      </c>
    </row>
    <row r="15618" ht="12.75" customHeight="1">
      <c r="A15618" s="59" t="s">
        <v>2890</v>
      </c>
      <c r="B15618" s="60" t="s">
        <v>2292</v>
      </c>
    </row>
    <row r="15619" ht="12.75" customHeight="1">
      <c r="A15619" s="59" t="s">
        <v>2890</v>
      </c>
      <c r="B15619" s="60" t="s">
        <v>2293</v>
      </c>
    </row>
    <row r="15620" ht="12.75" customHeight="1">
      <c r="A15620" s="59" t="s">
        <v>2890</v>
      </c>
      <c r="B15620" s="60" t="s">
        <v>2294</v>
      </c>
    </row>
    <row r="15621" ht="12.75" customHeight="1">
      <c r="A15621" s="59" t="s">
        <v>2890</v>
      </c>
      <c r="B15621" s="60" t="s">
        <v>2295</v>
      </c>
    </row>
    <row r="15622" ht="12.75" customHeight="1">
      <c r="A15622" s="59" t="s">
        <v>2890</v>
      </c>
      <c r="B15622" s="60" t="s">
        <v>2296</v>
      </c>
    </row>
    <row r="15623" ht="12.75" customHeight="1">
      <c r="A15623" s="59" t="s">
        <v>2890</v>
      </c>
      <c r="B15623" s="60" t="s">
        <v>2297</v>
      </c>
    </row>
    <row r="15624" ht="12.75" customHeight="1">
      <c r="A15624" s="59" t="s">
        <v>2890</v>
      </c>
      <c r="B15624" s="60" t="s">
        <v>2298</v>
      </c>
    </row>
    <row r="15625" ht="12.75" customHeight="1">
      <c r="A15625" s="59" t="s">
        <v>2890</v>
      </c>
      <c r="B15625" s="60" t="s">
        <v>2299</v>
      </c>
    </row>
    <row r="15626" ht="12.75" customHeight="1">
      <c r="A15626" s="59" t="s">
        <v>2890</v>
      </c>
      <c r="B15626" s="60" t="s">
        <v>2300</v>
      </c>
    </row>
    <row r="15627" ht="12.75" customHeight="1">
      <c r="A15627" s="59" t="s">
        <v>2890</v>
      </c>
      <c r="B15627" s="60" t="s">
        <v>2301</v>
      </c>
    </row>
    <row r="15628" ht="12.75" customHeight="1">
      <c r="A15628" s="59" t="s">
        <v>2890</v>
      </c>
      <c r="B15628" s="60" t="s">
        <v>862</v>
      </c>
    </row>
    <row r="15629" ht="12.75" customHeight="1">
      <c r="A15629" s="59" t="s">
        <v>2890</v>
      </c>
      <c r="B15629" s="60" t="s">
        <v>2302</v>
      </c>
    </row>
    <row r="15630" ht="12.75" customHeight="1">
      <c r="A15630" s="59" t="s">
        <v>2890</v>
      </c>
      <c r="B15630" s="60" t="s">
        <v>2303</v>
      </c>
    </row>
    <row r="15631" ht="12.75" customHeight="1">
      <c r="A15631" s="59" t="s">
        <v>2890</v>
      </c>
      <c r="B15631" s="60" t="s">
        <v>2304</v>
      </c>
    </row>
    <row r="15632" ht="12.75" customHeight="1">
      <c r="A15632" s="59" t="s">
        <v>2890</v>
      </c>
      <c r="B15632" s="60" t="s">
        <v>2305</v>
      </c>
    </row>
    <row r="15633" ht="12.75" customHeight="1">
      <c r="A15633" s="59" t="s">
        <v>2890</v>
      </c>
      <c r="B15633" s="60" t="s">
        <v>2306</v>
      </c>
    </row>
    <row r="15634" ht="12.75" customHeight="1">
      <c r="A15634" s="59" t="s">
        <v>2890</v>
      </c>
      <c r="B15634" s="60" t="s">
        <v>2307</v>
      </c>
    </row>
    <row r="15635" ht="12.75" customHeight="1">
      <c r="A15635" s="59" t="s">
        <v>2890</v>
      </c>
      <c r="B15635" s="60" t="s">
        <v>2308</v>
      </c>
    </row>
    <row r="15636" ht="12.75" customHeight="1">
      <c r="A15636" s="59" t="s">
        <v>2890</v>
      </c>
      <c r="B15636" s="60" t="s">
        <v>2309</v>
      </c>
    </row>
    <row r="15637" ht="12.75" customHeight="1">
      <c r="A15637" s="59" t="s">
        <v>2890</v>
      </c>
      <c r="B15637" s="60" t="s">
        <v>2310</v>
      </c>
    </row>
    <row r="15638" ht="12.75" customHeight="1">
      <c r="A15638" s="59" t="s">
        <v>2890</v>
      </c>
      <c r="B15638" s="60" t="s">
        <v>2311</v>
      </c>
    </row>
    <row r="15639" ht="12.75" customHeight="1">
      <c r="A15639" s="59" t="s">
        <v>2890</v>
      </c>
      <c r="B15639" s="60" t="s">
        <v>2312</v>
      </c>
    </row>
    <row r="15640" ht="12.75" customHeight="1">
      <c r="A15640" s="59" t="s">
        <v>2890</v>
      </c>
      <c r="B15640" s="60" t="s">
        <v>881</v>
      </c>
    </row>
    <row r="15641" ht="12.75" customHeight="1">
      <c r="A15641" s="59" t="s">
        <v>2890</v>
      </c>
      <c r="B15641" s="60" t="s">
        <v>2313</v>
      </c>
    </row>
    <row r="15642" ht="12.75" customHeight="1">
      <c r="A15642" s="59" t="s">
        <v>2890</v>
      </c>
      <c r="B15642" s="60" t="s">
        <v>2314</v>
      </c>
    </row>
    <row r="15643" ht="12.75" customHeight="1">
      <c r="A15643" s="59" t="s">
        <v>2890</v>
      </c>
      <c r="B15643" s="60" t="s">
        <v>2315</v>
      </c>
    </row>
    <row r="15644" ht="12.75" customHeight="1">
      <c r="A15644" s="59" t="s">
        <v>2890</v>
      </c>
      <c r="B15644" s="60" t="s">
        <v>2316</v>
      </c>
    </row>
    <row r="15645" ht="12.75" customHeight="1">
      <c r="A15645" s="59" t="s">
        <v>2890</v>
      </c>
      <c r="B15645" s="60" t="s">
        <v>2317</v>
      </c>
    </row>
    <row r="15646" ht="12.75" customHeight="1">
      <c r="A15646" s="59" t="s">
        <v>2890</v>
      </c>
      <c r="B15646" s="60" t="s">
        <v>2318</v>
      </c>
    </row>
    <row r="15647" ht="12.75" customHeight="1">
      <c r="A15647" s="59" t="s">
        <v>2890</v>
      </c>
      <c r="B15647" s="60" t="s">
        <v>2319</v>
      </c>
    </row>
    <row r="15648" ht="12.75" customHeight="1">
      <c r="A15648" s="59" t="s">
        <v>2890</v>
      </c>
      <c r="B15648" s="60" t="s">
        <v>2320</v>
      </c>
    </row>
    <row r="15649" ht="12.75" customHeight="1">
      <c r="A15649" s="59" t="s">
        <v>2890</v>
      </c>
      <c r="B15649" s="60" t="s">
        <v>2321</v>
      </c>
    </row>
    <row r="15650" ht="12.75" customHeight="1">
      <c r="A15650" s="59" t="s">
        <v>2890</v>
      </c>
      <c r="B15650" s="60" t="s">
        <v>2322</v>
      </c>
    </row>
    <row r="15651" ht="12.75" customHeight="1">
      <c r="A15651" s="59" t="s">
        <v>2890</v>
      </c>
      <c r="B15651" s="60" t="s">
        <v>2323</v>
      </c>
    </row>
    <row r="15652" ht="12.75" customHeight="1">
      <c r="A15652" s="59" t="s">
        <v>2890</v>
      </c>
      <c r="B15652" s="60" t="s">
        <v>900</v>
      </c>
    </row>
    <row r="15653" ht="12.75" customHeight="1">
      <c r="A15653" s="59" t="s">
        <v>2890</v>
      </c>
      <c r="B15653" s="60" t="s">
        <v>2324</v>
      </c>
    </row>
    <row r="15654" ht="12.75" customHeight="1">
      <c r="A15654" s="59" t="s">
        <v>2890</v>
      </c>
      <c r="B15654" s="60" t="s">
        <v>2325</v>
      </c>
    </row>
    <row r="15655" ht="12.75" customHeight="1">
      <c r="A15655" s="59" t="s">
        <v>2890</v>
      </c>
      <c r="B15655" s="60" t="s">
        <v>2326</v>
      </c>
    </row>
    <row r="15656" ht="12.75" customHeight="1">
      <c r="A15656" s="59" t="s">
        <v>2890</v>
      </c>
      <c r="B15656" s="60" t="s">
        <v>2327</v>
      </c>
    </row>
    <row r="15657" ht="12.75" customHeight="1">
      <c r="A15657" s="59" t="s">
        <v>2890</v>
      </c>
      <c r="B15657" s="60" t="s">
        <v>2328</v>
      </c>
    </row>
    <row r="15658" ht="12.75" customHeight="1">
      <c r="A15658" s="59" t="s">
        <v>2890</v>
      </c>
      <c r="B15658" s="60" t="s">
        <v>2329</v>
      </c>
    </row>
    <row r="15659" ht="12.75" customHeight="1">
      <c r="A15659" s="59" t="s">
        <v>2890</v>
      </c>
      <c r="B15659" s="60" t="s">
        <v>2330</v>
      </c>
    </row>
    <row r="15660" ht="12.75" customHeight="1">
      <c r="A15660" s="59" t="s">
        <v>2890</v>
      </c>
      <c r="B15660" s="60" t="s">
        <v>2331</v>
      </c>
    </row>
    <row r="15661" ht="12.75" customHeight="1">
      <c r="A15661" s="59" t="s">
        <v>2890</v>
      </c>
      <c r="B15661" s="60" t="s">
        <v>2332</v>
      </c>
    </row>
    <row r="15662" ht="12.75" customHeight="1">
      <c r="A15662" s="59" t="s">
        <v>2890</v>
      </c>
      <c r="B15662" s="60" t="s">
        <v>2333</v>
      </c>
    </row>
    <row r="15663" ht="12.75" customHeight="1">
      <c r="A15663" s="59" t="s">
        <v>2890</v>
      </c>
      <c r="B15663" s="60" t="s">
        <v>2334</v>
      </c>
    </row>
    <row r="15664" ht="12.75" customHeight="1">
      <c r="A15664" s="59" t="s">
        <v>2878</v>
      </c>
      <c r="B15664" s="60" t="s">
        <v>804</v>
      </c>
    </row>
    <row r="15665" ht="12.75" customHeight="1">
      <c r="A15665" s="59" t="s">
        <v>2878</v>
      </c>
      <c r="B15665" s="60" t="s">
        <v>76</v>
      </c>
    </row>
    <row r="15666" ht="12.75" customHeight="1">
      <c r="A15666" s="59" t="s">
        <v>2878</v>
      </c>
      <c r="B15666" s="60" t="s">
        <v>80</v>
      </c>
    </row>
    <row r="15667" ht="12.75" customHeight="1">
      <c r="A15667" s="59" t="s">
        <v>2878</v>
      </c>
      <c r="B15667" s="60" t="s">
        <v>83</v>
      </c>
    </row>
    <row r="15668" ht="12.75" customHeight="1">
      <c r="A15668" s="59" t="s">
        <v>2878</v>
      </c>
      <c r="B15668" s="60" t="s">
        <v>85</v>
      </c>
    </row>
    <row r="15669" ht="12.75" customHeight="1">
      <c r="A15669" s="59" t="s">
        <v>2878</v>
      </c>
      <c r="B15669" s="60" t="s">
        <v>810</v>
      </c>
    </row>
    <row r="15670" ht="12.75" customHeight="1">
      <c r="A15670" s="59" t="s">
        <v>2878</v>
      </c>
      <c r="B15670" s="60" t="s">
        <v>811</v>
      </c>
    </row>
    <row r="15671" ht="12.75" customHeight="1">
      <c r="A15671" s="59" t="s">
        <v>2878</v>
      </c>
      <c r="B15671" s="60" t="s">
        <v>812</v>
      </c>
    </row>
    <row r="15672" ht="12.75" customHeight="1">
      <c r="A15672" s="59" t="s">
        <v>2878</v>
      </c>
      <c r="B15672" s="60" t="s">
        <v>813</v>
      </c>
    </row>
    <row r="15673" ht="12.75" customHeight="1">
      <c r="A15673" s="59" t="s">
        <v>2878</v>
      </c>
      <c r="B15673" s="60" t="s">
        <v>814</v>
      </c>
    </row>
    <row r="15674" ht="12.75" customHeight="1">
      <c r="A15674" s="59" t="s">
        <v>2878</v>
      </c>
      <c r="B15674" s="60" t="s">
        <v>820</v>
      </c>
    </row>
    <row r="15675" ht="12.75" customHeight="1">
      <c r="A15675" s="59" t="s">
        <v>2878</v>
      </c>
      <c r="B15675" s="60" t="s">
        <v>821</v>
      </c>
    </row>
    <row r="15676" ht="12.75" customHeight="1">
      <c r="A15676" s="59" t="s">
        <v>2878</v>
      </c>
      <c r="B15676" s="60" t="s">
        <v>822</v>
      </c>
    </row>
    <row r="15677" ht="12.75" customHeight="1">
      <c r="A15677" s="59" t="s">
        <v>2878</v>
      </c>
      <c r="B15677" s="60" t="s">
        <v>823</v>
      </c>
    </row>
    <row r="15678" ht="12.75" customHeight="1">
      <c r="A15678" s="59" t="s">
        <v>2878</v>
      </c>
      <c r="B15678" s="60" t="s">
        <v>824</v>
      </c>
    </row>
    <row r="15679" ht="12.75" customHeight="1">
      <c r="A15679" s="59" t="s">
        <v>2878</v>
      </c>
      <c r="B15679" s="60" t="s">
        <v>830</v>
      </c>
    </row>
    <row r="15680" ht="12.75" customHeight="1">
      <c r="A15680" s="59" t="s">
        <v>2878</v>
      </c>
      <c r="B15680" s="60" t="s">
        <v>831</v>
      </c>
    </row>
    <row r="15681" ht="12.75" customHeight="1">
      <c r="A15681" s="59" t="s">
        <v>2878</v>
      </c>
      <c r="B15681" s="60" t="s">
        <v>832</v>
      </c>
    </row>
    <row r="15682" ht="12.75" customHeight="1">
      <c r="A15682" s="59" t="s">
        <v>2878</v>
      </c>
      <c r="B15682" s="60" t="s">
        <v>833</v>
      </c>
    </row>
    <row r="15683" ht="12.75" customHeight="1">
      <c r="A15683" s="59" t="s">
        <v>2878</v>
      </c>
      <c r="B15683" s="60" t="s">
        <v>834</v>
      </c>
    </row>
    <row r="15684" ht="12.75" customHeight="1">
      <c r="A15684" s="59" t="s">
        <v>2878</v>
      </c>
      <c r="B15684" s="60" t="s">
        <v>845</v>
      </c>
    </row>
    <row r="15685" ht="12.75" customHeight="1">
      <c r="A15685" s="59" t="s">
        <v>2878</v>
      </c>
      <c r="B15685" s="60" t="s">
        <v>2291</v>
      </c>
    </row>
    <row r="15686" ht="12.75" customHeight="1">
      <c r="A15686" s="59" t="s">
        <v>2878</v>
      </c>
      <c r="B15686" s="60" t="s">
        <v>2292</v>
      </c>
    </row>
    <row r="15687" ht="12.75" customHeight="1">
      <c r="A15687" s="59" t="s">
        <v>2878</v>
      </c>
      <c r="B15687" s="60" t="s">
        <v>2293</v>
      </c>
    </row>
    <row r="15688" ht="12.75" customHeight="1">
      <c r="A15688" s="59" t="s">
        <v>2878</v>
      </c>
      <c r="B15688" s="60" t="s">
        <v>2294</v>
      </c>
    </row>
    <row r="15689" ht="12.75" customHeight="1">
      <c r="A15689" s="59" t="s">
        <v>2878</v>
      </c>
      <c r="B15689" s="60" t="s">
        <v>2295</v>
      </c>
    </row>
    <row r="15690" ht="12.75" customHeight="1">
      <c r="A15690" s="59" t="s">
        <v>2878</v>
      </c>
      <c r="B15690" s="60" t="s">
        <v>2296</v>
      </c>
    </row>
    <row r="15691" ht="12.75" customHeight="1">
      <c r="A15691" s="59" t="s">
        <v>2878</v>
      </c>
      <c r="B15691" s="60" t="s">
        <v>2297</v>
      </c>
    </row>
    <row r="15692" ht="12.75" customHeight="1">
      <c r="A15692" s="59" t="s">
        <v>2878</v>
      </c>
      <c r="B15692" s="60" t="s">
        <v>2298</v>
      </c>
    </row>
    <row r="15693" ht="12.75" customHeight="1">
      <c r="A15693" s="59" t="s">
        <v>2878</v>
      </c>
      <c r="B15693" s="60" t="s">
        <v>2299</v>
      </c>
    </row>
    <row r="15694" ht="12.75" customHeight="1">
      <c r="A15694" s="59" t="s">
        <v>2878</v>
      </c>
      <c r="B15694" s="60" t="s">
        <v>2300</v>
      </c>
    </row>
    <row r="15695" ht="12.75" customHeight="1">
      <c r="A15695" s="59" t="s">
        <v>2878</v>
      </c>
      <c r="B15695" s="60" t="s">
        <v>2301</v>
      </c>
    </row>
    <row r="15696" ht="12.75" customHeight="1">
      <c r="A15696" s="59" t="s">
        <v>2878</v>
      </c>
      <c r="B15696" s="60" t="s">
        <v>862</v>
      </c>
    </row>
    <row r="15697" ht="12.75" customHeight="1">
      <c r="A15697" s="59" t="s">
        <v>2878</v>
      </c>
      <c r="B15697" s="60" t="s">
        <v>2302</v>
      </c>
    </row>
    <row r="15698" ht="12.75" customHeight="1">
      <c r="A15698" s="59" t="s">
        <v>2878</v>
      </c>
      <c r="B15698" s="60" t="s">
        <v>2303</v>
      </c>
    </row>
    <row r="15699" ht="12.75" customHeight="1">
      <c r="A15699" s="59" t="s">
        <v>2878</v>
      </c>
      <c r="B15699" s="60" t="s">
        <v>2304</v>
      </c>
    </row>
    <row r="15700" ht="12.75" customHeight="1">
      <c r="A15700" s="59" t="s">
        <v>2878</v>
      </c>
      <c r="B15700" s="60" t="s">
        <v>2305</v>
      </c>
    </row>
    <row r="15701" ht="12.75" customHeight="1">
      <c r="A15701" s="59" t="s">
        <v>2878</v>
      </c>
      <c r="B15701" s="60" t="s">
        <v>2306</v>
      </c>
    </row>
    <row r="15702" ht="12.75" customHeight="1">
      <c r="A15702" s="59" t="s">
        <v>2878</v>
      </c>
      <c r="B15702" s="60" t="s">
        <v>2307</v>
      </c>
    </row>
    <row r="15703" ht="12.75" customHeight="1">
      <c r="A15703" s="59" t="s">
        <v>2878</v>
      </c>
      <c r="B15703" s="60" t="s">
        <v>2308</v>
      </c>
    </row>
    <row r="15704" ht="12.75" customHeight="1">
      <c r="A15704" s="59" t="s">
        <v>2878</v>
      </c>
      <c r="B15704" s="60" t="s">
        <v>2309</v>
      </c>
    </row>
    <row r="15705" ht="12.75" customHeight="1">
      <c r="A15705" s="59" t="s">
        <v>2878</v>
      </c>
      <c r="B15705" s="60" t="s">
        <v>2310</v>
      </c>
    </row>
    <row r="15706" ht="12.75" customHeight="1">
      <c r="A15706" s="59" t="s">
        <v>2878</v>
      </c>
      <c r="B15706" s="60" t="s">
        <v>2311</v>
      </c>
    </row>
    <row r="15707" ht="12.75" customHeight="1">
      <c r="A15707" s="59" t="s">
        <v>2878</v>
      </c>
      <c r="B15707" s="60" t="s">
        <v>2312</v>
      </c>
    </row>
    <row r="15708" ht="12.75" customHeight="1">
      <c r="A15708" s="59" t="s">
        <v>2878</v>
      </c>
      <c r="B15708" s="60" t="s">
        <v>881</v>
      </c>
    </row>
    <row r="15709" ht="12.75" customHeight="1">
      <c r="A15709" s="59" t="s">
        <v>2878</v>
      </c>
      <c r="B15709" s="60" t="s">
        <v>2313</v>
      </c>
    </row>
    <row r="15710" ht="12.75" customHeight="1">
      <c r="A15710" s="59" t="s">
        <v>2878</v>
      </c>
      <c r="B15710" s="60" t="s">
        <v>2314</v>
      </c>
    </row>
    <row r="15711" ht="12.75" customHeight="1">
      <c r="A15711" s="59" t="s">
        <v>2878</v>
      </c>
      <c r="B15711" s="60" t="s">
        <v>2315</v>
      </c>
    </row>
    <row r="15712" ht="12.75" customHeight="1">
      <c r="A15712" s="59" t="s">
        <v>2878</v>
      </c>
      <c r="B15712" s="60" t="s">
        <v>2316</v>
      </c>
    </row>
    <row r="15713" ht="12.75" customHeight="1">
      <c r="A15713" s="59" t="s">
        <v>2878</v>
      </c>
      <c r="B15713" s="60" t="s">
        <v>2317</v>
      </c>
    </row>
    <row r="15714" ht="12.75" customHeight="1">
      <c r="A15714" s="59" t="s">
        <v>2878</v>
      </c>
      <c r="B15714" s="60" t="s">
        <v>2318</v>
      </c>
    </row>
    <row r="15715" ht="12.75" customHeight="1">
      <c r="A15715" s="59" t="s">
        <v>2878</v>
      </c>
      <c r="B15715" s="60" t="s">
        <v>2319</v>
      </c>
    </row>
    <row r="15716" ht="12.75" customHeight="1">
      <c r="A15716" s="59" t="s">
        <v>2878</v>
      </c>
      <c r="B15716" s="60" t="s">
        <v>2320</v>
      </c>
    </row>
    <row r="15717" ht="12.75" customHeight="1">
      <c r="A15717" s="59" t="s">
        <v>2878</v>
      </c>
      <c r="B15717" s="60" t="s">
        <v>2321</v>
      </c>
    </row>
    <row r="15718" ht="12.75" customHeight="1">
      <c r="A15718" s="59" t="s">
        <v>2878</v>
      </c>
      <c r="B15718" s="60" t="s">
        <v>2322</v>
      </c>
    </row>
    <row r="15719" ht="12.75" customHeight="1">
      <c r="A15719" s="59" t="s">
        <v>2878</v>
      </c>
      <c r="B15719" s="60" t="s">
        <v>2323</v>
      </c>
    </row>
    <row r="15720" ht="12.75" customHeight="1">
      <c r="A15720" s="59" t="s">
        <v>2878</v>
      </c>
      <c r="B15720" s="60" t="s">
        <v>900</v>
      </c>
    </row>
    <row r="15721" ht="12.75" customHeight="1">
      <c r="A15721" s="59" t="s">
        <v>2878</v>
      </c>
      <c r="B15721" s="60" t="s">
        <v>2324</v>
      </c>
    </row>
    <row r="15722" ht="12.75" customHeight="1">
      <c r="A15722" s="59" t="s">
        <v>2878</v>
      </c>
      <c r="B15722" s="60" t="s">
        <v>2325</v>
      </c>
    </row>
    <row r="15723" ht="12.75" customHeight="1">
      <c r="A15723" s="59" t="s">
        <v>2878</v>
      </c>
      <c r="B15723" s="60" t="s">
        <v>2326</v>
      </c>
    </row>
    <row r="15724" ht="12.75" customHeight="1">
      <c r="A15724" s="59" t="s">
        <v>2878</v>
      </c>
      <c r="B15724" s="60" t="s">
        <v>2327</v>
      </c>
    </row>
    <row r="15725" ht="12.75" customHeight="1">
      <c r="A15725" s="59" t="s">
        <v>2878</v>
      </c>
      <c r="B15725" s="60" t="s">
        <v>2328</v>
      </c>
    </row>
    <row r="15726" ht="12.75" customHeight="1">
      <c r="A15726" s="59" t="s">
        <v>2878</v>
      </c>
      <c r="B15726" s="60" t="s">
        <v>2329</v>
      </c>
    </row>
    <row r="15727" ht="12.75" customHeight="1">
      <c r="A15727" s="59" t="s">
        <v>2878</v>
      </c>
      <c r="B15727" s="60" t="s">
        <v>2330</v>
      </c>
    </row>
    <row r="15728" ht="12.75" customHeight="1">
      <c r="A15728" s="59" t="s">
        <v>2878</v>
      </c>
      <c r="B15728" s="60" t="s">
        <v>2331</v>
      </c>
    </row>
    <row r="15729" ht="12.75" customHeight="1">
      <c r="A15729" s="59" t="s">
        <v>2878</v>
      </c>
      <c r="B15729" s="60" t="s">
        <v>2332</v>
      </c>
    </row>
    <row r="15730" ht="12.75" customHeight="1">
      <c r="A15730" s="59" t="s">
        <v>2878</v>
      </c>
      <c r="B15730" s="60" t="s">
        <v>2333</v>
      </c>
    </row>
    <row r="15731" ht="12.75" customHeight="1">
      <c r="A15731" s="59" t="s">
        <v>2878</v>
      </c>
      <c r="B15731" s="60" t="s">
        <v>2334</v>
      </c>
    </row>
    <row r="15732" ht="12.75" customHeight="1">
      <c r="A15732" s="59" t="s">
        <v>2891</v>
      </c>
      <c r="B15732" s="60" t="s">
        <v>804</v>
      </c>
    </row>
    <row r="15733" ht="12.75" customHeight="1">
      <c r="A15733" s="59" t="s">
        <v>2891</v>
      </c>
      <c r="B15733" s="60" t="s">
        <v>76</v>
      </c>
    </row>
    <row r="15734" ht="12.75" customHeight="1">
      <c r="A15734" s="59" t="s">
        <v>2891</v>
      </c>
      <c r="B15734" s="60" t="s">
        <v>80</v>
      </c>
    </row>
    <row r="15735" ht="12.75" customHeight="1">
      <c r="A15735" s="59" t="s">
        <v>2891</v>
      </c>
      <c r="B15735" s="60" t="s">
        <v>83</v>
      </c>
    </row>
    <row r="15736" ht="12.75" customHeight="1">
      <c r="A15736" s="59" t="s">
        <v>2891</v>
      </c>
      <c r="B15736" s="60" t="s">
        <v>85</v>
      </c>
    </row>
    <row r="15737" ht="12.75" customHeight="1">
      <c r="A15737" s="59" t="s">
        <v>2891</v>
      </c>
      <c r="B15737" s="60" t="s">
        <v>810</v>
      </c>
    </row>
    <row r="15738" ht="12.75" customHeight="1">
      <c r="A15738" s="59" t="s">
        <v>2891</v>
      </c>
      <c r="B15738" s="60" t="s">
        <v>811</v>
      </c>
    </row>
    <row r="15739" ht="12.75" customHeight="1">
      <c r="A15739" s="59" t="s">
        <v>2891</v>
      </c>
      <c r="B15739" s="60" t="s">
        <v>812</v>
      </c>
    </row>
    <row r="15740" ht="12.75" customHeight="1">
      <c r="A15740" s="59" t="s">
        <v>2891</v>
      </c>
      <c r="B15740" s="60" t="s">
        <v>813</v>
      </c>
    </row>
    <row r="15741" ht="12.75" customHeight="1">
      <c r="A15741" s="59" t="s">
        <v>2891</v>
      </c>
      <c r="B15741" s="60" t="s">
        <v>814</v>
      </c>
    </row>
    <row r="15742" ht="12.75" customHeight="1">
      <c r="A15742" s="59" t="s">
        <v>2891</v>
      </c>
      <c r="B15742" s="60" t="s">
        <v>820</v>
      </c>
    </row>
    <row r="15743" ht="12.75" customHeight="1">
      <c r="A15743" s="59" t="s">
        <v>2891</v>
      </c>
      <c r="B15743" s="60" t="s">
        <v>821</v>
      </c>
    </row>
    <row r="15744" ht="12.75" customHeight="1">
      <c r="A15744" s="59" t="s">
        <v>2891</v>
      </c>
      <c r="B15744" s="60" t="s">
        <v>822</v>
      </c>
    </row>
    <row r="15745" ht="12.75" customHeight="1">
      <c r="A15745" s="59" t="s">
        <v>2891</v>
      </c>
      <c r="B15745" s="60" t="s">
        <v>823</v>
      </c>
    </row>
    <row r="15746" ht="12.75" customHeight="1">
      <c r="A15746" s="59" t="s">
        <v>2891</v>
      </c>
      <c r="B15746" s="60" t="s">
        <v>824</v>
      </c>
    </row>
    <row r="15747" ht="12.75" customHeight="1">
      <c r="A15747" s="59" t="s">
        <v>2891</v>
      </c>
      <c r="B15747" s="60" t="s">
        <v>830</v>
      </c>
    </row>
    <row r="15748" ht="12.75" customHeight="1">
      <c r="A15748" s="59" t="s">
        <v>2891</v>
      </c>
      <c r="B15748" s="60" t="s">
        <v>831</v>
      </c>
    </row>
    <row r="15749" ht="12.75" customHeight="1">
      <c r="A15749" s="59" t="s">
        <v>2891</v>
      </c>
      <c r="B15749" s="60" t="s">
        <v>832</v>
      </c>
    </row>
    <row r="15750" ht="12.75" customHeight="1">
      <c r="A15750" s="59" t="s">
        <v>2891</v>
      </c>
      <c r="B15750" s="60" t="s">
        <v>833</v>
      </c>
    </row>
    <row r="15751" ht="12.75" customHeight="1">
      <c r="A15751" s="59" t="s">
        <v>2891</v>
      </c>
      <c r="B15751" s="60" t="s">
        <v>834</v>
      </c>
    </row>
    <row r="15752" ht="12.75" customHeight="1">
      <c r="A15752" s="59" t="s">
        <v>2891</v>
      </c>
      <c r="B15752" s="60" t="s">
        <v>845</v>
      </c>
    </row>
    <row r="15753" ht="12.75" customHeight="1">
      <c r="A15753" s="59" t="s">
        <v>2891</v>
      </c>
      <c r="B15753" s="60" t="s">
        <v>2291</v>
      </c>
    </row>
    <row r="15754" ht="12.75" customHeight="1">
      <c r="A15754" s="59" t="s">
        <v>2891</v>
      </c>
      <c r="B15754" s="60" t="s">
        <v>2292</v>
      </c>
    </row>
    <row r="15755" ht="12.75" customHeight="1">
      <c r="A15755" s="59" t="s">
        <v>2891</v>
      </c>
      <c r="B15755" s="60" t="s">
        <v>2293</v>
      </c>
    </row>
    <row r="15756" ht="12.75" customHeight="1">
      <c r="A15756" s="59" t="s">
        <v>2891</v>
      </c>
      <c r="B15756" s="60" t="s">
        <v>2294</v>
      </c>
    </row>
    <row r="15757" ht="12.75" customHeight="1">
      <c r="A15757" s="59" t="s">
        <v>2891</v>
      </c>
      <c r="B15757" s="60" t="s">
        <v>2295</v>
      </c>
    </row>
    <row r="15758" ht="12.75" customHeight="1">
      <c r="A15758" s="59" t="s">
        <v>2891</v>
      </c>
      <c r="B15758" s="60" t="s">
        <v>2296</v>
      </c>
    </row>
    <row r="15759" ht="12.75" customHeight="1">
      <c r="A15759" s="59" t="s">
        <v>2891</v>
      </c>
      <c r="B15759" s="60" t="s">
        <v>2297</v>
      </c>
    </row>
    <row r="15760" ht="12.75" customHeight="1">
      <c r="A15760" s="59" t="s">
        <v>2891</v>
      </c>
      <c r="B15760" s="60" t="s">
        <v>2298</v>
      </c>
    </row>
    <row r="15761" ht="12.75" customHeight="1">
      <c r="A15761" s="59" t="s">
        <v>2891</v>
      </c>
      <c r="B15761" s="60" t="s">
        <v>2299</v>
      </c>
    </row>
    <row r="15762" ht="12.75" customHeight="1">
      <c r="A15762" s="59" t="s">
        <v>2891</v>
      </c>
      <c r="B15762" s="60" t="s">
        <v>2300</v>
      </c>
    </row>
    <row r="15763" ht="12.75" customHeight="1">
      <c r="A15763" s="59" t="s">
        <v>2891</v>
      </c>
      <c r="B15763" s="60" t="s">
        <v>2301</v>
      </c>
    </row>
    <row r="15764" ht="12.75" customHeight="1">
      <c r="A15764" s="59" t="s">
        <v>2891</v>
      </c>
      <c r="B15764" s="60" t="s">
        <v>862</v>
      </c>
    </row>
    <row r="15765" ht="12.75" customHeight="1">
      <c r="A15765" s="59" t="s">
        <v>2891</v>
      </c>
      <c r="B15765" s="60" t="s">
        <v>2302</v>
      </c>
    </row>
    <row r="15766" ht="12.75" customHeight="1">
      <c r="A15766" s="59" t="s">
        <v>2891</v>
      </c>
      <c r="B15766" s="60" t="s">
        <v>2303</v>
      </c>
    </row>
    <row r="15767" ht="12.75" customHeight="1">
      <c r="A15767" s="59" t="s">
        <v>2891</v>
      </c>
      <c r="B15767" s="60" t="s">
        <v>2304</v>
      </c>
    </row>
    <row r="15768" ht="12.75" customHeight="1">
      <c r="A15768" s="59" t="s">
        <v>2891</v>
      </c>
      <c r="B15768" s="60" t="s">
        <v>2305</v>
      </c>
    </row>
    <row r="15769" ht="12.75" customHeight="1">
      <c r="A15769" s="59" t="s">
        <v>2891</v>
      </c>
      <c r="B15769" s="60" t="s">
        <v>2306</v>
      </c>
    </row>
    <row r="15770" ht="12.75" customHeight="1">
      <c r="A15770" s="59" t="s">
        <v>2891</v>
      </c>
      <c r="B15770" s="60" t="s">
        <v>2307</v>
      </c>
    </row>
    <row r="15771" ht="12.75" customHeight="1">
      <c r="A15771" s="59" t="s">
        <v>2891</v>
      </c>
      <c r="B15771" s="60" t="s">
        <v>2308</v>
      </c>
    </row>
    <row r="15772" ht="12.75" customHeight="1">
      <c r="A15772" s="59" t="s">
        <v>2891</v>
      </c>
      <c r="B15772" s="60" t="s">
        <v>2309</v>
      </c>
    </row>
    <row r="15773" ht="12.75" customHeight="1">
      <c r="A15773" s="59" t="s">
        <v>2891</v>
      </c>
      <c r="B15773" s="60" t="s">
        <v>2310</v>
      </c>
    </row>
    <row r="15774" ht="12.75" customHeight="1">
      <c r="A15774" s="59" t="s">
        <v>2891</v>
      </c>
      <c r="B15774" s="60" t="s">
        <v>2311</v>
      </c>
    </row>
    <row r="15775" ht="12.75" customHeight="1">
      <c r="A15775" s="59" t="s">
        <v>2891</v>
      </c>
      <c r="B15775" s="60" t="s">
        <v>2312</v>
      </c>
    </row>
    <row r="15776" ht="12.75" customHeight="1">
      <c r="A15776" s="59" t="s">
        <v>2891</v>
      </c>
      <c r="B15776" s="60" t="s">
        <v>881</v>
      </c>
    </row>
    <row r="15777" ht="12.75" customHeight="1">
      <c r="A15777" s="59" t="s">
        <v>2891</v>
      </c>
      <c r="B15777" s="60" t="s">
        <v>2313</v>
      </c>
    </row>
    <row r="15778" ht="12.75" customHeight="1">
      <c r="A15778" s="59" t="s">
        <v>2891</v>
      </c>
      <c r="B15778" s="60" t="s">
        <v>2314</v>
      </c>
    </row>
    <row r="15779" ht="12.75" customHeight="1">
      <c r="A15779" s="59" t="s">
        <v>2891</v>
      </c>
      <c r="B15779" s="60" t="s">
        <v>2315</v>
      </c>
    </row>
    <row r="15780" ht="12.75" customHeight="1">
      <c r="A15780" s="59" t="s">
        <v>2891</v>
      </c>
      <c r="B15780" s="60" t="s">
        <v>2316</v>
      </c>
    </row>
    <row r="15781" ht="12.75" customHeight="1">
      <c r="A15781" s="59" t="s">
        <v>2891</v>
      </c>
      <c r="B15781" s="60" t="s">
        <v>2317</v>
      </c>
    </row>
    <row r="15782" ht="12.75" customHeight="1">
      <c r="A15782" s="59" t="s">
        <v>2891</v>
      </c>
      <c r="B15782" s="60" t="s">
        <v>2318</v>
      </c>
    </row>
    <row r="15783" ht="12.75" customHeight="1">
      <c r="A15783" s="59" t="s">
        <v>2891</v>
      </c>
      <c r="B15783" s="60" t="s">
        <v>2319</v>
      </c>
    </row>
    <row r="15784" ht="12.75" customHeight="1">
      <c r="A15784" s="59" t="s">
        <v>2891</v>
      </c>
      <c r="B15784" s="60" t="s">
        <v>2320</v>
      </c>
    </row>
    <row r="15785" ht="12.75" customHeight="1">
      <c r="A15785" s="59" t="s">
        <v>2891</v>
      </c>
      <c r="B15785" s="60" t="s">
        <v>2321</v>
      </c>
    </row>
    <row r="15786" ht="12.75" customHeight="1">
      <c r="A15786" s="59" t="s">
        <v>2891</v>
      </c>
      <c r="B15786" s="60" t="s">
        <v>2322</v>
      </c>
    </row>
    <row r="15787" ht="12.75" customHeight="1">
      <c r="A15787" s="59" t="s">
        <v>2891</v>
      </c>
      <c r="B15787" s="60" t="s">
        <v>2323</v>
      </c>
    </row>
    <row r="15788" ht="12.75" customHeight="1">
      <c r="A15788" s="59" t="s">
        <v>2891</v>
      </c>
      <c r="B15788" s="60" t="s">
        <v>900</v>
      </c>
    </row>
    <row r="15789" ht="12.75" customHeight="1">
      <c r="A15789" s="59" t="s">
        <v>2891</v>
      </c>
      <c r="B15789" s="60" t="s">
        <v>2324</v>
      </c>
    </row>
    <row r="15790" ht="12.75" customHeight="1">
      <c r="A15790" s="59" t="s">
        <v>2891</v>
      </c>
      <c r="B15790" s="60" t="s">
        <v>2325</v>
      </c>
    </row>
    <row r="15791" ht="12.75" customHeight="1">
      <c r="A15791" s="59" t="s">
        <v>2891</v>
      </c>
      <c r="B15791" s="60" t="s">
        <v>2326</v>
      </c>
    </row>
    <row r="15792" ht="12.75" customHeight="1">
      <c r="A15792" s="59" t="s">
        <v>2891</v>
      </c>
      <c r="B15792" s="60" t="s">
        <v>2327</v>
      </c>
    </row>
    <row r="15793" ht="12.75" customHeight="1">
      <c r="A15793" s="59" t="s">
        <v>2891</v>
      </c>
      <c r="B15793" s="60" t="s">
        <v>2328</v>
      </c>
    </row>
    <row r="15794" ht="12.75" customHeight="1">
      <c r="A15794" s="59" t="s">
        <v>2891</v>
      </c>
      <c r="B15794" s="60" t="s">
        <v>2329</v>
      </c>
    </row>
    <row r="15795" ht="12.75" customHeight="1">
      <c r="A15795" s="59" t="s">
        <v>2891</v>
      </c>
      <c r="B15795" s="60" t="s">
        <v>2330</v>
      </c>
    </row>
    <row r="15796" ht="12.75" customHeight="1">
      <c r="A15796" s="59" t="s">
        <v>2891</v>
      </c>
      <c r="B15796" s="60" t="s">
        <v>2331</v>
      </c>
    </row>
    <row r="15797" ht="12.75" customHeight="1">
      <c r="A15797" s="59" t="s">
        <v>2891</v>
      </c>
      <c r="B15797" s="60" t="s">
        <v>2332</v>
      </c>
    </row>
    <row r="15798" ht="12.75" customHeight="1">
      <c r="A15798" s="59" t="s">
        <v>2891</v>
      </c>
      <c r="B15798" s="60" t="s">
        <v>2333</v>
      </c>
    </row>
    <row r="15799" ht="12.75" customHeight="1">
      <c r="A15799" s="59" t="s">
        <v>2891</v>
      </c>
      <c r="B15799" s="60" t="s">
        <v>2334</v>
      </c>
    </row>
    <row r="15800" ht="12.75" customHeight="1">
      <c r="A15800" s="59" t="s">
        <v>2880</v>
      </c>
      <c r="B15800" s="60" t="s">
        <v>804</v>
      </c>
    </row>
    <row r="15801" ht="12.75" customHeight="1">
      <c r="A15801" s="59" t="s">
        <v>2880</v>
      </c>
      <c r="B15801" s="60" t="s">
        <v>76</v>
      </c>
    </row>
    <row r="15802" ht="12.75" customHeight="1">
      <c r="A15802" s="59" t="s">
        <v>2880</v>
      </c>
      <c r="B15802" s="60" t="s">
        <v>80</v>
      </c>
    </row>
    <row r="15803" ht="12.75" customHeight="1">
      <c r="A15803" s="59" t="s">
        <v>2880</v>
      </c>
      <c r="B15803" s="60" t="s">
        <v>83</v>
      </c>
    </row>
    <row r="15804" ht="12.75" customHeight="1">
      <c r="A15804" s="59" t="s">
        <v>2880</v>
      </c>
      <c r="B15804" s="60" t="s">
        <v>85</v>
      </c>
    </row>
    <row r="15805" ht="12.75" customHeight="1">
      <c r="A15805" s="59" t="s">
        <v>2880</v>
      </c>
      <c r="B15805" s="60" t="s">
        <v>810</v>
      </c>
    </row>
    <row r="15806" ht="12.75" customHeight="1">
      <c r="A15806" s="59" t="s">
        <v>2880</v>
      </c>
      <c r="B15806" s="60" t="s">
        <v>811</v>
      </c>
    </row>
    <row r="15807" ht="12.75" customHeight="1">
      <c r="A15807" s="59" t="s">
        <v>2880</v>
      </c>
      <c r="B15807" s="60" t="s">
        <v>812</v>
      </c>
    </row>
    <row r="15808" ht="12.75" customHeight="1">
      <c r="A15808" s="59" t="s">
        <v>2880</v>
      </c>
      <c r="B15808" s="60" t="s">
        <v>813</v>
      </c>
    </row>
    <row r="15809" ht="12.75" customHeight="1">
      <c r="A15809" s="59" t="s">
        <v>2880</v>
      </c>
      <c r="B15809" s="60" t="s">
        <v>814</v>
      </c>
    </row>
    <row r="15810" ht="12.75" customHeight="1">
      <c r="A15810" s="59" t="s">
        <v>2880</v>
      </c>
      <c r="B15810" s="60" t="s">
        <v>820</v>
      </c>
    </row>
    <row r="15811" ht="12.75" customHeight="1">
      <c r="A15811" s="59" t="s">
        <v>2880</v>
      </c>
      <c r="B15811" s="60" t="s">
        <v>821</v>
      </c>
    </row>
    <row r="15812" ht="12.75" customHeight="1">
      <c r="A15812" s="59" t="s">
        <v>2880</v>
      </c>
      <c r="B15812" s="60" t="s">
        <v>822</v>
      </c>
    </row>
    <row r="15813" ht="12.75" customHeight="1">
      <c r="A15813" s="59" t="s">
        <v>2880</v>
      </c>
      <c r="B15813" s="60" t="s">
        <v>823</v>
      </c>
    </row>
    <row r="15814" ht="12.75" customHeight="1">
      <c r="A15814" s="59" t="s">
        <v>2880</v>
      </c>
      <c r="B15814" s="60" t="s">
        <v>824</v>
      </c>
    </row>
    <row r="15815" ht="12.75" customHeight="1">
      <c r="A15815" s="59" t="s">
        <v>2880</v>
      </c>
      <c r="B15815" s="60" t="s">
        <v>830</v>
      </c>
    </row>
    <row r="15816" ht="12.75" customHeight="1">
      <c r="A15816" s="59" t="s">
        <v>2880</v>
      </c>
      <c r="B15816" s="60" t="s">
        <v>831</v>
      </c>
    </row>
    <row r="15817" ht="12.75" customHeight="1">
      <c r="A15817" s="59" t="s">
        <v>2880</v>
      </c>
      <c r="B15817" s="60" t="s">
        <v>832</v>
      </c>
    </row>
    <row r="15818" ht="12.75" customHeight="1">
      <c r="A15818" s="59" t="s">
        <v>2880</v>
      </c>
      <c r="B15818" s="60" t="s">
        <v>833</v>
      </c>
    </row>
    <row r="15819" ht="12.75" customHeight="1">
      <c r="A15819" s="59" t="s">
        <v>2880</v>
      </c>
      <c r="B15819" s="60" t="s">
        <v>834</v>
      </c>
    </row>
    <row r="15820" ht="12.75" customHeight="1">
      <c r="A15820" s="59" t="s">
        <v>2880</v>
      </c>
      <c r="B15820" s="60" t="s">
        <v>845</v>
      </c>
    </row>
    <row r="15821" ht="12.75" customHeight="1">
      <c r="A15821" s="59" t="s">
        <v>2880</v>
      </c>
      <c r="B15821" s="60" t="s">
        <v>2291</v>
      </c>
    </row>
    <row r="15822" ht="12.75" customHeight="1">
      <c r="A15822" s="59" t="s">
        <v>2880</v>
      </c>
      <c r="B15822" s="60" t="s">
        <v>2292</v>
      </c>
    </row>
    <row r="15823" ht="12.75" customHeight="1">
      <c r="A15823" s="59" t="s">
        <v>2880</v>
      </c>
      <c r="B15823" s="60" t="s">
        <v>2293</v>
      </c>
    </row>
    <row r="15824" ht="12.75" customHeight="1">
      <c r="A15824" s="59" t="s">
        <v>2880</v>
      </c>
      <c r="B15824" s="60" t="s">
        <v>2294</v>
      </c>
    </row>
    <row r="15825" ht="12.75" customHeight="1">
      <c r="A15825" s="59" t="s">
        <v>2880</v>
      </c>
      <c r="B15825" s="60" t="s">
        <v>2295</v>
      </c>
    </row>
    <row r="15826" ht="12.75" customHeight="1">
      <c r="A15826" s="59" t="s">
        <v>2880</v>
      </c>
      <c r="B15826" s="60" t="s">
        <v>2296</v>
      </c>
    </row>
    <row r="15827" ht="12.75" customHeight="1">
      <c r="A15827" s="59" t="s">
        <v>2880</v>
      </c>
      <c r="B15827" s="60" t="s">
        <v>2297</v>
      </c>
    </row>
    <row r="15828" ht="12.75" customHeight="1">
      <c r="A15828" s="59" t="s">
        <v>2880</v>
      </c>
      <c r="B15828" s="60" t="s">
        <v>2298</v>
      </c>
    </row>
    <row r="15829" ht="12.75" customHeight="1">
      <c r="A15829" s="59" t="s">
        <v>2880</v>
      </c>
      <c r="B15829" s="60" t="s">
        <v>2299</v>
      </c>
    </row>
    <row r="15830" ht="12.75" customHeight="1">
      <c r="A15830" s="59" t="s">
        <v>2880</v>
      </c>
      <c r="B15830" s="60" t="s">
        <v>2300</v>
      </c>
    </row>
    <row r="15831" ht="12.75" customHeight="1">
      <c r="A15831" s="59" t="s">
        <v>2880</v>
      </c>
      <c r="B15831" s="60" t="s">
        <v>2301</v>
      </c>
    </row>
    <row r="15832" ht="12.75" customHeight="1">
      <c r="A15832" s="59" t="s">
        <v>2880</v>
      </c>
      <c r="B15832" s="60" t="s">
        <v>862</v>
      </c>
    </row>
    <row r="15833" ht="12.75" customHeight="1">
      <c r="A15833" s="59" t="s">
        <v>2880</v>
      </c>
      <c r="B15833" s="60" t="s">
        <v>2302</v>
      </c>
    </row>
    <row r="15834" ht="12.75" customHeight="1">
      <c r="A15834" s="59" t="s">
        <v>2880</v>
      </c>
      <c r="B15834" s="60" t="s">
        <v>2303</v>
      </c>
    </row>
    <row r="15835" ht="12.75" customHeight="1">
      <c r="A15835" s="59" t="s">
        <v>2880</v>
      </c>
      <c r="B15835" s="60" t="s">
        <v>2304</v>
      </c>
    </row>
    <row r="15836" ht="12.75" customHeight="1">
      <c r="A15836" s="59" t="s">
        <v>2880</v>
      </c>
      <c r="B15836" s="60" t="s">
        <v>2305</v>
      </c>
    </row>
    <row r="15837" ht="12.75" customHeight="1">
      <c r="A15837" s="59" t="s">
        <v>2880</v>
      </c>
      <c r="B15837" s="60" t="s">
        <v>2306</v>
      </c>
    </row>
    <row r="15838" ht="12.75" customHeight="1">
      <c r="A15838" s="59" t="s">
        <v>2880</v>
      </c>
      <c r="B15838" s="60" t="s">
        <v>2307</v>
      </c>
    </row>
    <row r="15839" ht="12.75" customHeight="1">
      <c r="A15839" s="59" t="s">
        <v>2880</v>
      </c>
      <c r="B15839" s="60" t="s">
        <v>2308</v>
      </c>
    </row>
    <row r="15840" ht="12.75" customHeight="1">
      <c r="A15840" s="59" t="s">
        <v>2880</v>
      </c>
      <c r="B15840" s="60" t="s">
        <v>2309</v>
      </c>
    </row>
    <row r="15841" ht="12.75" customHeight="1">
      <c r="A15841" s="59" t="s">
        <v>2880</v>
      </c>
      <c r="B15841" s="60" t="s">
        <v>2310</v>
      </c>
    </row>
    <row r="15842" ht="12.75" customHeight="1">
      <c r="A15842" s="59" t="s">
        <v>2880</v>
      </c>
      <c r="B15842" s="60" t="s">
        <v>2311</v>
      </c>
    </row>
    <row r="15843" ht="12.75" customHeight="1">
      <c r="A15843" s="59" t="s">
        <v>2880</v>
      </c>
      <c r="B15843" s="60" t="s">
        <v>2312</v>
      </c>
    </row>
    <row r="15844" ht="12.75" customHeight="1">
      <c r="A15844" s="59" t="s">
        <v>2880</v>
      </c>
      <c r="B15844" s="60" t="s">
        <v>881</v>
      </c>
    </row>
    <row r="15845" ht="12.75" customHeight="1">
      <c r="A15845" s="59" t="s">
        <v>2880</v>
      </c>
      <c r="B15845" s="60" t="s">
        <v>2313</v>
      </c>
    </row>
    <row r="15846" ht="12.75" customHeight="1">
      <c r="A15846" s="59" t="s">
        <v>2880</v>
      </c>
      <c r="B15846" s="60" t="s">
        <v>2314</v>
      </c>
    </row>
    <row r="15847" ht="12.75" customHeight="1">
      <c r="A15847" s="59" t="s">
        <v>2880</v>
      </c>
      <c r="B15847" s="60" t="s">
        <v>2315</v>
      </c>
    </row>
    <row r="15848" ht="12.75" customHeight="1">
      <c r="A15848" s="59" t="s">
        <v>2880</v>
      </c>
      <c r="B15848" s="60" t="s">
        <v>2316</v>
      </c>
    </row>
    <row r="15849" ht="12.75" customHeight="1">
      <c r="A15849" s="59" t="s">
        <v>2880</v>
      </c>
      <c r="B15849" s="60" t="s">
        <v>2317</v>
      </c>
    </row>
    <row r="15850" ht="12.75" customHeight="1">
      <c r="A15850" s="59" t="s">
        <v>2880</v>
      </c>
      <c r="B15850" s="60" t="s">
        <v>2318</v>
      </c>
    </row>
    <row r="15851" ht="12.75" customHeight="1">
      <c r="A15851" s="59" t="s">
        <v>2880</v>
      </c>
      <c r="B15851" s="60" t="s">
        <v>2319</v>
      </c>
    </row>
    <row r="15852" ht="12.75" customHeight="1">
      <c r="A15852" s="59" t="s">
        <v>2880</v>
      </c>
      <c r="B15852" s="60" t="s">
        <v>2320</v>
      </c>
    </row>
    <row r="15853" ht="12.75" customHeight="1">
      <c r="A15853" s="59" t="s">
        <v>2880</v>
      </c>
      <c r="B15853" s="60" t="s">
        <v>2321</v>
      </c>
    </row>
    <row r="15854" ht="12.75" customHeight="1">
      <c r="A15854" s="59" t="s">
        <v>2880</v>
      </c>
      <c r="B15854" s="60" t="s">
        <v>2322</v>
      </c>
    </row>
    <row r="15855" ht="12.75" customHeight="1">
      <c r="A15855" s="59" t="s">
        <v>2880</v>
      </c>
      <c r="B15855" s="60" t="s">
        <v>2323</v>
      </c>
    </row>
    <row r="15856" ht="12.75" customHeight="1">
      <c r="A15856" s="59" t="s">
        <v>2880</v>
      </c>
      <c r="B15856" s="60" t="s">
        <v>900</v>
      </c>
    </row>
    <row r="15857" ht="12.75" customHeight="1">
      <c r="A15857" s="59" t="s">
        <v>2880</v>
      </c>
      <c r="B15857" s="60" t="s">
        <v>2324</v>
      </c>
    </row>
    <row r="15858" ht="12.75" customHeight="1">
      <c r="A15858" s="59" t="s">
        <v>2880</v>
      </c>
      <c r="B15858" s="60" t="s">
        <v>2325</v>
      </c>
    </row>
    <row r="15859" ht="12.75" customHeight="1">
      <c r="A15859" s="59" t="s">
        <v>2880</v>
      </c>
      <c r="B15859" s="60" t="s">
        <v>2326</v>
      </c>
    </row>
    <row r="15860" ht="12.75" customHeight="1">
      <c r="A15860" s="59" t="s">
        <v>2880</v>
      </c>
      <c r="B15860" s="60" t="s">
        <v>2327</v>
      </c>
    </row>
    <row r="15861" ht="12.75" customHeight="1">
      <c r="A15861" s="59" t="s">
        <v>2880</v>
      </c>
      <c r="B15861" s="60" t="s">
        <v>2328</v>
      </c>
    </row>
    <row r="15862" ht="12.75" customHeight="1">
      <c r="A15862" s="59" t="s">
        <v>2880</v>
      </c>
      <c r="B15862" s="60" t="s">
        <v>2329</v>
      </c>
    </row>
    <row r="15863" ht="12.75" customHeight="1">
      <c r="A15863" s="59" t="s">
        <v>2880</v>
      </c>
      <c r="B15863" s="60" t="s">
        <v>2330</v>
      </c>
    </row>
    <row r="15864" ht="12.75" customHeight="1">
      <c r="A15864" s="59" t="s">
        <v>2880</v>
      </c>
      <c r="B15864" s="60" t="s">
        <v>2331</v>
      </c>
    </row>
    <row r="15865" ht="12.75" customHeight="1">
      <c r="A15865" s="59" t="s">
        <v>2880</v>
      </c>
      <c r="B15865" s="60" t="s">
        <v>2332</v>
      </c>
    </row>
    <row r="15866" ht="12.75" customHeight="1">
      <c r="A15866" s="59" t="s">
        <v>2880</v>
      </c>
      <c r="B15866" s="60" t="s">
        <v>2333</v>
      </c>
    </row>
    <row r="15867" ht="12.75" customHeight="1">
      <c r="A15867" s="59" t="s">
        <v>2880</v>
      </c>
      <c r="B15867" s="60" t="s">
        <v>2334</v>
      </c>
    </row>
    <row r="15868" ht="12.75" customHeight="1">
      <c r="A15868" s="59" t="s">
        <v>2883</v>
      </c>
      <c r="B15868" s="60" t="s">
        <v>804</v>
      </c>
    </row>
    <row r="15869" ht="12.75" customHeight="1">
      <c r="A15869" s="59" t="s">
        <v>2883</v>
      </c>
      <c r="B15869" s="60" t="s">
        <v>76</v>
      </c>
    </row>
    <row r="15870" ht="12.75" customHeight="1">
      <c r="A15870" s="59" t="s">
        <v>2883</v>
      </c>
      <c r="B15870" s="60" t="s">
        <v>80</v>
      </c>
    </row>
    <row r="15871" ht="12.75" customHeight="1">
      <c r="A15871" s="59" t="s">
        <v>2883</v>
      </c>
      <c r="B15871" s="60" t="s">
        <v>83</v>
      </c>
    </row>
    <row r="15872" ht="12.75" customHeight="1">
      <c r="A15872" s="59" t="s">
        <v>2883</v>
      </c>
      <c r="B15872" s="60" t="s">
        <v>85</v>
      </c>
    </row>
    <row r="15873" ht="12.75" customHeight="1">
      <c r="A15873" s="59" t="s">
        <v>2883</v>
      </c>
      <c r="B15873" s="60" t="s">
        <v>810</v>
      </c>
    </row>
    <row r="15874" ht="12.75" customHeight="1">
      <c r="A15874" s="59" t="s">
        <v>2883</v>
      </c>
      <c r="B15874" s="60" t="s">
        <v>811</v>
      </c>
    </row>
    <row r="15875" ht="12.75" customHeight="1">
      <c r="A15875" s="59" t="s">
        <v>2883</v>
      </c>
      <c r="B15875" s="60" t="s">
        <v>812</v>
      </c>
    </row>
    <row r="15876" ht="12.75" customHeight="1">
      <c r="A15876" s="59" t="s">
        <v>2883</v>
      </c>
      <c r="B15876" s="60" t="s">
        <v>813</v>
      </c>
    </row>
    <row r="15877" ht="12.75" customHeight="1">
      <c r="A15877" s="59" t="s">
        <v>2883</v>
      </c>
      <c r="B15877" s="60" t="s">
        <v>814</v>
      </c>
    </row>
    <row r="15878" ht="12.75" customHeight="1">
      <c r="A15878" s="59" t="s">
        <v>2883</v>
      </c>
      <c r="B15878" s="60" t="s">
        <v>820</v>
      </c>
    </row>
    <row r="15879" ht="12.75" customHeight="1">
      <c r="A15879" s="59" t="s">
        <v>2883</v>
      </c>
      <c r="B15879" s="60" t="s">
        <v>821</v>
      </c>
    </row>
    <row r="15880" ht="12.75" customHeight="1">
      <c r="A15880" s="59" t="s">
        <v>2883</v>
      </c>
      <c r="B15880" s="60" t="s">
        <v>822</v>
      </c>
    </row>
    <row r="15881" ht="12.75" customHeight="1">
      <c r="A15881" s="59" t="s">
        <v>2883</v>
      </c>
      <c r="B15881" s="60" t="s">
        <v>823</v>
      </c>
    </row>
    <row r="15882" ht="12.75" customHeight="1">
      <c r="A15882" s="59" t="s">
        <v>2883</v>
      </c>
      <c r="B15882" s="60" t="s">
        <v>824</v>
      </c>
    </row>
    <row r="15883" ht="12.75" customHeight="1">
      <c r="A15883" s="59" t="s">
        <v>2883</v>
      </c>
      <c r="B15883" s="60" t="s">
        <v>830</v>
      </c>
    </row>
    <row r="15884" ht="12.75" customHeight="1">
      <c r="A15884" s="59" t="s">
        <v>2883</v>
      </c>
      <c r="B15884" s="60" t="s">
        <v>831</v>
      </c>
    </row>
    <row r="15885" ht="12.75" customHeight="1">
      <c r="A15885" s="59" t="s">
        <v>2883</v>
      </c>
      <c r="B15885" s="60" t="s">
        <v>832</v>
      </c>
    </row>
    <row r="15886" ht="12.75" customHeight="1">
      <c r="A15886" s="59" t="s">
        <v>2883</v>
      </c>
      <c r="B15886" s="60" t="s">
        <v>833</v>
      </c>
    </row>
    <row r="15887" ht="12.75" customHeight="1">
      <c r="A15887" s="59" t="s">
        <v>2883</v>
      </c>
      <c r="B15887" s="60" t="s">
        <v>834</v>
      </c>
    </row>
    <row r="15888" ht="12.75" customHeight="1">
      <c r="A15888" s="59" t="s">
        <v>2883</v>
      </c>
      <c r="B15888" s="60" t="s">
        <v>845</v>
      </c>
    </row>
    <row r="15889" ht="12.75" customHeight="1">
      <c r="A15889" s="59" t="s">
        <v>2883</v>
      </c>
      <c r="B15889" s="60" t="s">
        <v>2291</v>
      </c>
    </row>
    <row r="15890" ht="12.75" customHeight="1">
      <c r="A15890" s="59" t="s">
        <v>2883</v>
      </c>
      <c r="B15890" s="60" t="s">
        <v>2292</v>
      </c>
    </row>
    <row r="15891" ht="12.75" customHeight="1">
      <c r="A15891" s="59" t="s">
        <v>2883</v>
      </c>
      <c r="B15891" s="60" t="s">
        <v>2293</v>
      </c>
    </row>
    <row r="15892" ht="12.75" customHeight="1">
      <c r="A15892" s="59" t="s">
        <v>2883</v>
      </c>
      <c r="B15892" s="60" t="s">
        <v>2294</v>
      </c>
    </row>
    <row r="15893" ht="12.75" customHeight="1">
      <c r="A15893" s="59" t="s">
        <v>2883</v>
      </c>
      <c r="B15893" s="60" t="s">
        <v>2295</v>
      </c>
    </row>
    <row r="15894" ht="12.75" customHeight="1">
      <c r="A15894" s="59" t="s">
        <v>2883</v>
      </c>
      <c r="B15894" s="60" t="s">
        <v>2296</v>
      </c>
    </row>
    <row r="15895" ht="12.75" customHeight="1">
      <c r="A15895" s="59" t="s">
        <v>2883</v>
      </c>
      <c r="B15895" s="60" t="s">
        <v>2297</v>
      </c>
    </row>
    <row r="15896" ht="12.75" customHeight="1">
      <c r="A15896" s="59" t="s">
        <v>2883</v>
      </c>
      <c r="B15896" s="60" t="s">
        <v>2298</v>
      </c>
    </row>
    <row r="15897" ht="12.75" customHeight="1">
      <c r="A15897" s="59" t="s">
        <v>2883</v>
      </c>
      <c r="B15897" s="60" t="s">
        <v>2299</v>
      </c>
    </row>
    <row r="15898" ht="12.75" customHeight="1">
      <c r="A15898" s="59" t="s">
        <v>2883</v>
      </c>
      <c r="B15898" s="60" t="s">
        <v>2300</v>
      </c>
    </row>
    <row r="15899" ht="12.75" customHeight="1">
      <c r="A15899" s="59" t="s">
        <v>2883</v>
      </c>
      <c r="B15899" s="60" t="s">
        <v>2301</v>
      </c>
    </row>
    <row r="15900" ht="12.75" customHeight="1">
      <c r="A15900" s="59" t="s">
        <v>2883</v>
      </c>
      <c r="B15900" s="60" t="s">
        <v>862</v>
      </c>
    </row>
    <row r="15901" ht="12.75" customHeight="1">
      <c r="A15901" s="59" t="s">
        <v>2883</v>
      </c>
      <c r="B15901" s="60" t="s">
        <v>2302</v>
      </c>
    </row>
    <row r="15902" ht="12.75" customHeight="1">
      <c r="A15902" s="59" t="s">
        <v>2883</v>
      </c>
      <c r="B15902" s="60" t="s">
        <v>2303</v>
      </c>
    </row>
    <row r="15903" ht="12.75" customHeight="1">
      <c r="A15903" s="59" t="s">
        <v>2883</v>
      </c>
      <c r="B15903" s="60" t="s">
        <v>2304</v>
      </c>
    </row>
    <row r="15904" ht="12.75" customHeight="1">
      <c r="A15904" s="59" t="s">
        <v>2883</v>
      </c>
      <c r="B15904" s="60" t="s">
        <v>2305</v>
      </c>
    </row>
    <row r="15905" ht="12.75" customHeight="1">
      <c r="A15905" s="59" t="s">
        <v>2883</v>
      </c>
      <c r="B15905" s="60" t="s">
        <v>2306</v>
      </c>
    </row>
    <row r="15906" ht="12.75" customHeight="1">
      <c r="A15906" s="59" t="s">
        <v>2883</v>
      </c>
      <c r="B15906" s="60" t="s">
        <v>2307</v>
      </c>
    </row>
    <row r="15907" ht="12.75" customHeight="1">
      <c r="A15907" s="59" t="s">
        <v>2883</v>
      </c>
      <c r="B15907" s="60" t="s">
        <v>2308</v>
      </c>
    </row>
    <row r="15908" ht="12.75" customHeight="1">
      <c r="A15908" s="59" t="s">
        <v>2883</v>
      </c>
      <c r="B15908" s="60" t="s">
        <v>2309</v>
      </c>
    </row>
    <row r="15909" ht="12.75" customHeight="1">
      <c r="A15909" s="59" t="s">
        <v>2883</v>
      </c>
      <c r="B15909" s="60" t="s">
        <v>2310</v>
      </c>
    </row>
    <row r="15910" ht="12.75" customHeight="1">
      <c r="A15910" s="59" t="s">
        <v>2883</v>
      </c>
      <c r="B15910" s="60" t="s">
        <v>2311</v>
      </c>
    </row>
    <row r="15911" ht="12.75" customHeight="1">
      <c r="A15911" s="59" t="s">
        <v>2883</v>
      </c>
      <c r="B15911" s="60" t="s">
        <v>2312</v>
      </c>
    </row>
    <row r="15912" ht="12.75" customHeight="1">
      <c r="A15912" s="59" t="s">
        <v>2883</v>
      </c>
      <c r="B15912" s="60" t="s">
        <v>881</v>
      </c>
    </row>
    <row r="15913" ht="12.75" customHeight="1">
      <c r="A15913" s="59" t="s">
        <v>2883</v>
      </c>
      <c r="B15913" s="60" t="s">
        <v>2313</v>
      </c>
    </row>
    <row r="15914" ht="12.75" customHeight="1">
      <c r="A15914" s="59" t="s">
        <v>2883</v>
      </c>
      <c r="B15914" s="60" t="s">
        <v>2314</v>
      </c>
    </row>
    <row r="15915" ht="12.75" customHeight="1">
      <c r="A15915" s="59" t="s">
        <v>2883</v>
      </c>
      <c r="B15915" s="60" t="s">
        <v>2315</v>
      </c>
    </row>
    <row r="15916" ht="12.75" customHeight="1">
      <c r="A15916" s="59" t="s">
        <v>2883</v>
      </c>
      <c r="B15916" s="60" t="s">
        <v>2316</v>
      </c>
    </row>
    <row r="15917" ht="12.75" customHeight="1">
      <c r="A15917" s="59" t="s">
        <v>2883</v>
      </c>
      <c r="B15917" s="60" t="s">
        <v>2317</v>
      </c>
    </row>
    <row r="15918" ht="12.75" customHeight="1">
      <c r="A15918" s="59" t="s">
        <v>2883</v>
      </c>
      <c r="B15918" s="60" t="s">
        <v>2318</v>
      </c>
    </row>
    <row r="15919" ht="12.75" customHeight="1">
      <c r="A15919" s="59" t="s">
        <v>2883</v>
      </c>
      <c r="B15919" s="60" t="s">
        <v>2319</v>
      </c>
    </row>
    <row r="15920" ht="12.75" customHeight="1">
      <c r="A15920" s="59" t="s">
        <v>2883</v>
      </c>
      <c r="B15920" s="60" t="s">
        <v>2320</v>
      </c>
    </row>
    <row r="15921" ht="12.75" customHeight="1">
      <c r="A15921" s="59" t="s">
        <v>2883</v>
      </c>
      <c r="B15921" s="60" t="s">
        <v>2321</v>
      </c>
    </row>
    <row r="15922" ht="12.75" customHeight="1">
      <c r="A15922" s="59" t="s">
        <v>2883</v>
      </c>
      <c r="B15922" s="60" t="s">
        <v>2322</v>
      </c>
    </row>
    <row r="15923" ht="12.75" customHeight="1">
      <c r="A15923" s="59" t="s">
        <v>2883</v>
      </c>
      <c r="B15923" s="60" t="s">
        <v>2323</v>
      </c>
    </row>
    <row r="15924" ht="12.75" customHeight="1">
      <c r="A15924" s="59" t="s">
        <v>2883</v>
      </c>
      <c r="B15924" s="60" t="s">
        <v>900</v>
      </c>
    </row>
    <row r="15925" ht="12.75" customHeight="1">
      <c r="A15925" s="59" t="s">
        <v>2883</v>
      </c>
      <c r="B15925" s="60" t="s">
        <v>2324</v>
      </c>
    </row>
    <row r="15926" ht="12.75" customHeight="1">
      <c r="A15926" s="59" t="s">
        <v>2883</v>
      </c>
      <c r="B15926" s="60" t="s">
        <v>2325</v>
      </c>
    </row>
    <row r="15927" ht="12.75" customHeight="1">
      <c r="A15927" s="59" t="s">
        <v>2883</v>
      </c>
      <c r="B15927" s="60" t="s">
        <v>2326</v>
      </c>
    </row>
    <row r="15928" ht="12.75" customHeight="1">
      <c r="A15928" s="59" t="s">
        <v>2883</v>
      </c>
      <c r="B15928" s="60" t="s">
        <v>2327</v>
      </c>
    </row>
    <row r="15929" ht="12.75" customHeight="1">
      <c r="A15929" s="59" t="s">
        <v>2883</v>
      </c>
      <c r="B15929" s="60" t="s">
        <v>2328</v>
      </c>
    </row>
    <row r="15930" ht="12.75" customHeight="1">
      <c r="A15930" s="59" t="s">
        <v>2883</v>
      </c>
      <c r="B15930" s="60" t="s">
        <v>2329</v>
      </c>
    </row>
    <row r="15931" ht="12.75" customHeight="1">
      <c r="A15931" s="59" t="s">
        <v>2883</v>
      </c>
      <c r="B15931" s="60" t="s">
        <v>2330</v>
      </c>
    </row>
    <row r="15932" ht="12.75" customHeight="1">
      <c r="A15932" s="59" t="s">
        <v>2883</v>
      </c>
      <c r="B15932" s="60" t="s">
        <v>2331</v>
      </c>
    </row>
    <row r="15933" ht="12.75" customHeight="1">
      <c r="A15933" s="59" t="s">
        <v>2883</v>
      </c>
      <c r="B15933" s="60" t="s">
        <v>2332</v>
      </c>
    </row>
    <row r="15934" ht="12.75" customHeight="1">
      <c r="A15934" s="59" t="s">
        <v>2883</v>
      </c>
      <c r="B15934" s="60" t="s">
        <v>2333</v>
      </c>
    </row>
    <row r="15935" ht="12.75" customHeight="1">
      <c r="A15935" s="59" t="s">
        <v>2883</v>
      </c>
      <c r="B15935" s="60" t="s">
        <v>2334</v>
      </c>
    </row>
    <row r="15936" ht="12.75" customHeight="1">
      <c r="A15936" s="59" t="s">
        <v>2884</v>
      </c>
      <c r="B15936" s="60" t="s">
        <v>804</v>
      </c>
    </row>
    <row r="15937" ht="12.75" customHeight="1">
      <c r="A15937" s="59" t="s">
        <v>2884</v>
      </c>
      <c r="B15937" s="60" t="s">
        <v>76</v>
      </c>
    </row>
    <row r="15938" ht="12.75" customHeight="1">
      <c r="A15938" s="59" t="s">
        <v>2884</v>
      </c>
      <c r="B15938" s="60" t="s">
        <v>80</v>
      </c>
    </row>
    <row r="15939" ht="12.75" customHeight="1">
      <c r="A15939" s="59" t="s">
        <v>2884</v>
      </c>
      <c r="B15939" s="60" t="s">
        <v>83</v>
      </c>
    </row>
    <row r="15940" ht="12.75" customHeight="1">
      <c r="A15940" s="59" t="s">
        <v>2884</v>
      </c>
      <c r="B15940" s="60" t="s">
        <v>85</v>
      </c>
    </row>
    <row r="15941" ht="12.75" customHeight="1">
      <c r="A15941" s="59" t="s">
        <v>2884</v>
      </c>
      <c r="B15941" s="60" t="s">
        <v>810</v>
      </c>
    </row>
    <row r="15942" ht="12.75" customHeight="1">
      <c r="A15942" s="59" t="s">
        <v>2884</v>
      </c>
      <c r="B15942" s="60" t="s">
        <v>811</v>
      </c>
    </row>
    <row r="15943" ht="12.75" customHeight="1">
      <c r="A15943" s="59" t="s">
        <v>2884</v>
      </c>
      <c r="B15943" s="60" t="s">
        <v>812</v>
      </c>
    </row>
    <row r="15944" ht="12.75" customHeight="1">
      <c r="A15944" s="59" t="s">
        <v>2884</v>
      </c>
      <c r="B15944" s="60" t="s">
        <v>813</v>
      </c>
    </row>
    <row r="15945" ht="12.75" customHeight="1">
      <c r="A15945" s="59" t="s">
        <v>2884</v>
      </c>
      <c r="B15945" s="60" t="s">
        <v>814</v>
      </c>
    </row>
    <row r="15946" ht="12.75" customHeight="1">
      <c r="A15946" s="59" t="s">
        <v>2884</v>
      </c>
      <c r="B15946" s="60" t="s">
        <v>820</v>
      </c>
    </row>
    <row r="15947" ht="12.75" customHeight="1">
      <c r="A15947" s="59" t="s">
        <v>2884</v>
      </c>
      <c r="B15947" s="60" t="s">
        <v>821</v>
      </c>
    </row>
    <row r="15948" ht="12.75" customHeight="1">
      <c r="A15948" s="59" t="s">
        <v>2884</v>
      </c>
      <c r="B15948" s="60" t="s">
        <v>822</v>
      </c>
    </row>
    <row r="15949" ht="12.75" customHeight="1">
      <c r="A15949" s="59" t="s">
        <v>2884</v>
      </c>
      <c r="B15949" s="60" t="s">
        <v>823</v>
      </c>
    </row>
    <row r="15950" ht="12.75" customHeight="1">
      <c r="A15950" s="59" t="s">
        <v>2884</v>
      </c>
      <c r="B15950" s="60" t="s">
        <v>824</v>
      </c>
    </row>
    <row r="15951" ht="12.75" customHeight="1">
      <c r="A15951" s="59" t="s">
        <v>2884</v>
      </c>
      <c r="B15951" s="60" t="s">
        <v>830</v>
      </c>
    </row>
    <row r="15952" ht="12.75" customHeight="1">
      <c r="A15952" s="59" t="s">
        <v>2884</v>
      </c>
      <c r="B15952" s="60" t="s">
        <v>831</v>
      </c>
    </row>
    <row r="15953" ht="12.75" customHeight="1">
      <c r="A15953" s="59" t="s">
        <v>2884</v>
      </c>
      <c r="B15953" s="60" t="s">
        <v>832</v>
      </c>
    </row>
    <row r="15954" ht="12.75" customHeight="1">
      <c r="A15954" s="59" t="s">
        <v>2884</v>
      </c>
      <c r="B15954" s="60" t="s">
        <v>833</v>
      </c>
    </row>
    <row r="15955" ht="12.75" customHeight="1">
      <c r="A15955" s="59" t="s">
        <v>2884</v>
      </c>
      <c r="B15955" s="60" t="s">
        <v>834</v>
      </c>
    </row>
    <row r="15956" ht="12.75" customHeight="1">
      <c r="A15956" s="59" t="s">
        <v>2884</v>
      </c>
      <c r="B15956" s="60" t="s">
        <v>845</v>
      </c>
    </row>
    <row r="15957" ht="12.75" customHeight="1">
      <c r="A15957" s="59" t="s">
        <v>2884</v>
      </c>
      <c r="B15957" s="60" t="s">
        <v>2291</v>
      </c>
    </row>
    <row r="15958" ht="12.75" customHeight="1">
      <c r="A15958" s="59" t="s">
        <v>2884</v>
      </c>
      <c r="B15958" s="60" t="s">
        <v>2292</v>
      </c>
    </row>
    <row r="15959" ht="12.75" customHeight="1">
      <c r="A15959" s="59" t="s">
        <v>2884</v>
      </c>
      <c r="B15959" s="60" t="s">
        <v>2293</v>
      </c>
    </row>
    <row r="15960" ht="12.75" customHeight="1">
      <c r="A15960" s="59" t="s">
        <v>2884</v>
      </c>
      <c r="B15960" s="60" t="s">
        <v>2294</v>
      </c>
    </row>
    <row r="15961" ht="12.75" customHeight="1">
      <c r="A15961" s="59" t="s">
        <v>2884</v>
      </c>
      <c r="B15961" s="60" t="s">
        <v>2295</v>
      </c>
    </row>
    <row r="15962" ht="12.75" customHeight="1">
      <c r="A15962" s="59" t="s">
        <v>2884</v>
      </c>
      <c r="B15962" s="60" t="s">
        <v>2296</v>
      </c>
    </row>
    <row r="15963" ht="12.75" customHeight="1">
      <c r="A15963" s="59" t="s">
        <v>2884</v>
      </c>
      <c r="B15963" s="60" t="s">
        <v>2297</v>
      </c>
    </row>
    <row r="15964" ht="12.75" customHeight="1">
      <c r="A15964" s="59" t="s">
        <v>2884</v>
      </c>
      <c r="B15964" s="60" t="s">
        <v>2298</v>
      </c>
    </row>
    <row r="15965" ht="12.75" customHeight="1">
      <c r="A15965" s="59" t="s">
        <v>2884</v>
      </c>
      <c r="B15965" s="60" t="s">
        <v>2299</v>
      </c>
    </row>
    <row r="15966" ht="12.75" customHeight="1">
      <c r="A15966" s="59" t="s">
        <v>2884</v>
      </c>
      <c r="B15966" s="60" t="s">
        <v>2300</v>
      </c>
    </row>
    <row r="15967" ht="12.75" customHeight="1">
      <c r="A15967" s="59" t="s">
        <v>2884</v>
      </c>
      <c r="B15967" s="60" t="s">
        <v>2301</v>
      </c>
    </row>
    <row r="15968" ht="12.75" customHeight="1">
      <c r="A15968" s="59" t="s">
        <v>2884</v>
      </c>
      <c r="B15968" s="60" t="s">
        <v>862</v>
      </c>
    </row>
    <row r="15969" ht="12.75" customHeight="1">
      <c r="A15969" s="59" t="s">
        <v>2884</v>
      </c>
      <c r="B15969" s="60" t="s">
        <v>2302</v>
      </c>
    </row>
    <row r="15970" ht="12.75" customHeight="1">
      <c r="A15970" s="59" t="s">
        <v>2884</v>
      </c>
      <c r="B15970" s="60" t="s">
        <v>2303</v>
      </c>
    </row>
    <row r="15971" ht="12.75" customHeight="1">
      <c r="A15971" s="59" t="s">
        <v>2884</v>
      </c>
      <c r="B15971" s="60" t="s">
        <v>2304</v>
      </c>
    </row>
    <row r="15972" ht="12.75" customHeight="1">
      <c r="A15972" s="59" t="s">
        <v>2884</v>
      </c>
      <c r="B15972" s="60" t="s">
        <v>2305</v>
      </c>
    </row>
    <row r="15973" ht="12.75" customHeight="1">
      <c r="A15973" s="59" t="s">
        <v>2884</v>
      </c>
      <c r="B15973" s="60" t="s">
        <v>2306</v>
      </c>
    </row>
    <row r="15974" ht="12.75" customHeight="1">
      <c r="A15974" s="59" t="s">
        <v>2884</v>
      </c>
      <c r="B15974" s="60" t="s">
        <v>2307</v>
      </c>
    </row>
    <row r="15975" ht="12.75" customHeight="1">
      <c r="A15975" s="59" t="s">
        <v>2884</v>
      </c>
      <c r="B15975" s="60" t="s">
        <v>2308</v>
      </c>
    </row>
    <row r="15976" ht="12.75" customHeight="1">
      <c r="A15976" s="59" t="s">
        <v>2884</v>
      </c>
      <c r="B15976" s="60" t="s">
        <v>2309</v>
      </c>
    </row>
    <row r="15977" ht="12.75" customHeight="1">
      <c r="A15977" s="59" t="s">
        <v>2884</v>
      </c>
      <c r="B15977" s="60" t="s">
        <v>2310</v>
      </c>
    </row>
    <row r="15978" ht="12.75" customHeight="1">
      <c r="A15978" s="59" t="s">
        <v>2884</v>
      </c>
      <c r="B15978" s="60" t="s">
        <v>2311</v>
      </c>
    </row>
    <row r="15979" ht="12.75" customHeight="1">
      <c r="A15979" s="59" t="s">
        <v>2884</v>
      </c>
      <c r="B15979" s="60" t="s">
        <v>2312</v>
      </c>
    </row>
    <row r="15980" ht="12.75" customHeight="1">
      <c r="A15980" s="59" t="s">
        <v>2884</v>
      </c>
      <c r="B15980" s="60" t="s">
        <v>881</v>
      </c>
    </row>
    <row r="15981" ht="12.75" customHeight="1">
      <c r="A15981" s="59" t="s">
        <v>2884</v>
      </c>
      <c r="B15981" s="60" t="s">
        <v>2313</v>
      </c>
    </row>
    <row r="15982" ht="12.75" customHeight="1">
      <c r="A15982" s="59" t="s">
        <v>2884</v>
      </c>
      <c r="B15982" s="60" t="s">
        <v>2314</v>
      </c>
    </row>
    <row r="15983" ht="12.75" customHeight="1">
      <c r="A15983" s="59" t="s">
        <v>2884</v>
      </c>
      <c r="B15983" s="60" t="s">
        <v>2315</v>
      </c>
    </row>
    <row r="15984" ht="12.75" customHeight="1">
      <c r="A15984" s="59" t="s">
        <v>2884</v>
      </c>
      <c r="B15984" s="60" t="s">
        <v>2316</v>
      </c>
    </row>
    <row r="15985" ht="12.75" customHeight="1">
      <c r="A15985" s="59" t="s">
        <v>2884</v>
      </c>
      <c r="B15985" s="60" t="s">
        <v>2317</v>
      </c>
    </row>
    <row r="15986" ht="12.75" customHeight="1">
      <c r="A15986" s="59" t="s">
        <v>2884</v>
      </c>
      <c r="B15986" s="60" t="s">
        <v>2318</v>
      </c>
    </row>
    <row r="15987" ht="12.75" customHeight="1">
      <c r="A15987" s="59" t="s">
        <v>2884</v>
      </c>
      <c r="B15987" s="60" t="s">
        <v>2319</v>
      </c>
    </row>
    <row r="15988" ht="12.75" customHeight="1">
      <c r="A15988" s="59" t="s">
        <v>2884</v>
      </c>
      <c r="B15988" s="60" t="s">
        <v>2320</v>
      </c>
    </row>
    <row r="15989" ht="12.75" customHeight="1">
      <c r="A15989" s="59" t="s">
        <v>2884</v>
      </c>
      <c r="B15989" s="60" t="s">
        <v>2321</v>
      </c>
    </row>
    <row r="15990" ht="12.75" customHeight="1">
      <c r="A15990" s="59" t="s">
        <v>2884</v>
      </c>
      <c r="B15990" s="60" t="s">
        <v>2322</v>
      </c>
    </row>
    <row r="15991" ht="12.75" customHeight="1">
      <c r="A15991" s="59" t="s">
        <v>2884</v>
      </c>
      <c r="B15991" s="60" t="s">
        <v>2323</v>
      </c>
    </row>
    <row r="15992" ht="12.75" customHeight="1">
      <c r="A15992" s="59" t="s">
        <v>2884</v>
      </c>
      <c r="B15992" s="60" t="s">
        <v>900</v>
      </c>
    </row>
    <row r="15993" ht="12.75" customHeight="1">
      <c r="A15993" s="59" t="s">
        <v>2884</v>
      </c>
      <c r="B15993" s="60" t="s">
        <v>2324</v>
      </c>
    </row>
    <row r="15994" ht="12.75" customHeight="1">
      <c r="A15994" s="59" t="s">
        <v>2884</v>
      </c>
      <c r="B15994" s="60" t="s">
        <v>2325</v>
      </c>
    </row>
    <row r="15995" ht="12.75" customHeight="1">
      <c r="A15995" s="59" t="s">
        <v>2884</v>
      </c>
      <c r="B15995" s="60" t="s">
        <v>2326</v>
      </c>
    </row>
    <row r="15996" ht="12.75" customHeight="1">
      <c r="A15996" s="59" t="s">
        <v>2884</v>
      </c>
      <c r="B15996" s="60" t="s">
        <v>2327</v>
      </c>
    </row>
    <row r="15997" ht="12.75" customHeight="1">
      <c r="A15997" s="59" t="s">
        <v>2884</v>
      </c>
      <c r="B15997" s="60" t="s">
        <v>2328</v>
      </c>
    </row>
    <row r="15998" ht="12.75" customHeight="1">
      <c r="A15998" s="59" t="s">
        <v>2884</v>
      </c>
      <c r="B15998" s="60" t="s">
        <v>2329</v>
      </c>
    </row>
    <row r="15999" ht="12.75" customHeight="1">
      <c r="A15999" s="59" t="s">
        <v>2884</v>
      </c>
      <c r="B15999" s="60" t="s">
        <v>2330</v>
      </c>
    </row>
    <row r="16000" ht="12.75" customHeight="1">
      <c r="A16000" s="59" t="s">
        <v>2884</v>
      </c>
      <c r="B16000" s="60" t="s">
        <v>2331</v>
      </c>
    </row>
    <row r="16001" ht="12.75" customHeight="1">
      <c r="A16001" s="59" t="s">
        <v>2884</v>
      </c>
      <c r="B16001" s="60" t="s">
        <v>2332</v>
      </c>
    </row>
    <row r="16002" ht="12.75" customHeight="1">
      <c r="A16002" s="59" t="s">
        <v>2884</v>
      </c>
      <c r="B16002" s="60" t="s">
        <v>2333</v>
      </c>
    </row>
    <row r="16003" ht="12.75" customHeight="1">
      <c r="A16003" s="59" t="s">
        <v>2884</v>
      </c>
      <c r="B16003" s="60" t="s">
        <v>2334</v>
      </c>
    </row>
    <row r="16004" ht="12.75" customHeight="1">
      <c r="A16004" s="59" t="s">
        <v>2892</v>
      </c>
      <c r="B16004" s="60" t="s">
        <v>804</v>
      </c>
    </row>
    <row r="16005" ht="12.75" customHeight="1">
      <c r="A16005" s="59" t="s">
        <v>2892</v>
      </c>
      <c r="B16005" s="60" t="s">
        <v>76</v>
      </c>
    </row>
    <row r="16006" ht="12.75" customHeight="1">
      <c r="A16006" s="59" t="s">
        <v>2892</v>
      </c>
      <c r="B16006" s="60" t="s">
        <v>80</v>
      </c>
    </row>
    <row r="16007" ht="12.75" customHeight="1">
      <c r="A16007" s="59" t="s">
        <v>2892</v>
      </c>
      <c r="B16007" s="60" t="s">
        <v>83</v>
      </c>
    </row>
    <row r="16008" ht="12.75" customHeight="1">
      <c r="A16008" s="59" t="s">
        <v>2892</v>
      </c>
      <c r="B16008" s="60" t="s">
        <v>85</v>
      </c>
    </row>
    <row r="16009" ht="12.75" customHeight="1">
      <c r="A16009" s="59" t="s">
        <v>2892</v>
      </c>
      <c r="B16009" s="60" t="s">
        <v>810</v>
      </c>
    </row>
    <row r="16010" ht="12.75" customHeight="1">
      <c r="A16010" s="59" t="s">
        <v>2892</v>
      </c>
      <c r="B16010" s="60" t="s">
        <v>811</v>
      </c>
    </row>
    <row r="16011" ht="12.75" customHeight="1">
      <c r="A16011" s="59" t="s">
        <v>2892</v>
      </c>
      <c r="B16011" s="60" t="s">
        <v>812</v>
      </c>
    </row>
    <row r="16012" ht="12.75" customHeight="1">
      <c r="A16012" s="59" t="s">
        <v>2892</v>
      </c>
      <c r="B16012" s="60" t="s">
        <v>813</v>
      </c>
    </row>
    <row r="16013" ht="12.75" customHeight="1">
      <c r="A16013" s="59" t="s">
        <v>2892</v>
      </c>
      <c r="B16013" s="60" t="s">
        <v>814</v>
      </c>
    </row>
    <row r="16014" ht="12.75" customHeight="1">
      <c r="A16014" s="59" t="s">
        <v>2892</v>
      </c>
      <c r="B16014" s="60" t="s">
        <v>820</v>
      </c>
    </row>
    <row r="16015" ht="12.75" customHeight="1">
      <c r="A16015" s="59" t="s">
        <v>2892</v>
      </c>
      <c r="B16015" s="60" t="s">
        <v>821</v>
      </c>
    </row>
    <row r="16016" ht="12.75" customHeight="1">
      <c r="A16016" s="59" t="s">
        <v>2892</v>
      </c>
      <c r="B16016" s="60" t="s">
        <v>822</v>
      </c>
    </row>
    <row r="16017" ht="12.75" customHeight="1">
      <c r="A16017" s="59" t="s">
        <v>2892</v>
      </c>
      <c r="B16017" s="60" t="s">
        <v>823</v>
      </c>
    </row>
    <row r="16018" ht="12.75" customHeight="1">
      <c r="A16018" s="59" t="s">
        <v>2892</v>
      </c>
      <c r="B16018" s="60" t="s">
        <v>824</v>
      </c>
    </row>
    <row r="16019" ht="12.75" customHeight="1">
      <c r="A16019" s="59" t="s">
        <v>2892</v>
      </c>
      <c r="B16019" s="60" t="s">
        <v>830</v>
      </c>
    </row>
    <row r="16020" ht="12.75" customHeight="1">
      <c r="A16020" s="59" t="s">
        <v>2892</v>
      </c>
      <c r="B16020" s="60" t="s">
        <v>831</v>
      </c>
    </row>
    <row r="16021" ht="12.75" customHeight="1">
      <c r="A16021" s="59" t="s">
        <v>2892</v>
      </c>
      <c r="B16021" s="60" t="s">
        <v>832</v>
      </c>
    </row>
    <row r="16022" ht="12.75" customHeight="1">
      <c r="A16022" s="59" t="s">
        <v>2892</v>
      </c>
      <c r="B16022" s="60" t="s">
        <v>833</v>
      </c>
    </row>
    <row r="16023" ht="12.75" customHeight="1">
      <c r="A16023" s="59" t="s">
        <v>2892</v>
      </c>
      <c r="B16023" s="60" t="s">
        <v>834</v>
      </c>
    </row>
    <row r="16024" ht="12.75" customHeight="1">
      <c r="A16024" s="59" t="s">
        <v>2892</v>
      </c>
      <c r="B16024" s="60" t="s">
        <v>845</v>
      </c>
    </row>
    <row r="16025" ht="12.75" customHeight="1">
      <c r="A16025" s="59" t="s">
        <v>2892</v>
      </c>
      <c r="B16025" s="60" t="s">
        <v>2291</v>
      </c>
    </row>
    <row r="16026" ht="12.75" customHeight="1">
      <c r="A16026" s="59" t="s">
        <v>2892</v>
      </c>
      <c r="B16026" s="60" t="s">
        <v>2292</v>
      </c>
    </row>
    <row r="16027" ht="12.75" customHeight="1">
      <c r="A16027" s="59" t="s">
        <v>2892</v>
      </c>
      <c r="B16027" s="60" t="s">
        <v>2293</v>
      </c>
    </row>
    <row r="16028" ht="12.75" customHeight="1">
      <c r="A16028" s="59" t="s">
        <v>2892</v>
      </c>
      <c r="B16028" s="60" t="s">
        <v>2294</v>
      </c>
    </row>
    <row r="16029" ht="12.75" customHeight="1">
      <c r="A16029" s="59" t="s">
        <v>2892</v>
      </c>
      <c r="B16029" s="60" t="s">
        <v>2295</v>
      </c>
    </row>
    <row r="16030" ht="12.75" customHeight="1">
      <c r="A16030" s="59" t="s">
        <v>2892</v>
      </c>
      <c r="B16030" s="60" t="s">
        <v>2296</v>
      </c>
    </row>
    <row r="16031" ht="12.75" customHeight="1">
      <c r="A16031" s="59" t="s">
        <v>2892</v>
      </c>
      <c r="B16031" s="60" t="s">
        <v>2297</v>
      </c>
    </row>
    <row r="16032" ht="12.75" customHeight="1">
      <c r="A16032" s="59" t="s">
        <v>2892</v>
      </c>
      <c r="B16032" s="60" t="s">
        <v>2298</v>
      </c>
    </row>
    <row r="16033" ht="12.75" customHeight="1">
      <c r="A16033" s="59" t="s">
        <v>2892</v>
      </c>
      <c r="B16033" s="60" t="s">
        <v>2299</v>
      </c>
    </row>
    <row r="16034" ht="12.75" customHeight="1">
      <c r="A16034" s="59" t="s">
        <v>2892</v>
      </c>
      <c r="B16034" s="60" t="s">
        <v>2300</v>
      </c>
    </row>
    <row r="16035" ht="12.75" customHeight="1">
      <c r="A16035" s="59" t="s">
        <v>2892</v>
      </c>
      <c r="B16035" s="60" t="s">
        <v>2301</v>
      </c>
    </row>
    <row r="16036" ht="12.75" customHeight="1">
      <c r="A16036" s="59" t="s">
        <v>2892</v>
      </c>
      <c r="B16036" s="60" t="s">
        <v>862</v>
      </c>
    </row>
    <row r="16037" ht="12.75" customHeight="1">
      <c r="A16037" s="59" t="s">
        <v>2892</v>
      </c>
      <c r="B16037" s="60" t="s">
        <v>2302</v>
      </c>
    </row>
    <row r="16038" ht="12.75" customHeight="1">
      <c r="A16038" s="59" t="s">
        <v>2892</v>
      </c>
      <c r="B16038" s="60" t="s">
        <v>2303</v>
      </c>
    </row>
    <row r="16039" ht="12.75" customHeight="1">
      <c r="A16039" s="59" t="s">
        <v>2892</v>
      </c>
      <c r="B16039" s="60" t="s">
        <v>2304</v>
      </c>
    </row>
    <row r="16040" ht="12.75" customHeight="1">
      <c r="A16040" s="59" t="s">
        <v>2892</v>
      </c>
      <c r="B16040" s="60" t="s">
        <v>2305</v>
      </c>
    </row>
    <row r="16041" ht="12.75" customHeight="1">
      <c r="A16041" s="59" t="s">
        <v>2892</v>
      </c>
      <c r="B16041" s="60" t="s">
        <v>2306</v>
      </c>
    </row>
    <row r="16042" ht="12.75" customHeight="1">
      <c r="A16042" s="59" t="s">
        <v>2892</v>
      </c>
      <c r="B16042" s="60" t="s">
        <v>2307</v>
      </c>
    </row>
    <row r="16043" ht="12.75" customHeight="1">
      <c r="A16043" s="59" t="s">
        <v>2892</v>
      </c>
      <c r="B16043" s="60" t="s">
        <v>2308</v>
      </c>
    </row>
    <row r="16044" ht="12.75" customHeight="1">
      <c r="A16044" s="59" t="s">
        <v>2892</v>
      </c>
      <c r="B16044" s="60" t="s">
        <v>2309</v>
      </c>
    </row>
    <row r="16045" ht="12.75" customHeight="1">
      <c r="A16045" s="59" t="s">
        <v>2892</v>
      </c>
      <c r="B16045" s="60" t="s">
        <v>2310</v>
      </c>
    </row>
    <row r="16046" ht="12.75" customHeight="1">
      <c r="A16046" s="59" t="s">
        <v>2892</v>
      </c>
      <c r="B16046" s="60" t="s">
        <v>2311</v>
      </c>
    </row>
    <row r="16047" ht="12.75" customHeight="1">
      <c r="A16047" s="59" t="s">
        <v>2892</v>
      </c>
      <c r="B16047" s="60" t="s">
        <v>2312</v>
      </c>
    </row>
    <row r="16048" ht="12.75" customHeight="1">
      <c r="A16048" s="59" t="s">
        <v>2892</v>
      </c>
      <c r="B16048" s="60" t="s">
        <v>881</v>
      </c>
    </row>
    <row r="16049" ht="12.75" customHeight="1">
      <c r="A16049" s="59" t="s">
        <v>2892</v>
      </c>
      <c r="B16049" s="60" t="s">
        <v>2313</v>
      </c>
    </row>
    <row r="16050" ht="12.75" customHeight="1">
      <c r="A16050" s="59" t="s">
        <v>2892</v>
      </c>
      <c r="B16050" s="60" t="s">
        <v>2314</v>
      </c>
    </row>
    <row r="16051" ht="12.75" customHeight="1">
      <c r="A16051" s="59" t="s">
        <v>2892</v>
      </c>
      <c r="B16051" s="60" t="s">
        <v>2315</v>
      </c>
    </row>
    <row r="16052" ht="12.75" customHeight="1">
      <c r="A16052" s="59" t="s">
        <v>2892</v>
      </c>
      <c r="B16052" s="60" t="s">
        <v>2316</v>
      </c>
    </row>
    <row r="16053" ht="12.75" customHeight="1">
      <c r="A16053" s="59" t="s">
        <v>2892</v>
      </c>
      <c r="B16053" s="60" t="s">
        <v>2317</v>
      </c>
    </row>
    <row r="16054" ht="12.75" customHeight="1">
      <c r="A16054" s="59" t="s">
        <v>2892</v>
      </c>
      <c r="B16054" s="60" t="s">
        <v>2318</v>
      </c>
    </row>
    <row r="16055" ht="12.75" customHeight="1">
      <c r="A16055" s="59" t="s">
        <v>2892</v>
      </c>
      <c r="B16055" s="60" t="s">
        <v>2319</v>
      </c>
    </row>
    <row r="16056" ht="12.75" customHeight="1">
      <c r="A16056" s="59" t="s">
        <v>2892</v>
      </c>
      <c r="B16056" s="60" t="s">
        <v>2320</v>
      </c>
    </row>
    <row r="16057" ht="12.75" customHeight="1">
      <c r="A16057" s="59" t="s">
        <v>2892</v>
      </c>
      <c r="B16057" s="60" t="s">
        <v>2321</v>
      </c>
    </row>
    <row r="16058" ht="12.75" customHeight="1">
      <c r="A16058" s="59" t="s">
        <v>2892</v>
      </c>
      <c r="B16058" s="60" t="s">
        <v>2322</v>
      </c>
    </row>
    <row r="16059" ht="12.75" customHeight="1">
      <c r="A16059" s="59" t="s">
        <v>2892</v>
      </c>
      <c r="B16059" s="60" t="s">
        <v>2323</v>
      </c>
    </row>
    <row r="16060" ht="12.75" customHeight="1">
      <c r="A16060" s="59" t="s">
        <v>2892</v>
      </c>
      <c r="B16060" s="60" t="s">
        <v>900</v>
      </c>
    </row>
    <row r="16061" ht="12.75" customHeight="1">
      <c r="A16061" s="59" t="s">
        <v>2892</v>
      </c>
      <c r="B16061" s="60" t="s">
        <v>2324</v>
      </c>
    </row>
    <row r="16062" ht="12.75" customHeight="1">
      <c r="A16062" s="59" t="s">
        <v>2892</v>
      </c>
      <c r="B16062" s="60" t="s">
        <v>2325</v>
      </c>
    </row>
    <row r="16063" ht="12.75" customHeight="1">
      <c r="A16063" s="59" t="s">
        <v>2892</v>
      </c>
      <c r="B16063" s="60" t="s">
        <v>2326</v>
      </c>
    </row>
    <row r="16064" ht="12.75" customHeight="1">
      <c r="A16064" s="59" t="s">
        <v>2892</v>
      </c>
      <c r="B16064" s="60" t="s">
        <v>2327</v>
      </c>
    </row>
    <row r="16065" ht="12.75" customHeight="1">
      <c r="A16065" s="59" t="s">
        <v>2892</v>
      </c>
      <c r="B16065" s="60" t="s">
        <v>2328</v>
      </c>
    </row>
    <row r="16066" ht="12.75" customHeight="1">
      <c r="A16066" s="59" t="s">
        <v>2892</v>
      </c>
      <c r="B16066" s="60" t="s">
        <v>2329</v>
      </c>
    </row>
    <row r="16067" ht="12.75" customHeight="1">
      <c r="A16067" s="59" t="s">
        <v>2892</v>
      </c>
      <c r="B16067" s="60" t="s">
        <v>2330</v>
      </c>
    </row>
    <row r="16068" ht="12.75" customHeight="1">
      <c r="A16068" s="59" t="s">
        <v>2892</v>
      </c>
      <c r="B16068" s="60" t="s">
        <v>2331</v>
      </c>
    </row>
    <row r="16069" ht="12.75" customHeight="1">
      <c r="A16069" s="59" t="s">
        <v>2892</v>
      </c>
      <c r="B16069" s="60" t="s">
        <v>2332</v>
      </c>
    </row>
    <row r="16070" ht="12.75" customHeight="1">
      <c r="A16070" s="59" t="s">
        <v>2892</v>
      </c>
      <c r="B16070" s="60" t="s">
        <v>2333</v>
      </c>
    </row>
    <row r="16071" ht="12.75" customHeight="1">
      <c r="A16071" s="59" t="s">
        <v>2892</v>
      </c>
      <c r="B16071" s="60" t="s">
        <v>2334</v>
      </c>
    </row>
    <row r="16072" ht="12.75" customHeight="1">
      <c r="A16072" s="59" t="s">
        <v>2893</v>
      </c>
      <c r="B16072" s="60" t="s">
        <v>745</v>
      </c>
    </row>
    <row r="16073" ht="12.75" customHeight="1">
      <c r="A16073" s="59" t="s">
        <v>2893</v>
      </c>
      <c r="B16073" s="60" t="s">
        <v>746</v>
      </c>
    </row>
    <row r="16074" ht="12.75" customHeight="1">
      <c r="A16074" s="59" t="s">
        <v>2893</v>
      </c>
      <c r="B16074" s="60" t="s">
        <v>747</v>
      </c>
    </row>
    <row r="16075" ht="12.75" customHeight="1">
      <c r="A16075" s="59" t="s">
        <v>2893</v>
      </c>
      <c r="B16075" s="60" t="s">
        <v>748</v>
      </c>
    </row>
    <row r="16076" ht="12.75" customHeight="1">
      <c r="A16076" s="59" t="s">
        <v>618</v>
      </c>
      <c r="B16076" s="60" t="s">
        <v>745</v>
      </c>
    </row>
    <row r="16077" ht="12.75" customHeight="1">
      <c r="A16077" s="59" t="s">
        <v>618</v>
      </c>
      <c r="B16077" s="60" t="s">
        <v>746</v>
      </c>
    </row>
    <row r="16078" ht="12.75" customHeight="1">
      <c r="A16078" s="59" t="s">
        <v>618</v>
      </c>
      <c r="B16078" s="60" t="s">
        <v>747</v>
      </c>
    </row>
    <row r="16079" ht="12.75" customHeight="1">
      <c r="A16079" s="59" t="s">
        <v>618</v>
      </c>
      <c r="B16079" s="60" t="s">
        <v>748</v>
      </c>
    </row>
    <row r="16080" ht="12.75" customHeight="1">
      <c r="A16080" s="59" t="s">
        <v>631</v>
      </c>
      <c r="B16080" s="60" t="s">
        <v>745</v>
      </c>
    </row>
    <row r="16081" ht="12.75" customHeight="1">
      <c r="A16081" s="59" t="s">
        <v>631</v>
      </c>
      <c r="B16081" s="60" t="s">
        <v>746</v>
      </c>
    </row>
    <row r="16082" ht="12.75" customHeight="1">
      <c r="A16082" s="59" t="s">
        <v>631</v>
      </c>
      <c r="B16082" s="60" t="s">
        <v>747</v>
      </c>
    </row>
    <row r="16083" ht="12.75" customHeight="1">
      <c r="A16083" s="59" t="s">
        <v>631</v>
      </c>
      <c r="B16083" s="60" t="s">
        <v>748</v>
      </c>
    </row>
    <row r="16084" ht="12.75" customHeight="1">
      <c r="A16084" s="59" t="s">
        <v>649</v>
      </c>
      <c r="B16084" s="60" t="s">
        <v>745</v>
      </c>
    </row>
    <row r="16085" ht="12.75" customHeight="1">
      <c r="A16085" s="59" t="s">
        <v>649</v>
      </c>
      <c r="B16085" s="60" t="s">
        <v>746</v>
      </c>
    </row>
    <row r="16086" ht="12.75" customHeight="1">
      <c r="A16086" s="59" t="s">
        <v>649</v>
      </c>
      <c r="B16086" s="60" t="s">
        <v>747</v>
      </c>
    </row>
    <row r="16087" ht="12.75" customHeight="1">
      <c r="A16087" s="59" t="s">
        <v>649</v>
      </c>
      <c r="B16087" s="60" t="s">
        <v>748</v>
      </c>
    </row>
    <row r="16088" ht="12.75" customHeight="1">
      <c r="A16088" s="59" t="s">
        <v>692</v>
      </c>
      <c r="B16088" s="60" t="s">
        <v>745</v>
      </c>
    </row>
    <row r="16089" ht="12.75" customHeight="1">
      <c r="A16089" s="59" t="s">
        <v>692</v>
      </c>
      <c r="B16089" s="60" t="s">
        <v>746</v>
      </c>
    </row>
    <row r="16090" ht="12.75" customHeight="1">
      <c r="A16090" s="59" t="s">
        <v>692</v>
      </c>
      <c r="B16090" s="60" t="s">
        <v>747</v>
      </c>
    </row>
    <row r="16091" ht="12.75" customHeight="1">
      <c r="A16091" s="59" t="s">
        <v>692</v>
      </c>
      <c r="B16091" s="60" t="s">
        <v>748</v>
      </c>
    </row>
    <row r="16092" ht="12.75" customHeight="1">
      <c r="A16092" s="59" t="s">
        <v>660</v>
      </c>
      <c r="B16092" s="60" t="s">
        <v>745</v>
      </c>
    </row>
    <row r="16093" ht="12.75" customHeight="1">
      <c r="A16093" s="59" t="s">
        <v>660</v>
      </c>
      <c r="B16093" s="60" t="s">
        <v>746</v>
      </c>
    </row>
    <row r="16094" ht="12.75" customHeight="1">
      <c r="A16094" s="59" t="s">
        <v>660</v>
      </c>
      <c r="B16094" s="60" t="s">
        <v>747</v>
      </c>
    </row>
    <row r="16095" ht="12.75" customHeight="1">
      <c r="A16095" s="59" t="s">
        <v>660</v>
      </c>
      <c r="B16095" s="60" t="s">
        <v>748</v>
      </c>
    </row>
    <row r="16096" ht="12.75" customHeight="1">
      <c r="A16096" s="59" t="s">
        <v>708</v>
      </c>
      <c r="B16096" s="60" t="s">
        <v>745</v>
      </c>
    </row>
    <row r="16097" ht="12.75" customHeight="1">
      <c r="A16097" s="59" t="s">
        <v>708</v>
      </c>
      <c r="B16097" s="60" t="s">
        <v>746</v>
      </c>
    </row>
    <row r="16098" ht="12.75" customHeight="1">
      <c r="A16098" s="59" t="s">
        <v>708</v>
      </c>
      <c r="B16098" s="60" t="s">
        <v>747</v>
      </c>
    </row>
    <row r="16099" ht="12.75" customHeight="1">
      <c r="A16099" s="59" t="s">
        <v>708</v>
      </c>
      <c r="B16099" s="60" t="s">
        <v>748</v>
      </c>
    </row>
    <row r="16100" ht="12.75" customHeight="1">
      <c r="A16100" s="59" t="s">
        <v>676</v>
      </c>
      <c r="B16100" s="60" t="s">
        <v>745</v>
      </c>
    </row>
    <row r="16101" ht="12.75" customHeight="1">
      <c r="A16101" s="59" t="s">
        <v>676</v>
      </c>
      <c r="B16101" s="60" t="s">
        <v>746</v>
      </c>
    </row>
    <row r="16102" ht="12.75" customHeight="1">
      <c r="A16102" s="59" t="s">
        <v>676</v>
      </c>
      <c r="B16102" s="60" t="s">
        <v>747</v>
      </c>
    </row>
    <row r="16103" ht="12.75" customHeight="1">
      <c r="A16103" s="59" t="s">
        <v>676</v>
      </c>
      <c r="B16103" s="60" t="s">
        <v>748</v>
      </c>
    </row>
    <row r="16104" ht="12.75" customHeight="1">
      <c r="A16104" s="59" t="s">
        <v>728</v>
      </c>
      <c r="B16104" s="60" t="s">
        <v>745</v>
      </c>
    </row>
    <row r="16105" ht="12.75" customHeight="1">
      <c r="A16105" s="59" t="s">
        <v>728</v>
      </c>
      <c r="B16105" s="60" t="s">
        <v>746</v>
      </c>
    </row>
    <row r="16106" ht="12.75" customHeight="1">
      <c r="A16106" s="59" t="s">
        <v>728</v>
      </c>
      <c r="B16106" s="60" t="s">
        <v>747</v>
      </c>
    </row>
    <row r="16107" ht="12.75" customHeight="1">
      <c r="A16107" s="59" t="s">
        <v>728</v>
      </c>
      <c r="B16107" s="60" t="s">
        <v>748</v>
      </c>
    </row>
    <row r="16108" ht="12.75" customHeight="1">
      <c r="A16108" s="59" t="s">
        <v>732</v>
      </c>
      <c r="B16108" s="60" t="s">
        <v>745</v>
      </c>
    </row>
    <row r="16109" ht="12.75" customHeight="1">
      <c r="A16109" s="59" t="s">
        <v>732</v>
      </c>
      <c r="B16109" s="60" t="s">
        <v>746</v>
      </c>
    </row>
    <row r="16110" ht="12.75" customHeight="1">
      <c r="A16110" s="59" t="s">
        <v>732</v>
      </c>
      <c r="B16110" s="60" t="s">
        <v>747</v>
      </c>
    </row>
    <row r="16111" ht="12.75" customHeight="1">
      <c r="A16111" s="59" t="s">
        <v>732</v>
      </c>
      <c r="B16111" s="60" t="s">
        <v>748</v>
      </c>
    </row>
    <row r="16112" ht="12.75" customHeight="1">
      <c r="A16112" s="59" t="s">
        <v>682</v>
      </c>
      <c r="B16112" s="60" t="s">
        <v>745</v>
      </c>
    </row>
    <row r="16113" ht="12.75" customHeight="1">
      <c r="A16113" s="59" t="s">
        <v>682</v>
      </c>
      <c r="B16113" s="60" t="s">
        <v>746</v>
      </c>
    </row>
    <row r="16114" ht="12.75" customHeight="1">
      <c r="A16114" s="59" t="s">
        <v>682</v>
      </c>
      <c r="B16114" s="60" t="s">
        <v>747</v>
      </c>
    </row>
    <row r="16115" ht="12.75" customHeight="1">
      <c r="A16115" s="59" t="s">
        <v>682</v>
      </c>
      <c r="B16115" s="60" t="s">
        <v>748</v>
      </c>
    </row>
    <row r="16116" ht="12.75" customHeight="1">
      <c r="A16116" s="59" t="s">
        <v>701</v>
      </c>
      <c r="B16116" s="60" t="s">
        <v>745</v>
      </c>
    </row>
    <row r="16117" ht="12.75" customHeight="1">
      <c r="A16117" s="59" t="s">
        <v>701</v>
      </c>
      <c r="B16117" s="60" t="s">
        <v>746</v>
      </c>
    </row>
    <row r="16118" ht="12.75" customHeight="1">
      <c r="A16118" s="59" t="s">
        <v>701</v>
      </c>
      <c r="B16118" s="60" t="s">
        <v>747</v>
      </c>
    </row>
    <row r="16119" ht="12.75" customHeight="1">
      <c r="A16119" s="59" t="s">
        <v>701</v>
      </c>
      <c r="B16119" s="60" t="s">
        <v>748</v>
      </c>
    </row>
    <row r="16120" ht="12.75" customHeight="1">
      <c r="A16120" s="59" t="s">
        <v>715</v>
      </c>
      <c r="B16120" s="60" t="s">
        <v>745</v>
      </c>
    </row>
    <row r="16121" ht="12.75" customHeight="1">
      <c r="A16121" s="59" t="s">
        <v>715</v>
      </c>
      <c r="B16121" s="60" t="s">
        <v>746</v>
      </c>
    </row>
    <row r="16122" ht="12.75" customHeight="1">
      <c r="A16122" s="59" t="s">
        <v>715</v>
      </c>
      <c r="B16122" s="60" t="s">
        <v>747</v>
      </c>
    </row>
    <row r="16123" ht="12.75" customHeight="1">
      <c r="A16123" s="59" t="s">
        <v>715</v>
      </c>
      <c r="B16123" s="60" t="s">
        <v>748</v>
      </c>
    </row>
    <row r="16124" ht="12.75" customHeight="1">
      <c r="A16124" s="59" t="s">
        <v>749</v>
      </c>
      <c r="B16124" s="60" t="s">
        <v>745</v>
      </c>
    </row>
    <row r="16125" ht="12.75" customHeight="1">
      <c r="A16125" s="59" t="s">
        <v>749</v>
      </c>
      <c r="B16125" s="60" t="s">
        <v>746</v>
      </c>
    </row>
    <row r="16126" ht="12.75" customHeight="1">
      <c r="A16126" s="59" t="s">
        <v>749</v>
      </c>
      <c r="B16126" s="60" t="s">
        <v>747</v>
      </c>
    </row>
    <row r="16127" ht="12.75" customHeight="1">
      <c r="A16127" s="59" t="s">
        <v>749</v>
      </c>
      <c r="B16127" s="60" t="s">
        <v>748</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5.63"/>
    <col customWidth="1" min="3" max="22" width="14.5"/>
    <col customWidth="1" min="23" max="24" width="19.5"/>
    <col customWidth="1" min="25" max="50" width="14.5"/>
  </cols>
  <sheetData>
    <row r="1" ht="25.5" customHeight="1">
      <c r="A1" s="61" t="s">
        <v>60</v>
      </c>
      <c r="B1" s="62" t="s">
        <v>2894</v>
      </c>
      <c r="C1" s="63" t="s">
        <v>61</v>
      </c>
      <c r="D1" s="63" t="s">
        <v>2895</v>
      </c>
      <c r="E1" s="63" t="s">
        <v>160</v>
      </c>
      <c r="F1" s="63" t="s">
        <v>161</v>
      </c>
      <c r="G1" s="64" t="s">
        <v>2896</v>
      </c>
      <c r="H1" s="63" t="s">
        <v>2897</v>
      </c>
      <c r="I1" s="63" t="s">
        <v>63</v>
      </c>
      <c r="J1" s="63" t="s">
        <v>2898</v>
      </c>
      <c r="K1" s="64" t="s">
        <v>119</v>
      </c>
      <c r="L1" s="64" t="s">
        <v>2899</v>
      </c>
      <c r="M1" s="64" t="s">
        <v>2900</v>
      </c>
      <c r="N1" s="64" t="s">
        <v>64</v>
      </c>
      <c r="O1" s="64" t="s">
        <v>65</v>
      </c>
      <c r="P1" s="64" t="s">
        <v>66</v>
      </c>
      <c r="Q1" s="64" t="s">
        <v>2901</v>
      </c>
      <c r="R1" s="64" t="s">
        <v>2902</v>
      </c>
      <c r="S1" s="64" t="s">
        <v>2903</v>
      </c>
      <c r="T1" s="63" t="s">
        <v>2904</v>
      </c>
      <c r="U1" s="63" t="s">
        <v>2905</v>
      </c>
      <c r="V1" s="64" t="s">
        <v>135</v>
      </c>
      <c r="W1" s="65" t="s">
        <v>2906</v>
      </c>
      <c r="X1" s="66" t="s">
        <v>2907</v>
      </c>
      <c r="Y1" s="63" t="s">
        <v>2908</v>
      </c>
      <c r="Z1" s="64" t="s">
        <v>2909</v>
      </c>
      <c r="AA1" s="64" t="s">
        <v>2910</v>
      </c>
      <c r="AB1" s="64" t="s">
        <v>2911</v>
      </c>
      <c r="AC1" s="64" t="s">
        <v>149</v>
      </c>
      <c r="AD1" s="64" t="s">
        <v>2912</v>
      </c>
      <c r="AE1" s="67" t="s">
        <v>2913</v>
      </c>
      <c r="AF1" s="64" t="s">
        <v>2914</v>
      </c>
      <c r="AG1" s="64" t="s">
        <v>2915</v>
      </c>
      <c r="AH1" s="64" t="s">
        <v>2916</v>
      </c>
      <c r="AI1" s="64" t="s">
        <v>2917</v>
      </c>
      <c r="AJ1" s="64" t="s">
        <v>2918</v>
      </c>
      <c r="AK1" s="64" t="s">
        <v>2919</v>
      </c>
      <c r="AL1" s="64" t="s">
        <v>2920</v>
      </c>
      <c r="AM1" s="64" t="s">
        <v>2921</v>
      </c>
      <c r="AN1" s="64" t="s">
        <v>2922</v>
      </c>
      <c r="AO1" s="64" t="s">
        <v>2923</v>
      </c>
      <c r="AP1" s="64" t="s">
        <v>2924</v>
      </c>
      <c r="AQ1" s="64" t="s">
        <v>2925</v>
      </c>
      <c r="AR1" s="64" t="s">
        <v>2926</v>
      </c>
      <c r="AS1" s="64" t="s">
        <v>2927</v>
      </c>
      <c r="AT1" s="64" t="s">
        <v>2928</v>
      </c>
    </row>
    <row r="2">
      <c r="A2" s="31" t="s">
        <v>2929</v>
      </c>
      <c r="B2" s="68" t="s">
        <v>2930</v>
      </c>
      <c r="C2" s="32" t="s">
        <v>2931</v>
      </c>
      <c r="D2" s="32" t="s">
        <v>2932</v>
      </c>
      <c r="E2" s="32" t="s">
        <v>2933</v>
      </c>
      <c r="F2" s="32" t="s">
        <v>2934</v>
      </c>
      <c r="G2" s="33" t="s">
        <v>2935</v>
      </c>
      <c r="H2" s="32" t="s">
        <v>2936</v>
      </c>
      <c r="I2" s="32" t="s">
        <v>2937</v>
      </c>
      <c r="J2" s="32" t="s">
        <v>2938</v>
      </c>
      <c r="K2" s="33" t="s">
        <v>2939</v>
      </c>
      <c r="L2" s="33" t="s">
        <v>2935</v>
      </c>
      <c r="M2" s="33" t="s">
        <v>2935</v>
      </c>
      <c r="N2" s="33" t="s">
        <v>71</v>
      </c>
      <c r="O2" s="33" t="s">
        <v>72</v>
      </c>
      <c r="P2" s="33" t="s">
        <v>73</v>
      </c>
      <c r="Q2" s="33" t="s">
        <v>2940</v>
      </c>
      <c r="R2" s="33" t="s">
        <v>2940</v>
      </c>
      <c r="S2" s="33" t="s">
        <v>2940</v>
      </c>
      <c r="T2" s="32" t="s">
        <v>2941</v>
      </c>
      <c r="U2" s="32" t="s">
        <v>2942</v>
      </c>
      <c r="V2" s="30" t="s">
        <v>2943</v>
      </c>
      <c r="W2" s="69" t="s">
        <v>2944</v>
      </c>
      <c r="X2" s="69" t="s">
        <v>2945</v>
      </c>
      <c r="Y2" s="32" t="s">
        <v>2946</v>
      </c>
      <c r="Z2" s="33" t="s">
        <v>2947</v>
      </c>
      <c r="AA2" s="33" t="s">
        <v>2948</v>
      </c>
      <c r="AB2" s="33" t="s">
        <v>2949</v>
      </c>
      <c r="AC2" s="33" t="s">
        <v>2950</v>
      </c>
      <c r="AD2" s="33" t="s">
        <v>2951</v>
      </c>
      <c r="AE2" s="32" t="s">
        <v>2952</v>
      </c>
      <c r="AF2" s="33" t="s">
        <v>2953</v>
      </c>
      <c r="AG2" s="33" t="s">
        <v>2953</v>
      </c>
      <c r="AH2" s="33" t="s">
        <v>2953</v>
      </c>
      <c r="AI2" s="33" t="s">
        <v>2953</v>
      </c>
      <c r="AJ2" s="33" t="s">
        <v>2953</v>
      </c>
      <c r="AK2" s="33" t="s">
        <v>2953</v>
      </c>
      <c r="AL2" s="33" t="s">
        <v>2953</v>
      </c>
      <c r="AM2" s="33" t="s">
        <v>2953</v>
      </c>
      <c r="AN2" s="33" t="s">
        <v>2953</v>
      </c>
      <c r="AO2" s="33" t="s">
        <v>2953</v>
      </c>
      <c r="AP2" s="33" t="s">
        <v>2953</v>
      </c>
      <c r="AQ2" s="33" t="s">
        <v>2953</v>
      </c>
      <c r="AR2" s="33" t="s">
        <v>2953</v>
      </c>
      <c r="AS2" s="33" t="s">
        <v>2953</v>
      </c>
      <c r="AT2" s="33" t="s">
        <v>2953</v>
      </c>
    </row>
    <row r="3">
      <c r="A3" s="70" t="s">
        <v>2954</v>
      </c>
      <c r="B3" s="71">
        <v>1.94610749754E11</v>
      </c>
      <c r="C3" s="70" t="s">
        <v>2955</v>
      </c>
      <c r="D3" s="70" t="s">
        <v>2956</v>
      </c>
      <c r="E3" s="70" t="s">
        <v>163</v>
      </c>
      <c r="F3" s="72" t="s">
        <v>164</v>
      </c>
      <c r="G3" s="72" t="s">
        <v>168</v>
      </c>
      <c r="H3" s="70">
        <v>1.0</v>
      </c>
      <c r="I3" s="70" t="s">
        <v>76</v>
      </c>
      <c r="J3" s="70"/>
      <c r="K3" s="70"/>
      <c r="L3" s="70" t="s">
        <v>2957</v>
      </c>
      <c r="M3" s="70" t="s">
        <v>2958</v>
      </c>
      <c r="N3" s="70"/>
      <c r="O3" s="70"/>
      <c r="P3" s="70"/>
      <c r="Q3" s="70" t="s">
        <v>2959</v>
      </c>
      <c r="R3" s="70" t="s">
        <v>2960</v>
      </c>
      <c r="S3" s="70"/>
      <c r="T3" s="70">
        <v>168.0</v>
      </c>
      <c r="U3" s="70">
        <v>75.0</v>
      </c>
      <c r="V3" s="70"/>
      <c r="W3" s="58">
        <v>30.0</v>
      </c>
      <c r="X3" s="58"/>
      <c r="Y3" s="70" t="s">
        <v>2961</v>
      </c>
      <c r="Z3" s="70"/>
      <c r="AA3" s="70" t="s">
        <v>2962</v>
      </c>
      <c r="AB3" s="70"/>
      <c r="AC3" s="70"/>
      <c r="AD3" s="70"/>
      <c r="AE3" s="70" t="s">
        <v>155</v>
      </c>
      <c r="AF3" s="70" t="s">
        <v>158</v>
      </c>
      <c r="AG3" s="70" t="s">
        <v>2963</v>
      </c>
      <c r="AH3" s="70"/>
      <c r="AI3" s="70"/>
      <c r="AJ3" s="70"/>
      <c r="AK3" s="70"/>
      <c r="AL3" s="70"/>
      <c r="AM3" s="70"/>
      <c r="AN3" s="70"/>
      <c r="AO3" s="70"/>
      <c r="AP3" s="70"/>
      <c r="AQ3" s="70"/>
      <c r="AR3" s="70"/>
      <c r="AS3" s="70"/>
      <c r="AT3" s="70"/>
      <c r="AU3" s="58"/>
      <c r="AV3" s="58"/>
      <c r="AW3" s="58"/>
      <c r="AX3" s="58"/>
    </row>
    <row r="4">
      <c r="A4" s="70" t="s">
        <v>2964</v>
      </c>
      <c r="B4" s="73" t="s">
        <v>2965</v>
      </c>
      <c r="C4" s="70" t="s">
        <v>2966</v>
      </c>
      <c r="D4" s="70" t="s">
        <v>2967</v>
      </c>
      <c r="E4" s="70" t="s">
        <v>163</v>
      </c>
      <c r="F4" s="70" t="s">
        <v>225</v>
      </c>
      <c r="G4" s="72" t="s">
        <v>233</v>
      </c>
      <c r="H4" s="70">
        <v>4.0</v>
      </c>
      <c r="I4" s="70">
        <v>0.0</v>
      </c>
      <c r="J4" s="70" t="s">
        <v>2968</v>
      </c>
      <c r="K4" s="70"/>
      <c r="L4" s="70" t="s">
        <v>2969</v>
      </c>
      <c r="M4" s="70"/>
      <c r="N4" s="70" t="s">
        <v>77</v>
      </c>
      <c r="O4" s="70" t="s">
        <v>78</v>
      </c>
      <c r="P4" s="70" t="s">
        <v>63</v>
      </c>
      <c r="Q4" s="70" t="s">
        <v>2970</v>
      </c>
      <c r="R4" s="70"/>
      <c r="S4" s="70"/>
      <c r="T4" s="70">
        <v>150.0</v>
      </c>
      <c r="U4" s="70">
        <v>50.0</v>
      </c>
      <c r="V4" s="70"/>
      <c r="W4" s="58">
        <v>10.0</v>
      </c>
      <c r="X4" s="58"/>
      <c r="Y4" s="70" t="s">
        <v>2961</v>
      </c>
      <c r="Z4" s="70"/>
      <c r="AA4" s="70" t="s">
        <v>2971</v>
      </c>
      <c r="AB4" s="70"/>
      <c r="AC4" s="70"/>
      <c r="AD4" s="70"/>
      <c r="AE4" s="70" t="s">
        <v>155</v>
      </c>
      <c r="AF4" s="70" t="s">
        <v>158</v>
      </c>
      <c r="AG4" s="70" t="s">
        <v>2963</v>
      </c>
      <c r="AH4" s="70"/>
      <c r="AI4" s="70"/>
      <c r="AJ4" s="70"/>
      <c r="AK4" s="70"/>
      <c r="AL4" s="70"/>
      <c r="AM4" s="70"/>
      <c r="AN4" s="70"/>
      <c r="AO4" s="70"/>
      <c r="AP4" s="70"/>
      <c r="AQ4" s="70"/>
      <c r="AR4" s="70"/>
      <c r="AS4" s="70"/>
      <c r="AT4" s="70"/>
    </row>
    <row r="5">
      <c r="A5" s="70" t="s">
        <v>2972</v>
      </c>
      <c r="B5" s="73" t="s">
        <v>2973</v>
      </c>
      <c r="C5" s="70"/>
      <c r="D5" s="70"/>
      <c r="E5" s="70"/>
      <c r="F5" s="70"/>
      <c r="G5" s="72"/>
      <c r="H5" s="70">
        <v>5.0</v>
      </c>
      <c r="I5" s="70">
        <v>2.0</v>
      </c>
      <c r="J5" s="70" t="s">
        <v>2968</v>
      </c>
      <c r="K5" s="70"/>
      <c r="L5" s="70"/>
      <c r="M5" s="70"/>
      <c r="N5" s="70" t="s">
        <v>77</v>
      </c>
      <c r="O5" s="70" t="s">
        <v>81</v>
      </c>
      <c r="P5" s="70"/>
      <c r="Q5" s="70"/>
      <c r="R5" s="70"/>
      <c r="S5" s="70"/>
      <c r="T5" s="70"/>
      <c r="U5" s="70"/>
      <c r="V5" s="70"/>
      <c r="W5" s="58"/>
      <c r="X5" s="58"/>
      <c r="Y5" s="70"/>
      <c r="Z5" s="70"/>
      <c r="AA5" s="70"/>
      <c r="AB5" s="70"/>
      <c r="AC5" s="70"/>
      <c r="AD5" s="70"/>
      <c r="AE5" s="70"/>
      <c r="AF5" s="70"/>
      <c r="AG5" s="70"/>
      <c r="AH5" s="70"/>
      <c r="AI5" s="70"/>
      <c r="AJ5" s="70"/>
      <c r="AK5" s="70"/>
      <c r="AL5" s="70"/>
      <c r="AM5" s="70"/>
      <c r="AN5" s="70"/>
      <c r="AO5" s="70"/>
      <c r="AP5" s="70"/>
      <c r="AQ5" s="70"/>
      <c r="AR5" s="70"/>
      <c r="AS5" s="70"/>
      <c r="AT5" s="70"/>
    </row>
    <row r="6">
      <c r="A6" s="70" t="s">
        <v>2974</v>
      </c>
      <c r="B6" s="73" t="s">
        <v>2975</v>
      </c>
      <c r="C6" s="70"/>
      <c r="D6" s="70"/>
      <c r="E6" s="70"/>
      <c r="F6" s="70"/>
      <c r="G6" s="72"/>
      <c r="H6" s="70">
        <v>7.0</v>
      </c>
      <c r="I6" s="70">
        <v>4.0</v>
      </c>
      <c r="J6" s="70" t="s">
        <v>2968</v>
      </c>
      <c r="K6" s="70"/>
      <c r="L6" s="70"/>
      <c r="M6" s="70"/>
      <c r="N6" s="70" t="s">
        <v>77</v>
      </c>
      <c r="O6" s="70" t="s">
        <v>81</v>
      </c>
      <c r="P6" s="70"/>
      <c r="Q6" s="70"/>
      <c r="R6" s="70"/>
      <c r="S6" s="70"/>
      <c r="T6" s="70"/>
      <c r="U6" s="70"/>
      <c r="V6" s="70"/>
      <c r="W6" s="58"/>
      <c r="X6" s="58"/>
      <c r="Y6" s="70"/>
      <c r="Z6" s="70"/>
      <c r="AA6" s="70"/>
      <c r="AB6" s="70"/>
      <c r="AC6" s="70"/>
      <c r="AD6" s="70"/>
      <c r="AE6" s="70"/>
      <c r="AF6" s="70"/>
      <c r="AG6" s="70"/>
      <c r="AH6" s="70"/>
      <c r="AI6" s="70"/>
      <c r="AJ6" s="70"/>
      <c r="AK6" s="70"/>
      <c r="AL6" s="70"/>
      <c r="AM6" s="70"/>
      <c r="AN6" s="70"/>
      <c r="AO6" s="70"/>
      <c r="AP6" s="70"/>
      <c r="AQ6" s="70"/>
      <c r="AR6" s="70"/>
      <c r="AS6" s="70"/>
      <c r="AT6" s="70"/>
    </row>
    <row r="7">
      <c r="A7" s="70" t="s">
        <v>2976</v>
      </c>
      <c r="B7" s="73" t="s">
        <v>2977</v>
      </c>
      <c r="C7" s="70"/>
      <c r="D7" s="70"/>
      <c r="E7" s="70"/>
      <c r="F7" s="70"/>
      <c r="G7" s="72"/>
      <c r="H7" s="70">
        <v>8.0</v>
      </c>
      <c r="I7" s="70">
        <v>6.0</v>
      </c>
      <c r="J7" s="70" t="s">
        <v>2968</v>
      </c>
      <c r="K7" s="70"/>
      <c r="L7" s="70"/>
      <c r="M7" s="70"/>
      <c r="N7" s="70" t="s">
        <v>77</v>
      </c>
      <c r="O7" s="70" t="s">
        <v>81</v>
      </c>
      <c r="P7" s="70"/>
      <c r="Q7" s="70"/>
      <c r="R7" s="70"/>
      <c r="S7" s="70"/>
      <c r="T7" s="70"/>
      <c r="U7" s="70"/>
      <c r="V7" s="70"/>
      <c r="W7" s="58"/>
      <c r="X7" s="58"/>
      <c r="Y7" s="70"/>
      <c r="Z7" s="70"/>
      <c r="AA7" s="70"/>
      <c r="AB7" s="70"/>
      <c r="AC7" s="70"/>
      <c r="AD7" s="70"/>
      <c r="AE7" s="70"/>
      <c r="AF7" s="70"/>
      <c r="AG7" s="70"/>
      <c r="AH7" s="70"/>
      <c r="AI7" s="70"/>
      <c r="AJ7" s="70"/>
      <c r="AK7" s="70"/>
      <c r="AL7" s="70"/>
      <c r="AM7" s="70"/>
      <c r="AN7" s="70"/>
      <c r="AO7" s="70"/>
      <c r="AP7" s="70"/>
      <c r="AQ7" s="70"/>
      <c r="AR7" s="70"/>
      <c r="AS7" s="70"/>
      <c r="AT7" s="70"/>
    </row>
    <row r="8">
      <c r="A8" s="70" t="s">
        <v>2978</v>
      </c>
      <c r="B8" s="73" t="s">
        <v>2979</v>
      </c>
      <c r="C8" s="70"/>
      <c r="D8" s="70"/>
      <c r="E8" s="74"/>
      <c r="F8" s="70"/>
      <c r="G8" s="72"/>
      <c r="H8" s="70">
        <v>8.0</v>
      </c>
      <c r="I8" s="70">
        <v>8.0</v>
      </c>
      <c r="J8" s="70" t="s">
        <v>2968</v>
      </c>
      <c r="K8" s="70"/>
      <c r="L8" s="70"/>
      <c r="M8" s="70"/>
      <c r="N8" s="70" t="s">
        <v>77</v>
      </c>
      <c r="O8" s="70" t="s">
        <v>81</v>
      </c>
      <c r="P8" s="70"/>
      <c r="Q8" s="70"/>
      <c r="R8" s="70"/>
      <c r="S8" s="70"/>
      <c r="T8" s="70"/>
      <c r="U8" s="70"/>
      <c r="V8" s="70"/>
      <c r="W8" s="58"/>
      <c r="X8" s="58"/>
      <c r="Y8" s="70"/>
      <c r="Z8" s="70"/>
      <c r="AA8" s="70"/>
      <c r="AB8" s="70"/>
      <c r="AC8" s="70"/>
      <c r="AD8" s="70"/>
      <c r="AE8" s="70"/>
      <c r="AF8" s="70"/>
      <c r="AG8" s="70"/>
      <c r="AH8" s="70"/>
      <c r="AI8" s="70"/>
      <c r="AJ8" s="70"/>
      <c r="AK8" s="70"/>
      <c r="AL8" s="70"/>
      <c r="AM8" s="70"/>
      <c r="AN8" s="70"/>
      <c r="AO8" s="70"/>
      <c r="AP8" s="70"/>
      <c r="AQ8" s="70"/>
      <c r="AR8" s="70"/>
      <c r="AS8" s="70"/>
      <c r="AT8" s="70"/>
    </row>
    <row r="9">
      <c r="A9" s="70" t="s">
        <v>2980</v>
      </c>
      <c r="B9" s="73" t="s">
        <v>2981</v>
      </c>
      <c r="C9" s="70"/>
      <c r="D9" s="70"/>
      <c r="E9" s="70"/>
      <c r="F9" s="70"/>
      <c r="G9" s="72"/>
      <c r="H9" s="70">
        <v>6.0</v>
      </c>
      <c r="I9" s="70">
        <v>10.0</v>
      </c>
      <c r="J9" s="70" t="s">
        <v>2968</v>
      </c>
      <c r="K9" s="70"/>
      <c r="L9" s="70"/>
      <c r="M9" s="70"/>
      <c r="N9" s="70" t="s">
        <v>77</v>
      </c>
      <c r="O9" s="70" t="s">
        <v>81</v>
      </c>
      <c r="P9" s="70"/>
      <c r="Q9" s="70"/>
      <c r="R9" s="70"/>
      <c r="S9" s="70"/>
      <c r="T9" s="70"/>
      <c r="U9" s="70"/>
      <c r="V9" s="70"/>
      <c r="W9" s="58"/>
      <c r="X9" s="58"/>
      <c r="Y9" s="70"/>
      <c r="Z9" s="70"/>
      <c r="AA9" s="70"/>
      <c r="AB9" s="70"/>
      <c r="AC9" s="70"/>
      <c r="AD9" s="70"/>
      <c r="AE9" s="70"/>
      <c r="AF9" s="70"/>
      <c r="AG9" s="70"/>
      <c r="AH9" s="70"/>
      <c r="AI9" s="70"/>
      <c r="AJ9" s="70"/>
      <c r="AK9" s="70"/>
      <c r="AL9" s="70"/>
      <c r="AM9" s="70"/>
      <c r="AN9" s="70"/>
      <c r="AO9" s="70"/>
      <c r="AP9" s="70"/>
      <c r="AQ9" s="70"/>
      <c r="AR9" s="70"/>
      <c r="AS9" s="70"/>
      <c r="AT9" s="70"/>
    </row>
    <row r="10">
      <c r="A10" s="70" t="s">
        <v>2982</v>
      </c>
      <c r="B10" s="73" t="s">
        <v>2983</v>
      </c>
      <c r="C10" s="70"/>
      <c r="D10" s="70"/>
      <c r="E10" s="70"/>
      <c r="F10" s="70"/>
      <c r="G10" s="72"/>
      <c r="H10" s="70">
        <v>3.0</v>
      </c>
      <c r="I10" s="70">
        <v>12.0</v>
      </c>
      <c r="J10" s="70" t="s">
        <v>2968</v>
      </c>
      <c r="K10" s="70"/>
      <c r="L10" s="70"/>
      <c r="M10" s="70"/>
      <c r="N10" s="70" t="s">
        <v>77</v>
      </c>
      <c r="O10" s="70" t="s">
        <v>81</v>
      </c>
      <c r="P10" s="70"/>
      <c r="Q10" s="70"/>
      <c r="R10" s="70"/>
      <c r="S10" s="70"/>
      <c r="T10" s="70"/>
      <c r="U10" s="70"/>
      <c r="V10" s="70"/>
      <c r="W10" s="58"/>
      <c r="X10" s="58"/>
      <c r="Y10" s="70"/>
      <c r="Z10" s="70"/>
      <c r="AA10" s="70"/>
      <c r="AB10" s="70"/>
      <c r="AC10" s="70"/>
      <c r="AD10" s="70"/>
      <c r="AE10" s="70"/>
      <c r="AF10" s="70"/>
      <c r="AG10" s="70"/>
      <c r="AH10" s="70"/>
      <c r="AI10" s="70"/>
      <c r="AJ10" s="70"/>
      <c r="AK10" s="70"/>
      <c r="AL10" s="70"/>
      <c r="AM10" s="70"/>
      <c r="AN10" s="70"/>
      <c r="AO10" s="70"/>
      <c r="AP10" s="70"/>
      <c r="AQ10" s="70"/>
      <c r="AR10" s="70"/>
      <c r="AS10" s="70"/>
      <c r="AT10" s="70"/>
    </row>
    <row r="11">
      <c r="W11" s="58"/>
      <c r="X11" s="58"/>
    </row>
    <row r="12">
      <c r="W12" s="58"/>
      <c r="X12" s="58"/>
    </row>
    <row r="13">
      <c r="W13" s="58"/>
      <c r="X13" s="58"/>
    </row>
    <row r="14">
      <c r="W14" s="58"/>
      <c r="X14" s="58"/>
    </row>
    <row r="15">
      <c r="W15" s="58"/>
      <c r="X15" s="58"/>
    </row>
    <row r="16">
      <c r="W16" s="58"/>
      <c r="X16" s="58"/>
    </row>
    <row r="17">
      <c r="W17" s="58"/>
      <c r="X17" s="58"/>
    </row>
    <row r="18">
      <c r="W18" s="58"/>
      <c r="X18" s="58"/>
    </row>
    <row r="19">
      <c r="W19" s="58"/>
      <c r="X19" s="58"/>
    </row>
    <row r="20">
      <c r="W20" s="58"/>
      <c r="X20" s="58"/>
    </row>
    <row r="21">
      <c r="W21" s="58"/>
      <c r="X21" s="58"/>
    </row>
    <row r="22">
      <c r="W22" s="58"/>
      <c r="X22" s="58"/>
    </row>
    <row r="23">
      <c r="W23" s="75"/>
      <c r="X23" s="58"/>
    </row>
    <row r="24">
      <c r="W24" s="58"/>
      <c r="X24" s="58"/>
    </row>
    <row r="25">
      <c r="W25" s="58"/>
      <c r="X25" s="58"/>
    </row>
    <row r="26">
      <c r="W26" s="58"/>
      <c r="X26" s="58"/>
    </row>
    <row r="27">
      <c r="W27" s="58"/>
      <c r="X27" s="58"/>
    </row>
    <row r="28">
      <c r="W28" s="58"/>
      <c r="X28" s="58"/>
    </row>
    <row r="29">
      <c r="W29" s="58"/>
      <c r="X29" s="58"/>
    </row>
    <row r="30">
      <c r="W30" s="58"/>
      <c r="X30" s="58"/>
    </row>
    <row r="31">
      <c r="W31" s="58"/>
      <c r="X31" s="58"/>
    </row>
    <row r="32">
      <c r="W32" s="58"/>
      <c r="X32" s="58"/>
    </row>
    <row r="33">
      <c r="W33" s="58"/>
      <c r="X33" s="58"/>
    </row>
    <row r="34">
      <c r="W34" s="58"/>
      <c r="X34" s="58"/>
    </row>
    <row r="35">
      <c r="W35" s="58"/>
      <c r="X35" s="58"/>
    </row>
    <row r="36">
      <c r="W36" s="58"/>
      <c r="X36" s="58"/>
    </row>
    <row r="37">
      <c r="W37" s="58"/>
      <c r="X37" s="58"/>
    </row>
    <row r="38">
      <c r="W38" s="58"/>
      <c r="X38" s="58"/>
    </row>
    <row r="39">
      <c r="W39" s="58"/>
      <c r="X39" s="58"/>
    </row>
    <row r="40">
      <c r="W40" s="58"/>
      <c r="X40" s="58"/>
    </row>
    <row r="41">
      <c r="W41" s="58"/>
      <c r="X41" s="58"/>
    </row>
    <row r="42">
      <c r="W42" s="58"/>
      <c r="X42" s="58"/>
    </row>
    <row r="43">
      <c r="W43" s="58"/>
      <c r="X43" s="58"/>
    </row>
    <row r="44">
      <c r="W44" s="58"/>
      <c r="X44" s="58"/>
    </row>
    <row r="45">
      <c r="W45" s="58"/>
      <c r="X45" s="58"/>
    </row>
    <row r="46">
      <c r="W46" s="58"/>
      <c r="X46" s="58"/>
    </row>
    <row r="47">
      <c r="W47" s="58"/>
      <c r="X47" s="58"/>
    </row>
    <row r="48">
      <c r="W48" s="58"/>
      <c r="X48" s="58"/>
    </row>
    <row r="49">
      <c r="W49" s="58"/>
      <c r="X49" s="58"/>
    </row>
    <row r="50">
      <c r="W50" s="58"/>
      <c r="X50" s="58"/>
    </row>
    <row r="51">
      <c r="W51" s="58"/>
      <c r="X51" s="58"/>
    </row>
    <row r="52">
      <c r="W52" s="58"/>
      <c r="X52" s="58"/>
    </row>
    <row r="53">
      <c r="W53" s="58"/>
      <c r="X53" s="58"/>
    </row>
    <row r="54">
      <c r="W54" s="58"/>
      <c r="X54" s="58"/>
    </row>
    <row r="55">
      <c r="W55" s="58"/>
      <c r="X55" s="58"/>
    </row>
    <row r="56">
      <c r="W56" s="58"/>
      <c r="X56" s="58"/>
    </row>
    <row r="57">
      <c r="W57" s="58"/>
      <c r="X57" s="58"/>
    </row>
    <row r="58">
      <c r="W58" s="58"/>
      <c r="X58" s="58"/>
    </row>
    <row r="59">
      <c r="W59" s="58"/>
      <c r="X59" s="58"/>
    </row>
    <row r="60">
      <c r="W60" s="58"/>
      <c r="X60" s="58"/>
    </row>
    <row r="61">
      <c r="W61" s="58"/>
      <c r="X61" s="58"/>
    </row>
    <row r="62">
      <c r="W62" s="58"/>
      <c r="X62" s="58"/>
    </row>
    <row r="63">
      <c r="W63" s="58"/>
      <c r="X63" s="58"/>
    </row>
    <row r="64">
      <c r="W64" s="58"/>
      <c r="X64" s="58"/>
    </row>
    <row r="65">
      <c r="W65" s="58"/>
      <c r="X65" s="58"/>
    </row>
    <row r="66">
      <c r="W66" s="58"/>
      <c r="X66" s="58"/>
    </row>
    <row r="67">
      <c r="W67" s="58"/>
      <c r="X67" s="58"/>
    </row>
    <row r="68">
      <c r="W68" s="58"/>
      <c r="X68" s="58"/>
    </row>
    <row r="69">
      <c r="W69" s="58"/>
      <c r="X69" s="58"/>
    </row>
    <row r="70">
      <c r="W70" s="58"/>
      <c r="X70" s="58"/>
    </row>
    <row r="71">
      <c r="W71" s="58"/>
      <c r="X71" s="58"/>
    </row>
    <row r="72">
      <c r="W72" s="58"/>
      <c r="X72" s="58"/>
    </row>
    <row r="73">
      <c r="W73" s="58"/>
      <c r="X73" s="58"/>
    </row>
    <row r="74">
      <c r="W74" s="58"/>
      <c r="X74" s="58"/>
    </row>
    <row r="75">
      <c r="W75" s="58"/>
      <c r="X75" s="58"/>
    </row>
    <row r="76">
      <c r="W76" s="58"/>
      <c r="X76" s="58"/>
    </row>
    <row r="77">
      <c r="W77" s="58"/>
      <c r="X77" s="58"/>
    </row>
    <row r="78">
      <c r="W78" s="58"/>
      <c r="X78" s="58"/>
    </row>
    <row r="79">
      <c r="W79" s="58"/>
      <c r="X79" s="58"/>
    </row>
    <row r="80">
      <c r="W80" s="58"/>
      <c r="X80" s="58"/>
    </row>
    <row r="81">
      <c r="W81" s="58"/>
      <c r="X81" s="58"/>
    </row>
    <row r="82">
      <c r="W82" s="58"/>
      <c r="X82" s="58"/>
    </row>
    <row r="83">
      <c r="W83" s="58"/>
      <c r="X83" s="58"/>
    </row>
    <row r="84">
      <c r="W84" s="58"/>
      <c r="X84" s="58"/>
    </row>
    <row r="85">
      <c r="W85" s="58"/>
      <c r="X85" s="58"/>
    </row>
    <row r="86">
      <c r="W86" s="58"/>
      <c r="X86" s="58"/>
    </row>
    <row r="87">
      <c r="W87" s="58"/>
      <c r="X87" s="58"/>
    </row>
    <row r="88">
      <c r="W88" s="58"/>
      <c r="X88" s="58"/>
    </row>
    <row r="89">
      <c r="W89" s="58"/>
      <c r="X89" s="58"/>
    </row>
    <row r="90">
      <c r="W90" s="58"/>
      <c r="X90" s="58"/>
    </row>
    <row r="91">
      <c r="W91" s="58"/>
      <c r="X91" s="58"/>
    </row>
    <row r="92">
      <c r="W92" s="58"/>
      <c r="X92" s="58"/>
    </row>
    <row r="93">
      <c r="W93" s="58"/>
      <c r="X93" s="58"/>
    </row>
    <row r="94">
      <c r="W94" s="58"/>
      <c r="X94" s="58"/>
    </row>
    <row r="95">
      <c r="W95" s="58"/>
      <c r="X95" s="58"/>
    </row>
    <row r="96">
      <c r="W96" s="58"/>
      <c r="X96" s="58"/>
    </row>
    <row r="97">
      <c r="W97" s="58"/>
      <c r="X97" s="58"/>
    </row>
    <row r="98">
      <c r="W98" s="58"/>
      <c r="X98" s="58"/>
    </row>
    <row r="99">
      <c r="W99" s="58"/>
      <c r="X99" s="58"/>
    </row>
    <row r="100">
      <c r="W100" s="58"/>
      <c r="X100" s="58"/>
    </row>
    <row r="101">
      <c r="W101" s="58"/>
      <c r="X101" s="58"/>
    </row>
    <row r="102">
      <c r="W102" s="58"/>
      <c r="X102" s="58"/>
    </row>
    <row r="103">
      <c r="W103" s="58"/>
      <c r="X103" s="58"/>
    </row>
    <row r="104">
      <c r="W104" s="58"/>
      <c r="X104" s="58"/>
    </row>
    <row r="105">
      <c r="W105" s="58"/>
      <c r="X105" s="58"/>
    </row>
    <row r="106">
      <c r="W106" s="58"/>
      <c r="X106" s="58"/>
    </row>
    <row r="107">
      <c r="W107" s="58"/>
      <c r="X107" s="58"/>
    </row>
    <row r="108">
      <c r="W108" s="58"/>
      <c r="X108" s="58"/>
    </row>
    <row r="109">
      <c r="W109" s="58"/>
      <c r="X109" s="58"/>
    </row>
    <row r="110">
      <c r="W110" s="58"/>
      <c r="X110" s="58"/>
    </row>
    <row r="111">
      <c r="W111" s="58"/>
      <c r="X111" s="58"/>
    </row>
    <row r="112">
      <c r="W112" s="58"/>
      <c r="X112" s="58"/>
    </row>
    <row r="113">
      <c r="W113" s="58"/>
      <c r="X113" s="58"/>
    </row>
    <row r="114">
      <c r="W114" s="58"/>
      <c r="X114" s="58"/>
    </row>
    <row r="115">
      <c r="W115" s="58"/>
      <c r="X115" s="58"/>
    </row>
    <row r="116">
      <c r="W116" s="58"/>
      <c r="X116" s="58"/>
    </row>
    <row r="117">
      <c r="W117" s="58"/>
      <c r="X117" s="58"/>
    </row>
    <row r="118">
      <c r="W118" s="58"/>
      <c r="X118" s="58"/>
    </row>
    <row r="119">
      <c r="W119" s="58"/>
      <c r="X119" s="58"/>
    </row>
    <row r="120">
      <c r="W120" s="58"/>
      <c r="X120" s="58"/>
    </row>
    <row r="121">
      <c r="W121" s="58"/>
      <c r="X121" s="58"/>
    </row>
    <row r="122">
      <c r="W122" s="58"/>
      <c r="X122" s="58"/>
    </row>
    <row r="123">
      <c r="W123" s="58"/>
      <c r="X123" s="58"/>
    </row>
    <row r="124">
      <c r="W124" s="58"/>
      <c r="X124" s="58"/>
    </row>
    <row r="125">
      <c r="W125" s="58"/>
      <c r="X125" s="58"/>
    </row>
    <row r="126">
      <c r="W126" s="58"/>
      <c r="X126" s="58"/>
    </row>
    <row r="127">
      <c r="W127" s="58"/>
      <c r="X127" s="58"/>
    </row>
    <row r="128">
      <c r="W128" s="58"/>
      <c r="X128" s="58"/>
    </row>
    <row r="129">
      <c r="W129" s="58"/>
      <c r="X129" s="58"/>
    </row>
    <row r="130">
      <c r="W130" s="58"/>
      <c r="X130" s="58"/>
    </row>
    <row r="131">
      <c r="W131" s="58"/>
      <c r="X131" s="58"/>
    </row>
    <row r="132">
      <c r="W132" s="58"/>
      <c r="X132" s="58"/>
    </row>
    <row r="133">
      <c r="W133" s="58"/>
      <c r="X133" s="58"/>
    </row>
    <row r="134">
      <c r="W134" s="58"/>
      <c r="X134" s="58"/>
    </row>
    <row r="135">
      <c r="W135" s="58"/>
      <c r="X135" s="58"/>
    </row>
    <row r="136">
      <c r="W136" s="58"/>
      <c r="X136" s="58"/>
    </row>
    <row r="137">
      <c r="W137" s="58"/>
      <c r="X137" s="58"/>
    </row>
    <row r="138">
      <c r="W138" s="58"/>
      <c r="X138" s="58"/>
    </row>
    <row r="139">
      <c r="W139" s="58"/>
      <c r="X139" s="58"/>
    </row>
    <row r="140">
      <c r="W140" s="58"/>
      <c r="X140" s="58"/>
    </row>
    <row r="141">
      <c r="W141" s="58"/>
      <c r="X141" s="58"/>
    </row>
    <row r="142">
      <c r="W142" s="58"/>
      <c r="X142" s="58"/>
    </row>
    <row r="143">
      <c r="W143" s="58"/>
      <c r="X143" s="58"/>
    </row>
    <row r="144">
      <c r="W144" s="58"/>
      <c r="X144" s="58"/>
    </row>
    <row r="145">
      <c r="W145" s="58"/>
      <c r="X145" s="58"/>
    </row>
    <row r="146">
      <c r="W146" s="58"/>
      <c r="X146" s="58"/>
    </row>
    <row r="147">
      <c r="W147" s="58"/>
      <c r="X147" s="58"/>
    </row>
    <row r="148">
      <c r="W148" s="58"/>
      <c r="X148" s="58"/>
    </row>
    <row r="149">
      <c r="W149" s="58"/>
      <c r="X149" s="58"/>
    </row>
    <row r="150">
      <c r="W150" s="58"/>
      <c r="X150" s="58"/>
    </row>
    <row r="151">
      <c r="W151" s="58"/>
      <c r="X151" s="58"/>
    </row>
    <row r="152">
      <c r="W152" s="58"/>
      <c r="X152" s="58"/>
    </row>
    <row r="153">
      <c r="W153" s="58"/>
      <c r="X153" s="58"/>
    </row>
    <row r="154">
      <c r="W154" s="58"/>
      <c r="X154" s="58"/>
    </row>
    <row r="155">
      <c r="W155" s="58"/>
      <c r="X155" s="58"/>
    </row>
    <row r="156">
      <c r="W156" s="58"/>
      <c r="X156" s="58"/>
    </row>
    <row r="157">
      <c r="W157" s="58"/>
      <c r="X157" s="58"/>
    </row>
    <row r="158">
      <c r="W158" s="58"/>
      <c r="X158" s="58"/>
    </row>
    <row r="159">
      <c r="W159" s="58"/>
      <c r="X159" s="58"/>
    </row>
    <row r="160">
      <c r="W160" s="58"/>
      <c r="X160" s="58"/>
    </row>
    <row r="161">
      <c r="W161" s="58"/>
      <c r="X161" s="58"/>
    </row>
    <row r="162">
      <c r="W162" s="58"/>
      <c r="X162" s="58"/>
    </row>
    <row r="163">
      <c r="W163" s="58"/>
      <c r="X163" s="58"/>
    </row>
    <row r="164">
      <c r="W164" s="58"/>
      <c r="X164" s="58"/>
    </row>
    <row r="165">
      <c r="W165" s="58"/>
      <c r="X165" s="58"/>
    </row>
    <row r="166">
      <c r="W166" s="58"/>
      <c r="X166" s="58"/>
    </row>
    <row r="167">
      <c r="W167" s="58"/>
      <c r="X167" s="58"/>
    </row>
    <row r="168">
      <c r="W168" s="58"/>
      <c r="X168" s="58"/>
    </row>
    <row r="169">
      <c r="W169" s="58"/>
      <c r="X169" s="58"/>
    </row>
    <row r="170">
      <c r="W170" s="58"/>
      <c r="X170" s="58"/>
    </row>
    <row r="171">
      <c r="W171" s="58"/>
      <c r="X171" s="58"/>
    </row>
    <row r="172">
      <c r="W172" s="58"/>
      <c r="X172" s="58"/>
    </row>
    <row r="173">
      <c r="W173" s="58"/>
      <c r="X173" s="58"/>
    </row>
    <row r="174">
      <c r="W174" s="58"/>
      <c r="X174" s="58"/>
    </row>
    <row r="175">
      <c r="W175" s="58"/>
      <c r="X175" s="58"/>
    </row>
    <row r="176">
      <c r="W176" s="58"/>
      <c r="X176" s="58"/>
    </row>
    <row r="177">
      <c r="W177" s="58"/>
      <c r="X177" s="58"/>
    </row>
    <row r="178">
      <c r="W178" s="58"/>
      <c r="X178" s="58"/>
    </row>
    <row r="179">
      <c r="W179" s="58"/>
      <c r="X179" s="58"/>
    </row>
    <row r="180">
      <c r="W180" s="58"/>
      <c r="X180" s="58"/>
    </row>
    <row r="181">
      <c r="W181" s="58"/>
      <c r="X181" s="58"/>
    </row>
    <row r="182">
      <c r="W182" s="58"/>
      <c r="X182" s="58"/>
    </row>
    <row r="183">
      <c r="W183" s="58"/>
      <c r="X183" s="58"/>
    </row>
    <row r="184">
      <c r="W184" s="58"/>
      <c r="X184" s="58"/>
    </row>
    <row r="185">
      <c r="W185" s="58"/>
      <c r="X185" s="58"/>
    </row>
    <row r="186">
      <c r="W186" s="58"/>
      <c r="X186" s="58"/>
    </row>
    <row r="187">
      <c r="W187" s="58"/>
      <c r="X187" s="58"/>
    </row>
    <row r="188">
      <c r="W188" s="58"/>
      <c r="X188" s="58"/>
    </row>
    <row r="189">
      <c r="W189" s="58"/>
      <c r="X189" s="58"/>
    </row>
    <row r="190">
      <c r="W190" s="58"/>
      <c r="X190" s="58"/>
    </row>
    <row r="191">
      <c r="W191" s="58"/>
      <c r="X191" s="58"/>
    </row>
    <row r="192">
      <c r="W192" s="58"/>
      <c r="X192" s="58"/>
    </row>
    <row r="193">
      <c r="W193" s="58"/>
      <c r="X193" s="58"/>
    </row>
    <row r="194">
      <c r="W194" s="58"/>
      <c r="X194" s="58"/>
    </row>
    <row r="195">
      <c r="W195" s="58"/>
      <c r="X195" s="58"/>
    </row>
    <row r="196">
      <c r="W196" s="58"/>
      <c r="X196" s="58"/>
    </row>
    <row r="197">
      <c r="W197" s="58"/>
      <c r="X197" s="58"/>
    </row>
    <row r="198">
      <c r="W198" s="58"/>
      <c r="X198" s="58"/>
    </row>
    <row r="199">
      <c r="W199" s="58"/>
      <c r="X199" s="58"/>
    </row>
    <row r="200">
      <c r="W200" s="58"/>
      <c r="X200" s="58"/>
    </row>
    <row r="201">
      <c r="W201" s="58"/>
      <c r="X201" s="58"/>
    </row>
    <row r="202">
      <c r="W202" s="58"/>
      <c r="X202" s="58"/>
    </row>
    <row r="203">
      <c r="W203" s="58"/>
      <c r="X203" s="58"/>
    </row>
    <row r="204">
      <c r="W204" s="58"/>
      <c r="X204" s="58"/>
    </row>
    <row r="205">
      <c r="W205" s="58"/>
      <c r="X205" s="58"/>
    </row>
    <row r="206">
      <c r="W206" s="58"/>
      <c r="X206" s="58"/>
    </row>
    <row r="207">
      <c r="W207" s="58"/>
      <c r="X207" s="58"/>
    </row>
    <row r="208">
      <c r="W208" s="58"/>
      <c r="X208" s="58"/>
    </row>
    <row r="209">
      <c r="W209" s="58"/>
      <c r="X209" s="58"/>
    </row>
    <row r="210">
      <c r="W210" s="58"/>
      <c r="X210" s="58"/>
    </row>
    <row r="211">
      <c r="W211" s="58"/>
      <c r="X211" s="58"/>
    </row>
    <row r="212">
      <c r="W212" s="58"/>
      <c r="X212" s="58"/>
    </row>
    <row r="213">
      <c r="W213" s="58"/>
      <c r="X213" s="58"/>
    </row>
    <row r="214">
      <c r="W214" s="58"/>
      <c r="X214" s="58"/>
    </row>
    <row r="215">
      <c r="W215" s="58"/>
      <c r="X215" s="58"/>
    </row>
    <row r="216">
      <c r="W216" s="58"/>
      <c r="X216" s="58"/>
    </row>
    <row r="217">
      <c r="W217" s="58"/>
      <c r="X217" s="58"/>
    </row>
    <row r="218">
      <c r="W218" s="58"/>
      <c r="X218" s="58"/>
    </row>
    <row r="219">
      <c r="W219" s="58"/>
      <c r="X219" s="58"/>
    </row>
    <row r="220">
      <c r="W220" s="58"/>
      <c r="X220" s="58"/>
    </row>
    <row r="221">
      <c r="W221" s="58"/>
      <c r="X221" s="58"/>
    </row>
    <row r="222">
      <c r="W222" s="58"/>
      <c r="X222" s="58"/>
    </row>
    <row r="223">
      <c r="W223" s="58"/>
      <c r="X223" s="58"/>
    </row>
    <row r="224">
      <c r="W224" s="58"/>
      <c r="X224" s="58"/>
    </row>
    <row r="225">
      <c r="W225" s="58"/>
      <c r="X225" s="58"/>
    </row>
    <row r="226">
      <c r="W226" s="58"/>
      <c r="X226" s="58"/>
    </row>
    <row r="227">
      <c r="W227" s="58"/>
      <c r="X227" s="58"/>
    </row>
    <row r="228">
      <c r="W228" s="58"/>
      <c r="X228" s="58"/>
    </row>
    <row r="229">
      <c r="W229" s="58"/>
      <c r="X229" s="58"/>
    </row>
    <row r="230">
      <c r="W230" s="58"/>
      <c r="X230" s="58"/>
    </row>
    <row r="231">
      <c r="W231" s="58"/>
      <c r="X231" s="58"/>
    </row>
    <row r="232">
      <c r="W232" s="58"/>
      <c r="X232" s="58"/>
    </row>
    <row r="233">
      <c r="W233" s="58"/>
      <c r="X233" s="58"/>
    </row>
    <row r="234">
      <c r="W234" s="58"/>
      <c r="X234" s="58"/>
    </row>
    <row r="235">
      <c r="W235" s="58"/>
      <c r="X235" s="58"/>
    </row>
    <row r="236">
      <c r="W236" s="58"/>
      <c r="X236" s="58"/>
    </row>
    <row r="237">
      <c r="W237" s="58"/>
      <c r="X237" s="58"/>
    </row>
    <row r="238">
      <c r="W238" s="58"/>
      <c r="X238" s="58"/>
    </row>
    <row r="239">
      <c r="W239" s="58"/>
      <c r="X239" s="58"/>
    </row>
    <row r="240">
      <c r="W240" s="58"/>
      <c r="X240" s="58"/>
    </row>
    <row r="241">
      <c r="W241" s="58"/>
      <c r="X241" s="58"/>
    </row>
    <row r="242">
      <c r="W242" s="58"/>
      <c r="X242" s="58"/>
    </row>
    <row r="243">
      <c r="W243" s="58"/>
      <c r="X243" s="58"/>
    </row>
    <row r="244">
      <c r="W244" s="58"/>
      <c r="X244" s="58"/>
    </row>
    <row r="245">
      <c r="W245" s="58"/>
      <c r="X245" s="58"/>
    </row>
    <row r="246">
      <c r="W246" s="58"/>
      <c r="X246" s="58"/>
    </row>
    <row r="247">
      <c r="W247" s="58"/>
      <c r="X247" s="58"/>
    </row>
    <row r="248">
      <c r="W248" s="58"/>
      <c r="X248" s="58"/>
    </row>
    <row r="249">
      <c r="W249" s="58"/>
      <c r="X249" s="58"/>
    </row>
    <row r="250">
      <c r="W250" s="58"/>
      <c r="X250" s="58"/>
    </row>
    <row r="251">
      <c r="W251" s="58"/>
      <c r="X251" s="58"/>
    </row>
    <row r="252">
      <c r="W252" s="58"/>
      <c r="X252" s="58"/>
    </row>
    <row r="253">
      <c r="W253" s="58"/>
      <c r="X253" s="58"/>
    </row>
    <row r="254">
      <c r="W254" s="58"/>
      <c r="X254" s="58"/>
    </row>
    <row r="255">
      <c r="W255" s="58"/>
      <c r="X255" s="58"/>
    </row>
    <row r="256">
      <c r="W256" s="58"/>
      <c r="X256" s="58"/>
    </row>
    <row r="257">
      <c r="W257" s="58"/>
      <c r="X257" s="58"/>
    </row>
    <row r="258">
      <c r="W258" s="58"/>
      <c r="X258" s="58"/>
    </row>
    <row r="259">
      <c r="W259" s="58"/>
      <c r="X259" s="58"/>
    </row>
    <row r="260">
      <c r="W260" s="58"/>
      <c r="X260" s="58"/>
    </row>
    <row r="261">
      <c r="W261" s="58"/>
      <c r="X261" s="58"/>
    </row>
    <row r="262">
      <c r="W262" s="58"/>
      <c r="X262" s="58"/>
    </row>
    <row r="263">
      <c r="W263" s="58"/>
      <c r="X263" s="58"/>
    </row>
    <row r="264">
      <c r="W264" s="58"/>
      <c r="X264" s="58"/>
    </row>
    <row r="265">
      <c r="W265" s="58"/>
      <c r="X265" s="58"/>
    </row>
    <row r="266">
      <c r="W266" s="58"/>
      <c r="X266" s="58"/>
    </row>
    <row r="267">
      <c r="W267" s="58"/>
      <c r="X267" s="58"/>
    </row>
    <row r="268">
      <c r="W268" s="58"/>
      <c r="X268" s="58"/>
    </row>
    <row r="269">
      <c r="W269" s="58"/>
      <c r="X269" s="58"/>
    </row>
    <row r="270">
      <c r="W270" s="58"/>
      <c r="X270" s="58"/>
    </row>
    <row r="271">
      <c r="W271" s="58"/>
      <c r="X271" s="58"/>
    </row>
    <row r="272">
      <c r="W272" s="58"/>
      <c r="X272" s="58"/>
    </row>
    <row r="273">
      <c r="W273" s="58"/>
      <c r="X273" s="58"/>
    </row>
    <row r="274">
      <c r="W274" s="58"/>
      <c r="X274" s="58"/>
    </row>
    <row r="275">
      <c r="W275" s="58"/>
      <c r="X275" s="58"/>
    </row>
    <row r="276">
      <c r="W276" s="58"/>
      <c r="X276" s="58"/>
    </row>
    <row r="277">
      <c r="W277" s="58"/>
      <c r="X277" s="58"/>
    </row>
    <row r="278">
      <c r="W278" s="58"/>
      <c r="X278" s="58"/>
    </row>
    <row r="279">
      <c r="W279" s="58"/>
      <c r="X279" s="58"/>
    </row>
    <row r="280">
      <c r="W280" s="58"/>
      <c r="X280" s="58"/>
    </row>
    <row r="281">
      <c r="W281" s="58"/>
      <c r="X281" s="58"/>
    </row>
    <row r="282">
      <c r="W282" s="58"/>
      <c r="X282" s="58"/>
    </row>
    <row r="283">
      <c r="W283" s="58"/>
      <c r="X283" s="58"/>
    </row>
    <row r="284">
      <c r="W284" s="58"/>
      <c r="X284" s="58"/>
    </row>
    <row r="285">
      <c r="W285" s="58"/>
      <c r="X285" s="58"/>
    </row>
    <row r="286">
      <c r="W286" s="58"/>
      <c r="X286" s="58"/>
    </row>
    <row r="287">
      <c r="W287" s="58"/>
      <c r="X287" s="58"/>
    </row>
    <row r="288">
      <c r="W288" s="58"/>
      <c r="X288" s="58"/>
    </row>
    <row r="289">
      <c r="W289" s="58"/>
      <c r="X289" s="58"/>
    </row>
    <row r="290">
      <c r="W290" s="58"/>
      <c r="X290" s="58"/>
    </row>
    <row r="291">
      <c r="W291" s="58"/>
      <c r="X291" s="58"/>
    </row>
    <row r="292">
      <c r="W292" s="58"/>
      <c r="X292" s="58"/>
    </row>
    <row r="293">
      <c r="W293" s="58"/>
      <c r="X293" s="58"/>
    </row>
    <row r="294">
      <c r="W294" s="58"/>
      <c r="X294" s="58"/>
    </row>
    <row r="295">
      <c r="W295" s="58"/>
      <c r="X295" s="58"/>
    </row>
    <row r="296">
      <c r="W296" s="58"/>
      <c r="X296" s="58"/>
    </row>
    <row r="297">
      <c r="W297" s="58"/>
      <c r="X297" s="58"/>
    </row>
    <row r="298">
      <c r="W298" s="58"/>
      <c r="X298" s="58"/>
    </row>
    <row r="299">
      <c r="W299" s="58"/>
      <c r="X299" s="58"/>
    </row>
    <row r="300">
      <c r="W300" s="58"/>
      <c r="X300" s="58"/>
    </row>
    <row r="301">
      <c r="W301" s="58"/>
      <c r="X301" s="58"/>
    </row>
    <row r="302">
      <c r="W302" s="58"/>
      <c r="X302" s="58"/>
    </row>
    <row r="303">
      <c r="W303" s="58"/>
      <c r="X303" s="58"/>
    </row>
    <row r="304">
      <c r="W304" s="58"/>
      <c r="X304" s="58"/>
    </row>
    <row r="305">
      <c r="W305" s="58"/>
      <c r="X305" s="58"/>
    </row>
    <row r="306">
      <c r="W306" s="58"/>
      <c r="X306" s="58"/>
    </row>
    <row r="307">
      <c r="W307" s="58"/>
      <c r="X307" s="58"/>
    </row>
    <row r="308">
      <c r="W308" s="58"/>
      <c r="X308" s="58"/>
    </row>
    <row r="309">
      <c r="W309" s="58"/>
      <c r="X309" s="58"/>
    </row>
    <row r="310">
      <c r="W310" s="58"/>
      <c r="X310" s="58"/>
    </row>
    <row r="311">
      <c r="W311" s="58"/>
      <c r="X311" s="58"/>
    </row>
    <row r="312">
      <c r="W312" s="58"/>
      <c r="X312" s="58"/>
    </row>
    <row r="313">
      <c r="W313" s="58"/>
      <c r="X313" s="58"/>
    </row>
    <row r="314">
      <c r="W314" s="58"/>
      <c r="X314" s="58"/>
    </row>
    <row r="315">
      <c r="W315" s="58"/>
      <c r="X315" s="58"/>
    </row>
    <row r="316">
      <c r="W316" s="58"/>
      <c r="X316" s="58"/>
    </row>
    <row r="317">
      <c r="W317" s="58"/>
      <c r="X317" s="58"/>
    </row>
    <row r="318">
      <c r="W318" s="58"/>
      <c r="X318" s="58"/>
    </row>
    <row r="319">
      <c r="W319" s="58"/>
      <c r="X319" s="58"/>
    </row>
    <row r="320">
      <c r="W320" s="58"/>
      <c r="X320" s="58"/>
    </row>
    <row r="321">
      <c r="W321" s="58"/>
      <c r="X321" s="58"/>
    </row>
    <row r="322">
      <c r="W322" s="58"/>
      <c r="X322" s="58"/>
    </row>
    <row r="323">
      <c r="W323" s="58"/>
      <c r="X323" s="58"/>
    </row>
    <row r="324">
      <c r="W324" s="58"/>
      <c r="X324" s="58"/>
    </row>
    <row r="325">
      <c r="W325" s="58"/>
      <c r="X325" s="58"/>
    </row>
    <row r="326">
      <c r="W326" s="58"/>
      <c r="X326" s="58"/>
    </row>
    <row r="327">
      <c r="W327" s="58"/>
      <c r="X327" s="58"/>
    </row>
    <row r="328">
      <c r="W328" s="58"/>
      <c r="X328" s="58"/>
    </row>
    <row r="329">
      <c r="W329" s="58"/>
      <c r="X329" s="58"/>
    </row>
    <row r="330">
      <c r="W330" s="58"/>
      <c r="X330" s="58"/>
    </row>
    <row r="331">
      <c r="W331" s="58"/>
      <c r="X331" s="58"/>
    </row>
    <row r="332">
      <c r="W332" s="58"/>
      <c r="X332" s="58"/>
    </row>
    <row r="333">
      <c r="W333" s="58"/>
      <c r="X333" s="58"/>
    </row>
    <row r="334">
      <c r="W334" s="58"/>
      <c r="X334" s="58"/>
    </row>
    <row r="335">
      <c r="W335" s="58"/>
      <c r="X335" s="58"/>
    </row>
    <row r="336">
      <c r="W336" s="58"/>
      <c r="X336" s="58"/>
    </row>
    <row r="337">
      <c r="W337" s="58"/>
      <c r="X337" s="58"/>
    </row>
    <row r="338">
      <c r="W338" s="58"/>
      <c r="X338" s="58"/>
    </row>
    <row r="339">
      <c r="W339" s="58"/>
      <c r="X339" s="58"/>
    </row>
    <row r="340">
      <c r="W340" s="58"/>
      <c r="X340" s="58"/>
    </row>
    <row r="341">
      <c r="W341" s="58"/>
      <c r="X341" s="58"/>
    </row>
    <row r="342">
      <c r="W342" s="58"/>
      <c r="X342" s="58"/>
    </row>
    <row r="343">
      <c r="W343" s="58"/>
      <c r="X343" s="58"/>
    </row>
    <row r="344">
      <c r="W344" s="58"/>
      <c r="X344" s="58"/>
    </row>
    <row r="345">
      <c r="W345" s="58"/>
      <c r="X345" s="58"/>
    </row>
    <row r="346">
      <c r="W346" s="58"/>
      <c r="X346" s="58"/>
    </row>
    <row r="347">
      <c r="W347" s="58"/>
      <c r="X347" s="58"/>
    </row>
    <row r="348">
      <c r="W348" s="58"/>
      <c r="X348" s="58"/>
    </row>
    <row r="349">
      <c r="W349" s="58"/>
      <c r="X349" s="58"/>
    </row>
    <row r="350">
      <c r="W350" s="58"/>
      <c r="X350" s="58"/>
    </row>
    <row r="351">
      <c r="W351" s="58"/>
      <c r="X351" s="58"/>
    </row>
    <row r="352">
      <c r="W352" s="58"/>
      <c r="X352" s="58"/>
    </row>
    <row r="353">
      <c r="W353" s="58"/>
      <c r="X353" s="58"/>
    </row>
    <row r="354">
      <c r="W354" s="58"/>
      <c r="X354" s="58"/>
    </row>
    <row r="355">
      <c r="W355" s="58"/>
      <c r="X355" s="58"/>
    </row>
    <row r="356">
      <c r="W356" s="58"/>
      <c r="X356" s="58"/>
    </row>
    <row r="357">
      <c r="W357" s="58"/>
      <c r="X357" s="58"/>
    </row>
    <row r="358">
      <c r="W358" s="58"/>
      <c r="X358" s="58"/>
    </row>
    <row r="359">
      <c r="W359" s="58"/>
      <c r="X359" s="58"/>
    </row>
    <row r="360">
      <c r="W360" s="58"/>
      <c r="X360" s="58"/>
    </row>
    <row r="361">
      <c r="W361" s="58"/>
      <c r="X361" s="58"/>
    </row>
    <row r="362">
      <c r="W362" s="58"/>
      <c r="X362" s="58"/>
    </row>
    <row r="363">
      <c r="W363" s="58"/>
      <c r="X363" s="58"/>
    </row>
    <row r="364">
      <c r="W364" s="58"/>
      <c r="X364" s="58"/>
    </row>
    <row r="365">
      <c r="W365" s="58"/>
      <c r="X365" s="58"/>
    </row>
    <row r="366">
      <c r="W366" s="58"/>
      <c r="X366" s="58"/>
    </row>
    <row r="367">
      <c r="W367" s="58"/>
      <c r="X367" s="58"/>
    </row>
    <row r="368">
      <c r="W368" s="58"/>
      <c r="X368" s="58"/>
    </row>
    <row r="369">
      <c r="W369" s="58"/>
      <c r="X369" s="58"/>
    </row>
    <row r="370">
      <c r="W370" s="58"/>
      <c r="X370" s="58"/>
    </row>
    <row r="371">
      <c r="W371" s="58"/>
      <c r="X371" s="58"/>
    </row>
    <row r="372">
      <c r="W372" s="58"/>
      <c r="X372" s="58"/>
    </row>
    <row r="373">
      <c r="W373" s="58"/>
      <c r="X373" s="58"/>
    </row>
    <row r="374">
      <c r="W374" s="58"/>
      <c r="X374" s="58"/>
    </row>
    <row r="375">
      <c r="W375" s="58"/>
      <c r="X375" s="58"/>
    </row>
    <row r="376">
      <c r="W376" s="58"/>
      <c r="X376" s="58"/>
    </row>
    <row r="377">
      <c r="W377" s="58"/>
      <c r="X377" s="58"/>
    </row>
    <row r="378">
      <c r="W378" s="58"/>
      <c r="X378" s="58"/>
    </row>
    <row r="379">
      <c r="W379" s="58"/>
      <c r="X379" s="58"/>
    </row>
    <row r="380">
      <c r="W380" s="58"/>
      <c r="X380" s="58"/>
    </row>
    <row r="381">
      <c r="W381" s="58"/>
      <c r="X381" s="58"/>
    </row>
    <row r="382">
      <c r="W382" s="58"/>
      <c r="X382" s="58"/>
    </row>
    <row r="383">
      <c r="W383" s="58"/>
      <c r="X383" s="58"/>
    </row>
    <row r="384">
      <c r="W384" s="58"/>
      <c r="X384" s="58"/>
    </row>
    <row r="385">
      <c r="W385" s="58"/>
      <c r="X385" s="58"/>
    </row>
    <row r="386">
      <c r="W386" s="58"/>
      <c r="X386" s="58"/>
    </row>
    <row r="387">
      <c r="W387" s="58"/>
      <c r="X387" s="58"/>
    </row>
    <row r="388">
      <c r="W388" s="58"/>
      <c r="X388" s="58"/>
    </row>
    <row r="389">
      <c r="W389" s="58"/>
      <c r="X389" s="58"/>
    </row>
    <row r="390">
      <c r="W390" s="58"/>
      <c r="X390" s="58"/>
    </row>
    <row r="391">
      <c r="W391" s="58"/>
      <c r="X391" s="58"/>
    </row>
    <row r="392">
      <c r="W392" s="58"/>
      <c r="X392" s="58"/>
    </row>
    <row r="393">
      <c r="W393" s="58"/>
      <c r="X393" s="58"/>
    </row>
    <row r="394">
      <c r="W394" s="58"/>
      <c r="X394" s="58"/>
    </row>
    <row r="395">
      <c r="W395" s="58"/>
      <c r="X395" s="58"/>
    </row>
    <row r="396">
      <c r="W396" s="58"/>
      <c r="X396" s="58"/>
    </row>
    <row r="397">
      <c r="W397" s="58"/>
      <c r="X397" s="58"/>
    </row>
    <row r="398">
      <c r="W398" s="58"/>
      <c r="X398" s="58"/>
    </row>
    <row r="399">
      <c r="W399" s="58"/>
      <c r="X399" s="58"/>
    </row>
    <row r="400">
      <c r="W400" s="58"/>
      <c r="X400" s="58"/>
    </row>
    <row r="401">
      <c r="W401" s="58"/>
      <c r="X401" s="58"/>
    </row>
    <row r="402">
      <c r="W402" s="58"/>
      <c r="X402" s="58"/>
    </row>
    <row r="403">
      <c r="W403" s="58"/>
      <c r="X403" s="58"/>
    </row>
    <row r="404">
      <c r="W404" s="58"/>
      <c r="X404" s="58"/>
    </row>
    <row r="405">
      <c r="W405" s="58"/>
      <c r="X405" s="58"/>
    </row>
    <row r="406">
      <c r="W406" s="58"/>
      <c r="X406" s="58"/>
    </row>
    <row r="407">
      <c r="W407" s="58"/>
      <c r="X407" s="58"/>
    </row>
    <row r="408">
      <c r="W408" s="58"/>
      <c r="X408" s="58"/>
    </row>
    <row r="409">
      <c r="W409" s="58"/>
      <c r="X409" s="58"/>
    </row>
    <row r="410">
      <c r="W410" s="58"/>
      <c r="X410" s="58"/>
    </row>
    <row r="411">
      <c r="W411" s="58"/>
      <c r="X411" s="58"/>
    </row>
    <row r="412">
      <c r="W412" s="58"/>
      <c r="X412" s="58"/>
    </row>
    <row r="413">
      <c r="W413" s="58"/>
      <c r="X413" s="58"/>
    </row>
    <row r="414">
      <c r="W414" s="58"/>
      <c r="X414" s="58"/>
    </row>
    <row r="415">
      <c r="W415" s="58"/>
      <c r="X415" s="58"/>
    </row>
    <row r="416">
      <c r="W416" s="58"/>
      <c r="X416" s="58"/>
    </row>
    <row r="417">
      <c r="W417" s="58"/>
      <c r="X417" s="58"/>
    </row>
    <row r="418">
      <c r="W418" s="58"/>
      <c r="X418" s="58"/>
    </row>
    <row r="419">
      <c r="W419" s="58"/>
      <c r="X419" s="58"/>
    </row>
    <row r="420">
      <c r="W420" s="58"/>
      <c r="X420" s="58"/>
    </row>
    <row r="421">
      <c r="W421" s="58"/>
      <c r="X421" s="58"/>
    </row>
    <row r="422">
      <c r="W422" s="58"/>
      <c r="X422" s="58"/>
    </row>
    <row r="423">
      <c r="W423" s="58"/>
      <c r="X423" s="58"/>
    </row>
    <row r="424">
      <c r="W424" s="58"/>
      <c r="X424" s="58"/>
    </row>
    <row r="425">
      <c r="W425" s="58"/>
      <c r="X425" s="58"/>
    </row>
    <row r="426">
      <c r="W426" s="58"/>
      <c r="X426" s="58"/>
    </row>
    <row r="427">
      <c r="W427" s="58"/>
      <c r="X427" s="58"/>
    </row>
    <row r="428">
      <c r="W428" s="58"/>
      <c r="X428" s="58"/>
    </row>
    <row r="429">
      <c r="W429" s="58"/>
      <c r="X429" s="58"/>
    </row>
    <row r="430">
      <c r="W430" s="58"/>
      <c r="X430" s="58"/>
    </row>
    <row r="431">
      <c r="W431" s="58"/>
      <c r="X431" s="58"/>
    </row>
    <row r="432">
      <c r="W432" s="58"/>
      <c r="X432" s="58"/>
    </row>
    <row r="433">
      <c r="W433" s="58"/>
      <c r="X433" s="58"/>
    </row>
    <row r="434">
      <c r="W434" s="58"/>
      <c r="X434" s="58"/>
    </row>
    <row r="435">
      <c r="W435" s="58"/>
      <c r="X435" s="58"/>
    </row>
    <row r="436">
      <c r="W436" s="58"/>
      <c r="X436" s="58"/>
    </row>
    <row r="437">
      <c r="W437" s="58"/>
      <c r="X437" s="58"/>
    </row>
    <row r="438">
      <c r="W438" s="58"/>
      <c r="X438" s="58"/>
    </row>
    <row r="439">
      <c r="W439" s="58"/>
      <c r="X439" s="58"/>
    </row>
    <row r="440">
      <c r="W440" s="58"/>
      <c r="X440" s="58"/>
    </row>
    <row r="441">
      <c r="W441" s="58"/>
      <c r="X441" s="58"/>
    </row>
    <row r="442">
      <c r="W442" s="58"/>
      <c r="X442" s="58"/>
    </row>
    <row r="443">
      <c r="W443" s="58"/>
      <c r="X443" s="58"/>
    </row>
    <row r="444">
      <c r="W444" s="58"/>
      <c r="X444" s="58"/>
    </row>
    <row r="445">
      <c r="W445" s="58"/>
      <c r="X445" s="58"/>
    </row>
    <row r="446">
      <c r="W446" s="58"/>
      <c r="X446" s="58"/>
    </row>
    <row r="447">
      <c r="W447" s="58"/>
      <c r="X447" s="58"/>
    </row>
    <row r="448">
      <c r="W448" s="58"/>
      <c r="X448" s="58"/>
    </row>
    <row r="449">
      <c r="W449" s="58"/>
      <c r="X449" s="58"/>
    </row>
    <row r="450">
      <c r="W450" s="58"/>
      <c r="X450" s="58"/>
    </row>
    <row r="451">
      <c r="W451" s="58"/>
      <c r="X451" s="58"/>
    </row>
    <row r="452">
      <c r="W452" s="58"/>
      <c r="X452" s="58"/>
    </row>
    <row r="453">
      <c r="W453" s="58"/>
      <c r="X453" s="58"/>
    </row>
    <row r="454">
      <c r="W454" s="58"/>
      <c r="X454" s="58"/>
    </row>
    <row r="455">
      <c r="W455" s="58"/>
      <c r="X455" s="58"/>
    </row>
    <row r="456">
      <c r="W456" s="58"/>
      <c r="X456" s="58"/>
    </row>
    <row r="457">
      <c r="W457" s="58"/>
      <c r="X457" s="58"/>
    </row>
    <row r="458">
      <c r="W458" s="58"/>
      <c r="X458" s="58"/>
    </row>
    <row r="459">
      <c r="W459" s="58"/>
      <c r="X459" s="58"/>
    </row>
    <row r="460">
      <c r="W460" s="58"/>
      <c r="X460" s="58"/>
    </row>
    <row r="461">
      <c r="W461" s="58"/>
      <c r="X461" s="58"/>
    </row>
    <row r="462">
      <c r="W462" s="58"/>
      <c r="X462" s="58"/>
    </row>
    <row r="463">
      <c r="W463" s="58"/>
      <c r="X463" s="58"/>
    </row>
    <row r="464">
      <c r="W464" s="58"/>
      <c r="X464" s="58"/>
    </row>
    <row r="465">
      <c r="W465" s="58"/>
      <c r="X465" s="58"/>
    </row>
    <row r="466">
      <c r="W466" s="58"/>
      <c r="X466" s="58"/>
    </row>
    <row r="467">
      <c r="W467" s="58"/>
      <c r="X467" s="58"/>
    </row>
    <row r="468">
      <c r="W468" s="58"/>
      <c r="X468" s="58"/>
    </row>
    <row r="469">
      <c r="W469" s="58"/>
      <c r="X469" s="58"/>
    </row>
    <row r="470">
      <c r="W470" s="58"/>
      <c r="X470" s="58"/>
    </row>
    <row r="471">
      <c r="W471" s="58"/>
      <c r="X471" s="58"/>
    </row>
    <row r="472">
      <c r="W472" s="58"/>
      <c r="X472" s="58"/>
    </row>
    <row r="473">
      <c r="W473" s="58"/>
      <c r="X473" s="58"/>
    </row>
    <row r="474">
      <c r="W474" s="58"/>
      <c r="X474" s="58"/>
    </row>
    <row r="475">
      <c r="W475" s="58"/>
      <c r="X475" s="58"/>
    </row>
    <row r="476">
      <c r="W476" s="58"/>
      <c r="X476" s="58"/>
    </row>
    <row r="477">
      <c r="W477" s="58"/>
      <c r="X477" s="58"/>
    </row>
    <row r="478">
      <c r="W478" s="58"/>
      <c r="X478" s="58"/>
    </row>
    <row r="479">
      <c r="W479" s="58"/>
      <c r="X479" s="58"/>
    </row>
    <row r="480">
      <c r="W480" s="58"/>
      <c r="X480" s="58"/>
    </row>
    <row r="481">
      <c r="W481" s="58"/>
      <c r="X481" s="58"/>
    </row>
    <row r="482">
      <c r="W482" s="58"/>
      <c r="X482" s="58"/>
    </row>
    <row r="483">
      <c r="W483" s="58"/>
      <c r="X483" s="58"/>
    </row>
    <row r="484">
      <c r="W484" s="58"/>
      <c r="X484" s="58"/>
    </row>
    <row r="485">
      <c r="W485" s="58"/>
      <c r="X485" s="58"/>
    </row>
    <row r="486">
      <c r="W486" s="58"/>
      <c r="X486" s="58"/>
    </row>
    <row r="487">
      <c r="W487" s="58"/>
      <c r="X487" s="58"/>
    </row>
    <row r="488">
      <c r="W488" s="58"/>
      <c r="X488" s="58"/>
    </row>
    <row r="489">
      <c r="W489" s="58"/>
      <c r="X489" s="58"/>
    </row>
    <row r="490">
      <c r="W490" s="58"/>
      <c r="X490" s="58"/>
    </row>
    <row r="491">
      <c r="W491" s="58"/>
      <c r="X491" s="58"/>
    </row>
    <row r="492">
      <c r="W492" s="58"/>
      <c r="X492" s="58"/>
    </row>
    <row r="493">
      <c r="W493" s="58"/>
      <c r="X493" s="58"/>
    </row>
    <row r="494">
      <c r="W494" s="58"/>
      <c r="X494" s="58"/>
    </row>
    <row r="495">
      <c r="W495" s="58"/>
      <c r="X495" s="58"/>
    </row>
    <row r="496">
      <c r="W496" s="58"/>
      <c r="X496" s="58"/>
    </row>
    <row r="497">
      <c r="W497" s="58"/>
      <c r="X497" s="58"/>
    </row>
    <row r="498">
      <c r="W498" s="58"/>
      <c r="X498" s="58"/>
    </row>
    <row r="499">
      <c r="W499" s="58"/>
      <c r="X499" s="58"/>
    </row>
    <row r="500">
      <c r="W500" s="58"/>
      <c r="X500" s="58"/>
    </row>
    <row r="501">
      <c r="W501" s="58"/>
      <c r="X501" s="58"/>
    </row>
    <row r="502">
      <c r="W502" s="58"/>
      <c r="X502" s="58"/>
    </row>
    <row r="503">
      <c r="W503" s="58"/>
      <c r="X503" s="58"/>
    </row>
    <row r="504">
      <c r="W504" s="58"/>
      <c r="X504" s="58"/>
    </row>
    <row r="505">
      <c r="W505" s="58"/>
      <c r="X505" s="58"/>
    </row>
    <row r="506">
      <c r="W506" s="58"/>
      <c r="X506" s="58"/>
    </row>
    <row r="507">
      <c r="W507" s="58"/>
      <c r="X507" s="58"/>
    </row>
    <row r="508">
      <c r="W508" s="58"/>
      <c r="X508" s="58"/>
    </row>
    <row r="509">
      <c r="W509" s="58"/>
      <c r="X509" s="58"/>
    </row>
    <row r="510">
      <c r="W510" s="58"/>
      <c r="X510" s="58"/>
    </row>
    <row r="511">
      <c r="W511" s="58"/>
      <c r="X511" s="58"/>
    </row>
    <row r="512">
      <c r="W512" s="58"/>
      <c r="X512" s="58"/>
    </row>
    <row r="513">
      <c r="W513" s="58"/>
      <c r="X513" s="58"/>
    </row>
    <row r="514">
      <c r="W514" s="58"/>
      <c r="X514" s="58"/>
    </row>
    <row r="515">
      <c r="W515" s="58"/>
      <c r="X515" s="58"/>
    </row>
    <row r="516">
      <c r="W516" s="58"/>
      <c r="X516" s="58"/>
    </row>
    <row r="517">
      <c r="W517" s="58"/>
      <c r="X517" s="58"/>
    </row>
    <row r="518">
      <c r="W518" s="58"/>
      <c r="X518" s="58"/>
    </row>
    <row r="519">
      <c r="W519" s="58"/>
      <c r="X519" s="58"/>
    </row>
    <row r="520">
      <c r="W520" s="58"/>
      <c r="X520" s="58"/>
    </row>
    <row r="521">
      <c r="W521" s="58"/>
      <c r="X521" s="58"/>
    </row>
    <row r="522">
      <c r="W522" s="58"/>
      <c r="X522" s="58"/>
    </row>
    <row r="523">
      <c r="W523" s="58"/>
      <c r="X523" s="58"/>
    </row>
    <row r="524">
      <c r="W524" s="58"/>
      <c r="X524" s="58"/>
    </row>
    <row r="525">
      <c r="W525" s="58"/>
      <c r="X525" s="58"/>
    </row>
    <row r="526">
      <c r="W526" s="58"/>
      <c r="X526" s="58"/>
    </row>
    <row r="527">
      <c r="W527" s="58"/>
      <c r="X527" s="58"/>
    </row>
    <row r="528">
      <c r="W528" s="58"/>
      <c r="X528" s="58"/>
    </row>
    <row r="529">
      <c r="W529" s="58"/>
      <c r="X529" s="58"/>
    </row>
    <row r="530">
      <c r="W530" s="58"/>
      <c r="X530" s="58"/>
    </row>
    <row r="531">
      <c r="W531" s="58"/>
      <c r="X531" s="58"/>
    </row>
    <row r="532">
      <c r="W532" s="58"/>
      <c r="X532" s="58"/>
    </row>
    <row r="533">
      <c r="W533" s="58"/>
      <c r="X533" s="58"/>
    </row>
    <row r="534">
      <c r="W534" s="58"/>
      <c r="X534" s="58"/>
    </row>
    <row r="535">
      <c r="W535" s="58"/>
      <c r="X535" s="58"/>
    </row>
    <row r="536">
      <c r="W536" s="58"/>
      <c r="X536" s="58"/>
    </row>
    <row r="537">
      <c r="W537" s="58"/>
      <c r="X537" s="58"/>
    </row>
    <row r="538">
      <c r="W538" s="58"/>
      <c r="X538" s="58"/>
    </row>
    <row r="539">
      <c r="W539" s="58"/>
      <c r="X539" s="58"/>
    </row>
    <row r="540">
      <c r="W540" s="58"/>
      <c r="X540" s="58"/>
    </row>
    <row r="541">
      <c r="W541" s="58"/>
      <c r="X541" s="58"/>
    </row>
    <row r="542">
      <c r="W542" s="58"/>
      <c r="X542" s="58"/>
    </row>
    <row r="543">
      <c r="W543" s="58"/>
      <c r="X543" s="58"/>
    </row>
    <row r="544">
      <c r="W544" s="58"/>
      <c r="X544" s="58"/>
    </row>
    <row r="545">
      <c r="W545" s="58"/>
      <c r="X545" s="58"/>
    </row>
    <row r="546">
      <c r="W546" s="58"/>
      <c r="X546" s="58"/>
    </row>
    <row r="547">
      <c r="W547" s="58"/>
      <c r="X547" s="58"/>
    </row>
    <row r="548">
      <c r="W548" s="58"/>
      <c r="X548" s="58"/>
    </row>
    <row r="549">
      <c r="W549" s="58"/>
      <c r="X549" s="58"/>
    </row>
    <row r="550">
      <c r="W550" s="58"/>
      <c r="X550" s="58"/>
    </row>
    <row r="551">
      <c r="W551" s="58"/>
      <c r="X551" s="58"/>
    </row>
    <row r="552">
      <c r="W552" s="58"/>
      <c r="X552" s="58"/>
    </row>
    <row r="553">
      <c r="W553" s="58"/>
      <c r="X553" s="58"/>
    </row>
    <row r="554">
      <c r="W554" s="58"/>
      <c r="X554" s="58"/>
    </row>
    <row r="555">
      <c r="W555" s="58"/>
      <c r="X555" s="58"/>
    </row>
    <row r="556">
      <c r="W556" s="58"/>
      <c r="X556" s="58"/>
    </row>
    <row r="557">
      <c r="W557" s="58"/>
      <c r="X557" s="58"/>
    </row>
    <row r="558">
      <c r="W558" s="58"/>
      <c r="X558" s="58"/>
    </row>
    <row r="559">
      <c r="W559" s="58"/>
      <c r="X559" s="58"/>
    </row>
    <row r="560">
      <c r="W560" s="58"/>
      <c r="X560" s="58"/>
    </row>
    <row r="561">
      <c r="W561" s="58"/>
      <c r="X561" s="58"/>
    </row>
    <row r="562">
      <c r="W562" s="58"/>
      <c r="X562" s="58"/>
    </row>
    <row r="563">
      <c r="W563" s="58"/>
      <c r="X563" s="58"/>
    </row>
    <row r="564">
      <c r="W564" s="58"/>
      <c r="X564" s="58"/>
    </row>
    <row r="565">
      <c r="W565" s="58"/>
      <c r="X565" s="58"/>
    </row>
    <row r="566">
      <c r="W566" s="58"/>
      <c r="X566" s="58"/>
    </row>
    <row r="567">
      <c r="W567" s="58"/>
      <c r="X567" s="58"/>
    </row>
    <row r="568">
      <c r="W568" s="58"/>
      <c r="X568" s="58"/>
    </row>
    <row r="569">
      <c r="W569" s="58"/>
      <c r="X569" s="58"/>
    </row>
    <row r="570">
      <c r="W570" s="58"/>
      <c r="X570" s="58"/>
    </row>
    <row r="571">
      <c r="W571" s="58"/>
      <c r="X571" s="58"/>
    </row>
    <row r="572">
      <c r="W572" s="58"/>
      <c r="X572" s="58"/>
    </row>
    <row r="573">
      <c r="W573" s="58"/>
      <c r="X573" s="58"/>
    </row>
    <row r="574">
      <c r="W574" s="58"/>
      <c r="X574" s="58"/>
    </row>
    <row r="575">
      <c r="W575" s="58"/>
      <c r="X575" s="58"/>
    </row>
    <row r="576">
      <c r="W576" s="58"/>
      <c r="X576" s="58"/>
    </row>
    <row r="577">
      <c r="W577" s="58"/>
      <c r="X577" s="58"/>
    </row>
    <row r="578">
      <c r="W578" s="58"/>
      <c r="X578" s="58"/>
    </row>
    <row r="579">
      <c r="W579" s="58"/>
      <c r="X579" s="58"/>
    </row>
    <row r="580">
      <c r="W580" s="58"/>
      <c r="X580" s="58"/>
    </row>
    <row r="581">
      <c r="W581" s="58"/>
      <c r="X581" s="58"/>
    </row>
    <row r="582">
      <c r="W582" s="58"/>
      <c r="X582" s="58"/>
    </row>
    <row r="583">
      <c r="W583" s="58"/>
      <c r="X583" s="58"/>
    </row>
    <row r="584">
      <c r="W584" s="58"/>
      <c r="X584" s="58"/>
    </row>
    <row r="585">
      <c r="W585" s="58"/>
      <c r="X585" s="58"/>
    </row>
    <row r="586">
      <c r="W586" s="58"/>
      <c r="X586" s="58"/>
    </row>
    <row r="587">
      <c r="W587" s="58"/>
      <c r="X587" s="58"/>
    </row>
    <row r="588">
      <c r="W588" s="58"/>
      <c r="X588" s="58"/>
    </row>
    <row r="589">
      <c r="W589" s="58"/>
      <c r="X589" s="58"/>
    </row>
    <row r="590">
      <c r="W590" s="58"/>
      <c r="X590" s="58"/>
    </row>
    <row r="591">
      <c r="W591" s="58"/>
      <c r="X591" s="58"/>
    </row>
    <row r="592">
      <c r="W592" s="58"/>
      <c r="X592" s="58"/>
    </row>
    <row r="593">
      <c r="W593" s="58"/>
      <c r="X593" s="58"/>
    </row>
    <row r="594">
      <c r="W594" s="58"/>
      <c r="X594" s="58"/>
    </row>
    <row r="595">
      <c r="W595" s="58"/>
      <c r="X595" s="58"/>
    </row>
    <row r="596">
      <c r="W596" s="58"/>
      <c r="X596" s="58"/>
    </row>
    <row r="597">
      <c r="W597" s="58"/>
      <c r="X597" s="58"/>
    </row>
    <row r="598">
      <c r="W598" s="58"/>
      <c r="X598" s="58"/>
    </row>
    <row r="599">
      <c r="W599" s="58"/>
      <c r="X599" s="58"/>
    </row>
    <row r="600">
      <c r="W600" s="58"/>
      <c r="X600" s="58"/>
    </row>
    <row r="601">
      <c r="W601" s="58"/>
      <c r="X601" s="58"/>
    </row>
    <row r="602">
      <c r="W602" s="58"/>
      <c r="X602" s="58"/>
    </row>
    <row r="603">
      <c r="W603" s="58"/>
      <c r="X603" s="58"/>
    </row>
    <row r="604">
      <c r="W604" s="58"/>
      <c r="X604" s="58"/>
    </row>
    <row r="605">
      <c r="W605" s="58"/>
      <c r="X605" s="58"/>
    </row>
    <row r="606">
      <c r="W606" s="58"/>
      <c r="X606" s="58"/>
    </row>
    <row r="607">
      <c r="W607" s="58"/>
      <c r="X607" s="58"/>
    </row>
    <row r="608">
      <c r="W608" s="58"/>
      <c r="X608" s="58"/>
    </row>
    <row r="609">
      <c r="W609" s="58"/>
      <c r="X609" s="58"/>
    </row>
    <row r="610">
      <c r="W610" s="58"/>
      <c r="X610" s="58"/>
    </row>
    <row r="611">
      <c r="W611" s="58"/>
      <c r="X611" s="58"/>
    </row>
    <row r="612">
      <c r="W612" s="58"/>
      <c r="X612" s="58"/>
    </row>
    <row r="613">
      <c r="W613" s="58"/>
      <c r="X613" s="58"/>
    </row>
    <row r="614">
      <c r="W614" s="58"/>
      <c r="X614" s="58"/>
    </row>
    <row r="615">
      <c r="W615" s="58"/>
      <c r="X615" s="58"/>
    </row>
    <row r="616">
      <c r="W616" s="58"/>
      <c r="X616" s="58"/>
    </row>
    <row r="617">
      <c r="W617" s="58"/>
      <c r="X617" s="58"/>
    </row>
    <row r="618">
      <c r="W618" s="58"/>
      <c r="X618" s="58"/>
    </row>
    <row r="619">
      <c r="W619" s="58"/>
      <c r="X619" s="58"/>
    </row>
    <row r="620">
      <c r="W620" s="58"/>
      <c r="X620" s="58"/>
    </row>
    <row r="621">
      <c r="W621" s="58"/>
      <c r="X621" s="58"/>
    </row>
    <row r="622">
      <c r="W622" s="58"/>
      <c r="X622" s="58"/>
    </row>
    <row r="623">
      <c r="W623" s="58"/>
      <c r="X623" s="58"/>
    </row>
    <row r="624">
      <c r="W624" s="58"/>
      <c r="X624" s="58"/>
    </row>
    <row r="625">
      <c r="W625" s="58"/>
      <c r="X625" s="58"/>
    </row>
    <row r="626">
      <c r="W626" s="58"/>
      <c r="X626" s="58"/>
    </row>
    <row r="627">
      <c r="W627" s="58"/>
      <c r="X627" s="58"/>
    </row>
    <row r="628">
      <c r="W628" s="58"/>
      <c r="X628" s="58"/>
    </row>
    <row r="629">
      <c r="W629" s="58"/>
      <c r="X629" s="58"/>
    </row>
    <row r="630">
      <c r="W630" s="58"/>
      <c r="X630" s="58"/>
    </row>
    <row r="631">
      <c r="W631" s="58"/>
      <c r="X631" s="58"/>
    </row>
    <row r="632">
      <c r="W632" s="58"/>
      <c r="X632" s="58"/>
    </row>
    <row r="633">
      <c r="W633" s="58"/>
      <c r="X633" s="58"/>
    </row>
    <row r="634">
      <c r="W634" s="58"/>
      <c r="X634" s="58"/>
    </row>
    <row r="635">
      <c r="W635" s="58"/>
      <c r="X635" s="58"/>
    </row>
    <row r="636">
      <c r="W636" s="58"/>
      <c r="X636" s="58"/>
    </row>
    <row r="637">
      <c r="W637" s="58"/>
      <c r="X637" s="58"/>
    </row>
    <row r="638">
      <c r="W638" s="58"/>
      <c r="X638" s="58"/>
    </row>
    <row r="639">
      <c r="W639" s="58"/>
      <c r="X639" s="58"/>
    </row>
    <row r="640">
      <c r="W640" s="58"/>
      <c r="X640" s="58"/>
    </row>
    <row r="641">
      <c r="W641" s="58"/>
      <c r="X641" s="58"/>
    </row>
    <row r="642">
      <c r="W642" s="58"/>
      <c r="X642" s="58"/>
    </row>
    <row r="643">
      <c r="W643" s="58"/>
      <c r="X643" s="58"/>
    </row>
    <row r="644">
      <c r="W644" s="58"/>
      <c r="X644" s="58"/>
    </row>
    <row r="645">
      <c r="W645" s="58"/>
      <c r="X645" s="58"/>
    </row>
    <row r="646">
      <c r="W646" s="58"/>
      <c r="X646" s="58"/>
    </row>
    <row r="647">
      <c r="W647" s="58"/>
      <c r="X647" s="58"/>
    </row>
    <row r="648">
      <c r="W648" s="58"/>
      <c r="X648" s="58"/>
    </row>
    <row r="649">
      <c r="W649" s="58"/>
      <c r="X649" s="58"/>
    </row>
    <row r="650">
      <c r="W650" s="58"/>
      <c r="X650" s="58"/>
    </row>
    <row r="651">
      <c r="W651" s="58"/>
      <c r="X651" s="58"/>
    </row>
    <row r="652">
      <c r="W652" s="58"/>
      <c r="X652" s="58"/>
    </row>
    <row r="653">
      <c r="W653" s="58"/>
      <c r="X653" s="58"/>
    </row>
    <row r="654">
      <c r="W654" s="58"/>
      <c r="X654" s="58"/>
    </row>
    <row r="655">
      <c r="W655" s="58"/>
      <c r="X655" s="58"/>
    </row>
    <row r="656">
      <c r="W656" s="58"/>
      <c r="X656" s="58"/>
    </row>
    <row r="657">
      <c r="W657" s="58"/>
      <c r="X657" s="58"/>
    </row>
    <row r="658">
      <c r="W658" s="58"/>
      <c r="X658" s="58"/>
    </row>
    <row r="659">
      <c r="W659" s="58"/>
      <c r="X659" s="58"/>
    </row>
    <row r="660">
      <c r="W660" s="58"/>
      <c r="X660" s="58"/>
    </row>
    <row r="661">
      <c r="W661" s="58"/>
      <c r="X661" s="58"/>
    </row>
    <row r="662">
      <c r="W662" s="58"/>
      <c r="X662" s="58"/>
    </row>
    <row r="663">
      <c r="W663" s="58"/>
      <c r="X663" s="58"/>
    </row>
    <row r="664">
      <c r="W664" s="58"/>
      <c r="X664" s="58"/>
    </row>
    <row r="665">
      <c r="W665" s="58"/>
      <c r="X665" s="58"/>
    </row>
    <row r="666">
      <c r="W666" s="58"/>
      <c r="X666" s="58"/>
    </row>
    <row r="667">
      <c r="W667" s="58"/>
      <c r="X667" s="58"/>
    </row>
    <row r="668">
      <c r="W668" s="58"/>
      <c r="X668" s="58"/>
    </row>
    <row r="669">
      <c r="W669" s="58"/>
      <c r="X669" s="58"/>
    </row>
    <row r="670">
      <c r="W670" s="58"/>
      <c r="X670" s="58"/>
    </row>
    <row r="671">
      <c r="W671" s="58"/>
      <c r="X671" s="58"/>
    </row>
    <row r="672">
      <c r="W672" s="58"/>
      <c r="X672" s="58"/>
    </row>
    <row r="673">
      <c r="W673" s="58"/>
      <c r="X673" s="58"/>
    </row>
    <row r="674">
      <c r="W674" s="58"/>
      <c r="X674" s="58"/>
    </row>
    <row r="675">
      <c r="W675" s="58"/>
      <c r="X675" s="58"/>
    </row>
    <row r="676">
      <c r="W676" s="58"/>
      <c r="X676" s="58"/>
    </row>
    <row r="677">
      <c r="W677" s="58"/>
      <c r="X677" s="58"/>
    </row>
    <row r="678">
      <c r="W678" s="58"/>
      <c r="X678" s="58"/>
    </row>
    <row r="679">
      <c r="W679" s="58"/>
      <c r="X679" s="58"/>
    </row>
    <row r="680">
      <c r="W680" s="58"/>
      <c r="X680" s="58"/>
    </row>
    <row r="681">
      <c r="W681" s="58"/>
      <c r="X681" s="58"/>
    </row>
    <row r="682">
      <c r="W682" s="58"/>
      <c r="X682" s="58"/>
    </row>
    <row r="683">
      <c r="W683" s="58"/>
      <c r="X683" s="58"/>
    </row>
    <row r="684">
      <c r="W684" s="58"/>
      <c r="X684" s="58"/>
    </row>
    <row r="685">
      <c r="W685" s="58"/>
      <c r="X685" s="58"/>
    </row>
    <row r="686">
      <c r="W686" s="58"/>
      <c r="X686" s="58"/>
    </row>
    <row r="687">
      <c r="W687" s="58"/>
      <c r="X687" s="58"/>
    </row>
    <row r="688">
      <c r="W688" s="58"/>
      <c r="X688" s="58"/>
    </row>
    <row r="689">
      <c r="W689" s="58"/>
      <c r="X689" s="58"/>
    </row>
    <row r="690">
      <c r="W690" s="58"/>
      <c r="X690" s="58"/>
    </row>
    <row r="691">
      <c r="W691" s="58"/>
      <c r="X691" s="58"/>
    </row>
    <row r="692">
      <c r="W692" s="58"/>
      <c r="X692" s="58"/>
    </row>
    <row r="693">
      <c r="W693" s="58"/>
      <c r="X693" s="58"/>
    </row>
    <row r="694">
      <c r="W694" s="58"/>
      <c r="X694" s="58"/>
    </row>
    <row r="695">
      <c r="W695" s="58"/>
      <c r="X695" s="58"/>
    </row>
    <row r="696">
      <c r="W696" s="58"/>
      <c r="X696" s="58"/>
    </row>
    <row r="697">
      <c r="W697" s="58"/>
      <c r="X697" s="58"/>
    </row>
    <row r="698">
      <c r="W698" s="58"/>
      <c r="X698" s="58"/>
    </row>
    <row r="699">
      <c r="W699" s="58"/>
      <c r="X699" s="58"/>
    </row>
    <row r="700">
      <c r="W700" s="58"/>
      <c r="X700" s="58"/>
    </row>
    <row r="701">
      <c r="W701" s="58"/>
      <c r="X701" s="58"/>
    </row>
    <row r="702">
      <c r="W702" s="58"/>
      <c r="X702" s="58"/>
    </row>
    <row r="703">
      <c r="W703" s="58"/>
      <c r="X703" s="58"/>
    </row>
    <row r="704">
      <c r="W704" s="58"/>
      <c r="X704" s="58"/>
    </row>
    <row r="705">
      <c r="W705" s="58"/>
      <c r="X705" s="58"/>
    </row>
    <row r="706">
      <c r="W706" s="58"/>
      <c r="X706" s="58"/>
    </row>
    <row r="707">
      <c r="W707" s="58"/>
      <c r="X707" s="58"/>
    </row>
    <row r="708">
      <c r="W708" s="58"/>
      <c r="X708" s="58"/>
    </row>
    <row r="709">
      <c r="W709" s="58"/>
      <c r="X709" s="58"/>
    </row>
    <row r="710">
      <c r="W710" s="58"/>
      <c r="X710" s="58"/>
    </row>
    <row r="711">
      <c r="W711" s="58"/>
      <c r="X711" s="58"/>
    </row>
    <row r="712">
      <c r="W712" s="58"/>
      <c r="X712" s="58"/>
    </row>
    <row r="713">
      <c r="W713" s="58"/>
      <c r="X713" s="58"/>
    </row>
    <row r="714">
      <c r="W714" s="58"/>
      <c r="X714" s="58"/>
    </row>
    <row r="715">
      <c r="W715" s="58"/>
      <c r="X715" s="58"/>
    </row>
    <row r="716">
      <c r="W716" s="58"/>
      <c r="X716" s="58"/>
    </row>
    <row r="717">
      <c r="W717" s="58"/>
      <c r="X717" s="58"/>
    </row>
    <row r="718">
      <c r="W718" s="58"/>
      <c r="X718" s="58"/>
    </row>
    <row r="719">
      <c r="W719" s="58"/>
      <c r="X719" s="58"/>
    </row>
    <row r="720">
      <c r="W720" s="58"/>
      <c r="X720" s="58"/>
    </row>
    <row r="721">
      <c r="W721" s="58"/>
      <c r="X721" s="58"/>
    </row>
    <row r="722">
      <c r="W722" s="58"/>
      <c r="X722" s="58"/>
    </row>
    <row r="723">
      <c r="W723" s="58"/>
      <c r="X723" s="58"/>
    </row>
    <row r="724">
      <c r="W724" s="58"/>
      <c r="X724" s="58"/>
    </row>
    <row r="725">
      <c r="W725" s="58"/>
      <c r="X725" s="58"/>
    </row>
    <row r="726">
      <c r="W726" s="58"/>
      <c r="X726" s="58"/>
    </row>
    <row r="727">
      <c r="W727" s="58"/>
      <c r="X727" s="58"/>
    </row>
    <row r="728">
      <c r="W728" s="58"/>
      <c r="X728" s="58"/>
    </row>
    <row r="729">
      <c r="W729" s="58"/>
      <c r="X729" s="58"/>
    </row>
    <row r="730">
      <c r="W730" s="58"/>
      <c r="X730" s="58"/>
    </row>
    <row r="731">
      <c r="W731" s="58"/>
      <c r="X731" s="58"/>
    </row>
    <row r="732">
      <c r="W732" s="58"/>
      <c r="X732" s="58"/>
    </row>
    <row r="733">
      <c r="W733" s="58"/>
      <c r="X733" s="58"/>
    </row>
    <row r="734">
      <c r="W734" s="58"/>
      <c r="X734" s="58"/>
    </row>
    <row r="735">
      <c r="W735" s="58"/>
      <c r="X735" s="58"/>
    </row>
    <row r="736">
      <c r="W736" s="58"/>
      <c r="X736" s="58"/>
    </row>
    <row r="737">
      <c r="W737" s="58"/>
      <c r="X737" s="58"/>
    </row>
    <row r="738">
      <c r="W738" s="58"/>
      <c r="X738" s="58"/>
    </row>
    <row r="739">
      <c r="W739" s="58"/>
      <c r="X739" s="58"/>
    </row>
    <row r="740">
      <c r="W740" s="58"/>
      <c r="X740" s="58"/>
    </row>
    <row r="741">
      <c r="W741" s="58"/>
      <c r="X741" s="58"/>
    </row>
    <row r="742">
      <c r="W742" s="58"/>
      <c r="X742" s="58"/>
    </row>
    <row r="743">
      <c r="W743" s="58"/>
      <c r="X743" s="58"/>
    </row>
    <row r="744">
      <c r="W744" s="58"/>
      <c r="X744" s="58"/>
    </row>
    <row r="745">
      <c r="W745" s="58"/>
      <c r="X745" s="58"/>
    </row>
    <row r="746">
      <c r="W746" s="58"/>
      <c r="X746" s="58"/>
    </row>
    <row r="747">
      <c r="W747" s="58"/>
      <c r="X747" s="58"/>
    </row>
    <row r="748">
      <c r="W748" s="58"/>
      <c r="X748" s="58"/>
    </row>
    <row r="749">
      <c r="W749" s="58"/>
      <c r="X749" s="58"/>
    </row>
    <row r="750">
      <c r="W750" s="58"/>
      <c r="X750" s="58"/>
    </row>
    <row r="751">
      <c r="W751" s="58"/>
      <c r="X751" s="58"/>
    </row>
    <row r="752">
      <c r="W752" s="58"/>
      <c r="X752" s="58"/>
    </row>
    <row r="753">
      <c r="W753" s="58"/>
      <c r="X753" s="58"/>
    </row>
    <row r="754">
      <c r="W754" s="58"/>
      <c r="X754" s="58"/>
    </row>
    <row r="755">
      <c r="W755" s="58"/>
      <c r="X755" s="58"/>
    </row>
    <row r="756">
      <c r="W756" s="58"/>
      <c r="X756" s="58"/>
    </row>
    <row r="757">
      <c r="W757" s="58"/>
      <c r="X757" s="58"/>
    </row>
    <row r="758">
      <c r="W758" s="58"/>
      <c r="X758" s="58"/>
    </row>
    <row r="759">
      <c r="W759" s="58"/>
      <c r="X759" s="58"/>
    </row>
    <row r="760">
      <c r="W760" s="58"/>
      <c r="X760" s="58"/>
    </row>
    <row r="761">
      <c r="W761" s="58"/>
      <c r="X761" s="58"/>
    </row>
    <row r="762">
      <c r="W762" s="58"/>
      <c r="X762" s="58"/>
    </row>
    <row r="763">
      <c r="W763" s="58"/>
      <c r="X763" s="58"/>
    </row>
    <row r="764">
      <c r="W764" s="58"/>
      <c r="X764" s="58"/>
    </row>
    <row r="765">
      <c r="W765" s="58"/>
      <c r="X765" s="58"/>
    </row>
    <row r="766">
      <c r="W766" s="58"/>
      <c r="X766" s="58"/>
    </row>
    <row r="767">
      <c r="W767" s="58"/>
      <c r="X767" s="58"/>
    </row>
    <row r="768">
      <c r="W768" s="58"/>
      <c r="X768" s="58"/>
    </row>
    <row r="769">
      <c r="W769" s="58"/>
      <c r="X769" s="58"/>
    </row>
    <row r="770">
      <c r="W770" s="58"/>
      <c r="X770" s="58"/>
    </row>
    <row r="771">
      <c r="W771" s="58"/>
      <c r="X771" s="58"/>
    </row>
    <row r="772">
      <c r="W772" s="58"/>
      <c r="X772" s="58"/>
    </row>
    <row r="773">
      <c r="W773" s="58"/>
      <c r="X773" s="58"/>
    </row>
    <row r="774">
      <c r="W774" s="58"/>
      <c r="X774" s="58"/>
    </row>
    <row r="775">
      <c r="W775" s="58"/>
      <c r="X775" s="58"/>
    </row>
    <row r="776">
      <c r="W776" s="58"/>
      <c r="X776" s="58"/>
    </row>
    <row r="777">
      <c r="W777" s="58"/>
      <c r="X777" s="58"/>
    </row>
    <row r="778">
      <c r="W778" s="58"/>
      <c r="X778" s="58"/>
    </row>
    <row r="779">
      <c r="W779" s="58"/>
      <c r="X779" s="58"/>
    </row>
    <row r="780">
      <c r="W780" s="58"/>
      <c r="X780" s="58"/>
    </row>
    <row r="781">
      <c r="W781" s="58"/>
      <c r="X781" s="58"/>
    </row>
    <row r="782">
      <c r="W782" s="58"/>
      <c r="X782" s="58"/>
    </row>
    <row r="783">
      <c r="W783" s="58"/>
      <c r="X783" s="58"/>
    </row>
    <row r="784">
      <c r="W784" s="58"/>
      <c r="X784" s="58"/>
    </row>
    <row r="785">
      <c r="W785" s="58"/>
      <c r="X785" s="58"/>
    </row>
    <row r="786">
      <c r="W786" s="58"/>
      <c r="X786" s="58"/>
    </row>
    <row r="787">
      <c r="W787" s="58"/>
      <c r="X787" s="58"/>
    </row>
    <row r="788">
      <c r="W788" s="58"/>
      <c r="X788" s="58"/>
    </row>
    <row r="789">
      <c r="W789" s="58"/>
      <c r="X789" s="58"/>
    </row>
    <row r="790">
      <c r="W790" s="58"/>
      <c r="X790" s="58"/>
    </row>
    <row r="791">
      <c r="W791" s="58"/>
      <c r="X791" s="58"/>
    </row>
    <row r="792">
      <c r="W792" s="58"/>
      <c r="X792" s="58"/>
    </row>
    <row r="793">
      <c r="W793" s="58"/>
      <c r="X793" s="58"/>
    </row>
    <row r="794">
      <c r="W794" s="58"/>
      <c r="X794" s="58"/>
    </row>
    <row r="795">
      <c r="W795" s="58"/>
      <c r="X795" s="58"/>
    </row>
    <row r="796">
      <c r="W796" s="58"/>
      <c r="X796" s="58"/>
    </row>
    <row r="797">
      <c r="W797" s="58"/>
      <c r="X797" s="58"/>
    </row>
    <row r="798">
      <c r="W798" s="58"/>
      <c r="X798" s="58"/>
    </row>
    <row r="799">
      <c r="W799" s="58"/>
      <c r="X799" s="58"/>
    </row>
    <row r="800">
      <c r="W800" s="58"/>
      <c r="X800" s="58"/>
    </row>
    <row r="801">
      <c r="W801" s="58"/>
      <c r="X801" s="58"/>
    </row>
    <row r="802">
      <c r="W802" s="58"/>
      <c r="X802" s="58"/>
    </row>
    <row r="803">
      <c r="W803" s="58"/>
      <c r="X803" s="58"/>
    </row>
    <row r="804">
      <c r="W804" s="58"/>
      <c r="X804" s="58"/>
    </row>
    <row r="805">
      <c r="W805" s="58"/>
      <c r="X805" s="58"/>
    </row>
    <row r="806">
      <c r="W806" s="58"/>
      <c r="X806" s="58"/>
    </row>
    <row r="807">
      <c r="W807" s="58"/>
      <c r="X807" s="58"/>
    </row>
    <row r="808">
      <c r="W808" s="58"/>
      <c r="X808" s="58"/>
    </row>
    <row r="809">
      <c r="W809" s="58"/>
      <c r="X809" s="58"/>
    </row>
    <row r="810">
      <c r="W810" s="58"/>
      <c r="X810" s="58"/>
    </row>
    <row r="811">
      <c r="W811" s="58"/>
      <c r="X811" s="58"/>
    </row>
    <row r="812">
      <c r="W812" s="58"/>
      <c r="X812" s="58"/>
    </row>
    <row r="813">
      <c r="W813" s="58"/>
      <c r="X813" s="58"/>
    </row>
    <row r="814">
      <c r="W814" s="58"/>
      <c r="X814" s="58"/>
    </row>
    <row r="815">
      <c r="W815" s="58"/>
      <c r="X815" s="58"/>
    </row>
    <row r="816">
      <c r="W816" s="58"/>
      <c r="X816" s="58"/>
    </row>
    <row r="817">
      <c r="W817" s="58"/>
      <c r="X817" s="58"/>
    </row>
    <row r="818">
      <c r="W818" s="58"/>
      <c r="X818" s="58"/>
    </row>
    <row r="819">
      <c r="W819" s="58"/>
      <c r="X819" s="58"/>
    </row>
    <row r="820">
      <c r="W820" s="58"/>
      <c r="X820" s="58"/>
    </row>
    <row r="821">
      <c r="W821" s="58"/>
      <c r="X821" s="58"/>
    </row>
    <row r="822">
      <c r="W822" s="58"/>
      <c r="X822" s="58"/>
    </row>
    <row r="823">
      <c r="W823" s="58"/>
      <c r="X823" s="58"/>
    </row>
    <row r="824">
      <c r="W824" s="58"/>
      <c r="X824" s="58"/>
    </row>
    <row r="825">
      <c r="W825" s="58"/>
      <c r="X825" s="58"/>
    </row>
    <row r="826">
      <c r="W826" s="58"/>
      <c r="X826" s="58"/>
    </row>
    <row r="827">
      <c r="W827" s="58"/>
      <c r="X827" s="58"/>
    </row>
    <row r="828">
      <c r="W828" s="58"/>
      <c r="X828" s="58"/>
    </row>
    <row r="829">
      <c r="W829" s="58"/>
      <c r="X829" s="58"/>
    </row>
    <row r="830">
      <c r="W830" s="58"/>
      <c r="X830" s="58"/>
    </row>
    <row r="831">
      <c r="W831" s="58"/>
      <c r="X831" s="58"/>
    </row>
    <row r="832">
      <c r="W832" s="58"/>
      <c r="X832" s="58"/>
    </row>
    <row r="833">
      <c r="W833" s="58"/>
      <c r="X833" s="58"/>
    </row>
    <row r="834">
      <c r="W834" s="58"/>
      <c r="X834" s="58"/>
    </row>
    <row r="835">
      <c r="W835" s="58"/>
      <c r="X835" s="58"/>
    </row>
    <row r="836">
      <c r="W836" s="58"/>
      <c r="X836" s="58"/>
    </row>
    <row r="837">
      <c r="W837" s="58"/>
      <c r="X837" s="58"/>
    </row>
    <row r="838">
      <c r="W838" s="58"/>
      <c r="X838" s="58"/>
    </row>
    <row r="839">
      <c r="W839" s="58"/>
      <c r="X839" s="58"/>
    </row>
    <row r="840">
      <c r="W840" s="58"/>
      <c r="X840" s="58"/>
    </row>
    <row r="841">
      <c r="W841" s="58"/>
      <c r="X841" s="58"/>
    </row>
    <row r="842">
      <c r="W842" s="58"/>
      <c r="X842" s="58"/>
    </row>
    <row r="843">
      <c r="W843" s="58"/>
      <c r="X843" s="58"/>
    </row>
    <row r="844">
      <c r="W844" s="58"/>
      <c r="X844" s="58"/>
    </row>
    <row r="845">
      <c r="W845" s="58"/>
      <c r="X845" s="58"/>
    </row>
    <row r="846">
      <c r="W846" s="58"/>
      <c r="X846" s="58"/>
    </row>
    <row r="847">
      <c r="W847" s="58"/>
      <c r="X847" s="58"/>
    </row>
    <row r="848">
      <c r="W848" s="58"/>
      <c r="X848" s="58"/>
    </row>
    <row r="849">
      <c r="W849" s="58"/>
      <c r="X849" s="58"/>
    </row>
    <row r="850">
      <c r="W850" s="58"/>
      <c r="X850" s="58"/>
    </row>
    <row r="851">
      <c r="W851" s="58"/>
      <c r="X851" s="58"/>
    </row>
    <row r="852">
      <c r="W852" s="58"/>
      <c r="X852" s="58"/>
    </row>
    <row r="853">
      <c r="W853" s="58"/>
      <c r="X853" s="58"/>
    </row>
    <row r="854">
      <c r="W854" s="58"/>
      <c r="X854" s="58"/>
    </row>
    <row r="855">
      <c r="W855" s="58"/>
      <c r="X855" s="58"/>
    </row>
    <row r="856">
      <c r="W856" s="58"/>
      <c r="X856" s="58"/>
    </row>
    <row r="857">
      <c r="W857" s="58"/>
      <c r="X857" s="58"/>
    </row>
    <row r="858">
      <c r="W858" s="58"/>
      <c r="X858" s="58"/>
    </row>
    <row r="859">
      <c r="W859" s="58"/>
      <c r="X859" s="58"/>
    </row>
    <row r="860">
      <c r="W860" s="58"/>
      <c r="X860" s="58"/>
    </row>
    <row r="861">
      <c r="W861" s="58"/>
      <c r="X861" s="58"/>
    </row>
    <row r="862">
      <c r="W862" s="58"/>
      <c r="X862" s="58"/>
    </row>
    <row r="863">
      <c r="W863" s="58"/>
      <c r="X863" s="58"/>
    </row>
    <row r="864">
      <c r="W864" s="58"/>
      <c r="X864" s="58"/>
    </row>
    <row r="865">
      <c r="W865" s="58"/>
      <c r="X865" s="58"/>
    </row>
    <row r="866">
      <c r="W866" s="58"/>
      <c r="X866" s="58"/>
    </row>
    <row r="867">
      <c r="W867" s="58"/>
      <c r="X867" s="58"/>
    </row>
    <row r="868">
      <c r="W868" s="58"/>
      <c r="X868" s="58"/>
    </row>
    <row r="869">
      <c r="W869" s="58"/>
      <c r="X869" s="58"/>
    </row>
    <row r="870">
      <c r="W870" s="58"/>
      <c r="X870" s="58"/>
    </row>
    <row r="871">
      <c r="W871" s="58"/>
      <c r="X871" s="58"/>
    </row>
    <row r="872">
      <c r="W872" s="58"/>
      <c r="X872" s="58"/>
    </row>
    <row r="873">
      <c r="W873" s="58"/>
      <c r="X873" s="58"/>
    </row>
    <row r="874">
      <c r="W874" s="58"/>
      <c r="X874" s="58"/>
    </row>
    <row r="875">
      <c r="W875" s="58"/>
      <c r="X875" s="58"/>
    </row>
    <row r="876">
      <c r="W876" s="58"/>
      <c r="X876" s="58"/>
    </row>
    <row r="877">
      <c r="W877" s="58"/>
      <c r="X877" s="58"/>
    </row>
    <row r="878">
      <c r="W878" s="58"/>
      <c r="X878" s="58"/>
    </row>
    <row r="879">
      <c r="W879" s="58"/>
      <c r="X879" s="58"/>
    </row>
    <row r="880">
      <c r="W880" s="58"/>
      <c r="X880" s="58"/>
    </row>
    <row r="881">
      <c r="W881" s="58"/>
      <c r="X881" s="58"/>
    </row>
    <row r="882">
      <c r="W882" s="58"/>
      <c r="X882" s="58"/>
    </row>
    <row r="883">
      <c r="W883" s="58"/>
      <c r="X883" s="58"/>
    </row>
    <row r="884">
      <c r="W884" s="58"/>
      <c r="X884" s="58"/>
    </row>
    <row r="885">
      <c r="W885" s="58"/>
      <c r="X885" s="58"/>
    </row>
    <row r="886">
      <c r="W886" s="58"/>
      <c r="X886" s="58"/>
    </row>
    <row r="887">
      <c r="W887" s="58"/>
      <c r="X887" s="58"/>
    </row>
    <row r="888">
      <c r="W888" s="58"/>
      <c r="X888" s="58"/>
    </row>
    <row r="889">
      <c r="W889" s="58"/>
      <c r="X889" s="58"/>
    </row>
    <row r="890">
      <c r="W890" s="58"/>
      <c r="X890" s="58"/>
    </row>
    <row r="891">
      <c r="W891" s="58"/>
      <c r="X891" s="58"/>
    </row>
    <row r="892">
      <c r="W892" s="58"/>
      <c r="X892" s="58"/>
    </row>
    <row r="893">
      <c r="W893" s="58"/>
      <c r="X893" s="58"/>
    </row>
    <row r="894">
      <c r="W894" s="58"/>
      <c r="X894" s="58"/>
    </row>
    <row r="895">
      <c r="W895" s="58"/>
      <c r="X895" s="58"/>
    </row>
    <row r="896">
      <c r="W896" s="58"/>
      <c r="X896" s="58"/>
    </row>
    <row r="897">
      <c r="W897" s="58"/>
      <c r="X897" s="58"/>
    </row>
    <row r="898">
      <c r="W898" s="58"/>
      <c r="X898" s="58"/>
    </row>
    <row r="899">
      <c r="W899" s="58"/>
      <c r="X899" s="58"/>
    </row>
    <row r="900">
      <c r="W900" s="58"/>
      <c r="X900" s="58"/>
    </row>
    <row r="901">
      <c r="W901" s="58"/>
      <c r="X901" s="58"/>
    </row>
    <row r="902">
      <c r="W902" s="58"/>
      <c r="X902" s="58"/>
    </row>
    <row r="903">
      <c r="W903" s="58"/>
      <c r="X903" s="58"/>
    </row>
    <row r="904">
      <c r="W904" s="58"/>
      <c r="X904" s="58"/>
    </row>
    <row r="905">
      <c r="W905" s="58"/>
      <c r="X905" s="58"/>
    </row>
    <row r="906">
      <c r="W906" s="58"/>
      <c r="X906" s="58"/>
    </row>
    <row r="907">
      <c r="W907" s="58"/>
      <c r="X907" s="58"/>
    </row>
    <row r="908">
      <c r="W908" s="58"/>
      <c r="X908" s="58"/>
    </row>
    <row r="909">
      <c r="W909" s="58"/>
      <c r="X909" s="58"/>
    </row>
    <row r="910">
      <c r="W910" s="58"/>
      <c r="X910" s="58"/>
    </row>
    <row r="911">
      <c r="W911" s="58"/>
      <c r="X911" s="58"/>
    </row>
    <row r="912">
      <c r="W912" s="58"/>
      <c r="X912" s="58"/>
    </row>
    <row r="913">
      <c r="W913" s="58"/>
      <c r="X913" s="58"/>
    </row>
    <row r="914">
      <c r="W914" s="58"/>
      <c r="X914" s="58"/>
    </row>
    <row r="915">
      <c r="W915" s="58"/>
      <c r="X915" s="58"/>
    </row>
    <row r="916">
      <c r="W916" s="58"/>
      <c r="X916" s="58"/>
    </row>
    <row r="917">
      <c r="W917" s="58"/>
      <c r="X917" s="58"/>
    </row>
    <row r="918">
      <c r="W918" s="58"/>
      <c r="X918" s="58"/>
    </row>
    <row r="919">
      <c r="W919" s="58"/>
      <c r="X919" s="58"/>
    </row>
    <row r="920">
      <c r="W920" s="58"/>
      <c r="X920" s="58"/>
    </row>
    <row r="921">
      <c r="W921" s="58"/>
      <c r="X921" s="58"/>
    </row>
    <row r="922">
      <c r="W922" s="58"/>
      <c r="X922" s="58"/>
    </row>
    <row r="923">
      <c r="W923" s="58"/>
      <c r="X923" s="58"/>
    </row>
    <row r="924">
      <c r="W924" s="58"/>
      <c r="X924" s="58"/>
    </row>
    <row r="925">
      <c r="W925" s="58"/>
      <c r="X925" s="58"/>
    </row>
    <row r="926">
      <c r="W926" s="58"/>
      <c r="X926" s="58"/>
    </row>
    <row r="927">
      <c r="W927" s="58"/>
      <c r="X927" s="58"/>
    </row>
    <row r="928">
      <c r="W928" s="58"/>
      <c r="X928" s="58"/>
    </row>
    <row r="929">
      <c r="W929" s="58"/>
      <c r="X929" s="58"/>
    </row>
    <row r="930">
      <c r="W930" s="58"/>
      <c r="X930" s="58"/>
    </row>
    <row r="931">
      <c r="W931" s="58"/>
      <c r="X931" s="58"/>
    </row>
    <row r="932">
      <c r="W932" s="58"/>
      <c r="X932" s="58"/>
    </row>
    <row r="933">
      <c r="W933" s="58"/>
      <c r="X933" s="58"/>
    </row>
    <row r="934">
      <c r="W934" s="58"/>
      <c r="X934" s="58"/>
    </row>
    <row r="935">
      <c r="W935" s="58"/>
      <c r="X935" s="58"/>
    </row>
    <row r="936">
      <c r="W936" s="58"/>
      <c r="X936" s="58"/>
    </row>
    <row r="937">
      <c r="W937" s="58"/>
      <c r="X937" s="58"/>
    </row>
    <row r="938">
      <c r="W938" s="58"/>
      <c r="X938" s="58"/>
    </row>
    <row r="939">
      <c r="W939" s="58"/>
      <c r="X939" s="58"/>
    </row>
    <row r="940">
      <c r="W940" s="58"/>
      <c r="X940" s="58"/>
    </row>
    <row r="941">
      <c r="W941" s="58"/>
      <c r="X941" s="58"/>
    </row>
    <row r="942">
      <c r="W942" s="58"/>
      <c r="X942" s="58"/>
    </row>
    <row r="943">
      <c r="W943" s="58"/>
      <c r="X943" s="58"/>
    </row>
    <row r="944">
      <c r="W944" s="58"/>
      <c r="X944" s="58"/>
    </row>
    <row r="945">
      <c r="W945" s="58"/>
      <c r="X945" s="58"/>
    </row>
    <row r="946">
      <c r="W946" s="58"/>
      <c r="X946" s="58"/>
    </row>
    <row r="947">
      <c r="W947" s="58"/>
      <c r="X947" s="58"/>
    </row>
    <row r="948">
      <c r="W948" s="58"/>
      <c r="X948" s="58"/>
    </row>
    <row r="949">
      <c r="W949" s="58"/>
      <c r="X949" s="58"/>
    </row>
    <row r="950">
      <c r="W950" s="58"/>
      <c r="X950" s="58"/>
    </row>
    <row r="951">
      <c r="W951" s="58"/>
      <c r="X951" s="58"/>
    </row>
    <row r="952">
      <c r="W952" s="58"/>
      <c r="X952" s="58"/>
    </row>
    <row r="953">
      <c r="W953" s="58"/>
      <c r="X953" s="58"/>
    </row>
    <row r="954">
      <c r="W954" s="58"/>
      <c r="X954" s="58"/>
    </row>
    <row r="955">
      <c r="W955" s="58"/>
      <c r="X955" s="58"/>
    </row>
    <row r="956">
      <c r="W956" s="58"/>
      <c r="X956" s="58"/>
    </row>
    <row r="957">
      <c r="W957" s="58"/>
      <c r="X957" s="58"/>
    </row>
    <row r="958">
      <c r="W958" s="58"/>
      <c r="X958" s="58"/>
    </row>
    <row r="959">
      <c r="W959" s="58"/>
      <c r="X959" s="58"/>
    </row>
    <row r="960">
      <c r="W960" s="58"/>
      <c r="X960" s="58"/>
    </row>
    <row r="961">
      <c r="W961" s="58"/>
      <c r="X961" s="58"/>
    </row>
    <row r="962">
      <c r="W962" s="58"/>
      <c r="X962" s="58"/>
    </row>
    <row r="963">
      <c r="W963" s="58"/>
      <c r="X963" s="58"/>
    </row>
    <row r="964">
      <c r="W964" s="58"/>
      <c r="X964" s="58"/>
    </row>
    <row r="965">
      <c r="W965" s="58"/>
      <c r="X965" s="58"/>
    </row>
    <row r="966">
      <c r="W966" s="58"/>
      <c r="X966" s="58"/>
    </row>
    <row r="967">
      <c r="W967" s="58"/>
      <c r="X967" s="58"/>
    </row>
    <row r="968">
      <c r="W968" s="58"/>
      <c r="X968" s="58"/>
    </row>
    <row r="969">
      <c r="W969" s="58"/>
      <c r="X969" s="58"/>
    </row>
    <row r="970">
      <c r="W970" s="58"/>
      <c r="X970" s="58"/>
    </row>
    <row r="971">
      <c r="W971" s="58"/>
      <c r="X971" s="58"/>
    </row>
    <row r="972">
      <c r="W972" s="58"/>
      <c r="X972" s="58"/>
    </row>
    <row r="973">
      <c r="W973" s="58"/>
      <c r="X973" s="58"/>
    </row>
    <row r="974">
      <c r="W974" s="58"/>
      <c r="X974" s="58"/>
    </row>
    <row r="975">
      <c r="W975" s="58"/>
      <c r="X975" s="58"/>
    </row>
    <row r="976">
      <c r="W976" s="58"/>
      <c r="X976" s="58"/>
    </row>
    <row r="977">
      <c r="W977" s="58"/>
      <c r="X977" s="58"/>
    </row>
    <row r="978">
      <c r="W978" s="58"/>
      <c r="X978" s="58"/>
    </row>
    <row r="979">
      <c r="W979" s="58"/>
      <c r="X979" s="58"/>
    </row>
    <row r="980">
      <c r="W980" s="58"/>
      <c r="X980" s="58"/>
    </row>
    <row r="981">
      <c r="W981" s="58"/>
      <c r="X981" s="58"/>
    </row>
    <row r="982">
      <c r="W982" s="58"/>
      <c r="X982" s="58"/>
    </row>
    <row r="983">
      <c r="W983" s="58"/>
      <c r="X983" s="58"/>
    </row>
    <row r="984">
      <c r="W984" s="58"/>
      <c r="X984" s="58"/>
    </row>
    <row r="985">
      <c r="W985" s="58"/>
      <c r="X985" s="58"/>
    </row>
    <row r="986">
      <c r="W986" s="58"/>
      <c r="X986" s="58"/>
    </row>
    <row r="987">
      <c r="W987" s="58"/>
      <c r="X987" s="58"/>
    </row>
    <row r="988">
      <c r="W988" s="58"/>
      <c r="X988" s="58"/>
    </row>
    <row r="989">
      <c r="W989" s="58"/>
      <c r="X989" s="58"/>
    </row>
    <row r="990">
      <c r="W990" s="58"/>
      <c r="X990" s="58"/>
    </row>
    <row r="991">
      <c r="W991" s="58"/>
      <c r="X991" s="58"/>
    </row>
    <row r="992">
      <c r="W992" s="58"/>
      <c r="X992" s="58"/>
    </row>
    <row r="993">
      <c r="W993" s="58"/>
      <c r="X993" s="58"/>
    </row>
    <row r="994">
      <c r="W994" s="58"/>
      <c r="X994" s="58"/>
    </row>
    <row r="995">
      <c r="W995" s="58"/>
      <c r="X995" s="58"/>
    </row>
    <row r="996">
      <c r="W996" s="58"/>
      <c r="X996" s="58"/>
    </row>
    <row r="997">
      <c r="W997" s="58"/>
      <c r="X997" s="58"/>
    </row>
    <row r="998">
      <c r="W998" s="58"/>
      <c r="X998" s="58"/>
    </row>
    <row r="999">
      <c r="W999" s="58"/>
      <c r="X999" s="58"/>
    </row>
    <row r="1000">
      <c r="W1000" s="58"/>
      <c r="X1000" s="58"/>
    </row>
    <row r="1001">
      <c r="W1001" s="58"/>
      <c r="X1001" s="58"/>
    </row>
    <row r="1002">
      <c r="W1002" s="58"/>
      <c r="X1002" s="58"/>
    </row>
    <row r="1003">
      <c r="W1003" s="58"/>
      <c r="X1003" s="58"/>
    </row>
    <row r="1004">
      <c r="W1004" s="58"/>
      <c r="X1004" s="58"/>
    </row>
    <row r="1005">
      <c r="W1005" s="58"/>
      <c r="X1005" s="58"/>
    </row>
    <row r="1006">
      <c r="W1006" s="58"/>
      <c r="X1006" s="58"/>
    </row>
    <row r="1007">
      <c r="W1007" s="58"/>
      <c r="X1007" s="58"/>
    </row>
    <row r="1008">
      <c r="W1008" s="58"/>
      <c r="X1008" s="58"/>
    </row>
    <row r="1009">
      <c r="W1009" s="58"/>
      <c r="X1009" s="58"/>
    </row>
    <row r="1010">
      <c r="W1010" s="58"/>
      <c r="X1010" s="58"/>
    </row>
    <row r="1011">
      <c r="W1011" s="58"/>
      <c r="X1011" s="58"/>
    </row>
    <row r="1012">
      <c r="W1012" s="58"/>
      <c r="X1012" s="58"/>
    </row>
    <row r="1013">
      <c r="W1013" s="58"/>
      <c r="X1013" s="58"/>
    </row>
    <row r="1014">
      <c r="W1014" s="58"/>
      <c r="X1014" s="58"/>
    </row>
    <row r="1015">
      <c r="W1015" s="58"/>
      <c r="X1015" s="58"/>
    </row>
    <row r="1016">
      <c r="W1016" s="58"/>
      <c r="X1016" s="58"/>
    </row>
    <row r="1017">
      <c r="W1017" s="58"/>
      <c r="X1017" s="58"/>
    </row>
    <row r="1018">
      <c r="W1018" s="58"/>
      <c r="X1018" s="58"/>
    </row>
    <row r="1019">
      <c r="W1019" s="58"/>
      <c r="X1019" s="58"/>
    </row>
    <row r="1020">
      <c r="W1020" s="58"/>
      <c r="X1020" s="58"/>
    </row>
    <row r="1021">
      <c r="W1021" s="58"/>
      <c r="X1021" s="58"/>
    </row>
    <row r="1022">
      <c r="W1022" s="58"/>
      <c r="X1022" s="58"/>
    </row>
    <row r="1023">
      <c r="W1023" s="58"/>
      <c r="X1023" s="58"/>
    </row>
    <row r="1024">
      <c r="W1024" s="58"/>
      <c r="X1024" s="58"/>
    </row>
    <row r="1025">
      <c r="W1025" s="58"/>
      <c r="X1025" s="58"/>
    </row>
    <row r="1026">
      <c r="W1026" s="58"/>
      <c r="X1026" s="58"/>
    </row>
    <row r="1027">
      <c r="W1027" s="58"/>
      <c r="X1027" s="58"/>
    </row>
    <row r="1028">
      <c r="W1028" s="58"/>
      <c r="X1028" s="58"/>
    </row>
    <row r="1029">
      <c r="W1029" s="58"/>
      <c r="X1029" s="58"/>
    </row>
    <row r="1030">
      <c r="W1030" s="58"/>
      <c r="X1030" s="58"/>
    </row>
    <row r="1031">
      <c r="W1031" s="58"/>
      <c r="X1031" s="58"/>
    </row>
    <row r="1032">
      <c r="W1032" s="58"/>
      <c r="X1032" s="58"/>
    </row>
    <row r="1033">
      <c r="W1033" s="58"/>
      <c r="X1033" s="58"/>
    </row>
    <row r="1034">
      <c r="W1034" s="58"/>
      <c r="X1034" s="58"/>
    </row>
    <row r="1035">
      <c r="W1035" s="58"/>
      <c r="X1035" s="58"/>
    </row>
    <row r="1036">
      <c r="W1036" s="58"/>
      <c r="X1036" s="58"/>
    </row>
    <row r="1037">
      <c r="W1037" s="58"/>
      <c r="X1037" s="58"/>
    </row>
    <row r="1038">
      <c r="W1038" s="58"/>
      <c r="X1038" s="58"/>
    </row>
    <row r="1039">
      <c r="W1039" s="58"/>
      <c r="X1039" s="58"/>
    </row>
    <row r="1040">
      <c r="W1040" s="58"/>
      <c r="X1040" s="58"/>
    </row>
    <row r="1041">
      <c r="W1041" s="58"/>
      <c r="X1041" s="58"/>
    </row>
    <row r="1042">
      <c r="W1042" s="58"/>
      <c r="X1042" s="58"/>
    </row>
    <row r="1043">
      <c r="W1043" s="58"/>
      <c r="X1043" s="58"/>
    </row>
    <row r="1044">
      <c r="W1044" s="58"/>
      <c r="X1044" s="58"/>
    </row>
    <row r="1045">
      <c r="W1045" s="58"/>
      <c r="X1045" s="58"/>
    </row>
    <row r="1046">
      <c r="W1046" s="58"/>
      <c r="X1046" s="58"/>
    </row>
    <row r="1047">
      <c r="W1047" s="58"/>
      <c r="X1047" s="58"/>
    </row>
    <row r="1048">
      <c r="W1048" s="58"/>
      <c r="X1048" s="58"/>
    </row>
    <row r="1049">
      <c r="W1049" s="58"/>
      <c r="X1049" s="58"/>
    </row>
    <row r="1050">
      <c r="W1050" s="58"/>
      <c r="X1050" s="58"/>
    </row>
    <row r="1051">
      <c r="W1051" s="58"/>
      <c r="X1051" s="58"/>
    </row>
    <row r="1052">
      <c r="W1052" s="58"/>
      <c r="X1052" s="58"/>
    </row>
    <row r="1053">
      <c r="W1053" s="58"/>
      <c r="X1053" s="58"/>
    </row>
    <row r="1054">
      <c r="W1054" s="58"/>
      <c r="X1054" s="58"/>
    </row>
    <row r="1055">
      <c r="W1055" s="58"/>
      <c r="X1055" s="58"/>
    </row>
    <row r="1056">
      <c r="W1056" s="58"/>
      <c r="X1056" s="58"/>
    </row>
    <row r="1057">
      <c r="W1057" s="58"/>
      <c r="X1057" s="58"/>
    </row>
    <row r="1058">
      <c r="W1058" s="58"/>
      <c r="X1058" s="58"/>
    </row>
    <row r="1059">
      <c r="W1059" s="58"/>
      <c r="X1059" s="58"/>
    </row>
    <row r="1060">
      <c r="W1060" s="58"/>
      <c r="X1060" s="58"/>
    </row>
    <row r="1061">
      <c r="W1061" s="58"/>
      <c r="X1061" s="58"/>
    </row>
    <row r="1062">
      <c r="W1062" s="58"/>
      <c r="X1062" s="58"/>
    </row>
    <row r="1063">
      <c r="W1063" s="58"/>
      <c r="X1063" s="58"/>
    </row>
    <row r="1064">
      <c r="W1064" s="58"/>
      <c r="X1064" s="58"/>
    </row>
    <row r="1065">
      <c r="W1065" s="58"/>
      <c r="X1065" s="58"/>
    </row>
    <row r="1066">
      <c r="W1066" s="58"/>
      <c r="X1066" s="58"/>
    </row>
    <row r="1067">
      <c r="W1067" s="58"/>
      <c r="X1067" s="58"/>
    </row>
    <row r="1068">
      <c r="W1068" s="58"/>
      <c r="X1068" s="58"/>
    </row>
    <row r="1069">
      <c r="W1069" s="58"/>
      <c r="X1069" s="58"/>
    </row>
    <row r="1070">
      <c r="W1070" s="58"/>
      <c r="X1070" s="58"/>
    </row>
    <row r="1071">
      <c r="W1071" s="58"/>
      <c r="X1071" s="58"/>
    </row>
    <row r="1072">
      <c r="W1072" s="58"/>
      <c r="X1072" s="58"/>
    </row>
    <row r="1073">
      <c r="W1073" s="58"/>
      <c r="X1073" s="58"/>
    </row>
    <row r="1074">
      <c r="W1074" s="58"/>
      <c r="X1074" s="58"/>
    </row>
    <row r="1075">
      <c r="W1075" s="58"/>
      <c r="X1075" s="58"/>
    </row>
    <row r="1076">
      <c r="W1076" s="58"/>
      <c r="X1076" s="58"/>
    </row>
    <row r="1077">
      <c r="W1077" s="58"/>
      <c r="X1077" s="58"/>
    </row>
    <row r="1078">
      <c r="W1078" s="58"/>
      <c r="X1078" s="58"/>
    </row>
    <row r="1079">
      <c r="W1079" s="58"/>
      <c r="X1079" s="58"/>
    </row>
    <row r="1080">
      <c r="W1080" s="58"/>
      <c r="X1080" s="58"/>
    </row>
    <row r="1081">
      <c r="W1081" s="58"/>
      <c r="X1081" s="58"/>
    </row>
    <row r="1082">
      <c r="W1082" s="58"/>
      <c r="X1082" s="58"/>
    </row>
    <row r="1083">
      <c r="W1083" s="58"/>
      <c r="X1083" s="58"/>
    </row>
    <row r="1084">
      <c r="W1084" s="58"/>
      <c r="X1084" s="58"/>
    </row>
    <row r="1085">
      <c r="W1085" s="58"/>
      <c r="X1085" s="58"/>
    </row>
    <row r="1086">
      <c r="W1086" s="58"/>
      <c r="X1086" s="58"/>
    </row>
    <row r="1087">
      <c r="W1087" s="58"/>
      <c r="X1087" s="58"/>
    </row>
    <row r="1088">
      <c r="W1088" s="58"/>
      <c r="X1088" s="58"/>
    </row>
    <row r="1089">
      <c r="W1089" s="58"/>
      <c r="X1089" s="58"/>
    </row>
    <row r="1090">
      <c r="W1090" s="58"/>
      <c r="X1090" s="58"/>
    </row>
    <row r="1091">
      <c r="W1091" s="58"/>
      <c r="X1091" s="58"/>
    </row>
    <row r="1092">
      <c r="W1092" s="58"/>
      <c r="X1092" s="58"/>
    </row>
    <row r="1093">
      <c r="W1093" s="58"/>
      <c r="X1093" s="58"/>
    </row>
    <row r="1094">
      <c r="W1094" s="58"/>
      <c r="X1094" s="58"/>
    </row>
    <row r="1095">
      <c r="W1095" s="58"/>
      <c r="X1095" s="58"/>
    </row>
    <row r="1096">
      <c r="W1096" s="58"/>
      <c r="X1096" s="58"/>
    </row>
    <row r="1097">
      <c r="W1097" s="58"/>
      <c r="X1097" s="58"/>
    </row>
    <row r="1098">
      <c r="W1098" s="58"/>
      <c r="X1098" s="58"/>
    </row>
    <row r="1099">
      <c r="W1099" s="58"/>
      <c r="X1099" s="58"/>
    </row>
    <row r="1100">
      <c r="W1100" s="58"/>
      <c r="X1100" s="58"/>
    </row>
    <row r="1101">
      <c r="W1101" s="58"/>
      <c r="X1101" s="58"/>
    </row>
    <row r="1102">
      <c r="W1102" s="58"/>
      <c r="X1102" s="58"/>
    </row>
    <row r="1103">
      <c r="W1103" s="58"/>
      <c r="X1103" s="58"/>
    </row>
    <row r="1104">
      <c r="W1104" s="58"/>
      <c r="X1104" s="58"/>
    </row>
    <row r="1105">
      <c r="W1105" s="58"/>
      <c r="X1105" s="58"/>
    </row>
    <row r="1106">
      <c r="W1106" s="58"/>
      <c r="X1106" s="58"/>
    </row>
    <row r="1107">
      <c r="W1107" s="58"/>
      <c r="X1107" s="58"/>
    </row>
    <row r="1108">
      <c r="W1108" s="58"/>
      <c r="X1108" s="58"/>
    </row>
    <row r="1109">
      <c r="W1109" s="58"/>
      <c r="X1109" s="58"/>
    </row>
    <row r="1110">
      <c r="W1110" s="58"/>
      <c r="X1110" s="58"/>
    </row>
    <row r="1111">
      <c r="W1111" s="58"/>
      <c r="X1111" s="58"/>
    </row>
    <row r="1112">
      <c r="W1112" s="58"/>
      <c r="X1112" s="58"/>
    </row>
    <row r="1113">
      <c r="W1113" s="58"/>
      <c r="X1113" s="58"/>
    </row>
    <row r="1114">
      <c r="W1114" s="58"/>
      <c r="X1114" s="58"/>
    </row>
    <row r="1115">
      <c r="W1115" s="58"/>
      <c r="X1115" s="58"/>
    </row>
    <row r="1116">
      <c r="W1116" s="58"/>
      <c r="X1116" s="58"/>
    </row>
    <row r="1117">
      <c r="W1117" s="58"/>
      <c r="X1117" s="58"/>
    </row>
    <row r="1118">
      <c r="W1118" s="58"/>
      <c r="X1118" s="58"/>
    </row>
    <row r="1119">
      <c r="W1119" s="58"/>
      <c r="X1119" s="58"/>
    </row>
    <row r="1120">
      <c r="W1120" s="58"/>
      <c r="X1120" s="58"/>
    </row>
    <row r="1121">
      <c r="W1121" s="58"/>
      <c r="X1121" s="58"/>
    </row>
    <row r="1122">
      <c r="W1122" s="58"/>
      <c r="X1122" s="58"/>
    </row>
    <row r="1123">
      <c r="W1123" s="58"/>
      <c r="X1123" s="58"/>
    </row>
    <row r="1124">
      <c r="W1124" s="58"/>
      <c r="X1124" s="58"/>
    </row>
    <row r="1125">
      <c r="W1125" s="58"/>
      <c r="X1125" s="58"/>
    </row>
    <row r="1126">
      <c r="W1126" s="58"/>
      <c r="X1126" s="58"/>
    </row>
    <row r="1127">
      <c r="W1127" s="58"/>
      <c r="X1127" s="58"/>
    </row>
    <row r="1128">
      <c r="W1128" s="58"/>
      <c r="X1128" s="58"/>
    </row>
    <row r="1129">
      <c r="W1129" s="58"/>
      <c r="X1129" s="58"/>
    </row>
    <row r="1130">
      <c r="W1130" s="58"/>
      <c r="X1130" s="58"/>
    </row>
    <row r="1131">
      <c r="W1131" s="58"/>
      <c r="X1131" s="58"/>
    </row>
    <row r="1132">
      <c r="W1132" s="58"/>
      <c r="X1132" s="58"/>
    </row>
    <row r="1133">
      <c r="W1133" s="58"/>
      <c r="X1133" s="58"/>
    </row>
    <row r="1134">
      <c r="W1134" s="58"/>
      <c r="X1134" s="58"/>
    </row>
    <row r="1135">
      <c r="W1135" s="58"/>
      <c r="X1135" s="58"/>
    </row>
    <row r="1136">
      <c r="W1136" s="58"/>
      <c r="X1136" s="58"/>
    </row>
    <row r="1137">
      <c r="W1137" s="58"/>
      <c r="X1137" s="58"/>
    </row>
    <row r="1138">
      <c r="W1138" s="58"/>
      <c r="X1138" s="58"/>
    </row>
    <row r="1139">
      <c r="W1139" s="58"/>
      <c r="X1139" s="58"/>
    </row>
    <row r="1140">
      <c r="W1140" s="58"/>
      <c r="X1140" s="58"/>
    </row>
    <row r="1141">
      <c r="W1141" s="58"/>
      <c r="X1141" s="58"/>
    </row>
    <row r="1142">
      <c r="W1142" s="58"/>
      <c r="X1142" s="58"/>
    </row>
    <row r="1143">
      <c r="W1143" s="58"/>
      <c r="X1143" s="58"/>
    </row>
    <row r="1144">
      <c r="W1144" s="58"/>
      <c r="X1144" s="58"/>
    </row>
    <row r="1145">
      <c r="W1145" s="58"/>
      <c r="X1145" s="58"/>
    </row>
    <row r="1146">
      <c r="W1146" s="58"/>
      <c r="X1146" s="58"/>
    </row>
    <row r="1147">
      <c r="W1147" s="58"/>
      <c r="X1147" s="58"/>
    </row>
    <row r="1148">
      <c r="W1148" s="58"/>
      <c r="X1148" s="58"/>
    </row>
    <row r="1149">
      <c r="W1149" s="58"/>
      <c r="X1149" s="58"/>
    </row>
    <row r="1150">
      <c r="W1150" s="58"/>
      <c r="X1150" s="58"/>
    </row>
    <row r="1151">
      <c r="W1151" s="58"/>
      <c r="X1151" s="58"/>
    </row>
    <row r="1152">
      <c r="W1152" s="58"/>
      <c r="X1152" s="58"/>
    </row>
    <row r="1153">
      <c r="W1153" s="58"/>
      <c r="X1153" s="58"/>
    </row>
    <row r="1154">
      <c r="W1154" s="58"/>
      <c r="X1154" s="58"/>
    </row>
    <row r="1155">
      <c r="W1155" s="58"/>
      <c r="X1155" s="58"/>
    </row>
    <row r="1156">
      <c r="W1156" s="58"/>
      <c r="X1156" s="58"/>
    </row>
    <row r="1157">
      <c r="W1157" s="58"/>
      <c r="X1157" s="58"/>
    </row>
    <row r="1158">
      <c r="W1158" s="58"/>
      <c r="X1158" s="58"/>
    </row>
    <row r="1159">
      <c r="W1159" s="58"/>
      <c r="X1159" s="58"/>
    </row>
    <row r="1160">
      <c r="W1160" s="58"/>
      <c r="X1160" s="58"/>
    </row>
    <row r="1161">
      <c r="W1161" s="58"/>
      <c r="X1161" s="58"/>
    </row>
    <row r="1162">
      <c r="W1162" s="58"/>
      <c r="X1162" s="58"/>
    </row>
    <row r="1163">
      <c r="W1163" s="58"/>
      <c r="X1163" s="58"/>
    </row>
    <row r="1164">
      <c r="W1164" s="58"/>
      <c r="X1164" s="58"/>
    </row>
    <row r="1165">
      <c r="W1165" s="58"/>
      <c r="X1165" s="58"/>
    </row>
    <row r="1166">
      <c r="W1166" s="58"/>
      <c r="X1166" s="58"/>
    </row>
    <row r="1167">
      <c r="W1167" s="58"/>
      <c r="X1167" s="58"/>
    </row>
    <row r="1168">
      <c r="W1168" s="58"/>
      <c r="X1168" s="58"/>
    </row>
    <row r="1169">
      <c r="W1169" s="58"/>
      <c r="X1169" s="58"/>
    </row>
    <row r="1170">
      <c r="W1170" s="58"/>
      <c r="X1170" s="58"/>
    </row>
    <row r="1171">
      <c r="W1171" s="58"/>
      <c r="X1171" s="58"/>
    </row>
    <row r="1172">
      <c r="W1172" s="58"/>
      <c r="X1172" s="58"/>
    </row>
    <row r="1173">
      <c r="W1173" s="58"/>
      <c r="X1173" s="58"/>
    </row>
    <row r="1174">
      <c r="W1174" s="58"/>
      <c r="X1174" s="58"/>
    </row>
    <row r="1175">
      <c r="W1175" s="58"/>
      <c r="X1175" s="58"/>
    </row>
    <row r="1176">
      <c r="W1176" s="58"/>
      <c r="X1176" s="58"/>
    </row>
    <row r="1177">
      <c r="W1177" s="58"/>
      <c r="X1177" s="58"/>
    </row>
    <row r="1178">
      <c r="W1178" s="58"/>
      <c r="X1178" s="58"/>
    </row>
    <row r="1179">
      <c r="W1179" s="58"/>
      <c r="X1179" s="58"/>
    </row>
    <row r="1180">
      <c r="W1180" s="58"/>
      <c r="X1180" s="58"/>
    </row>
    <row r="1181">
      <c r="W1181" s="58"/>
      <c r="X1181" s="58"/>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5.5"/>
    <col customWidth="1" min="2" max="2" width="14.5"/>
    <col customWidth="1" min="3" max="3" width="45.5"/>
    <col customWidth="1" min="4" max="4" width="38.75"/>
    <col customWidth="1" min="5" max="5" width="14.5"/>
    <col customWidth="1" min="6" max="6" width="21.0"/>
    <col customWidth="1" min="7" max="7" width="22.13"/>
    <col customWidth="1" min="8" max="13" width="14.5"/>
    <col customWidth="1" min="14" max="14" width="16.5"/>
    <col customWidth="1" min="15" max="15" width="14.5"/>
    <col customWidth="1" min="16" max="16" width="16.88"/>
    <col customWidth="1" min="17" max="21" width="14.5"/>
    <col customWidth="1" min="22" max="24" width="19.5"/>
    <col customWidth="1" min="25" max="25" width="14.5"/>
    <col customWidth="1" min="26" max="26" width="16.38"/>
    <col customWidth="1" min="27" max="27" width="14.5"/>
    <col customWidth="1" min="28" max="28" width="15.5"/>
    <col customWidth="1" min="29" max="29" width="19.5"/>
    <col customWidth="1" min="30" max="30" width="17.5"/>
    <col customWidth="1" min="31" max="31" width="21.13"/>
    <col customWidth="1" min="32" max="50" width="14.5"/>
  </cols>
  <sheetData>
    <row r="1" ht="25.5" customHeight="1">
      <c r="A1" s="61" t="s">
        <v>60</v>
      </c>
      <c r="B1" s="62" t="s">
        <v>2894</v>
      </c>
      <c r="C1" s="63" t="s">
        <v>61</v>
      </c>
      <c r="D1" s="67" t="s">
        <v>2895</v>
      </c>
      <c r="E1" s="63" t="s">
        <v>160</v>
      </c>
      <c r="F1" s="63" t="s">
        <v>161</v>
      </c>
      <c r="G1" s="64" t="s">
        <v>2896</v>
      </c>
      <c r="H1" s="63" t="s">
        <v>2897</v>
      </c>
      <c r="I1" s="63" t="s">
        <v>63</v>
      </c>
      <c r="J1" s="63" t="s">
        <v>2898</v>
      </c>
      <c r="K1" s="64" t="s">
        <v>119</v>
      </c>
      <c r="L1" s="64" t="s">
        <v>2899</v>
      </c>
      <c r="M1" s="64" t="s">
        <v>2900</v>
      </c>
      <c r="N1" s="64" t="s">
        <v>64</v>
      </c>
      <c r="O1" s="64" t="s">
        <v>65</v>
      </c>
      <c r="P1" s="64" t="s">
        <v>66</v>
      </c>
      <c r="Q1" s="64" t="s">
        <v>2901</v>
      </c>
      <c r="R1" s="64" t="s">
        <v>2902</v>
      </c>
      <c r="S1" s="64" t="s">
        <v>2903</v>
      </c>
      <c r="T1" s="76" t="s">
        <v>2904</v>
      </c>
      <c r="U1" s="76" t="s">
        <v>2905</v>
      </c>
      <c r="V1" s="64" t="s">
        <v>135</v>
      </c>
      <c r="W1" s="65" t="s">
        <v>2906</v>
      </c>
      <c r="X1" s="66" t="s">
        <v>2907</v>
      </c>
      <c r="Y1" s="63" t="s">
        <v>2908</v>
      </c>
      <c r="Z1" s="64" t="s">
        <v>2909</v>
      </c>
      <c r="AA1" s="64" t="s">
        <v>2910</v>
      </c>
      <c r="AB1" s="64" t="s">
        <v>2911</v>
      </c>
      <c r="AC1" s="64" t="s">
        <v>149</v>
      </c>
      <c r="AD1" s="64" t="s">
        <v>2912</v>
      </c>
      <c r="AE1" s="67" t="s">
        <v>2913</v>
      </c>
      <c r="AF1" s="64" t="s">
        <v>2914</v>
      </c>
      <c r="AG1" s="64" t="s">
        <v>2915</v>
      </c>
      <c r="AH1" s="64" t="s">
        <v>2916</v>
      </c>
      <c r="AI1" s="64" t="s">
        <v>2917</v>
      </c>
      <c r="AJ1" s="64" t="s">
        <v>2918</v>
      </c>
      <c r="AK1" s="64" t="s">
        <v>2919</v>
      </c>
      <c r="AL1" s="64" t="s">
        <v>2920</v>
      </c>
      <c r="AM1" s="64" t="s">
        <v>2921</v>
      </c>
      <c r="AN1" s="64" t="s">
        <v>2922</v>
      </c>
      <c r="AO1" s="64" t="s">
        <v>2923</v>
      </c>
      <c r="AP1" s="64" t="s">
        <v>2924</v>
      </c>
      <c r="AQ1" s="64" t="s">
        <v>2925</v>
      </c>
      <c r="AR1" s="64" t="s">
        <v>2926</v>
      </c>
      <c r="AS1" s="64" t="s">
        <v>2927</v>
      </c>
      <c r="AT1" s="64" t="s">
        <v>2928</v>
      </c>
    </row>
    <row r="2" ht="80.25" customHeight="1">
      <c r="A2" s="31" t="s">
        <v>2984</v>
      </c>
      <c r="B2" s="68" t="s">
        <v>2930</v>
      </c>
      <c r="C2" s="32" t="s">
        <v>2985</v>
      </c>
      <c r="D2" s="32" t="s">
        <v>2986</v>
      </c>
      <c r="E2" s="32" t="s">
        <v>2987</v>
      </c>
      <c r="F2" s="32" t="s">
        <v>2988</v>
      </c>
      <c r="G2" s="33" t="s">
        <v>2989</v>
      </c>
      <c r="H2" s="32" t="s">
        <v>2990</v>
      </c>
      <c r="I2" s="32" t="s">
        <v>2991</v>
      </c>
      <c r="J2" s="32" t="s">
        <v>2938</v>
      </c>
      <c r="K2" s="33" t="s">
        <v>2939</v>
      </c>
      <c r="L2" s="33" t="s">
        <v>2935</v>
      </c>
      <c r="M2" s="33" t="s">
        <v>2935</v>
      </c>
      <c r="N2" s="33" t="s">
        <v>71</v>
      </c>
      <c r="O2" s="33" t="s">
        <v>72</v>
      </c>
      <c r="P2" s="33" t="s">
        <v>73</v>
      </c>
      <c r="Q2" s="33" t="s">
        <v>2940</v>
      </c>
      <c r="R2" s="33" t="s">
        <v>2940</v>
      </c>
      <c r="S2" s="33" t="s">
        <v>2940</v>
      </c>
      <c r="T2" s="77" t="s">
        <v>2992</v>
      </c>
      <c r="U2" s="77" t="s">
        <v>2993</v>
      </c>
      <c r="V2" s="30" t="s">
        <v>2994</v>
      </c>
      <c r="W2" s="69" t="s">
        <v>2944</v>
      </c>
      <c r="X2" s="69" t="s">
        <v>2945</v>
      </c>
      <c r="Y2" s="32" t="s">
        <v>2995</v>
      </c>
      <c r="Z2" s="33" t="s">
        <v>2947</v>
      </c>
      <c r="AA2" s="33" t="s">
        <v>2948</v>
      </c>
      <c r="AB2" s="33" t="s">
        <v>2949</v>
      </c>
      <c r="AC2" s="33" t="s">
        <v>2950</v>
      </c>
      <c r="AD2" s="33" t="s">
        <v>2996</v>
      </c>
      <c r="AE2" s="32" t="s">
        <v>2997</v>
      </c>
      <c r="AF2" s="33" t="s">
        <v>2953</v>
      </c>
      <c r="AG2" s="33" t="s">
        <v>2953</v>
      </c>
      <c r="AH2" s="33" t="s">
        <v>2953</v>
      </c>
      <c r="AI2" s="33" t="s">
        <v>2953</v>
      </c>
      <c r="AJ2" s="33" t="s">
        <v>2953</v>
      </c>
      <c r="AK2" s="33" t="s">
        <v>2953</v>
      </c>
      <c r="AL2" s="33" t="s">
        <v>2953</v>
      </c>
      <c r="AM2" s="33" t="s">
        <v>2953</v>
      </c>
      <c r="AN2" s="33" t="s">
        <v>2953</v>
      </c>
      <c r="AO2" s="33" t="s">
        <v>2953</v>
      </c>
      <c r="AP2" s="33" t="s">
        <v>2953</v>
      </c>
      <c r="AQ2" s="33" t="s">
        <v>2953</v>
      </c>
      <c r="AR2" s="33" t="s">
        <v>2953</v>
      </c>
      <c r="AS2" s="33" t="s">
        <v>2953</v>
      </c>
      <c r="AT2" s="33" t="s">
        <v>2953</v>
      </c>
    </row>
    <row r="3">
      <c r="A3" s="78" t="s">
        <v>2998</v>
      </c>
      <c r="B3" s="70"/>
      <c r="C3" s="79" t="s">
        <v>2999</v>
      </c>
      <c r="D3" s="80" t="s">
        <v>3000</v>
      </c>
      <c r="E3" s="78" t="s">
        <v>163</v>
      </c>
      <c r="F3" s="78" t="s">
        <v>234</v>
      </c>
      <c r="G3" s="72"/>
      <c r="H3" s="81">
        <v>2.0</v>
      </c>
      <c r="I3" s="78" t="s">
        <v>76</v>
      </c>
      <c r="J3" s="78" t="s">
        <v>2968</v>
      </c>
      <c r="K3" s="78" t="s">
        <v>3001</v>
      </c>
      <c r="L3" s="78" t="s">
        <v>2958</v>
      </c>
      <c r="M3" s="70"/>
      <c r="N3" s="78" t="s">
        <v>2998</v>
      </c>
      <c r="O3" s="78"/>
      <c r="P3" s="78"/>
      <c r="Q3" s="78" t="s">
        <v>404</v>
      </c>
      <c r="R3" s="78" t="s">
        <v>3002</v>
      </c>
      <c r="S3" s="70"/>
      <c r="T3" s="82">
        <v>40.0</v>
      </c>
      <c r="U3" s="82">
        <v>30.0</v>
      </c>
      <c r="V3" s="70"/>
      <c r="W3" s="58"/>
      <c r="X3" s="58"/>
      <c r="Y3" s="78" t="s">
        <v>3003</v>
      </c>
      <c r="Z3" s="83"/>
      <c r="AA3" s="70"/>
      <c r="AB3" s="70"/>
      <c r="AC3" s="70"/>
      <c r="AD3" s="70"/>
      <c r="AE3" s="84" t="s">
        <v>3004</v>
      </c>
      <c r="AF3" s="70"/>
      <c r="AG3" s="70"/>
      <c r="AH3" s="70"/>
      <c r="AI3" s="70"/>
      <c r="AJ3" s="70"/>
      <c r="AK3" s="70"/>
      <c r="AL3" s="70"/>
      <c r="AM3" s="70"/>
      <c r="AN3" s="70"/>
      <c r="AO3" s="70"/>
      <c r="AP3" s="70"/>
      <c r="AQ3" s="70"/>
      <c r="AR3" s="70"/>
      <c r="AS3" s="70"/>
      <c r="AT3" s="70"/>
    </row>
    <row r="4">
      <c r="A4" s="78" t="s">
        <v>3005</v>
      </c>
      <c r="B4" s="70"/>
      <c r="C4" s="79" t="s">
        <v>3006</v>
      </c>
      <c r="D4" s="85" t="s">
        <v>3007</v>
      </c>
      <c r="E4" s="78" t="s">
        <v>163</v>
      </c>
      <c r="F4" s="78" t="s">
        <v>234</v>
      </c>
      <c r="G4" s="72"/>
      <c r="H4" s="86">
        <v>1.0</v>
      </c>
      <c r="I4" s="78" t="s">
        <v>76</v>
      </c>
      <c r="J4" s="78" t="s">
        <v>2968</v>
      </c>
      <c r="K4" s="78" t="s">
        <v>3001</v>
      </c>
      <c r="L4" s="78" t="s">
        <v>2969</v>
      </c>
      <c r="M4" s="70"/>
      <c r="N4" s="70"/>
      <c r="O4" s="70"/>
      <c r="P4" s="70"/>
      <c r="Q4" s="78" t="s">
        <v>404</v>
      </c>
      <c r="R4" s="78" t="s">
        <v>3002</v>
      </c>
      <c r="S4" s="70"/>
      <c r="T4" s="82">
        <v>40.0</v>
      </c>
      <c r="U4" s="82">
        <v>30.0</v>
      </c>
      <c r="V4" s="70"/>
      <c r="W4" s="58"/>
      <c r="X4" s="58"/>
      <c r="Y4" s="78" t="s">
        <v>3003</v>
      </c>
      <c r="Z4" s="83"/>
      <c r="AA4" s="70"/>
      <c r="AB4" s="70"/>
      <c r="AC4" s="70"/>
      <c r="AD4" s="70"/>
      <c r="AE4" s="87" t="s">
        <v>3008</v>
      </c>
      <c r="AF4" s="70"/>
      <c r="AG4" s="70"/>
      <c r="AH4" s="70"/>
      <c r="AI4" s="70"/>
      <c r="AJ4" s="70"/>
      <c r="AK4" s="70"/>
      <c r="AL4" s="70"/>
      <c r="AM4" s="70"/>
      <c r="AN4" s="70"/>
      <c r="AO4" s="70"/>
      <c r="AP4" s="70"/>
      <c r="AQ4" s="70"/>
      <c r="AR4" s="70"/>
      <c r="AS4" s="70"/>
      <c r="AT4" s="70"/>
    </row>
    <row r="5">
      <c r="A5" s="78" t="s">
        <v>3009</v>
      </c>
      <c r="B5" s="70"/>
      <c r="C5" s="79" t="s">
        <v>3010</v>
      </c>
      <c r="D5" s="85" t="s">
        <v>3011</v>
      </c>
      <c r="E5" s="78" t="s">
        <v>163</v>
      </c>
      <c r="F5" s="78" t="s">
        <v>234</v>
      </c>
      <c r="G5" s="72"/>
      <c r="H5" s="86">
        <v>2.0</v>
      </c>
      <c r="I5" s="78" t="s">
        <v>76</v>
      </c>
      <c r="J5" s="78" t="s">
        <v>2968</v>
      </c>
      <c r="K5" s="78" t="s">
        <v>3001</v>
      </c>
      <c r="L5" s="78" t="s">
        <v>3012</v>
      </c>
      <c r="M5" s="70"/>
      <c r="N5" s="78" t="s">
        <v>3013</v>
      </c>
      <c r="O5" s="78" t="s">
        <v>78</v>
      </c>
      <c r="P5" s="78" t="s">
        <v>63</v>
      </c>
      <c r="Q5" s="78" t="s">
        <v>404</v>
      </c>
      <c r="R5" s="78" t="s">
        <v>3002</v>
      </c>
      <c r="S5" s="70"/>
      <c r="T5" s="82">
        <v>40.0</v>
      </c>
      <c r="U5" s="82">
        <v>30.0</v>
      </c>
      <c r="V5" s="70"/>
      <c r="W5" s="58"/>
      <c r="X5" s="58"/>
      <c r="Y5" s="78" t="s">
        <v>3003</v>
      </c>
      <c r="Z5" s="83"/>
      <c r="AA5" s="70"/>
      <c r="AB5" s="70"/>
      <c r="AC5" s="70"/>
      <c r="AD5" s="70"/>
      <c r="AE5" s="87" t="s">
        <v>3014</v>
      </c>
      <c r="AF5" s="70"/>
      <c r="AG5" s="70"/>
      <c r="AH5" s="70"/>
      <c r="AI5" s="70"/>
      <c r="AJ5" s="70"/>
      <c r="AK5" s="70"/>
      <c r="AL5" s="70"/>
      <c r="AM5" s="70"/>
      <c r="AN5" s="70"/>
      <c r="AO5" s="70"/>
      <c r="AP5" s="70"/>
      <c r="AQ5" s="70"/>
      <c r="AR5" s="70"/>
      <c r="AS5" s="70"/>
      <c r="AT5" s="70"/>
    </row>
    <row r="6">
      <c r="A6" s="78" t="s">
        <v>3015</v>
      </c>
      <c r="B6" s="70"/>
      <c r="C6" s="79" t="s">
        <v>3010</v>
      </c>
      <c r="D6" s="85" t="s">
        <v>3011</v>
      </c>
      <c r="E6" s="78" t="s">
        <v>163</v>
      </c>
      <c r="F6" s="78" t="s">
        <v>234</v>
      </c>
      <c r="G6" s="72"/>
      <c r="H6" s="88">
        <v>3.0</v>
      </c>
      <c r="I6" s="78" t="s">
        <v>80</v>
      </c>
      <c r="J6" s="78" t="s">
        <v>2968</v>
      </c>
      <c r="K6" s="78" t="s">
        <v>3001</v>
      </c>
      <c r="L6" s="78" t="s">
        <v>3012</v>
      </c>
      <c r="M6" s="70"/>
      <c r="N6" s="78" t="s">
        <v>3013</v>
      </c>
      <c r="O6" s="78" t="s">
        <v>81</v>
      </c>
      <c r="P6" s="78"/>
      <c r="Q6" s="78" t="s">
        <v>404</v>
      </c>
      <c r="R6" s="78" t="s">
        <v>3002</v>
      </c>
      <c r="S6" s="70"/>
      <c r="T6" s="82">
        <v>40.0</v>
      </c>
      <c r="U6" s="82">
        <v>30.0</v>
      </c>
      <c r="V6" s="70"/>
      <c r="W6" s="58"/>
      <c r="X6" s="58"/>
      <c r="Y6" s="78" t="s">
        <v>3003</v>
      </c>
      <c r="Z6" s="83"/>
      <c r="AA6" s="70"/>
      <c r="AB6" s="70"/>
      <c r="AC6" s="70"/>
      <c r="AE6" s="84" t="s">
        <v>3004</v>
      </c>
      <c r="AF6" s="70"/>
      <c r="AG6" s="70"/>
      <c r="AH6" s="70"/>
      <c r="AI6" s="70"/>
      <c r="AJ6" s="70"/>
      <c r="AK6" s="70"/>
      <c r="AL6" s="70"/>
      <c r="AM6" s="70"/>
      <c r="AN6" s="70"/>
      <c r="AO6" s="70"/>
      <c r="AP6" s="70"/>
      <c r="AQ6" s="70"/>
      <c r="AR6" s="70"/>
      <c r="AS6" s="70"/>
      <c r="AT6" s="70"/>
    </row>
    <row r="7">
      <c r="A7" s="78" t="s">
        <v>3016</v>
      </c>
      <c r="B7" s="70"/>
      <c r="C7" s="79" t="s">
        <v>3010</v>
      </c>
      <c r="D7" s="85" t="s">
        <v>3011</v>
      </c>
      <c r="E7" s="78" t="s">
        <v>163</v>
      </c>
      <c r="F7" s="78" t="s">
        <v>234</v>
      </c>
      <c r="G7" s="72"/>
      <c r="H7" s="86">
        <v>1.0</v>
      </c>
      <c r="I7" s="78" t="s">
        <v>804</v>
      </c>
      <c r="J7" s="78" t="s">
        <v>2968</v>
      </c>
      <c r="K7" s="78" t="s">
        <v>3001</v>
      </c>
      <c r="L7" s="78" t="s">
        <v>3012</v>
      </c>
      <c r="M7" s="70"/>
      <c r="N7" s="78" t="s">
        <v>3013</v>
      </c>
      <c r="O7" s="78" t="s">
        <v>81</v>
      </c>
      <c r="P7" s="70"/>
      <c r="Q7" s="78" t="s">
        <v>404</v>
      </c>
      <c r="R7" s="78" t="s">
        <v>3002</v>
      </c>
      <c r="S7" s="70"/>
      <c r="T7" s="82">
        <v>40.0</v>
      </c>
      <c r="U7" s="82">
        <v>30.0</v>
      </c>
      <c r="V7" s="70"/>
      <c r="W7" s="58"/>
      <c r="X7" s="58"/>
      <c r="Y7" s="78" t="s">
        <v>3003</v>
      </c>
      <c r="Z7" s="83"/>
      <c r="AA7" s="70"/>
      <c r="AB7" s="70"/>
      <c r="AC7" s="70"/>
      <c r="AD7" s="70"/>
      <c r="AE7" s="84" t="s">
        <v>3004</v>
      </c>
      <c r="AF7" s="70"/>
      <c r="AG7" s="70"/>
      <c r="AH7" s="70"/>
      <c r="AI7" s="70"/>
      <c r="AJ7" s="70"/>
      <c r="AK7" s="70"/>
      <c r="AL7" s="70"/>
      <c r="AM7" s="70"/>
      <c r="AN7" s="70"/>
      <c r="AO7" s="70"/>
      <c r="AP7" s="70"/>
      <c r="AQ7" s="70"/>
      <c r="AR7" s="70"/>
      <c r="AS7" s="70"/>
      <c r="AT7" s="70"/>
    </row>
    <row r="8">
      <c r="A8" s="78" t="s">
        <v>3017</v>
      </c>
      <c r="B8" s="70"/>
      <c r="C8" s="79" t="s">
        <v>3018</v>
      </c>
      <c r="D8" s="85" t="s">
        <v>3019</v>
      </c>
      <c r="E8" s="78" t="s">
        <v>163</v>
      </c>
      <c r="F8" s="78" t="s">
        <v>234</v>
      </c>
      <c r="G8" s="72"/>
      <c r="H8" s="86">
        <v>2.0</v>
      </c>
      <c r="I8" s="78" t="s">
        <v>80</v>
      </c>
      <c r="J8" s="78" t="s">
        <v>2968</v>
      </c>
      <c r="K8" s="78" t="s">
        <v>3001</v>
      </c>
      <c r="L8" s="78" t="s">
        <v>2957</v>
      </c>
      <c r="M8" s="70"/>
      <c r="N8" s="78" t="s">
        <v>3020</v>
      </c>
      <c r="O8" s="78" t="s">
        <v>78</v>
      </c>
      <c r="P8" s="78" t="s">
        <v>63</v>
      </c>
      <c r="Q8" s="78" t="s">
        <v>404</v>
      </c>
      <c r="R8" s="78" t="s">
        <v>3002</v>
      </c>
      <c r="S8" s="70"/>
      <c r="T8" s="82">
        <v>40.0</v>
      </c>
      <c r="U8" s="82">
        <v>30.0</v>
      </c>
      <c r="V8" s="70"/>
      <c r="W8" s="58"/>
      <c r="X8" s="58"/>
      <c r="Y8" s="78" t="s">
        <v>3003</v>
      </c>
      <c r="Z8" s="83"/>
      <c r="AA8" s="70"/>
      <c r="AB8" s="70"/>
      <c r="AC8" s="70"/>
      <c r="AD8" s="70"/>
      <c r="AE8" s="87" t="s">
        <v>3021</v>
      </c>
      <c r="AF8" s="70"/>
      <c r="AG8" s="70"/>
      <c r="AH8" s="70"/>
      <c r="AI8" s="70"/>
      <c r="AJ8" s="70"/>
      <c r="AK8" s="70"/>
      <c r="AL8" s="70"/>
      <c r="AM8" s="70"/>
      <c r="AN8" s="70"/>
      <c r="AO8" s="70"/>
      <c r="AP8" s="70"/>
      <c r="AQ8" s="70"/>
      <c r="AR8" s="70"/>
      <c r="AS8" s="70"/>
      <c r="AT8" s="70"/>
    </row>
    <row r="9">
      <c r="A9" s="78" t="s">
        <v>3022</v>
      </c>
      <c r="B9" s="70"/>
      <c r="C9" s="79" t="s">
        <v>3023</v>
      </c>
      <c r="D9" s="85" t="s">
        <v>3019</v>
      </c>
      <c r="E9" s="78" t="s">
        <v>163</v>
      </c>
      <c r="F9" s="78" t="s">
        <v>234</v>
      </c>
      <c r="G9" s="72"/>
      <c r="H9" s="86">
        <v>1.0</v>
      </c>
      <c r="I9" s="78" t="s">
        <v>76</v>
      </c>
      <c r="J9" s="78" t="s">
        <v>2968</v>
      </c>
      <c r="K9" s="78" t="s">
        <v>3001</v>
      </c>
      <c r="L9" s="78" t="s">
        <v>2957</v>
      </c>
      <c r="M9" s="70"/>
      <c r="N9" s="78" t="s">
        <v>3020</v>
      </c>
      <c r="O9" s="78" t="s">
        <v>81</v>
      </c>
      <c r="P9" s="70"/>
      <c r="Q9" s="78" t="s">
        <v>404</v>
      </c>
      <c r="R9" s="78" t="s">
        <v>3002</v>
      </c>
      <c r="S9" s="70"/>
      <c r="T9" s="82">
        <v>40.0</v>
      </c>
      <c r="U9" s="82">
        <v>30.0</v>
      </c>
      <c r="V9" s="70"/>
      <c r="W9" s="58"/>
      <c r="X9" s="58"/>
      <c r="Y9" s="78" t="s">
        <v>3003</v>
      </c>
      <c r="Z9" s="83"/>
      <c r="AA9" s="70"/>
      <c r="AB9" s="70"/>
      <c r="AC9" s="70"/>
      <c r="AD9" s="70"/>
      <c r="AE9" s="84" t="s">
        <v>3004</v>
      </c>
      <c r="AF9" s="70"/>
      <c r="AG9" s="70"/>
      <c r="AH9" s="70"/>
      <c r="AI9" s="70"/>
      <c r="AJ9" s="70"/>
      <c r="AK9" s="70"/>
      <c r="AL9" s="70"/>
      <c r="AM9" s="70"/>
      <c r="AN9" s="70"/>
      <c r="AO9" s="70"/>
      <c r="AP9" s="70"/>
      <c r="AQ9" s="70"/>
      <c r="AR9" s="70"/>
      <c r="AS9" s="70"/>
      <c r="AT9" s="70"/>
    </row>
    <row r="10">
      <c r="A10" s="78" t="s">
        <v>3024</v>
      </c>
      <c r="B10" s="70"/>
      <c r="C10" s="79" t="s">
        <v>3025</v>
      </c>
      <c r="D10" s="85" t="s">
        <v>3026</v>
      </c>
      <c r="E10" s="78" t="s">
        <v>163</v>
      </c>
      <c r="F10" s="78" t="s">
        <v>234</v>
      </c>
      <c r="G10" s="72"/>
      <c r="H10" s="86">
        <v>1.0</v>
      </c>
      <c r="I10" s="78" t="s">
        <v>76</v>
      </c>
      <c r="J10" s="78" t="s">
        <v>2968</v>
      </c>
      <c r="K10" s="78" t="s">
        <v>3001</v>
      </c>
      <c r="L10" s="78" t="s">
        <v>3027</v>
      </c>
      <c r="M10" s="70"/>
      <c r="N10" s="70"/>
      <c r="O10" s="70"/>
      <c r="P10" s="70"/>
      <c r="Q10" s="78" t="s">
        <v>404</v>
      </c>
      <c r="R10" s="78" t="s">
        <v>3002</v>
      </c>
      <c r="S10" s="70"/>
      <c r="T10" s="82">
        <v>40.0</v>
      </c>
      <c r="U10" s="82">
        <v>30.0</v>
      </c>
      <c r="V10" s="70"/>
      <c r="W10" s="58"/>
      <c r="X10" s="58"/>
      <c r="Y10" s="78" t="s">
        <v>3003</v>
      </c>
      <c r="Z10" s="83"/>
      <c r="AA10" s="70"/>
      <c r="AB10" s="70"/>
      <c r="AC10" s="70"/>
      <c r="AD10" s="70"/>
      <c r="AE10" s="87" t="s">
        <v>3028</v>
      </c>
      <c r="AF10" s="70"/>
      <c r="AG10" s="70"/>
      <c r="AH10" s="70"/>
      <c r="AI10" s="70"/>
      <c r="AJ10" s="70"/>
      <c r="AK10" s="70"/>
      <c r="AL10" s="70"/>
      <c r="AM10" s="70"/>
      <c r="AN10" s="70"/>
      <c r="AO10" s="70"/>
      <c r="AP10" s="70"/>
      <c r="AQ10" s="70"/>
      <c r="AR10" s="70"/>
      <c r="AS10" s="70"/>
      <c r="AT10" s="70"/>
    </row>
    <row r="11">
      <c r="A11" s="78" t="s">
        <v>3029</v>
      </c>
      <c r="B11" s="70"/>
      <c r="C11" s="79" t="s">
        <v>3030</v>
      </c>
      <c r="D11" s="80" t="s">
        <v>3031</v>
      </c>
      <c r="E11" s="78" t="s">
        <v>163</v>
      </c>
      <c r="F11" s="78" t="s">
        <v>234</v>
      </c>
      <c r="G11" s="72"/>
      <c r="H11" s="86">
        <v>1.0</v>
      </c>
      <c r="I11" s="78" t="s">
        <v>80</v>
      </c>
      <c r="J11" s="78" t="s">
        <v>2968</v>
      </c>
      <c r="K11" s="78" t="s">
        <v>3001</v>
      </c>
      <c r="L11" s="78" t="s">
        <v>3032</v>
      </c>
      <c r="M11" s="70"/>
      <c r="N11" s="70"/>
      <c r="O11" s="70"/>
      <c r="P11" s="70"/>
      <c r="Q11" s="78" t="s">
        <v>404</v>
      </c>
      <c r="R11" s="78" t="s">
        <v>3002</v>
      </c>
      <c r="S11" s="70"/>
      <c r="T11" s="82">
        <v>40.0</v>
      </c>
      <c r="U11" s="82">
        <v>30.0</v>
      </c>
      <c r="V11" s="70"/>
      <c r="W11" s="58"/>
      <c r="X11" s="58"/>
      <c r="Y11" s="78" t="s">
        <v>3003</v>
      </c>
      <c r="Z11" s="83"/>
      <c r="AA11" s="70"/>
      <c r="AB11" s="70"/>
      <c r="AC11" s="70"/>
      <c r="AD11" s="70"/>
      <c r="AE11" s="87" t="s">
        <v>3033</v>
      </c>
      <c r="AF11" s="89" t="s">
        <v>3034</v>
      </c>
      <c r="AG11" s="70"/>
      <c r="AH11" s="70"/>
      <c r="AI11" s="70"/>
      <c r="AJ11" s="70"/>
      <c r="AK11" s="70"/>
      <c r="AL11" s="70"/>
      <c r="AM11" s="70"/>
      <c r="AN11" s="70"/>
      <c r="AO11" s="70"/>
      <c r="AP11" s="70"/>
      <c r="AQ11" s="70"/>
      <c r="AR11" s="70"/>
      <c r="AS11" s="70"/>
      <c r="AT11" s="70"/>
    </row>
    <row r="12">
      <c r="A12" s="78" t="s">
        <v>3035</v>
      </c>
      <c r="B12" s="70"/>
      <c r="C12" s="79" t="s">
        <v>3036</v>
      </c>
      <c r="D12" s="85" t="s">
        <v>3037</v>
      </c>
      <c r="E12" s="78" t="s">
        <v>163</v>
      </c>
      <c r="F12" s="78" t="s">
        <v>202</v>
      </c>
      <c r="G12" s="72"/>
      <c r="H12" s="86">
        <v>12.0</v>
      </c>
      <c r="I12" s="78" t="s">
        <v>85</v>
      </c>
      <c r="J12" s="78" t="s">
        <v>2968</v>
      </c>
      <c r="K12" s="78" t="s">
        <v>3001</v>
      </c>
      <c r="L12" s="78" t="s">
        <v>3038</v>
      </c>
      <c r="M12" s="70"/>
      <c r="N12" s="70"/>
      <c r="O12" s="70"/>
      <c r="P12" s="70"/>
      <c r="Q12" s="78" t="s">
        <v>3039</v>
      </c>
      <c r="R12" s="78" t="s">
        <v>3040</v>
      </c>
      <c r="S12" s="78" t="s">
        <v>2959</v>
      </c>
      <c r="T12" s="82">
        <v>58.0</v>
      </c>
      <c r="U12" s="82">
        <v>35.0</v>
      </c>
      <c r="V12" s="70"/>
      <c r="W12" s="58"/>
      <c r="X12" s="58"/>
      <c r="Y12" s="78" t="s">
        <v>3003</v>
      </c>
      <c r="Z12" s="83"/>
      <c r="AA12" s="70"/>
      <c r="AB12" s="70"/>
      <c r="AC12" s="70"/>
      <c r="AD12" s="70"/>
      <c r="AE12" s="84" t="s">
        <v>3041</v>
      </c>
      <c r="AF12" s="70"/>
      <c r="AG12" s="70"/>
      <c r="AH12" s="70"/>
      <c r="AI12" s="70"/>
      <c r="AJ12" s="70"/>
      <c r="AK12" s="70"/>
      <c r="AL12" s="70"/>
      <c r="AM12" s="70"/>
      <c r="AN12" s="70"/>
      <c r="AO12" s="70"/>
      <c r="AP12" s="70"/>
      <c r="AQ12" s="70"/>
      <c r="AR12" s="70"/>
      <c r="AS12" s="70"/>
      <c r="AT12" s="70"/>
    </row>
    <row r="13">
      <c r="A13" s="78" t="s">
        <v>3042</v>
      </c>
      <c r="B13" s="70"/>
      <c r="C13" s="79" t="s">
        <v>3043</v>
      </c>
      <c r="D13" s="80" t="s">
        <v>3044</v>
      </c>
      <c r="E13" s="78" t="s">
        <v>163</v>
      </c>
      <c r="F13" s="78" t="s">
        <v>202</v>
      </c>
      <c r="G13" s="72"/>
      <c r="H13" s="86">
        <v>5.0</v>
      </c>
      <c r="I13" s="78" t="s">
        <v>80</v>
      </c>
      <c r="J13" s="78" t="s">
        <v>2968</v>
      </c>
      <c r="K13" s="78" t="s">
        <v>3001</v>
      </c>
      <c r="L13" s="78" t="s">
        <v>2958</v>
      </c>
      <c r="M13" s="70"/>
      <c r="N13" s="70"/>
      <c r="O13" s="70"/>
      <c r="P13" s="70"/>
      <c r="Q13" s="78" t="s">
        <v>3039</v>
      </c>
      <c r="R13" s="78" t="s">
        <v>3040</v>
      </c>
      <c r="S13" s="78" t="s">
        <v>2959</v>
      </c>
      <c r="T13" s="82">
        <v>58.0</v>
      </c>
      <c r="U13" s="82">
        <v>35.0</v>
      </c>
      <c r="V13" s="70"/>
      <c r="W13" s="58"/>
      <c r="X13" s="58"/>
      <c r="Y13" s="78" t="s">
        <v>3003</v>
      </c>
      <c r="Z13" s="83"/>
      <c r="AA13" s="70"/>
      <c r="AB13" s="70"/>
      <c r="AC13" s="70"/>
      <c r="AD13" s="70"/>
      <c r="AE13" s="87" t="s">
        <v>3045</v>
      </c>
      <c r="AF13" s="70"/>
      <c r="AG13" s="70"/>
      <c r="AH13" s="70"/>
      <c r="AI13" s="70"/>
      <c r="AJ13" s="70"/>
      <c r="AK13" s="70"/>
      <c r="AL13" s="70"/>
      <c r="AM13" s="70"/>
      <c r="AN13" s="70"/>
      <c r="AO13" s="70"/>
      <c r="AP13" s="70"/>
      <c r="AQ13" s="70"/>
      <c r="AR13" s="70"/>
      <c r="AS13" s="70"/>
      <c r="AT13" s="70"/>
    </row>
    <row r="14">
      <c r="A14" s="78" t="s">
        <v>3046</v>
      </c>
      <c r="B14" s="70"/>
      <c r="C14" s="79" t="s">
        <v>3047</v>
      </c>
      <c r="D14" s="80" t="s">
        <v>3048</v>
      </c>
      <c r="E14" s="78" t="s">
        <v>163</v>
      </c>
      <c r="F14" s="78" t="s">
        <v>202</v>
      </c>
      <c r="G14" s="72"/>
      <c r="H14" s="86">
        <v>3.0</v>
      </c>
      <c r="I14" s="78" t="s">
        <v>80</v>
      </c>
      <c r="J14" s="78" t="s">
        <v>2968</v>
      </c>
      <c r="K14" s="78" t="s">
        <v>3001</v>
      </c>
      <c r="L14" s="78" t="s">
        <v>2958</v>
      </c>
      <c r="M14" s="70"/>
      <c r="N14" s="70"/>
      <c r="O14" s="70"/>
      <c r="P14" s="70"/>
      <c r="Q14" s="78" t="s">
        <v>440</v>
      </c>
      <c r="R14" s="78" t="s">
        <v>3049</v>
      </c>
      <c r="S14" s="70"/>
      <c r="T14" s="82">
        <v>38.0</v>
      </c>
      <c r="U14" s="82">
        <v>25.0</v>
      </c>
      <c r="V14" s="70"/>
      <c r="W14" s="58"/>
      <c r="X14" s="58"/>
      <c r="Y14" s="78" t="s">
        <v>3003</v>
      </c>
      <c r="Z14" s="83"/>
      <c r="AA14" s="70"/>
      <c r="AB14" s="70"/>
      <c r="AC14" s="70"/>
      <c r="AD14" s="70"/>
      <c r="AE14" s="84" t="s">
        <v>3050</v>
      </c>
      <c r="AF14" s="70"/>
      <c r="AG14" s="70"/>
      <c r="AH14" s="70"/>
      <c r="AI14" s="70"/>
      <c r="AJ14" s="70"/>
      <c r="AK14" s="70"/>
      <c r="AL14" s="70"/>
      <c r="AM14" s="70"/>
      <c r="AN14" s="70"/>
      <c r="AO14" s="70"/>
      <c r="AP14" s="70"/>
      <c r="AQ14" s="70"/>
      <c r="AR14" s="70"/>
      <c r="AS14" s="70"/>
      <c r="AT14" s="70"/>
    </row>
    <row r="15">
      <c r="A15" s="78" t="s">
        <v>3051</v>
      </c>
      <c r="B15" s="70"/>
      <c r="C15" s="79" t="s">
        <v>3052</v>
      </c>
      <c r="D15" s="80" t="s">
        <v>3053</v>
      </c>
      <c r="E15" s="78" t="s">
        <v>163</v>
      </c>
      <c r="F15" s="78" t="s">
        <v>202</v>
      </c>
      <c r="G15" s="72"/>
      <c r="H15" s="86">
        <v>5.0</v>
      </c>
      <c r="I15" s="78" t="s">
        <v>80</v>
      </c>
      <c r="J15" s="78" t="s">
        <v>2968</v>
      </c>
      <c r="K15" s="78" t="s">
        <v>3001</v>
      </c>
      <c r="L15" s="78" t="s">
        <v>2969</v>
      </c>
      <c r="M15" s="70"/>
      <c r="N15" s="70"/>
      <c r="O15" s="70"/>
      <c r="P15" s="70"/>
      <c r="Q15" s="78" t="s">
        <v>440</v>
      </c>
      <c r="R15" s="78" t="s">
        <v>3049</v>
      </c>
      <c r="S15" s="70"/>
      <c r="T15" s="82">
        <v>38.0</v>
      </c>
      <c r="U15" s="82">
        <v>25.0</v>
      </c>
      <c r="V15" s="70"/>
      <c r="W15" s="58"/>
      <c r="X15" s="58"/>
      <c r="Y15" s="78" t="s">
        <v>3003</v>
      </c>
      <c r="Z15" s="83"/>
      <c r="AA15" s="70"/>
      <c r="AB15" s="70"/>
      <c r="AC15" s="70"/>
      <c r="AD15" s="70"/>
      <c r="AE15" s="87" t="s">
        <v>3054</v>
      </c>
      <c r="AF15" s="70"/>
      <c r="AG15" s="70"/>
      <c r="AH15" s="70"/>
      <c r="AI15" s="70"/>
      <c r="AJ15" s="70"/>
      <c r="AK15" s="70"/>
      <c r="AL15" s="70"/>
      <c r="AM15" s="70"/>
      <c r="AN15" s="70"/>
      <c r="AO15" s="70"/>
      <c r="AP15" s="70"/>
      <c r="AQ15" s="70"/>
      <c r="AR15" s="70"/>
      <c r="AS15" s="70"/>
      <c r="AT15" s="70"/>
    </row>
    <row r="16">
      <c r="A16" s="78" t="s">
        <v>3055</v>
      </c>
      <c r="B16" s="70"/>
      <c r="C16" s="79" t="s">
        <v>3056</v>
      </c>
      <c r="D16" s="80" t="s">
        <v>3057</v>
      </c>
      <c r="E16" s="78" t="s">
        <v>163</v>
      </c>
      <c r="F16" s="78" t="s">
        <v>202</v>
      </c>
      <c r="G16" s="72"/>
      <c r="H16" s="86">
        <v>7.0</v>
      </c>
      <c r="I16" s="78" t="s">
        <v>804</v>
      </c>
      <c r="J16" s="78" t="s">
        <v>2968</v>
      </c>
      <c r="K16" s="78" t="s">
        <v>3001</v>
      </c>
      <c r="L16" s="78" t="s">
        <v>2957</v>
      </c>
      <c r="M16" s="70"/>
      <c r="N16" s="70"/>
      <c r="O16" s="70"/>
      <c r="P16" s="70"/>
      <c r="Q16" s="78" t="s">
        <v>440</v>
      </c>
      <c r="R16" s="78" t="s">
        <v>3049</v>
      </c>
      <c r="S16" s="70"/>
      <c r="T16" s="82">
        <v>38.0</v>
      </c>
      <c r="U16" s="82">
        <v>25.0</v>
      </c>
      <c r="V16" s="70"/>
      <c r="W16" s="58"/>
      <c r="X16" s="58"/>
      <c r="Y16" s="78" t="s">
        <v>3003</v>
      </c>
      <c r="Z16" s="83"/>
      <c r="AA16" s="70"/>
      <c r="AB16" s="70"/>
      <c r="AC16" s="70"/>
      <c r="AD16" s="70"/>
      <c r="AE16" s="87" t="s">
        <v>3058</v>
      </c>
      <c r="AF16" s="70"/>
      <c r="AG16" s="70"/>
      <c r="AH16" s="70"/>
      <c r="AI16" s="70"/>
      <c r="AJ16" s="70"/>
      <c r="AK16" s="70"/>
      <c r="AL16" s="70"/>
      <c r="AM16" s="70"/>
      <c r="AN16" s="70"/>
      <c r="AO16" s="70"/>
      <c r="AP16" s="70"/>
      <c r="AQ16" s="70"/>
      <c r="AR16" s="70"/>
      <c r="AS16" s="70"/>
      <c r="AT16" s="70"/>
    </row>
    <row r="17">
      <c r="A17" s="78" t="s">
        <v>3059</v>
      </c>
      <c r="B17" s="70"/>
      <c r="C17" s="79" t="s">
        <v>3060</v>
      </c>
      <c r="D17" s="80" t="s">
        <v>3061</v>
      </c>
      <c r="E17" s="78" t="s">
        <v>163</v>
      </c>
      <c r="F17" s="78" t="s">
        <v>202</v>
      </c>
      <c r="G17" s="72"/>
      <c r="H17" s="86">
        <v>5.0</v>
      </c>
      <c r="I17" s="78" t="s">
        <v>76</v>
      </c>
      <c r="J17" s="78" t="s">
        <v>2968</v>
      </c>
      <c r="K17" s="78" t="s">
        <v>3001</v>
      </c>
      <c r="L17" s="78" t="s">
        <v>3027</v>
      </c>
      <c r="M17" s="70"/>
      <c r="N17" s="70"/>
      <c r="O17" s="70"/>
      <c r="P17" s="70"/>
      <c r="Q17" s="78" t="s">
        <v>440</v>
      </c>
      <c r="R17" s="78" t="s">
        <v>3049</v>
      </c>
      <c r="S17" s="70"/>
      <c r="T17" s="82">
        <v>38.0</v>
      </c>
      <c r="U17" s="82">
        <v>25.0</v>
      </c>
      <c r="V17" s="70"/>
      <c r="W17" s="58"/>
      <c r="X17" s="58"/>
      <c r="Y17" s="78" t="s">
        <v>3003</v>
      </c>
      <c r="Z17" s="83"/>
      <c r="AA17" s="70"/>
      <c r="AB17" s="70"/>
      <c r="AC17" s="70"/>
      <c r="AD17" s="70"/>
      <c r="AE17" s="87" t="s">
        <v>3062</v>
      </c>
      <c r="AF17" s="70"/>
      <c r="AG17" s="70"/>
      <c r="AH17" s="70"/>
      <c r="AI17" s="70"/>
      <c r="AJ17" s="70"/>
      <c r="AK17" s="70"/>
      <c r="AL17" s="70"/>
      <c r="AM17" s="70"/>
      <c r="AN17" s="70"/>
      <c r="AO17" s="70"/>
      <c r="AP17" s="70"/>
      <c r="AQ17" s="70"/>
      <c r="AR17" s="70"/>
      <c r="AS17" s="70"/>
      <c r="AT17" s="70"/>
    </row>
    <row r="18">
      <c r="A18" s="78" t="s">
        <v>3063</v>
      </c>
      <c r="B18" s="70"/>
      <c r="C18" s="79" t="s">
        <v>3064</v>
      </c>
      <c r="D18" s="80" t="s">
        <v>3065</v>
      </c>
      <c r="E18" s="78" t="s">
        <v>163</v>
      </c>
      <c r="F18" s="78" t="s">
        <v>176</v>
      </c>
      <c r="G18" s="72"/>
      <c r="H18" s="86">
        <v>4.0</v>
      </c>
      <c r="I18" s="78" t="s">
        <v>804</v>
      </c>
      <c r="J18" s="78" t="s">
        <v>2968</v>
      </c>
      <c r="K18" s="78" t="s">
        <v>3001</v>
      </c>
      <c r="L18" s="78" t="s">
        <v>3027</v>
      </c>
      <c r="M18" s="70"/>
      <c r="N18" s="70"/>
      <c r="O18" s="70"/>
      <c r="P18" s="70"/>
      <c r="Q18" s="78" t="s">
        <v>2959</v>
      </c>
      <c r="R18" s="78" t="s">
        <v>3066</v>
      </c>
      <c r="S18" s="78" t="s">
        <v>3067</v>
      </c>
      <c r="T18" s="82">
        <v>50.0</v>
      </c>
      <c r="U18" s="82">
        <v>30.0</v>
      </c>
      <c r="V18" s="70"/>
      <c r="W18" s="58"/>
      <c r="X18" s="58"/>
      <c r="Y18" s="78" t="s">
        <v>3003</v>
      </c>
      <c r="Z18" s="83"/>
      <c r="AA18" s="70"/>
      <c r="AB18" s="70"/>
      <c r="AC18" s="70"/>
      <c r="AD18" s="70"/>
      <c r="AE18" s="84" t="s">
        <v>3068</v>
      </c>
      <c r="AF18" s="70"/>
      <c r="AG18" s="70"/>
      <c r="AH18" s="70"/>
      <c r="AI18" s="70"/>
      <c r="AJ18" s="70"/>
      <c r="AK18" s="70"/>
      <c r="AL18" s="70"/>
      <c r="AM18" s="70"/>
      <c r="AN18" s="70"/>
      <c r="AO18" s="70"/>
      <c r="AP18" s="70"/>
      <c r="AQ18" s="70"/>
      <c r="AR18" s="70"/>
      <c r="AS18" s="70"/>
      <c r="AT18" s="70"/>
    </row>
    <row r="19">
      <c r="A19" s="78" t="s">
        <v>3069</v>
      </c>
      <c r="B19" s="70"/>
      <c r="C19" s="79" t="s">
        <v>3070</v>
      </c>
      <c r="D19" s="80" t="s">
        <v>3071</v>
      </c>
      <c r="E19" s="78" t="s">
        <v>163</v>
      </c>
      <c r="F19" s="78" t="s">
        <v>202</v>
      </c>
      <c r="G19" s="72"/>
      <c r="H19" s="86">
        <v>3.0</v>
      </c>
      <c r="I19" s="78" t="s">
        <v>804</v>
      </c>
      <c r="J19" s="78" t="s">
        <v>2968</v>
      </c>
      <c r="K19" s="78" t="s">
        <v>3001</v>
      </c>
      <c r="L19" s="78" t="s">
        <v>2958</v>
      </c>
      <c r="M19" s="70"/>
      <c r="N19" s="70"/>
      <c r="O19" s="70"/>
      <c r="P19" s="70"/>
      <c r="Q19" s="78" t="s">
        <v>3049</v>
      </c>
      <c r="R19" s="78" t="s">
        <v>3072</v>
      </c>
      <c r="S19" s="70"/>
      <c r="T19" s="82">
        <v>38.0</v>
      </c>
      <c r="U19" s="82">
        <v>25.0</v>
      </c>
      <c r="V19" s="70"/>
      <c r="W19" s="58"/>
      <c r="X19" s="58"/>
      <c r="Y19" s="78" t="s">
        <v>3003</v>
      </c>
      <c r="Z19" s="83"/>
      <c r="AA19" s="70"/>
      <c r="AB19" s="70"/>
      <c r="AC19" s="70"/>
      <c r="AD19" s="70"/>
      <c r="AE19" s="87" t="s">
        <v>3073</v>
      </c>
      <c r="AF19" s="70"/>
      <c r="AG19" s="70"/>
      <c r="AH19" s="70"/>
      <c r="AI19" s="70"/>
      <c r="AJ19" s="70"/>
      <c r="AK19" s="70"/>
      <c r="AL19" s="70"/>
      <c r="AM19" s="70"/>
      <c r="AN19" s="70"/>
      <c r="AO19" s="70"/>
      <c r="AP19" s="70"/>
      <c r="AQ19" s="70"/>
      <c r="AR19" s="70"/>
      <c r="AS19" s="70"/>
      <c r="AT19" s="70"/>
    </row>
    <row r="20">
      <c r="A20" s="78" t="s">
        <v>3074</v>
      </c>
      <c r="B20" s="70"/>
      <c r="C20" s="79" t="s">
        <v>3075</v>
      </c>
      <c r="D20" s="80" t="s">
        <v>3076</v>
      </c>
      <c r="E20" s="78" t="s">
        <v>163</v>
      </c>
      <c r="F20" s="78" t="s">
        <v>202</v>
      </c>
      <c r="G20" s="72"/>
      <c r="H20" s="86">
        <v>6.0</v>
      </c>
      <c r="I20" s="78" t="s">
        <v>80</v>
      </c>
      <c r="J20" s="78" t="s">
        <v>2968</v>
      </c>
      <c r="K20" s="78" t="s">
        <v>3001</v>
      </c>
      <c r="L20" s="78" t="s">
        <v>3077</v>
      </c>
      <c r="M20" s="70"/>
      <c r="N20" s="70"/>
      <c r="O20" s="70"/>
      <c r="P20" s="70"/>
      <c r="Q20" s="78" t="s">
        <v>3049</v>
      </c>
      <c r="R20" s="78" t="s">
        <v>3072</v>
      </c>
      <c r="S20" s="70"/>
      <c r="T20" s="82">
        <v>38.0</v>
      </c>
      <c r="U20" s="82">
        <v>25.0</v>
      </c>
      <c r="V20" s="70"/>
      <c r="W20" s="58"/>
      <c r="X20" s="58"/>
      <c r="Y20" s="78" t="s">
        <v>3003</v>
      </c>
      <c r="Z20" s="83"/>
      <c r="AA20" s="70"/>
      <c r="AB20" s="70"/>
      <c r="AC20" s="70"/>
      <c r="AD20" s="70"/>
      <c r="AE20" s="87" t="s">
        <v>3078</v>
      </c>
      <c r="AF20" s="70"/>
      <c r="AG20" s="70"/>
      <c r="AH20" s="70"/>
      <c r="AI20" s="70"/>
      <c r="AJ20" s="70"/>
      <c r="AK20" s="70"/>
      <c r="AL20" s="70"/>
      <c r="AM20" s="70"/>
      <c r="AN20" s="70"/>
      <c r="AO20" s="70"/>
      <c r="AP20" s="70"/>
      <c r="AQ20" s="70"/>
      <c r="AR20" s="70"/>
      <c r="AS20" s="70"/>
      <c r="AT20" s="70"/>
    </row>
    <row r="21">
      <c r="A21" s="78" t="s">
        <v>3079</v>
      </c>
      <c r="B21" s="70"/>
      <c r="C21" s="90" t="s">
        <v>3080</v>
      </c>
      <c r="D21" s="85" t="s">
        <v>3081</v>
      </c>
      <c r="E21" s="78" t="s">
        <v>163</v>
      </c>
      <c r="F21" s="78" t="s">
        <v>202</v>
      </c>
      <c r="G21" s="72"/>
      <c r="H21" s="86">
        <v>1.0</v>
      </c>
      <c r="I21" s="78" t="s">
        <v>80</v>
      </c>
      <c r="J21" s="78" t="s">
        <v>2968</v>
      </c>
      <c r="K21" s="78" t="s">
        <v>3082</v>
      </c>
      <c r="L21" s="78" t="s">
        <v>2969</v>
      </c>
      <c r="M21" s="70"/>
      <c r="N21" s="78" t="s">
        <v>3083</v>
      </c>
      <c r="O21" s="78" t="s">
        <v>78</v>
      </c>
      <c r="P21" s="78" t="s">
        <v>63</v>
      </c>
      <c r="Q21" s="78" t="s">
        <v>3084</v>
      </c>
      <c r="R21" s="78" t="s">
        <v>440</v>
      </c>
      <c r="S21" s="70"/>
      <c r="T21" s="82">
        <v>49.0</v>
      </c>
      <c r="U21" s="82">
        <v>30.0</v>
      </c>
      <c r="V21" s="70"/>
      <c r="W21" s="58"/>
      <c r="X21" s="58"/>
      <c r="Y21" s="78" t="s">
        <v>3003</v>
      </c>
      <c r="Z21" s="83"/>
      <c r="AA21" s="70"/>
      <c r="AB21" s="70"/>
      <c r="AC21" s="70"/>
      <c r="AD21" s="70"/>
      <c r="AE21" s="87" t="s">
        <v>3085</v>
      </c>
      <c r="AF21" s="70"/>
      <c r="AG21" s="70"/>
      <c r="AH21" s="70"/>
      <c r="AI21" s="70"/>
      <c r="AJ21" s="70"/>
      <c r="AK21" s="70"/>
      <c r="AL21" s="70"/>
      <c r="AM21" s="70"/>
      <c r="AN21" s="70"/>
      <c r="AO21" s="70"/>
      <c r="AP21" s="70"/>
      <c r="AQ21" s="70"/>
      <c r="AR21" s="70"/>
      <c r="AS21" s="70"/>
      <c r="AT21" s="70"/>
    </row>
    <row r="22">
      <c r="A22" s="78" t="s">
        <v>3086</v>
      </c>
      <c r="B22" s="70"/>
      <c r="C22" s="90" t="s">
        <v>3087</v>
      </c>
      <c r="D22" s="85" t="s">
        <v>3081</v>
      </c>
      <c r="E22" s="78" t="s">
        <v>163</v>
      </c>
      <c r="F22" s="78" t="s">
        <v>202</v>
      </c>
      <c r="G22" s="72"/>
      <c r="H22" s="86">
        <v>1.0</v>
      </c>
      <c r="I22" s="78" t="s">
        <v>76</v>
      </c>
      <c r="J22" s="78" t="s">
        <v>2968</v>
      </c>
      <c r="K22" s="78" t="s">
        <v>3082</v>
      </c>
      <c r="L22" s="78" t="s">
        <v>2969</v>
      </c>
      <c r="M22" s="70"/>
      <c r="N22" s="78" t="s">
        <v>3083</v>
      </c>
      <c r="O22" s="78" t="s">
        <v>81</v>
      </c>
      <c r="P22" s="70"/>
      <c r="Q22" s="78" t="s">
        <v>3084</v>
      </c>
      <c r="R22" s="78" t="s">
        <v>440</v>
      </c>
      <c r="S22" s="70"/>
      <c r="T22" s="82">
        <v>49.0</v>
      </c>
      <c r="U22" s="82">
        <v>30.0</v>
      </c>
      <c r="V22" s="70"/>
      <c r="W22" s="58"/>
      <c r="X22" s="58"/>
      <c r="Y22" s="78" t="s">
        <v>3003</v>
      </c>
      <c r="Z22" s="83"/>
      <c r="AA22" s="70"/>
      <c r="AB22" s="70"/>
      <c r="AC22" s="70"/>
      <c r="AD22" s="70"/>
      <c r="AE22" s="87" t="s">
        <v>3085</v>
      </c>
      <c r="AF22" s="70"/>
      <c r="AG22" s="70"/>
      <c r="AH22" s="70"/>
      <c r="AI22" s="70"/>
      <c r="AJ22" s="70"/>
      <c r="AK22" s="70"/>
      <c r="AL22" s="70"/>
      <c r="AM22" s="70"/>
      <c r="AN22" s="70"/>
      <c r="AO22" s="70"/>
      <c r="AP22" s="70"/>
      <c r="AQ22" s="70"/>
      <c r="AR22" s="70"/>
      <c r="AS22" s="70"/>
      <c r="AT22" s="70"/>
    </row>
    <row r="23">
      <c r="A23" s="78" t="s">
        <v>3088</v>
      </c>
      <c r="B23" s="70"/>
      <c r="C23" s="90" t="s">
        <v>3089</v>
      </c>
      <c r="D23" s="80" t="s">
        <v>3090</v>
      </c>
      <c r="E23" s="78" t="s">
        <v>163</v>
      </c>
      <c r="F23" s="78" t="s">
        <v>164</v>
      </c>
      <c r="G23" s="72"/>
      <c r="H23" s="86">
        <v>1.0</v>
      </c>
      <c r="I23" s="78" t="s">
        <v>83</v>
      </c>
      <c r="J23" s="78" t="s">
        <v>2968</v>
      </c>
      <c r="K23" s="78" t="s">
        <v>3091</v>
      </c>
      <c r="L23" s="78" t="s">
        <v>3038</v>
      </c>
      <c r="M23" s="78" t="s">
        <v>3027</v>
      </c>
      <c r="N23" s="70"/>
      <c r="O23" s="70"/>
      <c r="P23" s="70"/>
      <c r="Q23" s="78" t="s">
        <v>3092</v>
      </c>
      <c r="R23" s="78" t="s">
        <v>3093</v>
      </c>
      <c r="S23" s="78" t="s">
        <v>3094</v>
      </c>
      <c r="T23" s="82">
        <v>49.0</v>
      </c>
      <c r="U23" s="82">
        <v>30.0</v>
      </c>
      <c r="V23" s="70"/>
      <c r="W23" s="58"/>
      <c r="X23" s="58"/>
      <c r="Y23" s="78" t="s">
        <v>3003</v>
      </c>
      <c r="Z23" s="83"/>
      <c r="AA23" s="70"/>
      <c r="AB23" s="70"/>
      <c r="AC23" s="70"/>
      <c r="AD23" s="70"/>
      <c r="AE23" s="87" t="s">
        <v>3095</v>
      </c>
      <c r="AF23" s="70"/>
      <c r="AG23" s="70"/>
      <c r="AH23" s="70"/>
      <c r="AI23" s="70"/>
      <c r="AJ23" s="70"/>
      <c r="AK23" s="70"/>
      <c r="AL23" s="70"/>
      <c r="AM23" s="70"/>
      <c r="AN23" s="70"/>
      <c r="AO23" s="70"/>
      <c r="AP23" s="70"/>
      <c r="AQ23" s="70"/>
      <c r="AR23" s="70"/>
      <c r="AS23" s="70"/>
      <c r="AT23" s="70"/>
    </row>
    <row r="24">
      <c r="A24" s="78" t="s">
        <v>3096</v>
      </c>
      <c r="B24" s="70"/>
      <c r="C24" s="90" t="s">
        <v>3097</v>
      </c>
      <c r="D24" s="80" t="s">
        <v>3098</v>
      </c>
      <c r="E24" s="78" t="s">
        <v>163</v>
      </c>
      <c r="F24" s="78" t="s">
        <v>202</v>
      </c>
      <c r="G24" s="72"/>
      <c r="H24" s="86">
        <v>1.0</v>
      </c>
      <c r="I24" s="78" t="s">
        <v>80</v>
      </c>
      <c r="J24" s="78" t="s">
        <v>2968</v>
      </c>
      <c r="K24" s="78" t="s">
        <v>3082</v>
      </c>
      <c r="L24" s="78" t="s">
        <v>2969</v>
      </c>
      <c r="M24" s="70"/>
      <c r="N24" s="70"/>
      <c r="O24" s="70"/>
      <c r="P24" s="70"/>
      <c r="Q24" s="78" t="s">
        <v>3084</v>
      </c>
      <c r="R24" s="78" t="s">
        <v>3099</v>
      </c>
      <c r="S24" s="78" t="s">
        <v>440</v>
      </c>
      <c r="T24" s="82">
        <v>40.0</v>
      </c>
      <c r="U24" s="82">
        <v>30.0</v>
      </c>
      <c r="V24" s="70"/>
      <c r="W24" s="58"/>
      <c r="X24" s="58"/>
      <c r="Y24" s="78" t="s">
        <v>3003</v>
      </c>
      <c r="Z24" s="83"/>
      <c r="AA24" s="70"/>
      <c r="AB24" s="70"/>
      <c r="AC24" s="70"/>
      <c r="AD24" s="70"/>
      <c r="AE24" s="87" t="s">
        <v>3100</v>
      </c>
      <c r="AF24" s="70"/>
      <c r="AG24" s="70"/>
      <c r="AH24" s="70"/>
      <c r="AI24" s="70"/>
      <c r="AJ24" s="70"/>
      <c r="AK24" s="70"/>
      <c r="AL24" s="70"/>
      <c r="AM24" s="70"/>
      <c r="AN24" s="70"/>
      <c r="AO24" s="70"/>
      <c r="AP24" s="70"/>
      <c r="AQ24" s="70"/>
      <c r="AR24" s="70"/>
      <c r="AS24" s="70"/>
      <c r="AT24" s="70"/>
    </row>
    <row r="25">
      <c r="A25" s="78" t="s">
        <v>3101</v>
      </c>
      <c r="B25" s="70"/>
      <c r="C25" s="90" t="s">
        <v>3102</v>
      </c>
      <c r="D25" s="80" t="s">
        <v>3103</v>
      </c>
      <c r="E25" s="78" t="s">
        <v>163</v>
      </c>
      <c r="F25" s="78" t="s">
        <v>202</v>
      </c>
      <c r="G25" s="72"/>
      <c r="H25" s="86">
        <v>1.0</v>
      </c>
      <c r="I25" s="78" t="s">
        <v>76</v>
      </c>
      <c r="J25" s="78" t="s">
        <v>2968</v>
      </c>
      <c r="K25" s="78" t="s">
        <v>3082</v>
      </c>
      <c r="L25" s="78" t="s">
        <v>2969</v>
      </c>
      <c r="M25" s="70"/>
      <c r="N25" s="70"/>
      <c r="O25" s="70"/>
      <c r="P25" s="70"/>
      <c r="Q25" s="78" t="s">
        <v>3084</v>
      </c>
      <c r="R25" s="78" t="s">
        <v>3099</v>
      </c>
      <c r="S25" s="78" t="s">
        <v>440</v>
      </c>
      <c r="T25" s="82">
        <v>40.0</v>
      </c>
      <c r="U25" s="82">
        <v>30.0</v>
      </c>
      <c r="V25" s="70"/>
      <c r="W25" s="58"/>
      <c r="X25" s="58"/>
      <c r="Y25" s="78" t="s">
        <v>3003</v>
      </c>
      <c r="Z25" s="83"/>
      <c r="AA25" s="70"/>
      <c r="AB25" s="70"/>
      <c r="AC25" s="70"/>
      <c r="AD25" s="70"/>
      <c r="AE25" s="87" t="s">
        <v>3100</v>
      </c>
      <c r="AF25" s="70"/>
      <c r="AG25" s="70"/>
      <c r="AH25" s="70"/>
      <c r="AI25" s="70"/>
      <c r="AJ25" s="70"/>
      <c r="AK25" s="70"/>
      <c r="AL25" s="70"/>
      <c r="AM25" s="70"/>
      <c r="AN25" s="70"/>
      <c r="AO25" s="70"/>
      <c r="AP25" s="70"/>
      <c r="AQ25" s="70"/>
      <c r="AR25" s="70"/>
      <c r="AS25" s="70"/>
      <c r="AT25" s="70"/>
    </row>
    <row r="26">
      <c r="A26" s="78" t="s">
        <v>3104</v>
      </c>
      <c r="B26" s="70"/>
      <c r="C26" s="90" t="s">
        <v>3105</v>
      </c>
      <c r="D26" s="80" t="s">
        <v>3106</v>
      </c>
      <c r="E26" s="78" t="s">
        <v>163</v>
      </c>
      <c r="F26" s="78" t="s">
        <v>202</v>
      </c>
      <c r="G26" s="72"/>
      <c r="H26" s="86">
        <v>1.0</v>
      </c>
      <c r="I26" s="78" t="s">
        <v>80</v>
      </c>
      <c r="J26" s="78" t="s">
        <v>2968</v>
      </c>
      <c r="K26" s="78" t="s">
        <v>3082</v>
      </c>
      <c r="L26" s="78" t="s">
        <v>2958</v>
      </c>
      <c r="M26" s="70"/>
      <c r="N26" s="70"/>
      <c r="O26" s="70"/>
      <c r="P26" s="70"/>
      <c r="Q26" s="78" t="s">
        <v>3084</v>
      </c>
      <c r="R26" s="78" t="s">
        <v>3099</v>
      </c>
      <c r="S26" s="78" t="s">
        <v>440</v>
      </c>
      <c r="T26" s="82">
        <v>40.0</v>
      </c>
      <c r="U26" s="82">
        <v>30.0</v>
      </c>
      <c r="V26" s="70"/>
      <c r="W26" s="58"/>
      <c r="X26" s="58"/>
      <c r="Y26" s="78" t="s">
        <v>3003</v>
      </c>
      <c r="Z26" s="83"/>
      <c r="AA26" s="70"/>
      <c r="AB26" s="70"/>
      <c r="AC26" s="70"/>
      <c r="AD26" s="70"/>
      <c r="AE26" s="87" t="s">
        <v>3107</v>
      </c>
      <c r="AF26" s="70"/>
      <c r="AG26" s="70"/>
      <c r="AH26" s="70"/>
      <c r="AI26" s="70"/>
      <c r="AJ26" s="70"/>
      <c r="AK26" s="70"/>
      <c r="AL26" s="70"/>
      <c r="AM26" s="70"/>
      <c r="AN26" s="70"/>
      <c r="AO26" s="70"/>
      <c r="AP26" s="70"/>
      <c r="AQ26" s="70"/>
      <c r="AR26" s="70"/>
      <c r="AS26" s="70"/>
      <c r="AT26" s="70"/>
    </row>
    <row r="27">
      <c r="A27" s="78" t="s">
        <v>3108</v>
      </c>
      <c r="B27" s="70"/>
      <c r="C27" s="90" t="s">
        <v>3109</v>
      </c>
      <c r="D27" s="80" t="s">
        <v>3110</v>
      </c>
      <c r="E27" s="78" t="s">
        <v>163</v>
      </c>
      <c r="F27" s="78" t="s">
        <v>202</v>
      </c>
      <c r="G27" s="72"/>
      <c r="H27" s="86">
        <v>1.0</v>
      </c>
      <c r="I27" s="78" t="s">
        <v>76</v>
      </c>
      <c r="J27" s="78" t="s">
        <v>2968</v>
      </c>
      <c r="K27" s="78" t="s">
        <v>3082</v>
      </c>
      <c r="L27" s="78" t="s">
        <v>2958</v>
      </c>
      <c r="M27" s="70"/>
      <c r="N27" s="70"/>
      <c r="O27" s="70"/>
      <c r="P27" s="70"/>
      <c r="Q27" s="78" t="s">
        <v>3084</v>
      </c>
      <c r="R27" s="78" t="s">
        <v>3099</v>
      </c>
      <c r="S27" s="78" t="s">
        <v>440</v>
      </c>
      <c r="T27" s="82">
        <v>40.0</v>
      </c>
      <c r="U27" s="82">
        <v>30.0</v>
      </c>
      <c r="V27" s="70"/>
      <c r="W27" s="58"/>
      <c r="X27" s="58"/>
      <c r="Y27" s="78" t="s">
        <v>3003</v>
      </c>
      <c r="Z27" s="83"/>
      <c r="AA27" s="70"/>
      <c r="AB27" s="70"/>
      <c r="AC27" s="70"/>
      <c r="AD27" s="70"/>
      <c r="AE27" s="87" t="s">
        <v>3107</v>
      </c>
      <c r="AF27" s="70"/>
      <c r="AG27" s="70"/>
      <c r="AH27" s="70"/>
      <c r="AI27" s="70"/>
      <c r="AJ27" s="70"/>
      <c r="AK27" s="70"/>
      <c r="AL27" s="70"/>
      <c r="AM27" s="70"/>
      <c r="AN27" s="70"/>
      <c r="AO27" s="70"/>
      <c r="AP27" s="70"/>
      <c r="AQ27" s="70"/>
      <c r="AR27" s="70"/>
      <c r="AS27" s="70"/>
      <c r="AT27" s="70"/>
    </row>
    <row r="28">
      <c r="A28" s="78" t="s">
        <v>3111</v>
      </c>
      <c r="B28" s="70"/>
      <c r="C28" s="90" t="s">
        <v>3112</v>
      </c>
      <c r="D28" s="85" t="s">
        <v>3113</v>
      </c>
      <c r="E28" s="78" t="s">
        <v>163</v>
      </c>
      <c r="F28" s="78" t="s">
        <v>202</v>
      </c>
      <c r="G28" s="72"/>
      <c r="H28" s="86">
        <v>1.0</v>
      </c>
      <c r="I28" s="78" t="s">
        <v>80</v>
      </c>
      <c r="J28" s="78" t="s">
        <v>2968</v>
      </c>
      <c r="K28" s="78" t="s">
        <v>3082</v>
      </c>
      <c r="L28" s="78" t="s">
        <v>3012</v>
      </c>
      <c r="M28" s="78" t="s">
        <v>3027</v>
      </c>
      <c r="N28" s="78" t="s">
        <v>3114</v>
      </c>
      <c r="O28" s="78" t="s">
        <v>78</v>
      </c>
      <c r="P28" s="78" t="s">
        <v>63</v>
      </c>
      <c r="Q28" s="78" t="s">
        <v>3084</v>
      </c>
      <c r="R28" s="78" t="s">
        <v>3099</v>
      </c>
      <c r="S28" s="78" t="s">
        <v>440</v>
      </c>
      <c r="T28" s="82">
        <v>40.0</v>
      </c>
      <c r="U28" s="82">
        <v>30.0</v>
      </c>
      <c r="V28" s="70"/>
      <c r="W28" s="58"/>
      <c r="X28" s="58"/>
      <c r="Y28" s="78" t="s">
        <v>3003</v>
      </c>
      <c r="Z28" s="83"/>
      <c r="AA28" s="70"/>
      <c r="AB28" s="70"/>
      <c r="AC28" s="70"/>
      <c r="AD28" s="70"/>
      <c r="AE28" s="87" t="s">
        <v>3115</v>
      </c>
      <c r="AF28" s="70"/>
      <c r="AG28" s="70"/>
      <c r="AH28" s="70"/>
      <c r="AI28" s="70"/>
      <c r="AJ28" s="70"/>
      <c r="AK28" s="70"/>
      <c r="AL28" s="70"/>
      <c r="AM28" s="70"/>
      <c r="AN28" s="70"/>
      <c r="AO28" s="70"/>
      <c r="AP28" s="70"/>
      <c r="AQ28" s="70"/>
      <c r="AR28" s="70"/>
      <c r="AS28" s="70"/>
      <c r="AT28" s="70"/>
    </row>
    <row r="29">
      <c r="A29" s="78" t="s">
        <v>3116</v>
      </c>
      <c r="B29" s="70"/>
      <c r="C29" s="90" t="s">
        <v>3117</v>
      </c>
      <c r="D29" s="85" t="s">
        <v>3113</v>
      </c>
      <c r="E29" s="78" t="s">
        <v>163</v>
      </c>
      <c r="F29" s="78" t="s">
        <v>202</v>
      </c>
      <c r="G29" s="72"/>
      <c r="H29" s="86">
        <v>1.0</v>
      </c>
      <c r="I29" s="78" t="s">
        <v>85</v>
      </c>
      <c r="J29" s="78" t="s">
        <v>2968</v>
      </c>
      <c r="K29" s="78" t="s">
        <v>3082</v>
      </c>
      <c r="L29" s="78" t="s">
        <v>3012</v>
      </c>
      <c r="M29" s="78" t="s">
        <v>3027</v>
      </c>
      <c r="N29" s="78" t="s">
        <v>3114</v>
      </c>
      <c r="O29" s="78" t="s">
        <v>81</v>
      </c>
      <c r="P29" s="70"/>
      <c r="Q29" s="78" t="s">
        <v>3084</v>
      </c>
      <c r="R29" s="78" t="s">
        <v>3099</v>
      </c>
      <c r="S29" s="78" t="s">
        <v>440</v>
      </c>
      <c r="T29" s="82">
        <v>40.0</v>
      </c>
      <c r="U29" s="82">
        <v>30.0</v>
      </c>
      <c r="V29" s="70"/>
      <c r="W29" s="58"/>
      <c r="X29" s="58"/>
      <c r="Y29" s="78" t="s">
        <v>3003</v>
      </c>
      <c r="Z29" s="83"/>
      <c r="AA29" s="70"/>
      <c r="AB29" s="70"/>
      <c r="AC29" s="70"/>
      <c r="AD29" s="70"/>
      <c r="AE29" s="87" t="s">
        <v>3115</v>
      </c>
      <c r="AF29" s="70"/>
      <c r="AG29" s="70"/>
      <c r="AH29" s="70"/>
      <c r="AI29" s="70"/>
      <c r="AJ29" s="70"/>
      <c r="AK29" s="70"/>
      <c r="AL29" s="70"/>
      <c r="AM29" s="70"/>
      <c r="AN29" s="70"/>
      <c r="AO29" s="70"/>
      <c r="AP29" s="70"/>
      <c r="AQ29" s="70"/>
      <c r="AR29" s="70"/>
      <c r="AS29" s="70"/>
      <c r="AT29" s="70"/>
    </row>
    <row r="30" ht="15.75" customHeight="1">
      <c r="A30" s="78"/>
      <c r="B30" s="70"/>
      <c r="C30" s="70"/>
      <c r="D30" s="80"/>
      <c r="E30" s="70"/>
      <c r="F30" s="70"/>
      <c r="G30" s="72"/>
      <c r="H30" s="70"/>
      <c r="I30" s="70"/>
      <c r="J30" s="70"/>
      <c r="K30" s="78"/>
      <c r="L30" s="70"/>
      <c r="M30" s="70"/>
      <c r="N30" s="70"/>
      <c r="O30" s="70"/>
      <c r="P30" s="70"/>
      <c r="Q30" s="70"/>
      <c r="R30" s="70"/>
      <c r="S30" s="70"/>
      <c r="T30" s="91"/>
      <c r="U30" s="91"/>
      <c r="V30" s="70"/>
      <c r="W30" s="58"/>
      <c r="X30" s="58"/>
      <c r="Y30" s="70"/>
      <c r="Z30" s="83"/>
      <c r="AA30" s="70"/>
      <c r="AB30" s="70"/>
      <c r="AC30" s="70"/>
      <c r="AD30" s="70"/>
      <c r="AE30" s="70"/>
      <c r="AF30" s="70"/>
      <c r="AG30" s="70"/>
      <c r="AH30" s="70"/>
      <c r="AI30" s="70"/>
      <c r="AJ30" s="70"/>
      <c r="AK30" s="70"/>
      <c r="AL30" s="70"/>
      <c r="AM30" s="70"/>
      <c r="AN30" s="70"/>
      <c r="AO30" s="70"/>
      <c r="AP30" s="70"/>
      <c r="AQ30" s="70"/>
      <c r="AR30" s="70"/>
      <c r="AS30" s="70"/>
      <c r="AT30" s="70"/>
    </row>
    <row r="31" ht="15.75" customHeight="1">
      <c r="A31" s="78"/>
      <c r="B31" s="70"/>
      <c r="C31" s="70"/>
      <c r="D31" s="80"/>
      <c r="E31" s="70"/>
      <c r="F31" s="70"/>
      <c r="G31" s="72"/>
      <c r="H31" s="70"/>
      <c r="I31" s="70"/>
      <c r="J31" s="70"/>
      <c r="K31" s="70"/>
      <c r="L31" s="70"/>
      <c r="M31" s="70"/>
      <c r="N31" s="70"/>
      <c r="O31" s="70"/>
      <c r="P31" s="70"/>
      <c r="Q31" s="70"/>
      <c r="R31" s="70"/>
      <c r="S31" s="70"/>
      <c r="T31" s="91"/>
      <c r="U31" s="91"/>
      <c r="V31" s="70"/>
      <c r="W31" s="58"/>
      <c r="X31" s="58"/>
      <c r="Y31" s="70"/>
      <c r="Z31" s="83"/>
      <c r="AA31" s="70"/>
      <c r="AB31" s="70"/>
      <c r="AC31" s="70"/>
      <c r="AD31" s="70"/>
      <c r="AE31" s="70"/>
      <c r="AF31" s="70"/>
      <c r="AG31" s="70"/>
      <c r="AH31" s="70"/>
      <c r="AI31" s="70"/>
      <c r="AJ31" s="70"/>
      <c r="AK31" s="70"/>
      <c r="AL31" s="70"/>
      <c r="AM31" s="70"/>
      <c r="AN31" s="70"/>
      <c r="AO31" s="70"/>
      <c r="AP31" s="70"/>
      <c r="AQ31" s="70"/>
      <c r="AR31" s="70"/>
      <c r="AS31" s="70"/>
      <c r="AT31" s="70"/>
    </row>
    <row r="32" ht="15.75" customHeight="1">
      <c r="A32" s="78"/>
      <c r="B32" s="70"/>
      <c r="C32" s="70"/>
      <c r="D32" s="80"/>
      <c r="E32" s="70"/>
      <c r="F32" s="70"/>
      <c r="G32" s="72"/>
      <c r="H32" s="70"/>
      <c r="I32" s="70"/>
      <c r="J32" s="70"/>
      <c r="K32" s="70"/>
      <c r="L32" s="70"/>
      <c r="M32" s="70"/>
      <c r="N32" s="70"/>
      <c r="O32" s="70"/>
      <c r="P32" s="70"/>
      <c r="Q32" s="70"/>
      <c r="R32" s="70"/>
      <c r="S32" s="70"/>
      <c r="T32" s="91"/>
      <c r="U32" s="91"/>
      <c r="V32" s="70"/>
      <c r="W32" s="58"/>
      <c r="X32" s="58"/>
      <c r="Y32" s="70"/>
      <c r="Z32" s="83"/>
      <c r="AA32" s="70"/>
      <c r="AB32" s="70"/>
      <c r="AC32" s="70"/>
      <c r="AD32" s="70"/>
      <c r="AE32" s="70"/>
      <c r="AF32" s="70"/>
      <c r="AG32" s="70"/>
      <c r="AH32" s="70"/>
      <c r="AI32" s="70"/>
      <c r="AJ32" s="70"/>
      <c r="AK32" s="70"/>
      <c r="AL32" s="70"/>
      <c r="AM32" s="70"/>
      <c r="AN32" s="70"/>
      <c r="AO32" s="70"/>
      <c r="AP32" s="70"/>
      <c r="AQ32" s="70"/>
      <c r="AR32" s="70"/>
      <c r="AS32" s="70"/>
      <c r="AT32" s="70"/>
    </row>
    <row r="33" ht="15.75" customHeight="1">
      <c r="A33" s="78"/>
      <c r="B33" s="70"/>
      <c r="C33" s="70"/>
      <c r="D33" s="80"/>
      <c r="E33" s="70"/>
      <c r="F33" s="70"/>
      <c r="G33" s="72"/>
      <c r="H33" s="70"/>
      <c r="I33" s="70"/>
      <c r="J33" s="70"/>
      <c r="K33" s="70"/>
      <c r="L33" s="70"/>
      <c r="M33" s="70"/>
      <c r="N33" s="70"/>
      <c r="O33" s="70"/>
      <c r="P33" s="70"/>
      <c r="Q33" s="70"/>
      <c r="R33" s="70"/>
      <c r="S33" s="70"/>
      <c r="T33" s="91"/>
      <c r="U33" s="91"/>
      <c r="V33" s="70"/>
      <c r="W33" s="58"/>
      <c r="X33" s="58"/>
      <c r="Y33" s="70"/>
      <c r="Z33" s="83"/>
      <c r="AA33" s="70"/>
      <c r="AB33" s="70"/>
      <c r="AC33" s="70"/>
      <c r="AD33" s="70"/>
      <c r="AE33" s="70"/>
      <c r="AF33" s="70"/>
      <c r="AG33" s="70"/>
      <c r="AH33" s="70"/>
      <c r="AI33" s="70"/>
      <c r="AJ33" s="70"/>
      <c r="AK33" s="70"/>
      <c r="AL33" s="70"/>
      <c r="AM33" s="70"/>
      <c r="AN33" s="70"/>
      <c r="AO33" s="70"/>
      <c r="AP33" s="70"/>
      <c r="AQ33" s="70"/>
      <c r="AR33" s="70"/>
      <c r="AS33" s="70"/>
      <c r="AT33" s="70"/>
    </row>
    <row r="34" ht="15.75" customHeight="1">
      <c r="A34" s="78"/>
      <c r="B34" s="70"/>
      <c r="C34" s="70"/>
      <c r="D34" s="80"/>
      <c r="E34" s="70"/>
      <c r="F34" s="70"/>
      <c r="G34" s="72"/>
      <c r="H34" s="70"/>
      <c r="I34" s="70"/>
      <c r="J34" s="70"/>
      <c r="K34" s="70"/>
      <c r="L34" s="70"/>
      <c r="M34" s="70"/>
      <c r="N34" s="70"/>
      <c r="O34" s="70"/>
      <c r="P34" s="70"/>
      <c r="Q34" s="70"/>
      <c r="R34" s="70"/>
      <c r="S34" s="70"/>
      <c r="T34" s="91"/>
      <c r="U34" s="91"/>
      <c r="V34" s="70"/>
      <c r="W34" s="58"/>
      <c r="X34" s="58"/>
      <c r="Y34" s="70"/>
      <c r="Z34" s="83"/>
      <c r="AA34" s="70"/>
      <c r="AB34" s="70"/>
      <c r="AC34" s="70"/>
      <c r="AD34" s="70"/>
      <c r="AE34" s="70"/>
      <c r="AF34" s="70"/>
      <c r="AG34" s="70"/>
      <c r="AH34" s="70"/>
      <c r="AI34" s="70"/>
      <c r="AJ34" s="70"/>
      <c r="AK34" s="70"/>
      <c r="AL34" s="70"/>
      <c r="AM34" s="70"/>
      <c r="AN34" s="70"/>
      <c r="AO34" s="70"/>
      <c r="AP34" s="70"/>
      <c r="AQ34" s="70"/>
      <c r="AR34" s="70"/>
      <c r="AS34" s="70"/>
      <c r="AT34" s="70"/>
    </row>
    <row r="35" ht="15.75" customHeight="1">
      <c r="A35" s="78"/>
      <c r="B35" s="70"/>
      <c r="C35" s="70"/>
      <c r="D35" s="80"/>
      <c r="E35" s="70"/>
      <c r="F35" s="70"/>
      <c r="G35" s="72"/>
      <c r="H35" s="70"/>
      <c r="I35" s="70"/>
      <c r="J35" s="70"/>
      <c r="K35" s="70"/>
      <c r="L35" s="70"/>
      <c r="M35" s="70"/>
      <c r="N35" s="70"/>
      <c r="O35" s="70"/>
      <c r="P35" s="70"/>
      <c r="Q35" s="70"/>
      <c r="R35" s="70"/>
      <c r="S35" s="70"/>
      <c r="T35" s="91"/>
      <c r="U35" s="91"/>
      <c r="V35" s="70"/>
      <c r="W35" s="58"/>
      <c r="X35" s="58"/>
      <c r="Y35" s="70"/>
      <c r="Z35" s="83"/>
      <c r="AA35" s="70"/>
      <c r="AB35" s="70"/>
      <c r="AC35" s="70"/>
      <c r="AD35" s="70"/>
      <c r="AE35" s="70"/>
      <c r="AF35" s="70"/>
      <c r="AG35" s="70"/>
      <c r="AH35" s="70"/>
      <c r="AI35" s="70"/>
      <c r="AJ35" s="70"/>
      <c r="AK35" s="70"/>
      <c r="AL35" s="70"/>
      <c r="AM35" s="70"/>
      <c r="AN35" s="70"/>
      <c r="AO35" s="70"/>
      <c r="AP35" s="70"/>
      <c r="AQ35" s="70"/>
      <c r="AR35" s="70"/>
      <c r="AS35" s="70"/>
      <c r="AT35" s="70"/>
    </row>
    <row r="36" ht="15.75" customHeight="1">
      <c r="A36" s="78"/>
      <c r="B36" s="70"/>
      <c r="C36" s="70"/>
      <c r="D36" s="80"/>
      <c r="E36" s="70"/>
      <c r="F36" s="70"/>
      <c r="G36" s="72"/>
      <c r="H36" s="70"/>
      <c r="I36" s="70"/>
      <c r="J36" s="70"/>
      <c r="K36" s="70"/>
      <c r="L36" s="70"/>
      <c r="M36" s="70"/>
      <c r="N36" s="70"/>
      <c r="O36" s="70"/>
      <c r="P36" s="70"/>
      <c r="Q36" s="70"/>
      <c r="R36" s="70"/>
      <c r="S36" s="70"/>
      <c r="T36" s="91"/>
      <c r="U36" s="91"/>
      <c r="V36" s="70"/>
      <c r="W36" s="58"/>
      <c r="X36" s="58"/>
      <c r="Y36" s="70"/>
      <c r="Z36" s="83"/>
      <c r="AA36" s="70"/>
      <c r="AB36" s="70"/>
      <c r="AC36" s="70"/>
      <c r="AD36" s="70"/>
      <c r="AE36" s="70"/>
      <c r="AF36" s="70"/>
      <c r="AG36" s="70"/>
      <c r="AH36" s="70"/>
      <c r="AI36" s="70"/>
      <c r="AJ36" s="70"/>
      <c r="AK36" s="70"/>
      <c r="AL36" s="70"/>
      <c r="AM36" s="70"/>
      <c r="AN36" s="70"/>
      <c r="AO36" s="70"/>
      <c r="AP36" s="70"/>
      <c r="AQ36" s="70"/>
      <c r="AR36" s="70"/>
      <c r="AS36" s="70"/>
      <c r="AT36" s="70"/>
    </row>
    <row r="37" ht="15.75" customHeight="1">
      <c r="A37" s="78"/>
      <c r="B37" s="70"/>
      <c r="C37" s="70"/>
      <c r="D37" s="80"/>
      <c r="E37" s="70"/>
      <c r="F37" s="70"/>
      <c r="G37" s="72"/>
      <c r="H37" s="70"/>
      <c r="I37" s="70"/>
      <c r="J37" s="70"/>
      <c r="K37" s="70"/>
      <c r="L37" s="70"/>
      <c r="M37" s="70"/>
      <c r="N37" s="70"/>
      <c r="O37" s="70"/>
      <c r="P37" s="70"/>
      <c r="Q37" s="70"/>
      <c r="R37" s="70"/>
      <c r="S37" s="70"/>
      <c r="T37" s="91"/>
      <c r="U37" s="91"/>
      <c r="V37" s="70"/>
      <c r="W37" s="58"/>
      <c r="X37" s="58"/>
      <c r="Y37" s="70"/>
      <c r="Z37" s="83"/>
      <c r="AA37" s="70"/>
      <c r="AB37" s="70"/>
      <c r="AC37" s="70"/>
      <c r="AD37" s="70"/>
      <c r="AE37" s="70"/>
      <c r="AF37" s="70"/>
      <c r="AG37" s="70"/>
      <c r="AH37" s="70"/>
      <c r="AI37" s="70"/>
      <c r="AJ37" s="70"/>
      <c r="AK37" s="70"/>
      <c r="AL37" s="70"/>
      <c r="AM37" s="70"/>
      <c r="AN37" s="70"/>
      <c r="AO37" s="70"/>
      <c r="AP37" s="70"/>
      <c r="AQ37" s="70"/>
      <c r="AR37" s="70"/>
      <c r="AS37" s="70"/>
      <c r="AT37" s="70"/>
    </row>
    <row r="38" ht="15.75" customHeight="1">
      <c r="A38" s="78"/>
      <c r="B38" s="70"/>
      <c r="C38" s="70"/>
      <c r="D38" s="80"/>
      <c r="E38" s="70"/>
      <c r="F38" s="70"/>
      <c r="G38" s="72"/>
      <c r="H38" s="70"/>
      <c r="I38" s="70"/>
      <c r="J38" s="70"/>
      <c r="K38" s="70"/>
      <c r="L38" s="70"/>
      <c r="M38" s="70"/>
      <c r="N38" s="70"/>
      <c r="O38" s="70"/>
      <c r="P38" s="70"/>
      <c r="Q38" s="70"/>
      <c r="R38" s="70"/>
      <c r="S38" s="70"/>
      <c r="T38" s="91"/>
      <c r="U38" s="91"/>
      <c r="V38" s="70"/>
      <c r="W38" s="58"/>
      <c r="X38" s="58"/>
      <c r="Y38" s="70"/>
      <c r="Z38" s="83"/>
      <c r="AA38" s="70"/>
      <c r="AB38" s="70"/>
      <c r="AC38" s="70"/>
      <c r="AD38" s="70"/>
      <c r="AE38" s="70"/>
      <c r="AF38" s="70"/>
      <c r="AG38" s="70"/>
      <c r="AH38" s="70"/>
      <c r="AI38" s="70"/>
      <c r="AJ38" s="70"/>
      <c r="AK38" s="70"/>
      <c r="AL38" s="70"/>
      <c r="AM38" s="70"/>
      <c r="AN38" s="70"/>
      <c r="AO38" s="70"/>
      <c r="AP38" s="70"/>
      <c r="AQ38" s="70"/>
      <c r="AR38" s="70"/>
      <c r="AS38" s="70"/>
      <c r="AT38" s="70"/>
    </row>
    <row r="39" ht="15.75" customHeight="1">
      <c r="A39" s="78"/>
      <c r="B39" s="70"/>
      <c r="C39" s="70"/>
      <c r="D39" s="80"/>
      <c r="E39" s="70"/>
      <c r="F39" s="70"/>
      <c r="G39" s="72"/>
      <c r="H39" s="70"/>
      <c r="I39" s="70"/>
      <c r="J39" s="70"/>
      <c r="K39" s="70"/>
      <c r="L39" s="70"/>
      <c r="M39" s="70"/>
      <c r="N39" s="70"/>
      <c r="O39" s="70"/>
      <c r="P39" s="70"/>
      <c r="Q39" s="70"/>
      <c r="R39" s="70"/>
      <c r="S39" s="70"/>
      <c r="T39" s="91"/>
      <c r="U39" s="91"/>
      <c r="V39" s="70"/>
      <c r="W39" s="58"/>
      <c r="X39" s="58"/>
      <c r="Y39" s="70"/>
      <c r="Z39" s="83"/>
      <c r="AA39" s="70"/>
      <c r="AB39" s="70"/>
      <c r="AC39" s="70"/>
      <c r="AD39" s="70"/>
      <c r="AE39" s="70"/>
      <c r="AF39" s="70"/>
      <c r="AG39" s="70"/>
      <c r="AH39" s="70"/>
      <c r="AI39" s="70"/>
      <c r="AJ39" s="70"/>
      <c r="AK39" s="70"/>
      <c r="AL39" s="70"/>
      <c r="AM39" s="70"/>
      <c r="AN39" s="70"/>
      <c r="AO39" s="70"/>
      <c r="AP39" s="70"/>
      <c r="AQ39" s="70"/>
      <c r="AR39" s="70"/>
      <c r="AS39" s="70"/>
      <c r="AT39" s="70"/>
    </row>
    <row r="40" ht="15.75" customHeight="1">
      <c r="A40" s="78"/>
      <c r="B40" s="70"/>
      <c r="C40" s="70"/>
      <c r="D40" s="80"/>
      <c r="E40" s="70"/>
      <c r="F40" s="70"/>
      <c r="G40" s="72"/>
      <c r="H40" s="70"/>
      <c r="I40" s="70"/>
      <c r="J40" s="70"/>
      <c r="K40" s="70"/>
      <c r="L40" s="70"/>
      <c r="M40" s="70"/>
      <c r="N40" s="70"/>
      <c r="O40" s="70"/>
      <c r="P40" s="70"/>
      <c r="Q40" s="70"/>
      <c r="R40" s="70"/>
      <c r="S40" s="70"/>
      <c r="T40" s="91"/>
      <c r="U40" s="91"/>
      <c r="V40" s="70"/>
      <c r="W40" s="58"/>
      <c r="X40" s="58"/>
      <c r="Y40" s="70"/>
      <c r="Z40" s="83"/>
      <c r="AA40" s="70"/>
      <c r="AB40" s="70"/>
      <c r="AC40" s="70"/>
      <c r="AD40" s="70"/>
      <c r="AE40" s="70"/>
      <c r="AF40" s="70"/>
      <c r="AG40" s="70"/>
      <c r="AH40" s="70"/>
      <c r="AI40" s="70"/>
      <c r="AJ40" s="70"/>
      <c r="AK40" s="70"/>
      <c r="AL40" s="70"/>
      <c r="AM40" s="70"/>
      <c r="AN40" s="70"/>
      <c r="AO40" s="70"/>
      <c r="AP40" s="70"/>
      <c r="AQ40" s="70"/>
      <c r="AR40" s="70"/>
      <c r="AS40" s="70"/>
      <c r="AT40" s="70"/>
    </row>
    <row r="41" ht="15.75" customHeight="1">
      <c r="A41" s="78"/>
      <c r="B41" s="70"/>
      <c r="C41" s="70"/>
      <c r="D41" s="80"/>
      <c r="E41" s="70"/>
      <c r="F41" s="70"/>
      <c r="G41" s="72"/>
      <c r="H41" s="70"/>
      <c r="I41" s="70"/>
      <c r="J41" s="70"/>
      <c r="K41" s="70"/>
      <c r="L41" s="70"/>
      <c r="M41" s="70"/>
      <c r="N41" s="70"/>
      <c r="O41" s="70"/>
      <c r="P41" s="70"/>
      <c r="Q41" s="70"/>
      <c r="R41" s="70"/>
      <c r="S41" s="70"/>
      <c r="T41" s="91"/>
      <c r="U41" s="91"/>
      <c r="V41" s="70"/>
      <c r="W41" s="58"/>
      <c r="X41" s="58"/>
      <c r="Y41" s="70"/>
      <c r="Z41" s="83"/>
      <c r="AA41" s="70"/>
      <c r="AB41" s="70"/>
      <c r="AC41" s="70"/>
      <c r="AD41" s="70"/>
      <c r="AE41" s="70"/>
      <c r="AF41" s="70"/>
      <c r="AG41" s="70"/>
      <c r="AH41" s="70"/>
      <c r="AI41" s="70"/>
      <c r="AJ41" s="70"/>
      <c r="AK41" s="70"/>
      <c r="AL41" s="70"/>
      <c r="AM41" s="70"/>
      <c r="AN41" s="70"/>
      <c r="AO41" s="70"/>
      <c r="AP41" s="70"/>
      <c r="AQ41" s="70"/>
      <c r="AR41" s="70"/>
      <c r="AS41" s="70"/>
      <c r="AT41" s="70"/>
    </row>
    <row r="42" ht="15.75" customHeight="1">
      <c r="A42" s="78"/>
      <c r="B42" s="70"/>
      <c r="C42" s="70"/>
      <c r="D42" s="80"/>
      <c r="E42" s="70"/>
      <c r="F42" s="70"/>
      <c r="G42" s="72"/>
      <c r="H42" s="70"/>
      <c r="I42" s="70"/>
      <c r="J42" s="70"/>
      <c r="K42" s="70"/>
      <c r="L42" s="70"/>
      <c r="M42" s="70"/>
      <c r="N42" s="70"/>
      <c r="O42" s="70"/>
      <c r="P42" s="70"/>
      <c r="Q42" s="70"/>
      <c r="R42" s="70"/>
      <c r="S42" s="70"/>
      <c r="T42" s="91"/>
      <c r="U42" s="91"/>
      <c r="V42" s="70"/>
      <c r="W42" s="58"/>
      <c r="X42" s="58"/>
      <c r="Y42" s="70"/>
      <c r="Z42" s="83"/>
      <c r="AA42" s="70"/>
      <c r="AB42" s="70"/>
      <c r="AC42" s="70"/>
      <c r="AD42" s="70"/>
      <c r="AE42" s="70"/>
      <c r="AF42" s="70"/>
      <c r="AG42" s="70"/>
      <c r="AH42" s="70"/>
      <c r="AI42" s="70"/>
      <c r="AJ42" s="70"/>
      <c r="AK42" s="70"/>
      <c r="AL42" s="70"/>
      <c r="AM42" s="70"/>
      <c r="AN42" s="70"/>
      <c r="AO42" s="70"/>
      <c r="AP42" s="70"/>
      <c r="AQ42" s="70"/>
      <c r="AR42" s="70"/>
      <c r="AS42" s="70"/>
      <c r="AT42" s="70"/>
    </row>
    <row r="43" ht="15.75" customHeight="1">
      <c r="A43" s="70"/>
      <c r="B43" s="70"/>
      <c r="C43" s="70"/>
      <c r="D43" s="80"/>
      <c r="E43" s="70"/>
      <c r="F43" s="70"/>
      <c r="G43" s="72"/>
      <c r="H43" s="70"/>
      <c r="I43" s="70"/>
      <c r="J43" s="70"/>
      <c r="K43" s="70"/>
      <c r="L43" s="70"/>
      <c r="M43" s="70"/>
      <c r="N43" s="70"/>
      <c r="O43" s="70"/>
      <c r="P43" s="70"/>
      <c r="Q43" s="70"/>
      <c r="R43" s="70"/>
      <c r="S43" s="70"/>
      <c r="T43" s="91"/>
      <c r="U43" s="91"/>
      <c r="V43" s="70"/>
      <c r="W43" s="58"/>
      <c r="X43" s="58"/>
      <c r="Y43" s="70"/>
      <c r="Z43" s="83"/>
      <c r="AA43" s="70"/>
      <c r="AB43" s="70"/>
      <c r="AC43" s="70"/>
      <c r="AD43" s="70"/>
      <c r="AE43" s="70"/>
      <c r="AF43" s="70"/>
      <c r="AG43" s="70"/>
      <c r="AH43" s="70"/>
      <c r="AI43" s="70"/>
      <c r="AJ43" s="70"/>
      <c r="AK43" s="70"/>
      <c r="AL43" s="70"/>
      <c r="AM43" s="70"/>
      <c r="AN43" s="70"/>
      <c r="AO43" s="70"/>
      <c r="AP43" s="70"/>
      <c r="AQ43" s="70"/>
      <c r="AR43" s="70"/>
      <c r="AS43" s="70"/>
      <c r="AT43" s="70"/>
    </row>
    <row r="44" ht="15.75" customHeight="1">
      <c r="A44" s="70"/>
      <c r="B44" s="70"/>
      <c r="C44" s="70"/>
      <c r="D44" s="80"/>
      <c r="E44" s="70"/>
      <c r="F44" s="70"/>
      <c r="G44" s="72"/>
      <c r="H44" s="70"/>
      <c r="I44" s="70"/>
      <c r="J44" s="70"/>
      <c r="K44" s="70"/>
      <c r="L44" s="70"/>
      <c r="M44" s="70"/>
      <c r="N44" s="70"/>
      <c r="O44" s="70"/>
      <c r="P44" s="70"/>
      <c r="Q44" s="70"/>
      <c r="R44" s="70"/>
      <c r="S44" s="70"/>
      <c r="T44" s="91"/>
      <c r="U44" s="91"/>
      <c r="V44" s="70"/>
      <c r="W44" s="58"/>
      <c r="X44" s="58"/>
      <c r="Y44" s="70"/>
      <c r="Z44" s="83"/>
      <c r="AA44" s="70"/>
      <c r="AB44" s="70"/>
      <c r="AC44" s="70"/>
      <c r="AD44" s="70"/>
      <c r="AE44" s="70"/>
      <c r="AF44" s="70"/>
      <c r="AG44" s="70"/>
      <c r="AH44" s="70"/>
      <c r="AI44" s="70"/>
      <c r="AJ44" s="70"/>
      <c r="AK44" s="70"/>
      <c r="AL44" s="70"/>
      <c r="AM44" s="70"/>
      <c r="AN44" s="70"/>
      <c r="AO44" s="70"/>
      <c r="AP44" s="70"/>
      <c r="AQ44" s="70"/>
      <c r="AR44" s="70"/>
      <c r="AS44" s="70"/>
      <c r="AT44" s="70"/>
    </row>
    <row r="45" ht="15.75" customHeight="1">
      <c r="A45" s="70"/>
      <c r="B45" s="70"/>
      <c r="C45" s="70"/>
      <c r="D45" s="80"/>
      <c r="E45" s="70"/>
      <c r="F45" s="70"/>
      <c r="G45" s="72"/>
      <c r="H45" s="70"/>
      <c r="I45" s="70"/>
      <c r="J45" s="70"/>
      <c r="K45" s="70"/>
      <c r="L45" s="70"/>
      <c r="M45" s="70"/>
      <c r="N45" s="70"/>
      <c r="O45" s="70"/>
      <c r="P45" s="70"/>
      <c r="Q45" s="70"/>
      <c r="R45" s="70"/>
      <c r="S45" s="70"/>
      <c r="T45" s="91"/>
      <c r="U45" s="91"/>
      <c r="V45" s="70"/>
      <c r="W45" s="58"/>
      <c r="X45" s="58"/>
      <c r="Y45" s="70"/>
      <c r="Z45" s="83"/>
      <c r="AA45" s="70"/>
      <c r="AB45" s="70"/>
      <c r="AC45" s="70"/>
      <c r="AD45" s="70"/>
      <c r="AE45" s="70"/>
      <c r="AF45" s="70"/>
      <c r="AG45" s="70"/>
      <c r="AH45" s="70"/>
      <c r="AI45" s="70"/>
      <c r="AJ45" s="70"/>
      <c r="AK45" s="70"/>
      <c r="AL45" s="70"/>
      <c r="AM45" s="70"/>
      <c r="AN45" s="70"/>
      <c r="AO45" s="70"/>
      <c r="AP45" s="70"/>
      <c r="AQ45" s="70"/>
      <c r="AR45" s="70"/>
      <c r="AS45" s="70"/>
      <c r="AT45" s="70"/>
    </row>
    <row r="46" ht="15.75" customHeight="1">
      <c r="A46" s="70"/>
      <c r="B46" s="70"/>
      <c r="C46" s="70"/>
      <c r="D46" s="80"/>
      <c r="E46" s="70"/>
      <c r="F46" s="70"/>
      <c r="G46" s="72"/>
      <c r="H46" s="70"/>
      <c r="I46" s="70"/>
      <c r="J46" s="70"/>
      <c r="K46" s="70"/>
      <c r="L46" s="70"/>
      <c r="M46" s="70"/>
      <c r="N46" s="70"/>
      <c r="O46" s="70"/>
      <c r="P46" s="70"/>
      <c r="Q46" s="70"/>
      <c r="R46" s="70"/>
      <c r="S46" s="70"/>
      <c r="T46" s="91"/>
      <c r="U46" s="91"/>
      <c r="V46" s="70"/>
      <c r="W46" s="58"/>
      <c r="X46" s="58"/>
      <c r="Y46" s="70"/>
      <c r="Z46" s="83"/>
      <c r="AA46" s="70"/>
      <c r="AB46" s="70"/>
      <c r="AC46" s="70"/>
      <c r="AD46" s="70"/>
      <c r="AE46" s="70"/>
      <c r="AF46" s="70"/>
      <c r="AG46" s="70"/>
      <c r="AH46" s="70"/>
      <c r="AI46" s="70"/>
      <c r="AJ46" s="70"/>
      <c r="AK46" s="70"/>
      <c r="AL46" s="70"/>
      <c r="AM46" s="70"/>
      <c r="AN46" s="70"/>
      <c r="AO46" s="70"/>
      <c r="AP46" s="70"/>
      <c r="AQ46" s="70"/>
      <c r="AR46" s="70"/>
      <c r="AS46" s="70"/>
      <c r="AT46" s="70"/>
    </row>
    <row r="47" ht="15.75" customHeight="1">
      <c r="A47" s="70"/>
      <c r="B47" s="70"/>
      <c r="C47" s="70"/>
      <c r="D47" s="80"/>
      <c r="E47" s="70"/>
      <c r="F47" s="70"/>
      <c r="G47" s="72"/>
      <c r="H47" s="70"/>
      <c r="I47" s="70"/>
      <c r="J47" s="70"/>
      <c r="K47" s="70"/>
      <c r="L47" s="70"/>
      <c r="M47" s="70"/>
      <c r="N47" s="70"/>
      <c r="O47" s="70"/>
      <c r="P47" s="70"/>
      <c r="Q47" s="70"/>
      <c r="R47" s="70"/>
      <c r="S47" s="70"/>
      <c r="T47" s="91"/>
      <c r="U47" s="91"/>
      <c r="V47" s="70"/>
      <c r="W47" s="58"/>
      <c r="X47" s="58"/>
      <c r="Y47" s="70"/>
      <c r="Z47" s="83"/>
      <c r="AA47" s="70"/>
      <c r="AB47" s="70"/>
      <c r="AC47" s="70"/>
      <c r="AD47" s="70"/>
      <c r="AE47" s="70"/>
      <c r="AF47" s="70"/>
      <c r="AG47" s="70"/>
      <c r="AH47" s="70"/>
      <c r="AI47" s="70"/>
      <c r="AJ47" s="70"/>
      <c r="AK47" s="70"/>
      <c r="AL47" s="70"/>
      <c r="AM47" s="70"/>
      <c r="AN47" s="70"/>
      <c r="AO47" s="70"/>
      <c r="AP47" s="70"/>
      <c r="AQ47" s="70"/>
      <c r="AR47" s="70"/>
      <c r="AS47" s="70"/>
      <c r="AT47" s="70"/>
    </row>
    <row r="48" ht="15.75" customHeight="1">
      <c r="A48" s="70"/>
      <c r="B48" s="70"/>
      <c r="C48" s="70"/>
      <c r="D48" s="80"/>
      <c r="E48" s="70"/>
      <c r="F48" s="70"/>
      <c r="G48" s="72"/>
      <c r="H48" s="70"/>
      <c r="I48" s="70"/>
      <c r="J48" s="70"/>
      <c r="K48" s="70"/>
      <c r="L48" s="70"/>
      <c r="M48" s="70"/>
      <c r="N48" s="70"/>
      <c r="O48" s="70"/>
      <c r="P48" s="70"/>
      <c r="Q48" s="70"/>
      <c r="R48" s="70"/>
      <c r="S48" s="70"/>
      <c r="T48" s="91"/>
      <c r="U48" s="91"/>
      <c r="V48" s="70"/>
      <c r="W48" s="58"/>
      <c r="X48" s="58"/>
      <c r="Y48" s="70"/>
      <c r="Z48" s="83"/>
      <c r="AA48" s="70"/>
      <c r="AB48" s="70"/>
      <c r="AC48" s="70"/>
      <c r="AD48" s="70"/>
      <c r="AE48" s="70"/>
      <c r="AF48" s="70"/>
      <c r="AG48" s="70"/>
      <c r="AH48" s="70"/>
      <c r="AI48" s="70"/>
      <c r="AJ48" s="70"/>
      <c r="AK48" s="70"/>
      <c r="AL48" s="70"/>
      <c r="AM48" s="70"/>
      <c r="AN48" s="70"/>
      <c r="AO48" s="70"/>
      <c r="AP48" s="70"/>
      <c r="AQ48" s="70"/>
      <c r="AR48" s="70"/>
      <c r="AS48" s="70"/>
      <c r="AT48" s="70"/>
    </row>
    <row r="49" ht="15.75" customHeight="1">
      <c r="A49" s="70"/>
      <c r="B49" s="70"/>
      <c r="C49" s="70"/>
      <c r="D49" s="80"/>
      <c r="E49" s="70"/>
      <c r="F49" s="70"/>
      <c r="G49" s="72"/>
      <c r="H49" s="70"/>
      <c r="I49" s="70"/>
      <c r="J49" s="70"/>
      <c r="K49" s="70"/>
      <c r="L49" s="70"/>
      <c r="M49" s="70"/>
      <c r="N49" s="70"/>
      <c r="O49" s="70"/>
      <c r="P49" s="70"/>
      <c r="Q49" s="70"/>
      <c r="R49" s="70"/>
      <c r="S49" s="70"/>
      <c r="T49" s="91"/>
      <c r="U49" s="91"/>
      <c r="V49" s="70"/>
      <c r="W49" s="58"/>
      <c r="X49" s="58"/>
      <c r="Y49" s="70"/>
      <c r="Z49" s="83"/>
      <c r="AA49" s="70"/>
      <c r="AB49" s="70"/>
      <c r="AC49" s="70"/>
      <c r="AD49" s="70"/>
      <c r="AE49" s="70"/>
      <c r="AF49" s="70"/>
      <c r="AG49" s="70"/>
      <c r="AH49" s="70"/>
      <c r="AI49" s="70"/>
      <c r="AJ49" s="70"/>
      <c r="AK49" s="70"/>
      <c r="AL49" s="70"/>
      <c r="AM49" s="70"/>
      <c r="AN49" s="70"/>
      <c r="AO49" s="70"/>
      <c r="AP49" s="70"/>
      <c r="AQ49" s="70"/>
      <c r="AR49" s="70"/>
      <c r="AS49" s="70"/>
      <c r="AT49" s="70"/>
    </row>
    <row r="50" ht="15.75" customHeight="1">
      <c r="A50" s="70"/>
      <c r="B50" s="70"/>
      <c r="C50" s="70"/>
      <c r="D50" s="80"/>
      <c r="E50" s="70"/>
      <c r="F50" s="70"/>
      <c r="G50" s="72"/>
      <c r="H50" s="70"/>
      <c r="I50" s="70"/>
      <c r="J50" s="70"/>
      <c r="K50" s="70"/>
      <c r="L50" s="70"/>
      <c r="M50" s="70"/>
      <c r="N50" s="70"/>
      <c r="O50" s="70"/>
      <c r="P50" s="70"/>
      <c r="Q50" s="70"/>
      <c r="R50" s="70"/>
      <c r="S50" s="70"/>
      <c r="T50" s="91"/>
      <c r="U50" s="91"/>
      <c r="V50" s="70"/>
      <c r="W50" s="58"/>
      <c r="X50" s="58"/>
      <c r="Y50" s="70"/>
      <c r="Z50" s="83"/>
      <c r="AA50" s="70"/>
      <c r="AB50" s="70"/>
      <c r="AC50" s="70"/>
      <c r="AD50" s="70"/>
      <c r="AE50" s="70"/>
      <c r="AF50" s="70"/>
      <c r="AG50" s="70"/>
      <c r="AH50" s="70"/>
      <c r="AI50" s="70"/>
      <c r="AJ50" s="70"/>
      <c r="AK50" s="70"/>
      <c r="AL50" s="70"/>
      <c r="AM50" s="70"/>
      <c r="AN50" s="70"/>
      <c r="AO50" s="70"/>
      <c r="AP50" s="70"/>
      <c r="AQ50" s="70"/>
      <c r="AR50" s="70"/>
      <c r="AS50" s="70"/>
      <c r="AT50" s="70"/>
    </row>
    <row r="51" ht="15.75" customHeight="1">
      <c r="A51" s="70"/>
      <c r="B51" s="70"/>
      <c r="C51" s="70"/>
      <c r="D51" s="80"/>
      <c r="E51" s="70"/>
      <c r="F51" s="70"/>
      <c r="G51" s="72"/>
      <c r="H51" s="70"/>
      <c r="I51" s="70"/>
      <c r="J51" s="70"/>
      <c r="K51" s="70"/>
      <c r="L51" s="70"/>
      <c r="M51" s="70"/>
      <c r="N51" s="70"/>
      <c r="O51" s="70"/>
      <c r="P51" s="70"/>
      <c r="Q51" s="70"/>
      <c r="R51" s="70"/>
      <c r="S51" s="70"/>
      <c r="T51" s="91"/>
      <c r="U51" s="91"/>
      <c r="V51" s="70"/>
      <c r="W51" s="58"/>
      <c r="X51" s="58"/>
      <c r="Y51" s="70"/>
      <c r="Z51" s="83"/>
      <c r="AA51" s="70"/>
      <c r="AB51" s="70"/>
      <c r="AC51" s="70"/>
      <c r="AD51" s="70"/>
      <c r="AE51" s="70"/>
      <c r="AF51" s="70"/>
      <c r="AG51" s="70"/>
      <c r="AH51" s="70"/>
      <c r="AI51" s="70"/>
      <c r="AJ51" s="70"/>
      <c r="AK51" s="70"/>
      <c r="AL51" s="70"/>
      <c r="AM51" s="70"/>
      <c r="AN51" s="70"/>
      <c r="AO51" s="70"/>
      <c r="AP51" s="70"/>
      <c r="AQ51" s="70"/>
      <c r="AR51" s="70"/>
      <c r="AS51" s="70"/>
      <c r="AT51" s="70"/>
    </row>
    <row r="52" ht="15.75" customHeight="1">
      <c r="A52" s="70"/>
      <c r="B52" s="70"/>
      <c r="C52" s="70"/>
      <c r="D52" s="80"/>
      <c r="E52" s="70"/>
      <c r="F52" s="70"/>
      <c r="G52" s="72"/>
      <c r="H52" s="70"/>
      <c r="I52" s="70"/>
      <c r="J52" s="70"/>
      <c r="K52" s="70"/>
      <c r="L52" s="70"/>
      <c r="M52" s="70"/>
      <c r="N52" s="70"/>
      <c r="O52" s="70"/>
      <c r="P52" s="70"/>
      <c r="Q52" s="70"/>
      <c r="R52" s="70"/>
      <c r="S52" s="70"/>
      <c r="T52" s="91"/>
      <c r="U52" s="91"/>
      <c r="V52" s="70"/>
      <c r="W52" s="58"/>
      <c r="X52" s="58"/>
      <c r="Y52" s="70"/>
      <c r="Z52" s="83"/>
      <c r="AA52" s="70"/>
      <c r="AB52" s="70"/>
      <c r="AC52" s="70"/>
      <c r="AD52" s="70"/>
      <c r="AE52" s="70"/>
      <c r="AF52" s="70"/>
      <c r="AG52" s="70"/>
      <c r="AH52" s="70"/>
      <c r="AI52" s="70"/>
      <c r="AJ52" s="70"/>
      <c r="AK52" s="70"/>
      <c r="AL52" s="70"/>
      <c r="AM52" s="70"/>
      <c r="AN52" s="70"/>
      <c r="AO52" s="70"/>
      <c r="AP52" s="70"/>
      <c r="AQ52" s="70"/>
      <c r="AR52" s="70"/>
      <c r="AS52" s="70"/>
      <c r="AT52" s="70"/>
    </row>
    <row r="53" ht="15.75" customHeight="1">
      <c r="A53" s="70"/>
      <c r="B53" s="70"/>
      <c r="C53" s="70"/>
      <c r="D53" s="80"/>
      <c r="E53" s="70"/>
      <c r="F53" s="70"/>
      <c r="G53" s="72"/>
      <c r="H53" s="70"/>
      <c r="I53" s="70"/>
      <c r="J53" s="70"/>
      <c r="K53" s="70"/>
      <c r="L53" s="70"/>
      <c r="M53" s="70"/>
      <c r="N53" s="70"/>
      <c r="O53" s="70"/>
      <c r="P53" s="70"/>
      <c r="Q53" s="70"/>
      <c r="R53" s="70"/>
      <c r="S53" s="70"/>
      <c r="T53" s="91"/>
      <c r="U53" s="91"/>
      <c r="V53" s="70"/>
      <c r="W53" s="58"/>
      <c r="X53" s="58"/>
      <c r="Y53" s="70"/>
      <c r="Z53" s="83"/>
      <c r="AA53" s="70"/>
      <c r="AB53" s="70"/>
      <c r="AC53" s="70"/>
      <c r="AD53" s="70"/>
      <c r="AE53" s="70"/>
      <c r="AF53" s="70"/>
      <c r="AG53" s="70"/>
      <c r="AH53" s="70"/>
      <c r="AI53" s="70"/>
      <c r="AJ53" s="70"/>
      <c r="AK53" s="70"/>
      <c r="AL53" s="70"/>
      <c r="AM53" s="70"/>
      <c r="AN53" s="70"/>
      <c r="AO53" s="70"/>
      <c r="AP53" s="70"/>
      <c r="AQ53" s="70"/>
      <c r="AR53" s="70"/>
      <c r="AS53" s="70"/>
      <c r="AT53" s="70"/>
    </row>
    <row r="54" ht="15.75" customHeight="1">
      <c r="A54" s="70"/>
      <c r="B54" s="70"/>
      <c r="C54" s="70"/>
      <c r="D54" s="80"/>
      <c r="E54" s="70"/>
      <c r="F54" s="70"/>
      <c r="G54" s="72"/>
      <c r="H54" s="70"/>
      <c r="I54" s="70"/>
      <c r="J54" s="70"/>
      <c r="K54" s="70"/>
      <c r="L54" s="70"/>
      <c r="M54" s="70"/>
      <c r="N54" s="70"/>
      <c r="O54" s="70"/>
      <c r="P54" s="70"/>
      <c r="Q54" s="70"/>
      <c r="R54" s="70"/>
      <c r="S54" s="70"/>
      <c r="T54" s="91"/>
      <c r="U54" s="91"/>
      <c r="V54" s="70"/>
      <c r="W54" s="58"/>
      <c r="X54" s="58"/>
      <c r="Y54" s="70"/>
      <c r="Z54" s="83"/>
      <c r="AA54" s="70"/>
      <c r="AB54" s="70"/>
      <c r="AC54" s="70"/>
      <c r="AD54" s="70"/>
      <c r="AE54" s="70"/>
      <c r="AF54" s="70"/>
      <c r="AG54" s="70"/>
      <c r="AH54" s="70"/>
      <c r="AI54" s="70"/>
      <c r="AJ54" s="70"/>
      <c r="AK54" s="70"/>
      <c r="AL54" s="70"/>
      <c r="AM54" s="70"/>
      <c r="AN54" s="70"/>
      <c r="AO54" s="70"/>
      <c r="AP54" s="70"/>
      <c r="AQ54" s="70"/>
      <c r="AR54" s="70"/>
      <c r="AS54" s="70"/>
      <c r="AT54" s="70"/>
    </row>
    <row r="55" ht="15.75" customHeight="1">
      <c r="A55" s="70"/>
      <c r="B55" s="70"/>
      <c r="C55" s="70"/>
      <c r="D55" s="80"/>
      <c r="E55" s="70"/>
      <c r="F55" s="70"/>
      <c r="G55" s="72"/>
      <c r="H55" s="70"/>
      <c r="I55" s="70"/>
      <c r="J55" s="70"/>
      <c r="K55" s="70"/>
      <c r="L55" s="70"/>
      <c r="M55" s="70"/>
      <c r="N55" s="70"/>
      <c r="O55" s="70"/>
      <c r="P55" s="70"/>
      <c r="Q55" s="70"/>
      <c r="R55" s="70"/>
      <c r="S55" s="70"/>
      <c r="T55" s="91"/>
      <c r="U55" s="91"/>
      <c r="V55" s="70"/>
      <c r="W55" s="58"/>
      <c r="X55" s="58"/>
      <c r="Y55" s="70"/>
      <c r="Z55" s="83"/>
      <c r="AA55" s="70"/>
      <c r="AB55" s="70"/>
      <c r="AC55" s="70"/>
      <c r="AD55" s="70"/>
      <c r="AE55" s="70"/>
      <c r="AF55" s="70"/>
      <c r="AG55" s="70"/>
      <c r="AH55" s="70"/>
      <c r="AI55" s="70"/>
      <c r="AJ55" s="70"/>
      <c r="AK55" s="70"/>
      <c r="AL55" s="70"/>
      <c r="AM55" s="70"/>
      <c r="AN55" s="70"/>
      <c r="AO55" s="70"/>
      <c r="AP55" s="70"/>
      <c r="AQ55" s="70"/>
      <c r="AR55" s="70"/>
      <c r="AS55" s="70"/>
      <c r="AT55" s="70"/>
    </row>
    <row r="56" ht="15.75" customHeight="1">
      <c r="A56" s="70"/>
      <c r="B56" s="70"/>
      <c r="C56" s="70"/>
      <c r="D56" s="80"/>
      <c r="E56" s="70"/>
      <c r="F56" s="70"/>
      <c r="G56" s="72"/>
      <c r="H56" s="70"/>
      <c r="I56" s="70"/>
      <c r="J56" s="70"/>
      <c r="K56" s="70"/>
      <c r="L56" s="70"/>
      <c r="M56" s="70"/>
      <c r="N56" s="70"/>
      <c r="O56" s="70"/>
      <c r="P56" s="70"/>
      <c r="Q56" s="70"/>
      <c r="R56" s="70"/>
      <c r="S56" s="70"/>
      <c r="T56" s="91"/>
      <c r="U56" s="91"/>
      <c r="V56" s="70"/>
      <c r="W56" s="58"/>
      <c r="X56" s="58"/>
      <c r="Y56" s="70"/>
      <c r="Z56" s="83"/>
      <c r="AA56" s="70"/>
      <c r="AB56" s="70"/>
      <c r="AC56" s="70"/>
      <c r="AD56" s="70"/>
      <c r="AE56" s="70"/>
      <c r="AF56" s="70"/>
      <c r="AG56" s="70"/>
      <c r="AH56" s="70"/>
      <c r="AI56" s="70"/>
      <c r="AJ56" s="70"/>
      <c r="AK56" s="70"/>
      <c r="AL56" s="70"/>
      <c r="AM56" s="70"/>
      <c r="AN56" s="70"/>
      <c r="AO56" s="70"/>
      <c r="AP56" s="70"/>
      <c r="AQ56" s="70"/>
      <c r="AR56" s="70"/>
      <c r="AS56" s="70"/>
      <c r="AT56" s="70"/>
    </row>
    <row r="57" ht="15.75" customHeight="1">
      <c r="A57" s="70"/>
      <c r="B57" s="70"/>
      <c r="C57" s="70"/>
      <c r="D57" s="80"/>
      <c r="E57" s="70"/>
      <c r="F57" s="70"/>
      <c r="G57" s="72"/>
      <c r="H57" s="70"/>
      <c r="I57" s="70"/>
      <c r="J57" s="70"/>
      <c r="K57" s="70"/>
      <c r="L57" s="70"/>
      <c r="M57" s="70"/>
      <c r="N57" s="70"/>
      <c r="O57" s="70"/>
      <c r="P57" s="70"/>
      <c r="Q57" s="70"/>
      <c r="R57" s="70"/>
      <c r="S57" s="70"/>
      <c r="T57" s="91"/>
      <c r="U57" s="91"/>
      <c r="V57" s="70"/>
      <c r="W57" s="58"/>
      <c r="X57" s="58"/>
      <c r="Y57" s="70"/>
      <c r="Z57" s="83"/>
      <c r="AA57" s="70"/>
      <c r="AB57" s="70"/>
      <c r="AC57" s="70"/>
      <c r="AD57" s="70"/>
      <c r="AE57" s="70"/>
      <c r="AF57" s="70"/>
      <c r="AG57" s="70"/>
      <c r="AH57" s="70"/>
      <c r="AI57" s="70"/>
      <c r="AJ57" s="70"/>
      <c r="AK57" s="70"/>
      <c r="AL57" s="70"/>
      <c r="AM57" s="70"/>
      <c r="AN57" s="70"/>
      <c r="AO57" s="70"/>
      <c r="AP57" s="70"/>
      <c r="AQ57" s="70"/>
      <c r="AR57" s="70"/>
      <c r="AS57" s="70"/>
      <c r="AT57" s="70"/>
    </row>
    <row r="58" ht="15.75" customHeight="1">
      <c r="A58" s="70"/>
      <c r="B58" s="70"/>
      <c r="C58" s="70"/>
      <c r="D58" s="80"/>
      <c r="E58" s="70"/>
      <c r="F58" s="70"/>
      <c r="G58" s="72"/>
      <c r="H58" s="70"/>
      <c r="I58" s="70"/>
      <c r="J58" s="70"/>
      <c r="K58" s="70"/>
      <c r="L58" s="70"/>
      <c r="M58" s="70"/>
      <c r="N58" s="70"/>
      <c r="O58" s="70"/>
      <c r="P58" s="70"/>
      <c r="Q58" s="70"/>
      <c r="R58" s="70"/>
      <c r="S58" s="70"/>
      <c r="T58" s="91"/>
      <c r="U58" s="91"/>
      <c r="V58" s="70"/>
      <c r="W58" s="58"/>
      <c r="X58" s="58"/>
      <c r="Y58" s="70"/>
      <c r="Z58" s="83"/>
      <c r="AA58" s="70"/>
      <c r="AB58" s="70"/>
      <c r="AC58" s="70"/>
      <c r="AD58" s="70"/>
      <c r="AE58" s="70"/>
      <c r="AF58" s="70"/>
      <c r="AG58" s="70"/>
      <c r="AH58" s="70"/>
      <c r="AI58" s="70"/>
      <c r="AJ58" s="70"/>
      <c r="AK58" s="70"/>
      <c r="AL58" s="70"/>
      <c r="AM58" s="70"/>
      <c r="AN58" s="70"/>
      <c r="AO58" s="70"/>
      <c r="AP58" s="70"/>
      <c r="AQ58" s="70"/>
      <c r="AR58" s="70"/>
      <c r="AS58" s="70"/>
      <c r="AT58" s="70"/>
    </row>
    <row r="59" ht="15.75" customHeight="1">
      <c r="A59" s="70"/>
      <c r="B59" s="70"/>
      <c r="C59" s="70"/>
      <c r="D59" s="80"/>
      <c r="E59" s="70"/>
      <c r="F59" s="70"/>
      <c r="G59" s="72"/>
      <c r="H59" s="70"/>
      <c r="I59" s="70"/>
      <c r="J59" s="70"/>
      <c r="K59" s="70"/>
      <c r="L59" s="70"/>
      <c r="M59" s="70"/>
      <c r="N59" s="70"/>
      <c r="O59" s="70"/>
      <c r="P59" s="70"/>
      <c r="Q59" s="70"/>
      <c r="R59" s="70"/>
      <c r="S59" s="70"/>
      <c r="T59" s="91"/>
      <c r="U59" s="91"/>
      <c r="V59" s="70"/>
      <c r="W59" s="58"/>
      <c r="X59" s="58"/>
      <c r="Y59" s="70"/>
      <c r="Z59" s="83"/>
      <c r="AA59" s="70"/>
      <c r="AB59" s="70"/>
      <c r="AC59" s="70"/>
      <c r="AD59" s="70"/>
      <c r="AE59" s="70"/>
      <c r="AF59" s="70"/>
      <c r="AG59" s="70"/>
      <c r="AH59" s="70"/>
      <c r="AI59" s="70"/>
      <c r="AJ59" s="70"/>
      <c r="AK59" s="70"/>
      <c r="AL59" s="70"/>
      <c r="AM59" s="70"/>
      <c r="AN59" s="70"/>
      <c r="AO59" s="70"/>
      <c r="AP59" s="70"/>
      <c r="AQ59" s="70"/>
      <c r="AR59" s="70"/>
      <c r="AS59" s="70"/>
      <c r="AT59" s="70"/>
    </row>
    <row r="60" ht="15.75" customHeight="1">
      <c r="A60" s="70"/>
      <c r="B60" s="70"/>
      <c r="C60" s="70"/>
      <c r="D60" s="80"/>
      <c r="E60" s="70"/>
      <c r="F60" s="70"/>
      <c r="G60" s="72"/>
      <c r="H60" s="70"/>
      <c r="I60" s="70"/>
      <c r="J60" s="70"/>
      <c r="K60" s="70"/>
      <c r="L60" s="70"/>
      <c r="M60" s="70"/>
      <c r="N60" s="70"/>
      <c r="O60" s="70"/>
      <c r="P60" s="70"/>
      <c r="Q60" s="70"/>
      <c r="R60" s="70"/>
      <c r="S60" s="70"/>
      <c r="T60" s="91"/>
      <c r="U60" s="91"/>
      <c r="V60" s="70"/>
      <c r="W60" s="58"/>
      <c r="X60" s="58"/>
      <c r="Y60" s="70"/>
      <c r="Z60" s="83"/>
      <c r="AA60" s="70"/>
      <c r="AB60" s="70"/>
      <c r="AC60" s="70"/>
      <c r="AD60" s="70"/>
      <c r="AE60" s="70"/>
      <c r="AF60" s="70"/>
      <c r="AG60" s="70"/>
      <c r="AH60" s="70"/>
      <c r="AI60" s="70"/>
      <c r="AJ60" s="70"/>
      <c r="AK60" s="70"/>
      <c r="AL60" s="70"/>
      <c r="AM60" s="70"/>
      <c r="AN60" s="70"/>
      <c r="AO60" s="70"/>
      <c r="AP60" s="70"/>
      <c r="AQ60" s="70"/>
      <c r="AR60" s="70"/>
      <c r="AS60" s="70"/>
      <c r="AT60" s="70"/>
    </row>
    <row r="61" ht="15.75" customHeight="1">
      <c r="A61" s="70"/>
      <c r="B61" s="70"/>
      <c r="C61" s="70"/>
      <c r="D61" s="80"/>
      <c r="E61" s="70"/>
      <c r="F61" s="70"/>
      <c r="G61" s="72"/>
      <c r="H61" s="70"/>
      <c r="I61" s="70"/>
      <c r="J61" s="70"/>
      <c r="K61" s="70"/>
      <c r="L61" s="70"/>
      <c r="M61" s="70"/>
      <c r="N61" s="70"/>
      <c r="O61" s="70"/>
      <c r="P61" s="70"/>
      <c r="Q61" s="70"/>
      <c r="R61" s="70"/>
      <c r="S61" s="70"/>
      <c r="T61" s="91"/>
      <c r="U61" s="91"/>
      <c r="V61" s="70"/>
      <c r="W61" s="58"/>
      <c r="X61" s="58"/>
      <c r="Y61" s="70"/>
      <c r="Z61" s="83"/>
      <c r="AA61" s="70"/>
      <c r="AB61" s="70"/>
      <c r="AC61" s="70"/>
      <c r="AD61" s="70"/>
      <c r="AE61" s="70"/>
      <c r="AF61" s="70"/>
      <c r="AG61" s="70"/>
      <c r="AH61" s="70"/>
      <c r="AI61" s="70"/>
      <c r="AJ61" s="70"/>
      <c r="AK61" s="70"/>
      <c r="AL61" s="70"/>
      <c r="AM61" s="70"/>
      <c r="AN61" s="70"/>
      <c r="AO61" s="70"/>
      <c r="AP61" s="70"/>
      <c r="AQ61" s="70"/>
      <c r="AR61" s="70"/>
      <c r="AS61" s="70"/>
      <c r="AT61" s="70"/>
    </row>
    <row r="62" ht="15.75" customHeight="1">
      <c r="A62" s="70"/>
      <c r="B62" s="70"/>
      <c r="C62" s="70"/>
      <c r="D62" s="80"/>
      <c r="E62" s="70"/>
      <c r="F62" s="70"/>
      <c r="G62" s="72"/>
      <c r="H62" s="70"/>
      <c r="I62" s="70"/>
      <c r="J62" s="70"/>
      <c r="K62" s="70"/>
      <c r="L62" s="70"/>
      <c r="M62" s="70"/>
      <c r="N62" s="70"/>
      <c r="O62" s="70"/>
      <c r="P62" s="70"/>
      <c r="Q62" s="70"/>
      <c r="R62" s="70"/>
      <c r="S62" s="70"/>
      <c r="T62" s="91"/>
      <c r="U62" s="91"/>
      <c r="V62" s="70"/>
      <c r="W62" s="58"/>
      <c r="X62" s="58"/>
      <c r="Y62" s="70"/>
      <c r="Z62" s="83"/>
      <c r="AA62" s="70"/>
      <c r="AB62" s="70"/>
      <c r="AC62" s="70"/>
      <c r="AD62" s="70"/>
      <c r="AE62" s="70"/>
      <c r="AF62" s="70"/>
      <c r="AG62" s="70"/>
      <c r="AH62" s="70"/>
      <c r="AI62" s="70"/>
      <c r="AJ62" s="70"/>
      <c r="AK62" s="70"/>
      <c r="AL62" s="70"/>
      <c r="AM62" s="70"/>
      <c r="AN62" s="70"/>
      <c r="AO62" s="70"/>
      <c r="AP62" s="70"/>
      <c r="AQ62" s="70"/>
      <c r="AR62" s="70"/>
      <c r="AS62" s="70"/>
      <c r="AT62" s="70"/>
    </row>
    <row r="63" ht="15.75" customHeight="1">
      <c r="A63" s="70"/>
      <c r="B63" s="70"/>
      <c r="C63" s="70"/>
      <c r="D63" s="80"/>
      <c r="E63" s="70"/>
      <c r="F63" s="70"/>
      <c r="G63" s="72"/>
      <c r="H63" s="70"/>
      <c r="I63" s="70"/>
      <c r="J63" s="70"/>
      <c r="K63" s="70"/>
      <c r="L63" s="70"/>
      <c r="M63" s="70"/>
      <c r="N63" s="70"/>
      <c r="O63" s="70"/>
      <c r="P63" s="70"/>
      <c r="Q63" s="70"/>
      <c r="R63" s="70"/>
      <c r="S63" s="70"/>
      <c r="T63" s="91"/>
      <c r="U63" s="91"/>
      <c r="V63" s="70"/>
      <c r="W63" s="58"/>
      <c r="X63" s="58"/>
      <c r="Y63" s="70"/>
      <c r="Z63" s="83"/>
      <c r="AA63" s="70"/>
      <c r="AB63" s="70"/>
      <c r="AC63" s="70"/>
      <c r="AD63" s="70"/>
      <c r="AE63" s="70"/>
      <c r="AF63" s="70"/>
      <c r="AG63" s="70"/>
      <c r="AH63" s="70"/>
      <c r="AI63" s="70"/>
      <c r="AJ63" s="70"/>
      <c r="AK63" s="70"/>
      <c r="AL63" s="70"/>
      <c r="AM63" s="70"/>
      <c r="AN63" s="70"/>
      <c r="AO63" s="70"/>
      <c r="AP63" s="70"/>
      <c r="AQ63" s="70"/>
      <c r="AR63" s="70"/>
      <c r="AS63" s="70"/>
      <c r="AT63" s="70"/>
    </row>
    <row r="64" ht="15.75" customHeight="1">
      <c r="A64" s="70"/>
      <c r="B64" s="70"/>
      <c r="C64" s="70"/>
      <c r="D64" s="80"/>
      <c r="E64" s="70"/>
      <c r="F64" s="70"/>
      <c r="G64" s="72"/>
      <c r="H64" s="70"/>
      <c r="I64" s="70"/>
      <c r="J64" s="70"/>
      <c r="K64" s="70"/>
      <c r="L64" s="70"/>
      <c r="M64" s="70"/>
      <c r="N64" s="70"/>
      <c r="O64" s="70"/>
      <c r="P64" s="70"/>
      <c r="Q64" s="70"/>
      <c r="R64" s="70"/>
      <c r="S64" s="70"/>
      <c r="T64" s="91"/>
      <c r="U64" s="91"/>
      <c r="V64" s="70"/>
      <c r="W64" s="58"/>
      <c r="X64" s="58"/>
      <c r="Y64" s="70"/>
      <c r="Z64" s="83"/>
      <c r="AA64" s="70"/>
      <c r="AB64" s="70"/>
      <c r="AC64" s="70"/>
      <c r="AD64" s="70"/>
      <c r="AE64" s="70"/>
      <c r="AF64" s="70"/>
      <c r="AG64" s="70"/>
      <c r="AH64" s="70"/>
      <c r="AI64" s="70"/>
      <c r="AJ64" s="70"/>
      <c r="AK64" s="70"/>
      <c r="AL64" s="70"/>
      <c r="AM64" s="70"/>
      <c r="AN64" s="70"/>
      <c r="AO64" s="70"/>
      <c r="AP64" s="70"/>
      <c r="AQ64" s="70"/>
      <c r="AR64" s="70"/>
      <c r="AS64" s="70"/>
      <c r="AT64" s="70"/>
    </row>
    <row r="65" ht="15.75" customHeight="1">
      <c r="A65" s="70"/>
      <c r="B65" s="70"/>
      <c r="C65" s="70"/>
      <c r="D65" s="80"/>
      <c r="E65" s="70"/>
      <c r="F65" s="70"/>
      <c r="G65" s="72"/>
      <c r="H65" s="70"/>
      <c r="I65" s="70"/>
      <c r="J65" s="70"/>
      <c r="K65" s="70"/>
      <c r="L65" s="70"/>
      <c r="M65" s="70"/>
      <c r="N65" s="70"/>
      <c r="O65" s="70"/>
      <c r="P65" s="70"/>
      <c r="Q65" s="70"/>
      <c r="R65" s="70"/>
      <c r="S65" s="70"/>
      <c r="T65" s="91"/>
      <c r="U65" s="91"/>
      <c r="V65" s="70"/>
      <c r="W65" s="58"/>
      <c r="X65" s="58"/>
      <c r="Y65" s="70"/>
      <c r="Z65" s="83"/>
      <c r="AA65" s="70"/>
      <c r="AB65" s="70"/>
      <c r="AC65" s="70"/>
      <c r="AD65" s="70"/>
      <c r="AE65" s="70"/>
      <c r="AF65" s="70"/>
      <c r="AG65" s="70"/>
      <c r="AH65" s="70"/>
      <c r="AI65" s="70"/>
      <c r="AJ65" s="70"/>
      <c r="AK65" s="70"/>
      <c r="AL65" s="70"/>
      <c r="AM65" s="70"/>
      <c r="AN65" s="70"/>
      <c r="AO65" s="70"/>
      <c r="AP65" s="70"/>
      <c r="AQ65" s="70"/>
      <c r="AR65" s="70"/>
      <c r="AS65" s="70"/>
      <c r="AT65" s="70"/>
    </row>
    <row r="66" ht="15.75" customHeight="1">
      <c r="A66" s="70"/>
      <c r="B66" s="70"/>
      <c r="C66" s="70"/>
      <c r="D66" s="80"/>
      <c r="E66" s="70"/>
      <c r="F66" s="70"/>
      <c r="G66" s="72"/>
      <c r="H66" s="70"/>
      <c r="I66" s="70"/>
      <c r="J66" s="70"/>
      <c r="K66" s="70"/>
      <c r="L66" s="70"/>
      <c r="M66" s="70"/>
      <c r="N66" s="70"/>
      <c r="O66" s="70"/>
      <c r="P66" s="70"/>
      <c r="Q66" s="70"/>
      <c r="R66" s="70"/>
      <c r="S66" s="70"/>
      <c r="T66" s="91"/>
      <c r="U66" s="91"/>
      <c r="V66" s="70"/>
      <c r="W66" s="58"/>
      <c r="X66" s="58"/>
      <c r="Y66" s="70"/>
      <c r="Z66" s="83"/>
      <c r="AA66" s="70"/>
      <c r="AB66" s="70"/>
      <c r="AC66" s="70"/>
      <c r="AD66" s="70"/>
      <c r="AE66" s="70"/>
      <c r="AF66" s="70"/>
      <c r="AG66" s="70"/>
      <c r="AH66" s="70"/>
      <c r="AI66" s="70"/>
      <c r="AJ66" s="70"/>
      <c r="AK66" s="70"/>
      <c r="AL66" s="70"/>
      <c r="AM66" s="70"/>
      <c r="AN66" s="70"/>
      <c r="AO66" s="70"/>
      <c r="AP66" s="70"/>
      <c r="AQ66" s="70"/>
      <c r="AR66" s="70"/>
      <c r="AS66" s="70"/>
      <c r="AT66" s="70"/>
    </row>
    <row r="67" ht="15.75" customHeight="1">
      <c r="A67" s="70"/>
      <c r="B67" s="70"/>
      <c r="C67" s="70"/>
      <c r="D67" s="80"/>
      <c r="E67" s="70"/>
      <c r="F67" s="70"/>
      <c r="G67" s="72"/>
      <c r="H67" s="70"/>
      <c r="I67" s="70"/>
      <c r="J67" s="70"/>
      <c r="K67" s="70"/>
      <c r="L67" s="70"/>
      <c r="M67" s="70"/>
      <c r="N67" s="70"/>
      <c r="O67" s="70"/>
      <c r="P67" s="70"/>
      <c r="Q67" s="70"/>
      <c r="R67" s="70"/>
      <c r="S67" s="70"/>
      <c r="T67" s="91"/>
      <c r="U67" s="91"/>
      <c r="V67" s="70"/>
      <c r="W67" s="58"/>
      <c r="X67" s="58"/>
      <c r="Y67" s="70"/>
      <c r="Z67" s="83"/>
      <c r="AA67" s="70"/>
      <c r="AB67" s="70"/>
      <c r="AC67" s="70"/>
      <c r="AD67" s="70"/>
      <c r="AE67" s="70"/>
      <c r="AF67" s="70"/>
      <c r="AG67" s="70"/>
      <c r="AH67" s="70"/>
      <c r="AI67" s="70"/>
      <c r="AJ67" s="70"/>
      <c r="AK67" s="70"/>
      <c r="AL67" s="70"/>
      <c r="AM67" s="70"/>
      <c r="AN67" s="70"/>
      <c r="AO67" s="70"/>
      <c r="AP67" s="70"/>
      <c r="AQ67" s="70"/>
      <c r="AR67" s="70"/>
      <c r="AS67" s="70"/>
      <c r="AT67" s="70"/>
    </row>
    <row r="68" ht="15.75" customHeight="1">
      <c r="A68" s="70"/>
      <c r="B68" s="70"/>
      <c r="C68" s="70"/>
      <c r="D68" s="80"/>
      <c r="E68" s="70"/>
      <c r="F68" s="70"/>
      <c r="G68" s="72"/>
      <c r="H68" s="70"/>
      <c r="I68" s="70"/>
      <c r="J68" s="70"/>
      <c r="K68" s="70"/>
      <c r="L68" s="70"/>
      <c r="M68" s="70"/>
      <c r="N68" s="70"/>
      <c r="O68" s="70"/>
      <c r="P68" s="70"/>
      <c r="Q68" s="70"/>
      <c r="R68" s="70"/>
      <c r="S68" s="70"/>
      <c r="T68" s="91"/>
      <c r="U68" s="91"/>
      <c r="V68" s="70"/>
      <c r="W68" s="58"/>
      <c r="X68" s="58"/>
      <c r="Y68" s="70"/>
      <c r="Z68" s="83"/>
      <c r="AA68" s="70"/>
      <c r="AB68" s="70"/>
      <c r="AC68" s="70"/>
      <c r="AD68" s="70"/>
      <c r="AE68" s="70"/>
      <c r="AF68" s="70"/>
      <c r="AG68" s="70"/>
      <c r="AH68" s="70"/>
      <c r="AI68" s="70"/>
      <c r="AJ68" s="70"/>
      <c r="AK68" s="70"/>
      <c r="AL68" s="70"/>
      <c r="AM68" s="70"/>
      <c r="AN68" s="70"/>
      <c r="AO68" s="70"/>
      <c r="AP68" s="70"/>
      <c r="AQ68" s="70"/>
      <c r="AR68" s="70"/>
      <c r="AS68" s="70"/>
      <c r="AT68" s="70"/>
    </row>
    <row r="69" ht="15.75" customHeight="1">
      <c r="A69" s="70"/>
      <c r="B69" s="70"/>
      <c r="C69" s="70"/>
      <c r="D69" s="80"/>
      <c r="E69" s="70"/>
      <c r="F69" s="70"/>
      <c r="G69" s="72"/>
      <c r="H69" s="70"/>
      <c r="I69" s="70"/>
      <c r="J69" s="70"/>
      <c r="K69" s="70"/>
      <c r="L69" s="70"/>
      <c r="M69" s="70"/>
      <c r="N69" s="70"/>
      <c r="O69" s="70"/>
      <c r="P69" s="70"/>
      <c r="Q69" s="70"/>
      <c r="R69" s="70"/>
      <c r="S69" s="70"/>
      <c r="T69" s="91"/>
      <c r="U69" s="91"/>
      <c r="V69" s="70"/>
      <c r="W69" s="58"/>
      <c r="X69" s="58"/>
      <c r="Y69" s="70"/>
      <c r="Z69" s="83"/>
      <c r="AA69" s="70"/>
      <c r="AB69" s="70"/>
      <c r="AC69" s="70"/>
      <c r="AD69" s="70"/>
      <c r="AE69" s="70"/>
      <c r="AF69" s="70"/>
      <c r="AG69" s="70"/>
      <c r="AH69" s="70"/>
      <c r="AI69" s="70"/>
      <c r="AJ69" s="70"/>
      <c r="AK69" s="70"/>
      <c r="AL69" s="70"/>
      <c r="AM69" s="70"/>
      <c r="AN69" s="70"/>
      <c r="AO69" s="70"/>
      <c r="AP69" s="70"/>
      <c r="AQ69" s="70"/>
      <c r="AR69" s="70"/>
      <c r="AS69" s="70"/>
      <c r="AT69" s="70"/>
    </row>
    <row r="70" ht="15.75" customHeight="1">
      <c r="A70" s="70"/>
      <c r="B70" s="70"/>
      <c r="C70" s="70"/>
      <c r="D70" s="80"/>
      <c r="E70" s="70"/>
      <c r="F70" s="70"/>
      <c r="G70" s="72"/>
      <c r="H70" s="70"/>
      <c r="I70" s="70"/>
      <c r="J70" s="70"/>
      <c r="K70" s="70"/>
      <c r="L70" s="70"/>
      <c r="M70" s="70"/>
      <c r="N70" s="70"/>
      <c r="O70" s="70"/>
      <c r="P70" s="70"/>
      <c r="Q70" s="70"/>
      <c r="R70" s="70"/>
      <c r="S70" s="70"/>
      <c r="T70" s="91"/>
      <c r="U70" s="91"/>
      <c r="V70" s="70"/>
      <c r="W70" s="58"/>
      <c r="X70" s="58"/>
      <c r="Y70" s="70"/>
      <c r="Z70" s="83"/>
      <c r="AA70" s="70"/>
      <c r="AB70" s="70"/>
      <c r="AC70" s="70"/>
      <c r="AD70" s="70"/>
      <c r="AE70" s="70"/>
      <c r="AF70" s="70"/>
      <c r="AG70" s="70"/>
      <c r="AH70" s="70"/>
      <c r="AI70" s="70"/>
      <c r="AJ70" s="70"/>
      <c r="AK70" s="70"/>
      <c r="AL70" s="70"/>
      <c r="AM70" s="70"/>
      <c r="AN70" s="70"/>
      <c r="AO70" s="70"/>
      <c r="AP70" s="70"/>
      <c r="AQ70" s="70"/>
      <c r="AR70" s="70"/>
      <c r="AS70" s="70"/>
      <c r="AT70" s="70"/>
    </row>
    <row r="71" ht="15.75" customHeight="1">
      <c r="A71" s="70"/>
      <c r="B71" s="70"/>
      <c r="C71" s="70"/>
      <c r="D71" s="80"/>
      <c r="E71" s="70"/>
      <c r="F71" s="70"/>
      <c r="G71" s="72"/>
      <c r="H71" s="70"/>
      <c r="I71" s="70"/>
      <c r="J71" s="70"/>
      <c r="K71" s="70"/>
      <c r="L71" s="70"/>
      <c r="M71" s="70"/>
      <c r="N71" s="70"/>
      <c r="O71" s="70"/>
      <c r="P71" s="70"/>
      <c r="Q71" s="70"/>
      <c r="R71" s="70"/>
      <c r="S71" s="70"/>
      <c r="T71" s="91"/>
      <c r="U71" s="91"/>
      <c r="V71" s="70"/>
      <c r="W71" s="58"/>
      <c r="X71" s="58"/>
      <c r="Y71" s="70"/>
      <c r="Z71" s="83"/>
      <c r="AA71" s="70"/>
      <c r="AB71" s="70"/>
      <c r="AC71" s="70"/>
      <c r="AD71" s="70"/>
      <c r="AE71" s="70"/>
      <c r="AF71" s="70"/>
      <c r="AG71" s="70"/>
      <c r="AH71" s="70"/>
      <c r="AI71" s="70"/>
      <c r="AJ71" s="70"/>
      <c r="AK71" s="70"/>
      <c r="AL71" s="70"/>
      <c r="AM71" s="70"/>
      <c r="AN71" s="70"/>
      <c r="AO71" s="70"/>
      <c r="AP71" s="70"/>
      <c r="AQ71" s="70"/>
      <c r="AR71" s="70"/>
      <c r="AS71" s="70"/>
      <c r="AT71" s="70"/>
    </row>
    <row r="72" ht="15.75" customHeight="1">
      <c r="A72" s="70"/>
      <c r="B72" s="70"/>
      <c r="C72" s="70"/>
      <c r="D72" s="80"/>
      <c r="E72" s="70"/>
      <c r="F72" s="70"/>
      <c r="G72" s="72"/>
      <c r="H72" s="70"/>
      <c r="I72" s="70"/>
      <c r="J72" s="70"/>
      <c r="K72" s="70"/>
      <c r="L72" s="70"/>
      <c r="M72" s="70"/>
      <c r="N72" s="70"/>
      <c r="O72" s="70"/>
      <c r="P72" s="70"/>
      <c r="Q72" s="70"/>
      <c r="R72" s="70"/>
      <c r="S72" s="70"/>
      <c r="T72" s="91"/>
      <c r="U72" s="91"/>
      <c r="V72" s="70"/>
      <c r="W72" s="58"/>
      <c r="X72" s="58"/>
      <c r="Y72" s="70"/>
      <c r="Z72" s="83"/>
      <c r="AA72" s="70"/>
      <c r="AB72" s="70"/>
      <c r="AC72" s="70"/>
      <c r="AD72" s="70"/>
      <c r="AE72" s="70"/>
      <c r="AF72" s="70"/>
      <c r="AG72" s="70"/>
      <c r="AH72" s="70"/>
      <c r="AI72" s="70"/>
      <c r="AJ72" s="70"/>
      <c r="AK72" s="70"/>
      <c r="AL72" s="70"/>
      <c r="AM72" s="70"/>
      <c r="AN72" s="70"/>
      <c r="AO72" s="70"/>
      <c r="AP72" s="70"/>
      <c r="AQ72" s="70"/>
      <c r="AR72" s="70"/>
      <c r="AS72" s="70"/>
      <c r="AT72" s="70"/>
    </row>
    <row r="73" ht="15.75" customHeight="1">
      <c r="A73" s="70"/>
      <c r="B73" s="70"/>
      <c r="C73" s="70"/>
      <c r="D73" s="80"/>
      <c r="E73" s="70"/>
      <c r="F73" s="70"/>
      <c r="G73" s="72"/>
      <c r="H73" s="70"/>
      <c r="I73" s="70"/>
      <c r="J73" s="70"/>
      <c r="K73" s="70"/>
      <c r="L73" s="70"/>
      <c r="M73" s="70"/>
      <c r="N73" s="70"/>
      <c r="O73" s="70"/>
      <c r="P73" s="70"/>
      <c r="Q73" s="70"/>
      <c r="R73" s="70"/>
      <c r="S73" s="70"/>
      <c r="T73" s="91"/>
      <c r="U73" s="91"/>
      <c r="V73" s="70"/>
      <c r="W73" s="58"/>
      <c r="X73" s="58"/>
      <c r="Y73" s="70"/>
      <c r="Z73" s="83"/>
      <c r="AA73" s="70"/>
      <c r="AB73" s="70"/>
      <c r="AC73" s="70"/>
      <c r="AD73" s="70"/>
      <c r="AE73" s="70"/>
      <c r="AF73" s="70"/>
      <c r="AG73" s="70"/>
      <c r="AH73" s="70"/>
      <c r="AI73" s="70"/>
      <c r="AJ73" s="70"/>
      <c r="AK73" s="70"/>
      <c r="AL73" s="70"/>
      <c r="AM73" s="70"/>
      <c r="AN73" s="70"/>
      <c r="AO73" s="70"/>
      <c r="AP73" s="70"/>
      <c r="AQ73" s="70"/>
      <c r="AR73" s="70"/>
      <c r="AS73" s="70"/>
      <c r="AT73" s="70"/>
    </row>
    <row r="74" ht="15.75" customHeight="1">
      <c r="A74" s="70"/>
      <c r="B74" s="70"/>
      <c r="C74" s="70"/>
      <c r="D74" s="80"/>
      <c r="E74" s="70"/>
      <c r="F74" s="70"/>
      <c r="G74" s="72"/>
      <c r="H74" s="70"/>
      <c r="I74" s="70"/>
      <c r="J74" s="70"/>
      <c r="K74" s="70"/>
      <c r="L74" s="70"/>
      <c r="M74" s="70"/>
      <c r="N74" s="70"/>
      <c r="O74" s="70"/>
      <c r="P74" s="70"/>
      <c r="Q74" s="70"/>
      <c r="R74" s="70"/>
      <c r="S74" s="70"/>
      <c r="T74" s="91"/>
      <c r="U74" s="91"/>
      <c r="V74" s="70"/>
      <c r="W74" s="58"/>
      <c r="X74" s="58"/>
      <c r="Y74" s="70"/>
      <c r="Z74" s="83"/>
      <c r="AA74" s="70"/>
      <c r="AB74" s="70"/>
      <c r="AC74" s="70"/>
      <c r="AD74" s="70"/>
      <c r="AE74" s="70"/>
      <c r="AF74" s="70"/>
      <c r="AG74" s="70"/>
      <c r="AH74" s="70"/>
      <c r="AI74" s="70"/>
      <c r="AJ74" s="70"/>
      <c r="AK74" s="70"/>
      <c r="AL74" s="70"/>
      <c r="AM74" s="70"/>
      <c r="AN74" s="70"/>
      <c r="AO74" s="70"/>
      <c r="AP74" s="70"/>
      <c r="AQ74" s="70"/>
      <c r="AR74" s="70"/>
      <c r="AS74" s="70"/>
      <c r="AT74" s="70"/>
    </row>
    <row r="75" ht="15.75" customHeight="1">
      <c r="A75" s="70"/>
      <c r="B75" s="70"/>
      <c r="C75" s="70"/>
      <c r="D75" s="80"/>
      <c r="E75" s="70"/>
      <c r="F75" s="70"/>
      <c r="G75" s="72"/>
      <c r="H75" s="70"/>
      <c r="I75" s="70"/>
      <c r="J75" s="70"/>
      <c r="K75" s="70"/>
      <c r="L75" s="70"/>
      <c r="M75" s="70"/>
      <c r="N75" s="70"/>
      <c r="O75" s="70"/>
      <c r="P75" s="70"/>
      <c r="Q75" s="70"/>
      <c r="R75" s="70"/>
      <c r="S75" s="70"/>
      <c r="T75" s="91"/>
      <c r="U75" s="91"/>
      <c r="V75" s="70"/>
      <c r="W75" s="58"/>
      <c r="X75" s="58"/>
      <c r="Y75" s="70"/>
      <c r="Z75" s="83"/>
      <c r="AA75" s="70"/>
      <c r="AB75" s="70"/>
      <c r="AC75" s="70"/>
      <c r="AD75" s="70"/>
      <c r="AE75" s="70"/>
      <c r="AF75" s="70"/>
      <c r="AG75" s="70"/>
      <c r="AH75" s="70"/>
      <c r="AI75" s="70"/>
      <c r="AJ75" s="70"/>
      <c r="AK75" s="70"/>
      <c r="AL75" s="70"/>
      <c r="AM75" s="70"/>
      <c r="AN75" s="70"/>
      <c r="AO75" s="70"/>
      <c r="AP75" s="70"/>
      <c r="AQ75" s="70"/>
      <c r="AR75" s="70"/>
      <c r="AS75" s="70"/>
      <c r="AT75" s="70"/>
    </row>
    <row r="76" ht="15.75" customHeight="1">
      <c r="A76" s="70"/>
      <c r="B76" s="70"/>
      <c r="C76" s="70"/>
      <c r="D76" s="80"/>
      <c r="E76" s="70"/>
      <c r="F76" s="70"/>
      <c r="G76" s="72"/>
      <c r="H76" s="70"/>
      <c r="I76" s="70"/>
      <c r="J76" s="70"/>
      <c r="K76" s="70"/>
      <c r="L76" s="70"/>
      <c r="M76" s="70"/>
      <c r="N76" s="70"/>
      <c r="O76" s="70"/>
      <c r="P76" s="70"/>
      <c r="Q76" s="70"/>
      <c r="R76" s="70"/>
      <c r="S76" s="70"/>
      <c r="T76" s="91"/>
      <c r="U76" s="91"/>
      <c r="V76" s="70"/>
      <c r="W76" s="58"/>
      <c r="X76" s="58"/>
      <c r="Y76" s="70"/>
      <c r="Z76" s="83"/>
      <c r="AA76" s="70"/>
      <c r="AB76" s="70"/>
      <c r="AC76" s="70"/>
      <c r="AD76" s="70"/>
      <c r="AE76" s="70"/>
      <c r="AF76" s="70"/>
      <c r="AG76" s="70"/>
      <c r="AH76" s="70"/>
      <c r="AI76" s="70"/>
      <c r="AJ76" s="70"/>
      <c r="AK76" s="70"/>
      <c r="AL76" s="70"/>
      <c r="AM76" s="70"/>
      <c r="AN76" s="70"/>
      <c r="AO76" s="70"/>
      <c r="AP76" s="70"/>
      <c r="AQ76" s="70"/>
      <c r="AR76" s="70"/>
      <c r="AS76" s="70"/>
      <c r="AT76" s="70"/>
    </row>
    <row r="77" ht="15.75" customHeight="1">
      <c r="A77" s="70"/>
      <c r="B77" s="70"/>
      <c r="C77" s="70"/>
      <c r="D77" s="80"/>
      <c r="E77" s="70"/>
      <c r="F77" s="70"/>
      <c r="G77" s="72"/>
      <c r="H77" s="70"/>
      <c r="I77" s="70"/>
      <c r="J77" s="70"/>
      <c r="K77" s="70"/>
      <c r="L77" s="70"/>
      <c r="M77" s="70"/>
      <c r="N77" s="70"/>
      <c r="O77" s="70"/>
      <c r="P77" s="70"/>
      <c r="Q77" s="70"/>
      <c r="R77" s="70"/>
      <c r="S77" s="70"/>
      <c r="T77" s="91"/>
      <c r="U77" s="91"/>
      <c r="V77" s="70"/>
      <c r="W77" s="58"/>
      <c r="X77" s="58"/>
      <c r="Y77" s="70"/>
      <c r="Z77" s="83"/>
      <c r="AA77" s="70"/>
      <c r="AB77" s="70"/>
      <c r="AC77" s="70"/>
      <c r="AD77" s="70"/>
      <c r="AE77" s="70"/>
      <c r="AF77" s="70"/>
      <c r="AG77" s="70"/>
      <c r="AH77" s="70"/>
      <c r="AI77" s="70"/>
      <c r="AJ77" s="70"/>
      <c r="AK77" s="70"/>
      <c r="AL77" s="70"/>
      <c r="AM77" s="70"/>
      <c r="AN77" s="70"/>
      <c r="AO77" s="70"/>
      <c r="AP77" s="70"/>
      <c r="AQ77" s="70"/>
      <c r="AR77" s="70"/>
      <c r="AS77" s="70"/>
      <c r="AT77" s="70"/>
    </row>
    <row r="78" ht="15.75" customHeight="1">
      <c r="A78" s="70"/>
      <c r="B78" s="70"/>
      <c r="C78" s="70"/>
      <c r="D78" s="80"/>
      <c r="E78" s="70"/>
      <c r="F78" s="70"/>
      <c r="G78" s="72"/>
      <c r="H78" s="70"/>
      <c r="I78" s="70"/>
      <c r="J78" s="70"/>
      <c r="K78" s="70"/>
      <c r="L78" s="70"/>
      <c r="M78" s="70"/>
      <c r="N78" s="70"/>
      <c r="O78" s="70"/>
      <c r="P78" s="70"/>
      <c r="Q78" s="70"/>
      <c r="R78" s="70"/>
      <c r="S78" s="70"/>
      <c r="T78" s="91"/>
      <c r="U78" s="91"/>
      <c r="V78" s="70"/>
      <c r="W78" s="58"/>
      <c r="X78" s="58"/>
      <c r="Y78" s="70"/>
      <c r="Z78" s="83"/>
      <c r="AA78" s="70"/>
      <c r="AB78" s="70"/>
      <c r="AC78" s="70"/>
      <c r="AD78" s="70"/>
      <c r="AE78" s="70"/>
      <c r="AF78" s="70"/>
      <c r="AG78" s="70"/>
      <c r="AH78" s="70"/>
      <c r="AI78" s="70"/>
      <c r="AJ78" s="70"/>
      <c r="AK78" s="70"/>
      <c r="AL78" s="70"/>
      <c r="AM78" s="70"/>
      <c r="AN78" s="70"/>
      <c r="AO78" s="70"/>
      <c r="AP78" s="70"/>
      <c r="AQ78" s="70"/>
      <c r="AR78" s="70"/>
      <c r="AS78" s="70"/>
      <c r="AT78" s="70"/>
    </row>
    <row r="79" ht="15.75" customHeight="1">
      <c r="A79" s="70"/>
      <c r="B79" s="70"/>
      <c r="C79" s="70"/>
      <c r="D79" s="80"/>
      <c r="E79" s="70"/>
      <c r="F79" s="70"/>
      <c r="G79" s="72"/>
      <c r="H79" s="70"/>
      <c r="I79" s="70"/>
      <c r="J79" s="70"/>
      <c r="K79" s="70"/>
      <c r="L79" s="70"/>
      <c r="M79" s="70"/>
      <c r="N79" s="70"/>
      <c r="O79" s="70"/>
      <c r="P79" s="70"/>
      <c r="Q79" s="70"/>
      <c r="R79" s="70"/>
      <c r="S79" s="70"/>
      <c r="T79" s="91"/>
      <c r="U79" s="91"/>
      <c r="V79" s="70"/>
      <c r="W79" s="58"/>
      <c r="X79" s="58"/>
      <c r="Y79" s="70"/>
      <c r="Z79" s="83"/>
      <c r="AA79" s="70"/>
      <c r="AB79" s="70"/>
      <c r="AC79" s="70"/>
      <c r="AD79" s="70"/>
      <c r="AE79" s="70"/>
      <c r="AF79" s="70"/>
      <c r="AG79" s="70"/>
      <c r="AH79" s="70"/>
      <c r="AI79" s="70"/>
      <c r="AJ79" s="70"/>
      <c r="AK79" s="70"/>
      <c r="AL79" s="70"/>
      <c r="AM79" s="70"/>
      <c r="AN79" s="70"/>
      <c r="AO79" s="70"/>
      <c r="AP79" s="70"/>
      <c r="AQ79" s="70"/>
      <c r="AR79" s="70"/>
      <c r="AS79" s="70"/>
      <c r="AT79" s="70"/>
    </row>
    <row r="80" ht="15.75" customHeight="1">
      <c r="A80" s="70"/>
      <c r="B80" s="70"/>
      <c r="C80" s="70"/>
      <c r="D80" s="80"/>
      <c r="E80" s="70"/>
      <c r="F80" s="70"/>
      <c r="G80" s="72"/>
      <c r="H80" s="70"/>
      <c r="I80" s="70"/>
      <c r="J80" s="70"/>
      <c r="K80" s="70"/>
      <c r="L80" s="70"/>
      <c r="M80" s="70"/>
      <c r="N80" s="70"/>
      <c r="O80" s="70"/>
      <c r="P80" s="70"/>
      <c r="Q80" s="70"/>
      <c r="R80" s="70"/>
      <c r="S80" s="70"/>
      <c r="T80" s="91"/>
      <c r="U80" s="91"/>
      <c r="V80" s="70"/>
      <c r="W80" s="58"/>
      <c r="X80" s="58"/>
      <c r="Y80" s="70"/>
      <c r="Z80" s="83"/>
      <c r="AA80" s="70"/>
      <c r="AB80" s="70"/>
      <c r="AC80" s="70"/>
      <c r="AD80" s="70"/>
      <c r="AE80" s="70"/>
      <c r="AF80" s="70"/>
      <c r="AG80" s="70"/>
      <c r="AH80" s="70"/>
      <c r="AI80" s="70"/>
      <c r="AJ80" s="70"/>
      <c r="AK80" s="70"/>
      <c r="AL80" s="70"/>
      <c r="AM80" s="70"/>
      <c r="AN80" s="70"/>
      <c r="AO80" s="70"/>
      <c r="AP80" s="70"/>
      <c r="AQ80" s="70"/>
      <c r="AR80" s="70"/>
      <c r="AS80" s="70"/>
      <c r="AT80" s="70"/>
    </row>
    <row r="81" ht="15.75" customHeight="1">
      <c r="A81" s="70"/>
      <c r="B81" s="70"/>
      <c r="C81" s="70"/>
      <c r="D81" s="80"/>
      <c r="E81" s="70"/>
      <c r="F81" s="70"/>
      <c r="G81" s="72"/>
      <c r="H81" s="70"/>
      <c r="I81" s="70"/>
      <c r="J81" s="70"/>
      <c r="K81" s="70"/>
      <c r="L81" s="70"/>
      <c r="M81" s="70"/>
      <c r="N81" s="70"/>
      <c r="O81" s="70"/>
      <c r="P81" s="70"/>
      <c r="Q81" s="70"/>
      <c r="R81" s="70"/>
      <c r="S81" s="70"/>
      <c r="T81" s="91"/>
      <c r="U81" s="91"/>
      <c r="V81" s="70"/>
      <c r="W81" s="58"/>
      <c r="X81" s="58"/>
      <c r="Y81" s="70"/>
      <c r="Z81" s="83"/>
      <c r="AA81" s="70"/>
      <c r="AB81" s="70"/>
      <c r="AC81" s="70"/>
      <c r="AD81" s="70"/>
      <c r="AE81" s="70"/>
      <c r="AF81" s="70"/>
      <c r="AG81" s="70"/>
      <c r="AH81" s="70"/>
      <c r="AI81" s="70"/>
      <c r="AJ81" s="70"/>
      <c r="AK81" s="70"/>
      <c r="AL81" s="70"/>
      <c r="AM81" s="70"/>
      <c r="AN81" s="70"/>
      <c r="AO81" s="70"/>
      <c r="AP81" s="70"/>
      <c r="AQ81" s="70"/>
      <c r="AR81" s="70"/>
      <c r="AS81" s="70"/>
      <c r="AT81" s="70"/>
    </row>
    <row r="82" ht="15.75" customHeight="1">
      <c r="A82" s="70"/>
      <c r="B82" s="70"/>
      <c r="C82" s="70"/>
      <c r="D82" s="80"/>
      <c r="E82" s="70"/>
      <c r="F82" s="70"/>
      <c r="G82" s="72"/>
      <c r="H82" s="70"/>
      <c r="I82" s="70"/>
      <c r="J82" s="70"/>
      <c r="K82" s="70"/>
      <c r="L82" s="70"/>
      <c r="M82" s="70"/>
      <c r="N82" s="70"/>
      <c r="O82" s="70"/>
      <c r="P82" s="70"/>
      <c r="Q82" s="70"/>
      <c r="R82" s="70"/>
      <c r="S82" s="70"/>
      <c r="T82" s="91"/>
      <c r="U82" s="91"/>
      <c r="V82" s="70"/>
      <c r="W82" s="58"/>
      <c r="X82" s="58"/>
      <c r="Y82" s="70"/>
      <c r="Z82" s="83"/>
      <c r="AA82" s="70"/>
      <c r="AB82" s="70"/>
      <c r="AC82" s="70"/>
      <c r="AD82" s="70"/>
      <c r="AE82" s="70"/>
      <c r="AF82" s="70"/>
      <c r="AG82" s="70"/>
      <c r="AH82" s="70"/>
      <c r="AI82" s="70"/>
      <c r="AJ82" s="70"/>
      <c r="AK82" s="70"/>
      <c r="AL82" s="70"/>
      <c r="AM82" s="70"/>
      <c r="AN82" s="70"/>
      <c r="AO82" s="70"/>
      <c r="AP82" s="70"/>
      <c r="AQ82" s="70"/>
      <c r="AR82" s="70"/>
      <c r="AS82" s="70"/>
      <c r="AT82" s="70"/>
    </row>
    <row r="83" ht="15.75" customHeight="1">
      <c r="A83" s="70"/>
      <c r="B83" s="70"/>
      <c r="C83" s="70"/>
      <c r="D83" s="80"/>
      <c r="E83" s="70"/>
      <c r="F83" s="70"/>
      <c r="G83" s="72"/>
      <c r="H83" s="70"/>
      <c r="I83" s="70"/>
      <c r="J83" s="70"/>
      <c r="K83" s="70"/>
      <c r="L83" s="70"/>
      <c r="M83" s="70"/>
      <c r="N83" s="70"/>
      <c r="O83" s="70"/>
      <c r="P83" s="70"/>
      <c r="Q83" s="70"/>
      <c r="R83" s="70"/>
      <c r="S83" s="70"/>
      <c r="T83" s="91"/>
      <c r="U83" s="91"/>
      <c r="V83" s="70"/>
      <c r="W83" s="58"/>
      <c r="X83" s="58"/>
      <c r="Y83" s="70"/>
      <c r="Z83" s="83"/>
      <c r="AA83" s="70"/>
      <c r="AB83" s="70"/>
      <c r="AC83" s="70"/>
      <c r="AD83" s="70"/>
      <c r="AE83" s="70"/>
      <c r="AF83" s="70"/>
      <c r="AG83" s="70"/>
      <c r="AH83" s="70"/>
      <c r="AI83" s="70"/>
      <c r="AJ83" s="70"/>
      <c r="AK83" s="70"/>
      <c r="AL83" s="70"/>
      <c r="AM83" s="70"/>
      <c r="AN83" s="70"/>
      <c r="AO83" s="70"/>
      <c r="AP83" s="70"/>
      <c r="AQ83" s="70"/>
      <c r="AR83" s="70"/>
      <c r="AS83" s="70"/>
      <c r="AT83" s="70"/>
    </row>
    <row r="84" ht="15.75" customHeight="1">
      <c r="A84" s="70"/>
      <c r="B84" s="70"/>
      <c r="C84" s="70"/>
      <c r="D84" s="80"/>
      <c r="E84" s="70"/>
      <c r="F84" s="70"/>
      <c r="G84" s="72"/>
      <c r="H84" s="70"/>
      <c r="I84" s="70"/>
      <c r="J84" s="70"/>
      <c r="K84" s="70"/>
      <c r="L84" s="70"/>
      <c r="M84" s="70"/>
      <c r="N84" s="70"/>
      <c r="O84" s="70"/>
      <c r="P84" s="70"/>
      <c r="Q84" s="70"/>
      <c r="R84" s="70"/>
      <c r="S84" s="70"/>
      <c r="T84" s="91"/>
      <c r="U84" s="91"/>
      <c r="V84" s="70"/>
      <c r="W84" s="58"/>
      <c r="X84" s="58"/>
      <c r="Y84" s="70"/>
      <c r="Z84" s="83"/>
      <c r="AA84" s="70"/>
      <c r="AB84" s="70"/>
      <c r="AC84" s="70"/>
      <c r="AD84" s="70"/>
      <c r="AE84" s="70"/>
      <c r="AF84" s="70"/>
      <c r="AG84" s="70"/>
      <c r="AH84" s="70"/>
      <c r="AI84" s="70"/>
      <c r="AJ84" s="70"/>
      <c r="AK84" s="70"/>
      <c r="AL84" s="70"/>
      <c r="AM84" s="70"/>
      <c r="AN84" s="70"/>
      <c r="AO84" s="70"/>
      <c r="AP84" s="70"/>
      <c r="AQ84" s="70"/>
      <c r="AR84" s="70"/>
      <c r="AS84" s="70"/>
      <c r="AT84" s="70"/>
    </row>
    <row r="85" ht="15.75" customHeight="1">
      <c r="A85" s="70"/>
      <c r="B85" s="70"/>
      <c r="C85" s="70"/>
      <c r="D85" s="80"/>
      <c r="E85" s="70"/>
      <c r="F85" s="70"/>
      <c r="G85" s="72"/>
      <c r="H85" s="70"/>
      <c r="I85" s="70"/>
      <c r="J85" s="70"/>
      <c r="K85" s="70"/>
      <c r="L85" s="70"/>
      <c r="M85" s="70"/>
      <c r="N85" s="70"/>
      <c r="O85" s="70"/>
      <c r="P85" s="70"/>
      <c r="Q85" s="70"/>
      <c r="R85" s="70"/>
      <c r="S85" s="70"/>
      <c r="T85" s="91"/>
      <c r="U85" s="91"/>
      <c r="V85" s="70"/>
      <c r="W85" s="58"/>
      <c r="X85" s="58"/>
      <c r="Y85" s="70"/>
      <c r="Z85" s="83"/>
      <c r="AA85" s="70"/>
      <c r="AB85" s="70"/>
      <c r="AC85" s="70"/>
      <c r="AD85" s="70"/>
      <c r="AE85" s="70"/>
      <c r="AF85" s="70"/>
      <c r="AG85" s="70"/>
      <c r="AH85" s="70"/>
      <c r="AI85" s="70"/>
      <c r="AJ85" s="70"/>
      <c r="AK85" s="70"/>
      <c r="AL85" s="70"/>
      <c r="AM85" s="70"/>
      <c r="AN85" s="70"/>
      <c r="AO85" s="70"/>
      <c r="AP85" s="70"/>
      <c r="AQ85" s="70"/>
      <c r="AR85" s="70"/>
      <c r="AS85" s="70"/>
      <c r="AT85" s="70"/>
    </row>
    <row r="86" ht="15.75" customHeight="1">
      <c r="A86" s="70"/>
      <c r="B86" s="70"/>
      <c r="C86" s="70"/>
      <c r="D86" s="80"/>
      <c r="E86" s="70"/>
      <c r="F86" s="70"/>
      <c r="G86" s="72"/>
      <c r="H86" s="70"/>
      <c r="I86" s="70"/>
      <c r="J86" s="70"/>
      <c r="K86" s="70"/>
      <c r="L86" s="70"/>
      <c r="M86" s="70"/>
      <c r="N86" s="70"/>
      <c r="O86" s="70"/>
      <c r="P86" s="70"/>
      <c r="Q86" s="70"/>
      <c r="R86" s="70"/>
      <c r="S86" s="70"/>
      <c r="T86" s="91"/>
      <c r="U86" s="91"/>
      <c r="V86" s="70"/>
      <c r="W86" s="58"/>
      <c r="X86" s="58"/>
      <c r="Y86" s="70"/>
      <c r="Z86" s="83"/>
      <c r="AA86" s="70"/>
      <c r="AB86" s="70"/>
      <c r="AC86" s="70"/>
      <c r="AD86" s="70"/>
      <c r="AE86" s="70"/>
      <c r="AF86" s="70"/>
      <c r="AG86" s="70"/>
      <c r="AH86" s="70"/>
      <c r="AI86" s="70"/>
      <c r="AJ86" s="70"/>
      <c r="AK86" s="70"/>
      <c r="AL86" s="70"/>
      <c r="AM86" s="70"/>
      <c r="AN86" s="70"/>
      <c r="AO86" s="70"/>
      <c r="AP86" s="70"/>
      <c r="AQ86" s="70"/>
      <c r="AR86" s="70"/>
      <c r="AS86" s="70"/>
      <c r="AT86" s="70"/>
    </row>
    <row r="87" ht="15.75" customHeight="1">
      <c r="A87" s="70"/>
      <c r="B87" s="70"/>
      <c r="C87" s="70"/>
      <c r="D87" s="80"/>
      <c r="E87" s="70"/>
      <c r="F87" s="70"/>
      <c r="G87" s="72"/>
      <c r="H87" s="70"/>
      <c r="I87" s="70"/>
      <c r="J87" s="70"/>
      <c r="K87" s="70"/>
      <c r="L87" s="70"/>
      <c r="M87" s="70"/>
      <c r="N87" s="70"/>
      <c r="O87" s="70"/>
      <c r="P87" s="70"/>
      <c r="Q87" s="70"/>
      <c r="R87" s="70"/>
      <c r="S87" s="70"/>
      <c r="T87" s="91"/>
      <c r="U87" s="91"/>
      <c r="V87" s="70"/>
      <c r="W87" s="58"/>
      <c r="X87" s="58"/>
      <c r="Y87" s="70"/>
      <c r="Z87" s="83"/>
      <c r="AA87" s="70"/>
      <c r="AB87" s="70"/>
      <c r="AC87" s="70"/>
      <c r="AD87" s="70"/>
      <c r="AE87" s="70"/>
      <c r="AF87" s="70"/>
      <c r="AG87" s="70"/>
      <c r="AH87" s="70"/>
      <c r="AI87" s="70"/>
      <c r="AJ87" s="70"/>
      <c r="AK87" s="70"/>
      <c r="AL87" s="70"/>
      <c r="AM87" s="70"/>
      <c r="AN87" s="70"/>
      <c r="AO87" s="70"/>
      <c r="AP87" s="70"/>
      <c r="AQ87" s="70"/>
      <c r="AR87" s="70"/>
      <c r="AS87" s="70"/>
      <c r="AT87" s="70"/>
    </row>
    <row r="88" ht="15.75" customHeight="1">
      <c r="A88" s="70"/>
      <c r="B88" s="70"/>
      <c r="C88" s="70"/>
      <c r="D88" s="80"/>
      <c r="E88" s="70"/>
      <c r="F88" s="70"/>
      <c r="G88" s="72"/>
      <c r="H88" s="70"/>
      <c r="I88" s="70"/>
      <c r="J88" s="70"/>
      <c r="K88" s="70"/>
      <c r="L88" s="70"/>
      <c r="M88" s="70"/>
      <c r="N88" s="70"/>
      <c r="O88" s="70"/>
      <c r="P88" s="70"/>
      <c r="Q88" s="70"/>
      <c r="R88" s="70"/>
      <c r="S88" s="70"/>
      <c r="T88" s="91"/>
      <c r="U88" s="91"/>
      <c r="V88" s="70"/>
      <c r="W88" s="58"/>
      <c r="X88" s="58"/>
      <c r="Y88" s="70"/>
      <c r="Z88" s="83"/>
      <c r="AA88" s="70"/>
      <c r="AB88" s="70"/>
      <c r="AC88" s="70"/>
      <c r="AD88" s="70"/>
      <c r="AE88" s="70"/>
      <c r="AF88" s="70"/>
      <c r="AG88" s="70"/>
      <c r="AH88" s="70"/>
      <c r="AI88" s="70"/>
      <c r="AJ88" s="70"/>
      <c r="AK88" s="70"/>
      <c r="AL88" s="70"/>
      <c r="AM88" s="70"/>
      <c r="AN88" s="70"/>
      <c r="AO88" s="70"/>
      <c r="AP88" s="70"/>
      <c r="AQ88" s="70"/>
      <c r="AR88" s="70"/>
      <c r="AS88" s="70"/>
      <c r="AT88" s="70"/>
    </row>
    <row r="89" ht="15.75" customHeight="1">
      <c r="A89" s="70"/>
      <c r="B89" s="70"/>
      <c r="C89" s="70"/>
      <c r="D89" s="80"/>
      <c r="E89" s="70"/>
      <c r="F89" s="70"/>
      <c r="G89" s="72"/>
      <c r="H89" s="70"/>
      <c r="I89" s="70"/>
      <c r="J89" s="70"/>
      <c r="K89" s="70"/>
      <c r="L89" s="70"/>
      <c r="M89" s="70"/>
      <c r="N89" s="70"/>
      <c r="O89" s="70"/>
      <c r="P89" s="70"/>
      <c r="Q89" s="70"/>
      <c r="R89" s="70"/>
      <c r="S89" s="70"/>
      <c r="T89" s="91"/>
      <c r="U89" s="91"/>
      <c r="V89" s="70"/>
      <c r="W89" s="58"/>
      <c r="X89" s="58"/>
      <c r="Y89" s="70"/>
      <c r="Z89" s="83"/>
      <c r="AA89" s="70"/>
      <c r="AB89" s="70"/>
      <c r="AC89" s="70"/>
      <c r="AD89" s="70"/>
      <c r="AE89" s="70"/>
      <c r="AF89" s="70"/>
      <c r="AG89" s="70"/>
      <c r="AH89" s="70"/>
      <c r="AI89" s="70"/>
      <c r="AJ89" s="70"/>
      <c r="AK89" s="70"/>
      <c r="AL89" s="70"/>
      <c r="AM89" s="70"/>
      <c r="AN89" s="70"/>
      <c r="AO89" s="70"/>
      <c r="AP89" s="70"/>
      <c r="AQ89" s="70"/>
      <c r="AR89" s="70"/>
      <c r="AS89" s="70"/>
      <c r="AT89" s="70"/>
    </row>
    <row r="90" ht="15.75" customHeight="1">
      <c r="A90" s="70"/>
      <c r="B90" s="70"/>
      <c r="C90" s="70"/>
      <c r="D90" s="80"/>
      <c r="E90" s="70"/>
      <c r="F90" s="70"/>
      <c r="G90" s="72"/>
      <c r="H90" s="70"/>
      <c r="I90" s="70"/>
      <c r="J90" s="70"/>
      <c r="K90" s="70"/>
      <c r="L90" s="70"/>
      <c r="M90" s="70"/>
      <c r="N90" s="70"/>
      <c r="O90" s="70"/>
      <c r="P90" s="70"/>
      <c r="Q90" s="70"/>
      <c r="R90" s="70"/>
      <c r="S90" s="70"/>
      <c r="T90" s="91"/>
      <c r="U90" s="91"/>
      <c r="V90" s="70"/>
      <c r="W90" s="58"/>
      <c r="X90" s="58"/>
      <c r="Y90" s="70"/>
      <c r="Z90" s="83"/>
      <c r="AA90" s="70"/>
      <c r="AB90" s="70"/>
      <c r="AC90" s="70"/>
      <c r="AD90" s="70"/>
      <c r="AE90" s="70"/>
      <c r="AF90" s="70"/>
      <c r="AG90" s="70"/>
      <c r="AH90" s="70"/>
      <c r="AI90" s="70"/>
      <c r="AJ90" s="70"/>
      <c r="AK90" s="70"/>
      <c r="AL90" s="70"/>
      <c r="AM90" s="70"/>
      <c r="AN90" s="70"/>
      <c r="AO90" s="70"/>
      <c r="AP90" s="70"/>
      <c r="AQ90" s="70"/>
      <c r="AR90" s="70"/>
      <c r="AS90" s="70"/>
      <c r="AT90" s="70"/>
    </row>
    <row r="91" ht="15.75" customHeight="1">
      <c r="A91" s="70"/>
      <c r="B91" s="70"/>
      <c r="C91" s="70"/>
      <c r="D91" s="80"/>
      <c r="E91" s="70"/>
      <c r="F91" s="70"/>
      <c r="G91" s="72"/>
      <c r="H91" s="70"/>
      <c r="I91" s="70"/>
      <c r="J91" s="70"/>
      <c r="K91" s="70"/>
      <c r="L91" s="70"/>
      <c r="M91" s="70"/>
      <c r="N91" s="70"/>
      <c r="O91" s="70"/>
      <c r="P91" s="70"/>
      <c r="Q91" s="70"/>
      <c r="R91" s="70"/>
      <c r="S91" s="70"/>
      <c r="T91" s="91"/>
      <c r="U91" s="91"/>
      <c r="V91" s="70"/>
      <c r="W91" s="58"/>
      <c r="X91" s="58"/>
      <c r="Y91" s="70"/>
      <c r="Z91" s="83"/>
      <c r="AA91" s="70"/>
      <c r="AB91" s="70"/>
      <c r="AC91" s="70"/>
      <c r="AD91" s="70"/>
      <c r="AE91" s="70"/>
      <c r="AF91" s="70"/>
      <c r="AG91" s="70"/>
      <c r="AH91" s="70"/>
      <c r="AI91" s="70"/>
      <c r="AJ91" s="70"/>
      <c r="AK91" s="70"/>
      <c r="AL91" s="70"/>
      <c r="AM91" s="70"/>
      <c r="AN91" s="70"/>
      <c r="AO91" s="70"/>
      <c r="AP91" s="70"/>
      <c r="AQ91" s="70"/>
      <c r="AR91" s="70"/>
      <c r="AS91" s="70"/>
      <c r="AT91" s="70"/>
    </row>
    <row r="92" ht="15.75" customHeight="1">
      <c r="A92" s="70"/>
      <c r="B92" s="70"/>
      <c r="C92" s="70"/>
      <c r="D92" s="80"/>
      <c r="E92" s="70"/>
      <c r="F92" s="70"/>
      <c r="G92" s="72"/>
      <c r="H92" s="70"/>
      <c r="I92" s="70"/>
      <c r="J92" s="70"/>
      <c r="K92" s="70"/>
      <c r="L92" s="70"/>
      <c r="M92" s="70"/>
      <c r="N92" s="70"/>
      <c r="O92" s="70"/>
      <c r="P92" s="70"/>
      <c r="Q92" s="70"/>
      <c r="R92" s="70"/>
      <c r="S92" s="70"/>
      <c r="T92" s="91"/>
      <c r="U92" s="91"/>
      <c r="V92" s="70"/>
      <c r="W92" s="58"/>
      <c r="X92" s="58"/>
      <c r="Y92" s="70"/>
      <c r="Z92" s="83"/>
      <c r="AA92" s="70"/>
      <c r="AB92" s="70"/>
      <c r="AC92" s="70"/>
      <c r="AD92" s="70"/>
      <c r="AE92" s="70"/>
      <c r="AF92" s="70"/>
      <c r="AG92" s="70"/>
      <c r="AH92" s="70"/>
      <c r="AI92" s="70"/>
      <c r="AJ92" s="70"/>
      <c r="AK92" s="70"/>
      <c r="AL92" s="70"/>
      <c r="AM92" s="70"/>
      <c r="AN92" s="70"/>
      <c r="AO92" s="70"/>
      <c r="AP92" s="70"/>
      <c r="AQ92" s="70"/>
      <c r="AR92" s="70"/>
      <c r="AS92" s="70"/>
      <c r="AT92" s="70"/>
    </row>
    <row r="93" ht="15.75" customHeight="1">
      <c r="A93" s="70"/>
      <c r="B93" s="70"/>
      <c r="C93" s="70"/>
      <c r="D93" s="80"/>
      <c r="E93" s="70"/>
      <c r="F93" s="70"/>
      <c r="G93" s="72"/>
      <c r="H93" s="70"/>
      <c r="I93" s="70"/>
      <c r="J93" s="70"/>
      <c r="K93" s="70"/>
      <c r="L93" s="70"/>
      <c r="M93" s="70"/>
      <c r="N93" s="70"/>
      <c r="O93" s="70"/>
      <c r="P93" s="70"/>
      <c r="Q93" s="70"/>
      <c r="R93" s="70"/>
      <c r="S93" s="70"/>
      <c r="T93" s="91"/>
      <c r="U93" s="91"/>
      <c r="V93" s="70"/>
      <c r="W93" s="58"/>
      <c r="X93" s="58"/>
      <c r="Y93" s="70"/>
      <c r="Z93" s="83"/>
      <c r="AA93" s="70"/>
      <c r="AB93" s="70"/>
      <c r="AC93" s="70"/>
      <c r="AD93" s="70"/>
      <c r="AE93" s="70"/>
      <c r="AF93" s="70"/>
      <c r="AG93" s="70"/>
      <c r="AH93" s="70"/>
      <c r="AI93" s="70"/>
      <c r="AJ93" s="70"/>
      <c r="AK93" s="70"/>
      <c r="AL93" s="70"/>
      <c r="AM93" s="70"/>
      <c r="AN93" s="70"/>
      <c r="AO93" s="70"/>
      <c r="AP93" s="70"/>
      <c r="AQ93" s="70"/>
      <c r="AR93" s="70"/>
      <c r="AS93" s="70"/>
      <c r="AT93" s="70"/>
    </row>
    <row r="94" ht="15.75" customHeight="1">
      <c r="A94" s="70"/>
      <c r="B94" s="70"/>
      <c r="C94" s="70"/>
      <c r="D94" s="80"/>
      <c r="E94" s="70"/>
      <c r="F94" s="70"/>
      <c r="G94" s="72"/>
      <c r="H94" s="70"/>
      <c r="I94" s="70"/>
      <c r="J94" s="70"/>
      <c r="K94" s="70"/>
      <c r="L94" s="70"/>
      <c r="M94" s="70"/>
      <c r="N94" s="70"/>
      <c r="O94" s="70"/>
      <c r="P94" s="70"/>
      <c r="Q94" s="70"/>
      <c r="R94" s="70"/>
      <c r="S94" s="70"/>
      <c r="T94" s="91"/>
      <c r="U94" s="91"/>
      <c r="V94" s="70"/>
      <c r="W94" s="58"/>
      <c r="X94" s="58"/>
      <c r="Y94" s="70"/>
      <c r="Z94" s="83"/>
      <c r="AA94" s="70"/>
      <c r="AB94" s="70"/>
      <c r="AC94" s="70"/>
      <c r="AD94" s="70"/>
      <c r="AE94" s="70"/>
      <c r="AF94" s="70"/>
      <c r="AG94" s="70"/>
      <c r="AH94" s="70"/>
      <c r="AI94" s="70"/>
      <c r="AJ94" s="70"/>
      <c r="AK94" s="70"/>
      <c r="AL94" s="70"/>
      <c r="AM94" s="70"/>
      <c r="AN94" s="70"/>
      <c r="AO94" s="70"/>
      <c r="AP94" s="70"/>
      <c r="AQ94" s="70"/>
      <c r="AR94" s="70"/>
      <c r="AS94" s="70"/>
      <c r="AT94" s="70"/>
    </row>
    <row r="95" ht="15.75" customHeight="1">
      <c r="A95" s="70"/>
      <c r="B95" s="70"/>
      <c r="C95" s="70"/>
      <c r="D95" s="80"/>
      <c r="E95" s="70"/>
      <c r="F95" s="70"/>
      <c r="G95" s="72"/>
      <c r="H95" s="70"/>
      <c r="I95" s="70"/>
      <c r="J95" s="70"/>
      <c r="K95" s="70"/>
      <c r="L95" s="70"/>
      <c r="M95" s="70"/>
      <c r="N95" s="70"/>
      <c r="O95" s="70"/>
      <c r="P95" s="70"/>
      <c r="Q95" s="70"/>
      <c r="R95" s="70"/>
      <c r="S95" s="70"/>
      <c r="T95" s="91"/>
      <c r="U95" s="91"/>
      <c r="V95" s="70"/>
      <c r="W95" s="58"/>
      <c r="X95" s="58"/>
      <c r="Y95" s="70"/>
      <c r="Z95" s="83"/>
      <c r="AA95" s="70"/>
      <c r="AB95" s="70"/>
      <c r="AC95" s="70"/>
      <c r="AD95" s="70"/>
      <c r="AE95" s="70"/>
      <c r="AF95" s="70"/>
      <c r="AG95" s="70"/>
      <c r="AH95" s="70"/>
      <c r="AI95" s="70"/>
      <c r="AJ95" s="70"/>
      <c r="AK95" s="70"/>
      <c r="AL95" s="70"/>
      <c r="AM95" s="70"/>
      <c r="AN95" s="70"/>
      <c r="AO95" s="70"/>
      <c r="AP95" s="70"/>
      <c r="AQ95" s="70"/>
      <c r="AR95" s="70"/>
      <c r="AS95" s="70"/>
      <c r="AT95" s="70"/>
    </row>
    <row r="96" ht="15.75" customHeight="1">
      <c r="A96" s="70"/>
      <c r="B96" s="70"/>
      <c r="C96" s="70"/>
      <c r="D96" s="80"/>
      <c r="E96" s="70"/>
      <c r="F96" s="70"/>
      <c r="G96" s="72"/>
      <c r="H96" s="70"/>
      <c r="I96" s="70"/>
      <c r="J96" s="70"/>
      <c r="K96" s="70"/>
      <c r="L96" s="70"/>
      <c r="M96" s="70"/>
      <c r="N96" s="70"/>
      <c r="O96" s="70"/>
      <c r="P96" s="70"/>
      <c r="Q96" s="70"/>
      <c r="R96" s="70"/>
      <c r="S96" s="70"/>
      <c r="T96" s="91"/>
      <c r="U96" s="91"/>
      <c r="V96" s="70"/>
      <c r="W96" s="58"/>
      <c r="X96" s="58"/>
      <c r="Y96" s="70"/>
      <c r="Z96" s="83"/>
      <c r="AA96" s="70"/>
      <c r="AB96" s="70"/>
      <c r="AC96" s="70"/>
      <c r="AD96" s="70"/>
      <c r="AE96" s="70"/>
      <c r="AF96" s="70"/>
      <c r="AG96" s="70"/>
      <c r="AH96" s="70"/>
      <c r="AI96" s="70"/>
      <c r="AJ96" s="70"/>
      <c r="AK96" s="70"/>
      <c r="AL96" s="70"/>
      <c r="AM96" s="70"/>
      <c r="AN96" s="70"/>
      <c r="AO96" s="70"/>
      <c r="AP96" s="70"/>
      <c r="AQ96" s="70"/>
      <c r="AR96" s="70"/>
      <c r="AS96" s="70"/>
      <c r="AT96" s="70"/>
    </row>
    <row r="97" ht="15.75" customHeight="1">
      <c r="A97" s="70"/>
      <c r="B97" s="70"/>
      <c r="C97" s="70"/>
      <c r="D97" s="80"/>
      <c r="E97" s="70"/>
      <c r="F97" s="70"/>
      <c r="G97" s="72"/>
      <c r="H97" s="70"/>
      <c r="I97" s="70"/>
      <c r="J97" s="70"/>
      <c r="K97" s="70"/>
      <c r="L97" s="70"/>
      <c r="M97" s="70"/>
      <c r="N97" s="70"/>
      <c r="O97" s="70"/>
      <c r="P97" s="70"/>
      <c r="Q97" s="70"/>
      <c r="R97" s="70"/>
      <c r="S97" s="70"/>
      <c r="T97" s="91"/>
      <c r="U97" s="91"/>
      <c r="V97" s="70"/>
      <c r="W97" s="58"/>
      <c r="X97" s="58"/>
      <c r="Y97" s="70"/>
      <c r="Z97" s="83"/>
      <c r="AA97" s="70"/>
      <c r="AB97" s="70"/>
      <c r="AC97" s="70"/>
      <c r="AD97" s="70"/>
      <c r="AE97" s="70"/>
      <c r="AF97" s="70"/>
      <c r="AG97" s="70"/>
      <c r="AH97" s="70"/>
      <c r="AI97" s="70"/>
      <c r="AJ97" s="70"/>
      <c r="AK97" s="70"/>
      <c r="AL97" s="70"/>
      <c r="AM97" s="70"/>
      <c r="AN97" s="70"/>
      <c r="AO97" s="70"/>
      <c r="AP97" s="70"/>
      <c r="AQ97" s="70"/>
      <c r="AR97" s="70"/>
      <c r="AS97" s="70"/>
      <c r="AT97" s="70"/>
    </row>
    <row r="98" ht="15.75" customHeight="1">
      <c r="A98" s="70"/>
      <c r="B98" s="70"/>
      <c r="C98" s="70"/>
      <c r="D98" s="80"/>
      <c r="E98" s="70"/>
      <c r="F98" s="70"/>
      <c r="G98" s="72"/>
      <c r="H98" s="70"/>
      <c r="I98" s="70"/>
      <c r="J98" s="70"/>
      <c r="K98" s="70"/>
      <c r="L98" s="70"/>
      <c r="M98" s="70"/>
      <c r="N98" s="70"/>
      <c r="O98" s="70"/>
      <c r="P98" s="70"/>
      <c r="Q98" s="70"/>
      <c r="R98" s="70"/>
      <c r="S98" s="70"/>
      <c r="T98" s="91"/>
      <c r="U98" s="91"/>
      <c r="V98" s="70"/>
      <c r="W98" s="58"/>
      <c r="X98" s="58"/>
      <c r="Y98" s="70"/>
      <c r="Z98" s="83"/>
      <c r="AA98" s="70"/>
      <c r="AB98" s="70"/>
      <c r="AC98" s="70"/>
      <c r="AD98" s="70"/>
      <c r="AE98" s="70"/>
      <c r="AF98" s="70"/>
      <c r="AG98" s="70"/>
      <c r="AH98" s="70"/>
      <c r="AI98" s="70"/>
      <c r="AJ98" s="70"/>
      <c r="AK98" s="70"/>
      <c r="AL98" s="70"/>
      <c r="AM98" s="70"/>
      <c r="AN98" s="70"/>
      <c r="AO98" s="70"/>
      <c r="AP98" s="70"/>
      <c r="AQ98" s="70"/>
      <c r="AR98" s="70"/>
      <c r="AS98" s="70"/>
      <c r="AT98" s="70"/>
    </row>
    <row r="99" ht="15.75" customHeight="1">
      <c r="A99" s="70"/>
      <c r="B99" s="70"/>
      <c r="C99" s="70"/>
      <c r="D99" s="80"/>
      <c r="E99" s="70"/>
      <c r="F99" s="70"/>
      <c r="G99" s="72"/>
      <c r="H99" s="70"/>
      <c r="I99" s="70"/>
      <c r="J99" s="70"/>
      <c r="K99" s="70"/>
      <c r="L99" s="70"/>
      <c r="M99" s="70"/>
      <c r="N99" s="70"/>
      <c r="O99" s="70"/>
      <c r="P99" s="70"/>
      <c r="Q99" s="70"/>
      <c r="R99" s="70"/>
      <c r="S99" s="70"/>
      <c r="T99" s="91"/>
      <c r="U99" s="91"/>
      <c r="V99" s="70"/>
      <c r="W99" s="58"/>
      <c r="X99" s="58"/>
      <c r="Y99" s="70"/>
      <c r="Z99" s="83"/>
      <c r="AA99" s="70"/>
      <c r="AB99" s="70"/>
      <c r="AC99" s="70"/>
      <c r="AD99" s="70"/>
      <c r="AE99" s="70"/>
      <c r="AF99" s="70"/>
      <c r="AG99" s="70"/>
      <c r="AH99" s="70"/>
      <c r="AI99" s="70"/>
      <c r="AJ99" s="70"/>
      <c r="AK99" s="70"/>
      <c r="AL99" s="70"/>
      <c r="AM99" s="70"/>
      <c r="AN99" s="70"/>
      <c r="AO99" s="70"/>
      <c r="AP99" s="70"/>
      <c r="AQ99" s="70"/>
      <c r="AR99" s="70"/>
      <c r="AS99" s="70"/>
      <c r="AT99" s="70"/>
    </row>
    <row r="100" ht="15.75" customHeight="1">
      <c r="A100" s="70"/>
      <c r="B100" s="70"/>
      <c r="C100" s="70"/>
      <c r="D100" s="80"/>
      <c r="E100" s="70"/>
      <c r="F100" s="70"/>
      <c r="G100" s="72"/>
      <c r="H100" s="70"/>
      <c r="I100" s="70"/>
      <c r="J100" s="70"/>
      <c r="K100" s="70"/>
      <c r="L100" s="70"/>
      <c r="M100" s="70"/>
      <c r="N100" s="70"/>
      <c r="O100" s="70"/>
      <c r="P100" s="70"/>
      <c r="Q100" s="70"/>
      <c r="R100" s="70"/>
      <c r="S100" s="70"/>
      <c r="T100" s="91"/>
      <c r="U100" s="91"/>
      <c r="V100" s="70"/>
      <c r="W100" s="58"/>
      <c r="X100" s="58"/>
      <c r="Y100" s="70"/>
      <c r="Z100" s="83"/>
      <c r="AA100" s="70"/>
      <c r="AB100" s="70"/>
      <c r="AC100" s="70"/>
      <c r="AD100" s="70"/>
      <c r="AE100" s="70"/>
      <c r="AF100" s="70"/>
      <c r="AG100" s="70"/>
      <c r="AH100" s="70"/>
      <c r="AI100" s="70"/>
      <c r="AJ100" s="70"/>
      <c r="AK100" s="70"/>
      <c r="AL100" s="70"/>
      <c r="AM100" s="70"/>
      <c r="AN100" s="70"/>
      <c r="AO100" s="70"/>
      <c r="AP100" s="70"/>
      <c r="AQ100" s="70"/>
      <c r="AR100" s="70"/>
      <c r="AS100" s="70"/>
      <c r="AT100" s="70"/>
    </row>
    <row r="101" ht="15.75" customHeight="1">
      <c r="A101" s="70"/>
      <c r="B101" s="70"/>
      <c r="C101" s="70"/>
      <c r="D101" s="80"/>
      <c r="E101" s="70"/>
      <c r="F101" s="70"/>
      <c r="G101" s="72"/>
      <c r="H101" s="70"/>
      <c r="I101" s="70"/>
      <c r="J101" s="70"/>
      <c r="K101" s="70"/>
      <c r="L101" s="70"/>
      <c r="M101" s="70"/>
      <c r="N101" s="70"/>
      <c r="O101" s="70"/>
      <c r="P101" s="70"/>
      <c r="Q101" s="70"/>
      <c r="R101" s="70"/>
      <c r="S101" s="70"/>
      <c r="T101" s="91"/>
      <c r="U101" s="91"/>
      <c r="V101" s="70"/>
      <c r="W101" s="58"/>
      <c r="X101" s="58"/>
      <c r="Y101" s="70"/>
      <c r="Z101" s="83"/>
      <c r="AA101" s="70"/>
      <c r="AB101" s="70"/>
      <c r="AC101" s="70"/>
      <c r="AD101" s="70"/>
      <c r="AE101" s="70"/>
      <c r="AF101" s="70"/>
      <c r="AG101" s="70"/>
      <c r="AH101" s="70"/>
      <c r="AI101" s="70"/>
      <c r="AJ101" s="70"/>
      <c r="AK101" s="70"/>
      <c r="AL101" s="70"/>
      <c r="AM101" s="70"/>
      <c r="AN101" s="70"/>
      <c r="AO101" s="70"/>
      <c r="AP101" s="70"/>
      <c r="AQ101" s="70"/>
      <c r="AR101" s="70"/>
      <c r="AS101" s="70"/>
      <c r="AT101" s="70"/>
    </row>
    <row r="102" ht="15.75" customHeight="1">
      <c r="A102" s="70"/>
      <c r="B102" s="70"/>
      <c r="C102" s="70"/>
      <c r="D102" s="80"/>
      <c r="E102" s="70"/>
      <c r="F102" s="70"/>
      <c r="G102" s="72"/>
      <c r="H102" s="70"/>
      <c r="I102" s="70"/>
      <c r="J102" s="70"/>
      <c r="K102" s="70"/>
      <c r="L102" s="70"/>
      <c r="M102" s="70"/>
      <c r="N102" s="70"/>
      <c r="O102" s="70"/>
      <c r="P102" s="70"/>
      <c r="Q102" s="70"/>
      <c r="R102" s="70"/>
      <c r="S102" s="70"/>
      <c r="T102" s="91"/>
      <c r="U102" s="91"/>
      <c r="V102" s="70"/>
      <c r="W102" s="58"/>
      <c r="X102" s="58"/>
      <c r="Y102" s="70"/>
      <c r="Z102" s="83"/>
      <c r="AA102" s="70"/>
      <c r="AB102" s="70"/>
      <c r="AC102" s="70"/>
      <c r="AD102" s="70"/>
      <c r="AE102" s="70"/>
      <c r="AF102" s="70"/>
      <c r="AG102" s="70"/>
      <c r="AH102" s="70"/>
      <c r="AI102" s="70"/>
      <c r="AJ102" s="70"/>
      <c r="AK102" s="70"/>
      <c r="AL102" s="70"/>
      <c r="AM102" s="70"/>
      <c r="AN102" s="70"/>
      <c r="AO102" s="70"/>
      <c r="AP102" s="70"/>
      <c r="AQ102" s="70"/>
      <c r="AR102" s="70"/>
      <c r="AS102" s="70"/>
      <c r="AT102" s="70"/>
    </row>
    <row r="103" ht="15.75" customHeight="1">
      <c r="A103" s="70"/>
      <c r="B103" s="70"/>
      <c r="C103" s="70"/>
      <c r="D103" s="80"/>
      <c r="E103" s="70"/>
      <c r="F103" s="70"/>
      <c r="G103" s="72"/>
      <c r="H103" s="70"/>
      <c r="I103" s="70"/>
      <c r="J103" s="70"/>
      <c r="K103" s="70"/>
      <c r="L103" s="70"/>
      <c r="M103" s="70"/>
      <c r="N103" s="70"/>
      <c r="O103" s="70"/>
      <c r="P103" s="70"/>
      <c r="Q103" s="70"/>
      <c r="R103" s="70"/>
      <c r="S103" s="70"/>
      <c r="T103" s="91"/>
      <c r="U103" s="91"/>
      <c r="V103" s="70"/>
      <c r="W103" s="58"/>
      <c r="X103" s="58"/>
      <c r="Y103" s="70"/>
      <c r="Z103" s="83"/>
      <c r="AA103" s="70"/>
      <c r="AB103" s="70"/>
      <c r="AC103" s="70"/>
      <c r="AD103" s="70"/>
      <c r="AE103" s="70"/>
      <c r="AF103" s="70"/>
      <c r="AG103" s="70"/>
      <c r="AH103" s="70"/>
      <c r="AI103" s="70"/>
      <c r="AJ103" s="70"/>
      <c r="AK103" s="70"/>
      <c r="AL103" s="70"/>
      <c r="AM103" s="70"/>
      <c r="AN103" s="70"/>
      <c r="AO103" s="70"/>
      <c r="AP103" s="70"/>
      <c r="AQ103" s="70"/>
      <c r="AR103" s="70"/>
      <c r="AS103" s="70"/>
      <c r="AT103" s="70"/>
    </row>
    <row r="104" ht="15.75" customHeight="1">
      <c r="A104" s="70"/>
      <c r="B104" s="70"/>
      <c r="C104" s="70"/>
      <c r="D104" s="80"/>
      <c r="E104" s="70"/>
      <c r="F104" s="70"/>
      <c r="G104" s="72"/>
      <c r="H104" s="70"/>
      <c r="I104" s="70"/>
      <c r="J104" s="70"/>
      <c r="K104" s="70"/>
      <c r="L104" s="70"/>
      <c r="M104" s="70"/>
      <c r="N104" s="70"/>
      <c r="O104" s="70"/>
      <c r="P104" s="70"/>
      <c r="Q104" s="70"/>
      <c r="R104" s="70"/>
      <c r="S104" s="70"/>
      <c r="T104" s="91"/>
      <c r="U104" s="91"/>
      <c r="V104" s="70"/>
      <c r="W104" s="58"/>
      <c r="X104" s="58"/>
      <c r="Y104" s="70"/>
      <c r="Z104" s="83"/>
      <c r="AA104" s="70"/>
      <c r="AB104" s="70"/>
      <c r="AC104" s="70"/>
      <c r="AD104" s="70"/>
      <c r="AE104" s="70"/>
      <c r="AF104" s="70"/>
      <c r="AG104" s="70"/>
      <c r="AH104" s="70"/>
      <c r="AI104" s="70"/>
      <c r="AJ104" s="70"/>
      <c r="AK104" s="70"/>
      <c r="AL104" s="70"/>
      <c r="AM104" s="70"/>
      <c r="AN104" s="70"/>
      <c r="AO104" s="70"/>
      <c r="AP104" s="70"/>
      <c r="AQ104" s="70"/>
      <c r="AR104" s="70"/>
      <c r="AS104" s="70"/>
      <c r="AT104" s="70"/>
    </row>
    <row r="105" ht="15.75" customHeight="1">
      <c r="A105" s="70"/>
      <c r="B105" s="70"/>
      <c r="C105" s="70"/>
      <c r="D105" s="80"/>
      <c r="E105" s="70"/>
      <c r="F105" s="70"/>
      <c r="G105" s="72"/>
      <c r="H105" s="70"/>
      <c r="I105" s="70"/>
      <c r="J105" s="70"/>
      <c r="K105" s="70"/>
      <c r="L105" s="70"/>
      <c r="M105" s="70"/>
      <c r="N105" s="70"/>
      <c r="O105" s="70"/>
      <c r="P105" s="70"/>
      <c r="Q105" s="70"/>
      <c r="R105" s="70"/>
      <c r="S105" s="70"/>
      <c r="T105" s="91"/>
      <c r="U105" s="91"/>
      <c r="V105" s="70"/>
      <c r="W105" s="58"/>
      <c r="X105" s="58"/>
      <c r="Y105" s="70"/>
      <c r="Z105" s="83"/>
      <c r="AA105" s="70"/>
      <c r="AB105" s="70"/>
      <c r="AC105" s="70"/>
      <c r="AD105" s="70"/>
      <c r="AE105" s="70"/>
      <c r="AF105" s="70"/>
      <c r="AG105" s="70"/>
      <c r="AH105" s="70"/>
      <c r="AI105" s="70"/>
      <c r="AJ105" s="70"/>
      <c r="AK105" s="70"/>
      <c r="AL105" s="70"/>
      <c r="AM105" s="70"/>
      <c r="AN105" s="70"/>
      <c r="AO105" s="70"/>
      <c r="AP105" s="70"/>
      <c r="AQ105" s="70"/>
      <c r="AR105" s="70"/>
      <c r="AS105" s="70"/>
      <c r="AT105" s="70"/>
    </row>
    <row r="106" ht="15.75" customHeight="1">
      <c r="A106" s="70"/>
      <c r="B106" s="70"/>
      <c r="C106" s="70"/>
      <c r="D106" s="80"/>
      <c r="E106" s="70"/>
      <c r="F106" s="70"/>
      <c r="G106" s="72"/>
      <c r="H106" s="70"/>
      <c r="I106" s="70"/>
      <c r="J106" s="70"/>
      <c r="K106" s="70"/>
      <c r="L106" s="70"/>
      <c r="M106" s="70"/>
      <c r="N106" s="70"/>
      <c r="O106" s="70"/>
      <c r="P106" s="70"/>
      <c r="Q106" s="70"/>
      <c r="R106" s="70"/>
      <c r="S106" s="70"/>
      <c r="T106" s="91"/>
      <c r="U106" s="91"/>
      <c r="V106" s="70"/>
      <c r="W106" s="58"/>
      <c r="X106" s="58"/>
      <c r="Y106" s="70"/>
      <c r="Z106" s="83"/>
      <c r="AA106" s="70"/>
      <c r="AB106" s="70"/>
      <c r="AC106" s="70"/>
      <c r="AD106" s="70"/>
      <c r="AE106" s="70"/>
      <c r="AF106" s="70"/>
      <c r="AG106" s="70"/>
      <c r="AH106" s="70"/>
      <c r="AI106" s="70"/>
      <c r="AJ106" s="70"/>
      <c r="AK106" s="70"/>
      <c r="AL106" s="70"/>
      <c r="AM106" s="70"/>
      <c r="AN106" s="70"/>
      <c r="AO106" s="70"/>
      <c r="AP106" s="70"/>
      <c r="AQ106" s="70"/>
      <c r="AR106" s="70"/>
      <c r="AS106" s="70"/>
      <c r="AT106" s="70"/>
    </row>
    <row r="107" ht="15.75" customHeight="1">
      <c r="A107" s="70"/>
      <c r="B107" s="70"/>
      <c r="C107" s="70"/>
      <c r="D107" s="80"/>
      <c r="E107" s="70"/>
      <c r="F107" s="70"/>
      <c r="G107" s="72"/>
      <c r="H107" s="70"/>
      <c r="I107" s="70"/>
      <c r="J107" s="70"/>
      <c r="K107" s="70"/>
      <c r="L107" s="70"/>
      <c r="M107" s="70"/>
      <c r="N107" s="70"/>
      <c r="O107" s="70"/>
      <c r="P107" s="70"/>
      <c r="Q107" s="70"/>
      <c r="R107" s="70"/>
      <c r="S107" s="70"/>
      <c r="T107" s="91"/>
      <c r="U107" s="91"/>
      <c r="V107" s="70"/>
      <c r="W107" s="58"/>
      <c r="X107" s="58"/>
      <c r="Y107" s="70"/>
      <c r="Z107" s="83"/>
      <c r="AA107" s="70"/>
      <c r="AB107" s="70"/>
      <c r="AC107" s="70"/>
      <c r="AD107" s="70"/>
      <c r="AE107" s="70"/>
      <c r="AF107" s="70"/>
      <c r="AG107" s="70"/>
      <c r="AH107" s="70"/>
      <c r="AI107" s="70"/>
      <c r="AJ107" s="70"/>
      <c r="AK107" s="70"/>
      <c r="AL107" s="70"/>
      <c r="AM107" s="70"/>
      <c r="AN107" s="70"/>
      <c r="AO107" s="70"/>
      <c r="AP107" s="70"/>
      <c r="AQ107" s="70"/>
      <c r="AR107" s="70"/>
      <c r="AS107" s="70"/>
      <c r="AT107" s="70"/>
    </row>
    <row r="108" ht="15.75" customHeight="1">
      <c r="A108" s="70"/>
      <c r="B108" s="70"/>
      <c r="C108" s="70"/>
      <c r="D108" s="80"/>
      <c r="E108" s="70"/>
      <c r="F108" s="70"/>
      <c r="G108" s="72"/>
      <c r="H108" s="70"/>
      <c r="I108" s="70"/>
      <c r="J108" s="70"/>
      <c r="K108" s="70"/>
      <c r="L108" s="70"/>
      <c r="M108" s="70"/>
      <c r="N108" s="70"/>
      <c r="O108" s="70"/>
      <c r="P108" s="70"/>
      <c r="Q108" s="70"/>
      <c r="R108" s="70"/>
      <c r="S108" s="70"/>
      <c r="T108" s="91"/>
      <c r="U108" s="91"/>
      <c r="V108" s="70"/>
      <c r="W108" s="58"/>
      <c r="X108" s="58"/>
      <c r="Y108" s="70"/>
      <c r="Z108" s="83"/>
      <c r="AA108" s="70"/>
      <c r="AB108" s="70"/>
      <c r="AC108" s="70"/>
      <c r="AD108" s="70"/>
      <c r="AE108" s="70"/>
      <c r="AF108" s="70"/>
      <c r="AG108" s="70"/>
      <c r="AH108" s="70"/>
      <c r="AI108" s="70"/>
      <c r="AJ108" s="70"/>
      <c r="AK108" s="70"/>
      <c r="AL108" s="70"/>
      <c r="AM108" s="70"/>
      <c r="AN108" s="70"/>
      <c r="AO108" s="70"/>
      <c r="AP108" s="70"/>
      <c r="AQ108" s="70"/>
      <c r="AR108" s="70"/>
      <c r="AS108" s="70"/>
      <c r="AT108" s="70"/>
    </row>
    <row r="109" ht="15.75" customHeight="1">
      <c r="A109" s="70"/>
      <c r="B109" s="70"/>
      <c r="C109" s="70"/>
      <c r="D109" s="80"/>
      <c r="E109" s="70"/>
      <c r="F109" s="70"/>
      <c r="G109" s="72"/>
      <c r="H109" s="70"/>
      <c r="I109" s="70"/>
      <c r="J109" s="70"/>
      <c r="K109" s="70"/>
      <c r="L109" s="70"/>
      <c r="M109" s="70"/>
      <c r="N109" s="70"/>
      <c r="O109" s="70"/>
      <c r="P109" s="70"/>
      <c r="Q109" s="70"/>
      <c r="R109" s="70"/>
      <c r="S109" s="70"/>
      <c r="T109" s="91"/>
      <c r="U109" s="91"/>
      <c r="V109" s="70"/>
      <c r="W109" s="58"/>
      <c r="X109" s="58"/>
      <c r="Y109" s="70"/>
      <c r="Z109" s="83"/>
      <c r="AA109" s="70"/>
      <c r="AB109" s="70"/>
      <c r="AC109" s="70"/>
      <c r="AD109" s="70"/>
      <c r="AE109" s="70"/>
      <c r="AF109" s="70"/>
      <c r="AG109" s="70"/>
      <c r="AH109" s="70"/>
      <c r="AI109" s="70"/>
      <c r="AJ109" s="70"/>
      <c r="AK109" s="70"/>
      <c r="AL109" s="70"/>
      <c r="AM109" s="70"/>
      <c r="AN109" s="70"/>
      <c r="AO109" s="70"/>
      <c r="AP109" s="70"/>
      <c r="AQ109" s="70"/>
      <c r="AR109" s="70"/>
      <c r="AS109" s="70"/>
      <c r="AT109" s="70"/>
    </row>
    <row r="110" ht="15.75" customHeight="1">
      <c r="A110" s="70"/>
      <c r="B110" s="70"/>
      <c r="C110" s="70"/>
      <c r="D110" s="80"/>
      <c r="E110" s="70"/>
      <c r="F110" s="70"/>
      <c r="G110" s="72"/>
      <c r="H110" s="70"/>
      <c r="I110" s="70"/>
      <c r="J110" s="70"/>
      <c r="K110" s="70"/>
      <c r="L110" s="70"/>
      <c r="M110" s="70"/>
      <c r="N110" s="70"/>
      <c r="O110" s="70"/>
      <c r="P110" s="70"/>
      <c r="Q110" s="70"/>
      <c r="R110" s="70"/>
      <c r="S110" s="70"/>
      <c r="T110" s="91"/>
      <c r="U110" s="91"/>
      <c r="V110" s="70"/>
      <c r="W110" s="58"/>
      <c r="X110" s="58"/>
      <c r="Y110" s="70"/>
      <c r="Z110" s="83"/>
      <c r="AA110" s="70"/>
      <c r="AB110" s="70"/>
      <c r="AC110" s="70"/>
      <c r="AD110" s="70"/>
      <c r="AE110" s="70"/>
      <c r="AF110" s="70"/>
      <c r="AG110" s="70"/>
      <c r="AH110" s="70"/>
      <c r="AI110" s="70"/>
      <c r="AJ110" s="70"/>
      <c r="AK110" s="70"/>
      <c r="AL110" s="70"/>
      <c r="AM110" s="70"/>
      <c r="AN110" s="70"/>
      <c r="AO110" s="70"/>
      <c r="AP110" s="70"/>
      <c r="AQ110" s="70"/>
      <c r="AR110" s="70"/>
      <c r="AS110" s="70"/>
      <c r="AT110" s="70"/>
    </row>
    <row r="111" ht="15.75" customHeight="1">
      <c r="A111" s="70"/>
      <c r="B111" s="70"/>
      <c r="C111" s="70"/>
      <c r="D111" s="80"/>
      <c r="E111" s="70"/>
      <c r="F111" s="70"/>
      <c r="G111" s="72"/>
      <c r="H111" s="70"/>
      <c r="I111" s="70"/>
      <c r="J111" s="70"/>
      <c r="K111" s="70"/>
      <c r="L111" s="70"/>
      <c r="M111" s="70"/>
      <c r="N111" s="70"/>
      <c r="O111" s="70"/>
      <c r="P111" s="70"/>
      <c r="Q111" s="70"/>
      <c r="R111" s="70"/>
      <c r="S111" s="70"/>
      <c r="T111" s="91"/>
      <c r="U111" s="91"/>
      <c r="V111" s="70"/>
      <c r="W111" s="58"/>
      <c r="X111" s="58"/>
      <c r="Y111" s="70"/>
      <c r="Z111" s="83"/>
      <c r="AA111" s="70"/>
      <c r="AB111" s="70"/>
      <c r="AC111" s="70"/>
      <c r="AD111" s="70"/>
      <c r="AE111" s="70"/>
      <c r="AF111" s="70"/>
      <c r="AG111" s="70"/>
      <c r="AH111" s="70"/>
      <c r="AI111" s="70"/>
      <c r="AJ111" s="70"/>
      <c r="AK111" s="70"/>
      <c r="AL111" s="70"/>
      <c r="AM111" s="70"/>
      <c r="AN111" s="70"/>
      <c r="AO111" s="70"/>
      <c r="AP111" s="70"/>
      <c r="AQ111" s="70"/>
      <c r="AR111" s="70"/>
      <c r="AS111" s="70"/>
      <c r="AT111" s="70"/>
    </row>
    <row r="112" ht="15.75" customHeight="1">
      <c r="A112" s="70"/>
      <c r="B112" s="70"/>
      <c r="C112" s="70"/>
      <c r="D112" s="80"/>
      <c r="E112" s="70"/>
      <c r="F112" s="70"/>
      <c r="G112" s="72"/>
      <c r="H112" s="70"/>
      <c r="I112" s="70"/>
      <c r="J112" s="70"/>
      <c r="K112" s="70"/>
      <c r="L112" s="70"/>
      <c r="M112" s="70"/>
      <c r="N112" s="70"/>
      <c r="O112" s="70"/>
      <c r="P112" s="70"/>
      <c r="Q112" s="70"/>
      <c r="R112" s="70"/>
      <c r="S112" s="70"/>
      <c r="T112" s="91"/>
      <c r="U112" s="91"/>
      <c r="V112" s="70"/>
      <c r="W112" s="58"/>
      <c r="X112" s="58"/>
      <c r="Y112" s="70"/>
      <c r="Z112" s="83"/>
      <c r="AA112" s="70"/>
      <c r="AB112" s="70"/>
      <c r="AC112" s="70"/>
      <c r="AD112" s="70"/>
      <c r="AE112" s="70"/>
      <c r="AF112" s="70"/>
      <c r="AG112" s="70"/>
      <c r="AH112" s="70"/>
      <c r="AI112" s="70"/>
      <c r="AJ112" s="70"/>
      <c r="AK112" s="70"/>
      <c r="AL112" s="70"/>
      <c r="AM112" s="70"/>
      <c r="AN112" s="70"/>
      <c r="AO112" s="70"/>
      <c r="AP112" s="70"/>
      <c r="AQ112" s="70"/>
      <c r="AR112" s="70"/>
      <c r="AS112" s="70"/>
      <c r="AT112" s="70"/>
    </row>
    <row r="113" ht="15.75" customHeight="1">
      <c r="A113" s="70"/>
      <c r="B113" s="70"/>
      <c r="C113" s="70"/>
      <c r="D113" s="80"/>
      <c r="E113" s="70"/>
      <c r="F113" s="70"/>
      <c r="G113" s="72"/>
      <c r="H113" s="70"/>
      <c r="I113" s="70"/>
      <c r="J113" s="70"/>
      <c r="K113" s="70"/>
      <c r="L113" s="70"/>
      <c r="M113" s="70"/>
      <c r="N113" s="70"/>
      <c r="O113" s="70"/>
      <c r="P113" s="70"/>
      <c r="Q113" s="70"/>
      <c r="R113" s="70"/>
      <c r="S113" s="70"/>
      <c r="T113" s="91"/>
      <c r="U113" s="91"/>
      <c r="V113" s="70"/>
      <c r="W113" s="58"/>
      <c r="X113" s="58"/>
      <c r="Y113" s="70"/>
      <c r="Z113" s="83"/>
      <c r="AA113" s="70"/>
      <c r="AB113" s="70"/>
      <c r="AC113" s="70"/>
      <c r="AD113" s="70"/>
      <c r="AE113" s="70"/>
      <c r="AF113" s="70"/>
      <c r="AG113" s="70"/>
      <c r="AH113" s="70"/>
      <c r="AI113" s="70"/>
      <c r="AJ113" s="70"/>
      <c r="AK113" s="70"/>
      <c r="AL113" s="70"/>
      <c r="AM113" s="70"/>
      <c r="AN113" s="70"/>
      <c r="AO113" s="70"/>
      <c r="AP113" s="70"/>
      <c r="AQ113" s="70"/>
      <c r="AR113" s="70"/>
      <c r="AS113" s="70"/>
      <c r="AT113" s="70"/>
    </row>
    <row r="114" ht="15.75" customHeight="1">
      <c r="A114" s="70"/>
      <c r="B114" s="70"/>
      <c r="C114" s="70"/>
      <c r="D114" s="80"/>
      <c r="E114" s="70"/>
      <c r="F114" s="70"/>
      <c r="G114" s="72"/>
      <c r="H114" s="70"/>
      <c r="I114" s="70"/>
      <c r="J114" s="70"/>
      <c r="K114" s="70"/>
      <c r="L114" s="70"/>
      <c r="M114" s="70"/>
      <c r="N114" s="70"/>
      <c r="O114" s="70"/>
      <c r="P114" s="70"/>
      <c r="Q114" s="70"/>
      <c r="R114" s="70"/>
      <c r="S114" s="70"/>
      <c r="T114" s="91"/>
      <c r="U114" s="91"/>
      <c r="V114" s="70"/>
      <c r="W114" s="58"/>
      <c r="X114" s="58"/>
      <c r="Y114" s="70"/>
      <c r="Z114" s="83"/>
      <c r="AA114" s="70"/>
      <c r="AB114" s="70"/>
      <c r="AC114" s="70"/>
      <c r="AD114" s="70"/>
      <c r="AE114" s="70"/>
      <c r="AF114" s="70"/>
      <c r="AG114" s="70"/>
      <c r="AH114" s="70"/>
      <c r="AI114" s="70"/>
      <c r="AJ114" s="70"/>
      <c r="AK114" s="70"/>
      <c r="AL114" s="70"/>
      <c r="AM114" s="70"/>
      <c r="AN114" s="70"/>
      <c r="AO114" s="70"/>
      <c r="AP114" s="70"/>
      <c r="AQ114" s="70"/>
      <c r="AR114" s="70"/>
      <c r="AS114" s="70"/>
      <c r="AT114" s="70"/>
    </row>
    <row r="115" ht="15.75" customHeight="1">
      <c r="A115" s="70"/>
      <c r="B115" s="70"/>
      <c r="C115" s="70"/>
      <c r="D115" s="80"/>
      <c r="E115" s="70"/>
      <c r="F115" s="70"/>
      <c r="G115" s="72"/>
      <c r="H115" s="70"/>
      <c r="I115" s="70"/>
      <c r="J115" s="70"/>
      <c r="K115" s="70"/>
      <c r="L115" s="70"/>
      <c r="M115" s="70"/>
      <c r="N115" s="70"/>
      <c r="O115" s="70"/>
      <c r="P115" s="70"/>
      <c r="Q115" s="70"/>
      <c r="R115" s="70"/>
      <c r="S115" s="70"/>
      <c r="T115" s="91"/>
      <c r="U115" s="91"/>
      <c r="V115" s="70"/>
      <c r="W115" s="58"/>
      <c r="X115" s="58"/>
      <c r="Y115" s="70"/>
      <c r="Z115" s="83"/>
      <c r="AA115" s="70"/>
      <c r="AB115" s="70"/>
      <c r="AC115" s="70"/>
      <c r="AD115" s="70"/>
      <c r="AE115" s="70"/>
      <c r="AF115" s="70"/>
      <c r="AG115" s="70"/>
      <c r="AH115" s="70"/>
      <c r="AI115" s="70"/>
      <c r="AJ115" s="70"/>
      <c r="AK115" s="70"/>
      <c r="AL115" s="70"/>
      <c r="AM115" s="70"/>
      <c r="AN115" s="70"/>
      <c r="AO115" s="70"/>
      <c r="AP115" s="70"/>
      <c r="AQ115" s="70"/>
      <c r="AR115" s="70"/>
      <c r="AS115" s="70"/>
      <c r="AT115" s="70"/>
    </row>
    <row r="116" ht="15.75" customHeight="1">
      <c r="A116" s="70"/>
      <c r="B116" s="70"/>
      <c r="C116" s="70"/>
      <c r="D116" s="80"/>
      <c r="E116" s="70"/>
      <c r="F116" s="70"/>
      <c r="G116" s="72"/>
      <c r="H116" s="70"/>
      <c r="I116" s="70"/>
      <c r="J116" s="70"/>
      <c r="K116" s="70"/>
      <c r="L116" s="70"/>
      <c r="M116" s="70"/>
      <c r="N116" s="70"/>
      <c r="O116" s="70"/>
      <c r="P116" s="70"/>
      <c r="Q116" s="70"/>
      <c r="R116" s="70"/>
      <c r="S116" s="70"/>
      <c r="T116" s="91"/>
      <c r="U116" s="91"/>
      <c r="V116" s="70"/>
      <c r="W116" s="58"/>
      <c r="X116" s="58"/>
      <c r="Y116" s="70"/>
      <c r="Z116" s="83"/>
      <c r="AA116" s="70"/>
      <c r="AB116" s="70"/>
      <c r="AC116" s="70"/>
      <c r="AD116" s="70"/>
      <c r="AE116" s="70"/>
      <c r="AF116" s="70"/>
      <c r="AG116" s="70"/>
      <c r="AH116" s="70"/>
      <c r="AI116" s="70"/>
      <c r="AJ116" s="70"/>
      <c r="AK116" s="70"/>
      <c r="AL116" s="70"/>
      <c r="AM116" s="70"/>
      <c r="AN116" s="70"/>
      <c r="AO116" s="70"/>
      <c r="AP116" s="70"/>
      <c r="AQ116" s="70"/>
      <c r="AR116" s="70"/>
      <c r="AS116" s="70"/>
      <c r="AT116" s="70"/>
    </row>
    <row r="117" ht="15.75" customHeight="1">
      <c r="A117" s="70"/>
      <c r="B117" s="70"/>
      <c r="C117" s="70"/>
      <c r="D117" s="80"/>
      <c r="E117" s="70"/>
      <c r="F117" s="70"/>
      <c r="G117" s="72"/>
      <c r="H117" s="70"/>
      <c r="I117" s="70"/>
      <c r="J117" s="70"/>
      <c r="K117" s="70"/>
      <c r="L117" s="70"/>
      <c r="M117" s="70"/>
      <c r="N117" s="70"/>
      <c r="O117" s="70"/>
      <c r="P117" s="70"/>
      <c r="Q117" s="70"/>
      <c r="R117" s="70"/>
      <c r="S117" s="70"/>
      <c r="T117" s="91"/>
      <c r="U117" s="91"/>
      <c r="V117" s="70"/>
      <c r="W117" s="58"/>
      <c r="X117" s="58"/>
      <c r="Y117" s="70"/>
      <c r="Z117" s="83"/>
      <c r="AA117" s="70"/>
      <c r="AB117" s="70"/>
      <c r="AC117" s="70"/>
      <c r="AD117" s="70"/>
      <c r="AE117" s="70"/>
      <c r="AF117" s="70"/>
      <c r="AG117" s="70"/>
      <c r="AH117" s="70"/>
      <c r="AI117" s="70"/>
      <c r="AJ117" s="70"/>
      <c r="AK117" s="70"/>
      <c r="AL117" s="70"/>
      <c r="AM117" s="70"/>
      <c r="AN117" s="70"/>
      <c r="AO117" s="70"/>
      <c r="AP117" s="70"/>
      <c r="AQ117" s="70"/>
      <c r="AR117" s="70"/>
      <c r="AS117" s="70"/>
      <c r="AT117" s="70"/>
    </row>
    <row r="118" ht="15.75" customHeight="1">
      <c r="A118" s="70"/>
      <c r="B118" s="70"/>
      <c r="C118" s="70"/>
      <c r="D118" s="80"/>
      <c r="E118" s="70"/>
      <c r="F118" s="70"/>
      <c r="G118" s="72"/>
      <c r="H118" s="70"/>
      <c r="I118" s="70"/>
      <c r="J118" s="70"/>
      <c r="K118" s="70"/>
      <c r="L118" s="70"/>
      <c r="M118" s="70"/>
      <c r="N118" s="70"/>
      <c r="O118" s="70"/>
      <c r="P118" s="70"/>
      <c r="Q118" s="70"/>
      <c r="R118" s="70"/>
      <c r="S118" s="70"/>
      <c r="T118" s="91"/>
      <c r="U118" s="91"/>
      <c r="V118" s="70"/>
      <c r="W118" s="58"/>
      <c r="X118" s="58"/>
      <c r="Y118" s="70"/>
      <c r="Z118" s="83"/>
      <c r="AA118" s="70"/>
      <c r="AB118" s="70"/>
      <c r="AC118" s="70"/>
      <c r="AD118" s="70"/>
      <c r="AE118" s="70"/>
      <c r="AF118" s="70"/>
      <c r="AG118" s="70"/>
      <c r="AH118" s="70"/>
      <c r="AI118" s="70"/>
      <c r="AJ118" s="70"/>
      <c r="AK118" s="70"/>
      <c r="AL118" s="70"/>
      <c r="AM118" s="70"/>
      <c r="AN118" s="70"/>
      <c r="AO118" s="70"/>
      <c r="AP118" s="70"/>
      <c r="AQ118" s="70"/>
      <c r="AR118" s="70"/>
      <c r="AS118" s="70"/>
      <c r="AT118" s="70"/>
    </row>
    <row r="119" ht="15.75" customHeight="1">
      <c r="A119" s="70"/>
      <c r="B119" s="70"/>
      <c r="C119" s="70"/>
      <c r="D119" s="80"/>
      <c r="E119" s="70"/>
      <c r="F119" s="70"/>
      <c r="G119" s="72"/>
      <c r="H119" s="70"/>
      <c r="I119" s="70"/>
      <c r="J119" s="70"/>
      <c r="K119" s="70"/>
      <c r="L119" s="70"/>
      <c r="M119" s="70"/>
      <c r="N119" s="70"/>
      <c r="O119" s="70"/>
      <c r="P119" s="70"/>
      <c r="Q119" s="70"/>
      <c r="R119" s="70"/>
      <c r="S119" s="70"/>
      <c r="T119" s="91"/>
      <c r="U119" s="91"/>
      <c r="V119" s="70"/>
      <c r="W119" s="58"/>
      <c r="X119" s="58"/>
      <c r="Y119" s="70"/>
      <c r="Z119" s="83"/>
      <c r="AA119" s="70"/>
      <c r="AB119" s="70"/>
      <c r="AC119" s="70"/>
      <c r="AD119" s="70"/>
      <c r="AE119" s="70"/>
      <c r="AF119" s="70"/>
      <c r="AG119" s="70"/>
      <c r="AH119" s="70"/>
      <c r="AI119" s="70"/>
      <c r="AJ119" s="70"/>
      <c r="AK119" s="70"/>
      <c r="AL119" s="70"/>
      <c r="AM119" s="70"/>
      <c r="AN119" s="70"/>
      <c r="AO119" s="70"/>
      <c r="AP119" s="70"/>
      <c r="AQ119" s="70"/>
      <c r="AR119" s="70"/>
      <c r="AS119" s="70"/>
      <c r="AT119" s="70"/>
    </row>
    <row r="120" ht="15.75" customHeight="1">
      <c r="A120" s="70"/>
      <c r="B120" s="70"/>
      <c r="C120" s="70"/>
      <c r="D120" s="80"/>
      <c r="E120" s="70"/>
      <c r="F120" s="70"/>
      <c r="G120" s="72"/>
      <c r="H120" s="70"/>
      <c r="I120" s="70"/>
      <c r="J120" s="70"/>
      <c r="K120" s="70"/>
      <c r="L120" s="70"/>
      <c r="M120" s="70"/>
      <c r="N120" s="70"/>
      <c r="O120" s="70"/>
      <c r="P120" s="70"/>
      <c r="Q120" s="70"/>
      <c r="R120" s="70"/>
      <c r="S120" s="70"/>
      <c r="T120" s="91"/>
      <c r="U120" s="91"/>
      <c r="V120" s="70"/>
      <c r="W120" s="58"/>
      <c r="X120" s="58"/>
      <c r="Y120" s="70"/>
      <c r="Z120" s="83"/>
      <c r="AA120" s="70"/>
      <c r="AB120" s="70"/>
      <c r="AC120" s="70"/>
      <c r="AD120" s="70"/>
      <c r="AE120" s="70"/>
      <c r="AF120" s="70"/>
      <c r="AG120" s="70"/>
      <c r="AH120" s="70"/>
      <c r="AI120" s="70"/>
      <c r="AJ120" s="70"/>
      <c r="AK120" s="70"/>
      <c r="AL120" s="70"/>
      <c r="AM120" s="70"/>
      <c r="AN120" s="70"/>
      <c r="AO120" s="70"/>
      <c r="AP120" s="70"/>
      <c r="AQ120" s="70"/>
      <c r="AR120" s="70"/>
      <c r="AS120" s="70"/>
      <c r="AT120" s="70"/>
    </row>
    <row r="121" ht="15.75" customHeight="1">
      <c r="A121" s="70"/>
      <c r="B121" s="70"/>
      <c r="C121" s="70"/>
      <c r="D121" s="80"/>
      <c r="E121" s="70"/>
      <c r="F121" s="70"/>
      <c r="G121" s="72"/>
      <c r="H121" s="70"/>
      <c r="I121" s="70"/>
      <c r="J121" s="70"/>
      <c r="K121" s="70"/>
      <c r="L121" s="70"/>
      <c r="M121" s="70"/>
      <c r="N121" s="70"/>
      <c r="O121" s="70"/>
      <c r="P121" s="70"/>
      <c r="Q121" s="70"/>
      <c r="R121" s="70"/>
      <c r="S121" s="70"/>
      <c r="T121" s="91"/>
      <c r="U121" s="91"/>
      <c r="V121" s="70"/>
      <c r="W121" s="58"/>
      <c r="X121" s="58"/>
      <c r="Y121" s="70"/>
      <c r="Z121" s="83"/>
      <c r="AA121" s="70"/>
      <c r="AB121" s="70"/>
      <c r="AC121" s="70"/>
      <c r="AD121" s="70"/>
      <c r="AE121" s="70"/>
      <c r="AF121" s="70"/>
      <c r="AG121" s="70"/>
      <c r="AH121" s="70"/>
      <c r="AI121" s="70"/>
      <c r="AJ121" s="70"/>
      <c r="AK121" s="70"/>
      <c r="AL121" s="70"/>
      <c r="AM121" s="70"/>
      <c r="AN121" s="70"/>
      <c r="AO121" s="70"/>
      <c r="AP121" s="70"/>
      <c r="AQ121" s="70"/>
      <c r="AR121" s="70"/>
      <c r="AS121" s="70"/>
      <c r="AT121" s="70"/>
    </row>
    <row r="122" ht="15.75" customHeight="1">
      <c r="A122" s="70"/>
      <c r="B122" s="70"/>
      <c r="C122" s="70"/>
      <c r="D122" s="80"/>
      <c r="E122" s="70"/>
      <c r="F122" s="70"/>
      <c r="G122" s="72"/>
      <c r="H122" s="70"/>
      <c r="I122" s="70"/>
      <c r="J122" s="70"/>
      <c r="K122" s="70"/>
      <c r="L122" s="70"/>
      <c r="M122" s="70"/>
      <c r="N122" s="70"/>
      <c r="O122" s="70"/>
      <c r="P122" s="70"/>
      <c r="Q122" s="70"/>
      <c r="R122" s="70"/>
      <c r="S122" s="70"/>
      <c r="T122" s="91"/>
      <c r="U122" s="91"/>
      <c r="V122" s="70"/>
      <c r="W122" s="58"/>
      <c r="X122" s="58"/>
      <c r="Y122" s="70"/>
      <c r="Z122" s="83"/>
      <c r="AA122" s="70"/>
      <c r="AB122" s="70"/>
      <c r="AC122" s="70"/>
      <c r="AD122" s="70"/>
      <c r="AE122" s="70"/>
      <c r="AF122" s="70"/>
      <c r="AG122" s="70"/>
      <c r="AH122" s="70"/>
      <c r="AI122" s="70"/>
      <c r="AJ122" s="70"/>
      <c r="AK122" s="70"/>
      <c r="AL122" s="70"/>
      <c r="AM122" s="70"/>
      <c r="AN122" s="70"/>
      <c r="AO122" s="70"/>
      <c r="AP122" s="70"/>
      <c r="AQ122" s="70"/>
      <c r="AR122" s="70"/>
      <c r="AS122" s="70"/>
      <c r="AT122" s="70"/>
    </row>
    <row r="123" ht="15.75" customHeight="1">
      <c r="A123" s="70"/>
      <c r="B123" s="70"/>
      <c r="C123" s="70"/>
      <c r="D123" s="80"/>
      <c r="E123" s="70"/>
      <c r="F123" s="70"/>
      <c r="G123" s="72"/>
      <c r="H123" s="70"/>
      <c r="I123" s="70"/>
      <c r="J123" s="70"/>
      <c r="K123" s="70"/>
      <c r="L123" s="70"/>
      <c r="M123" s="70"/>
      <c r="N123" s="70"/>
      <c r="O123" s="70"/>
      <c r="P123" s="70"/>
      <c r="Q123" s="70"/>
      <c r="R123" s="70"/>
      <c r="S123" s="70"/>
      <c r="T123" s="91"/>
      <c r="U123" s="91"/>
      <c r="V123" s="70"/>
      <c r="W123" s="58"/>
      <c r="X123" s="58"/>
      <c r="Y123" s="70"/>
      <c r="Z123" s="83"/>
      <c r="AA123" s="70"/>
      <c r="AB123" s="70"/>
      <c r="AC123" s="70"/>
      <c r="AD123" s="70"/>
      <c r="AE123" s="70"/>
      <c r="AF123" s="70"/>
      <c r="AG123" s="70"/>
      <c r="AH123" s="70"/>
      <c r="AI123" s="70"/>
      <c r="AJ123" s="70"/>
      <c r="AK123" s="70"/>
      <c r="AL123" s="70"/>
      <c r="AM123" s="70"/>
      <c r="AN123" s="70"/>
      <c r="AO123" s="70"/>
      <c r="AP123" s="70"/>
      <c r="AQ123" s="70"/>
      <c r="AR123" s="70"/>
      <c r="AS123" s="70"/>
      <c r="AT123" s="70"/>
    </row>
    <row r="124" ht="15.75" customHeight="1">
      <c r="A124" s="70"/>
      <c r="B124" s="70"/>
      <c r="C124" s="70"/>
      <c r="D124" s="80"/>
      <c r="E124" s="70"/>
      <c r="F124" s="70"/>
      <c r="G124" s="72"/>
      <c r="H124" s="70"/>
      <c r="I124" s="70"/>
      <c r="J124" s="70"/>
      <c r="K124" s="70"/>
      <c r="L124" s="70"/>
      <c r="M124" s="70"/>
      <c r="N124" s="70"/>
      <c r="O124" s="70"/>
      <c r="P124" s="70"/>
      <c r="Q124" s="70"/>
      <c r="R124" s="70"/>
      <c r="S124" s="70"/>
      <c r="T124" s="91"/>
      <c r="U124" s="91"/>
      <c r="V124" s="70"/>
      <c r="W124" s="58"/>
      <c r="X124" s="58"/>
      <c r="Y124" s="70"/>
      <c r="Z124" s="83"/>
      <c r="AA124" s="70"/>
      <c r="AB124" s="70"/>
      <c r="AC124" s="70"/>
      <c r="AD124" s="70"/>
      <c r="AE124" s="70"/>
      <c r="AF124" s="70"/>
      <c r="AG124" s="70"/>
      <c r="AH124" s="70"/>
      <c r="AI124" s="70"/>
      <c r="AJ124" s="70"/>
      <c r="AK124" s="70"/>
      <c r="AL124" s="70"/>
      <c r="AM124" s="70"/>
      <c r="AN124" s="70"/>
      <c r="AO124" s="70"/>
      <c r="AP124" s="70"/>
      <c r="AQ124" s="70"/>
      <c r="AR124" s="70"/>
      <c r="AS124" s="70"/>
      <c r="AT124" s="70"/>
    </row>
    <row r="125" ht="15.75" customHeight="1">
      <c r="A125" s="70"/>
      <c r="B125" s="70"/>
      <c r="C125" s="70"/>
      <c r="D125" s="80"/>
      <c r="E125" s="70"/>
      <c r="F125" s="70"/>
      <c r="G125" s="72"/>
      <c r="H125" s="70"/>
      <c r="I125" s="70"/>
      <c r="J125" s="70"/>
      <c r="K125" s="70"/>
      <c r="L125" s="70"/>
      <c r="M125" s="70"/>
      <c r="N125" s="70"/>
      <c r="O125" s="70"/>
      <c r="P125" s="70"/>
      <c r="Q125" s="70"/>
      <c r="R125" s="70"/>
      <c r="S125" s="70"/>
      <c r="T125" s="91"/>
      <c r="U125" s="91"/>
      <c r="V125" s="70"/>
      <c r="W125" s="58"/>
      <c r="X125" s="58"/>
      <c r="Y125" s="70"/>
      <c r="Z125" s="83"/>
      <c r="AA125" s="70"/>
      <c r="AB125" s="70"/>
      <c r="AC125" s="70"/>
      <c r="AD125" s="70"/>
      <c r="AE125" s="70"/>
      <c r="AF125" s="70"/>
      <c r="AG125" s="70"/>
      <c r="AH125" s="70"/>
      <c r="AI125" s="70"/>
      <c r="AJ125" s="70"/>
      <c r="AK125" s="70"/>
      <c r="AL125" s="70"/>
      <c r="AM125" s="70"/>
      <c r="AN125" s="70"/>
      <c r="AO125" s="70"/>
      <c r="AP125" s="70"/>
      <c r="AQ125" s="70"/>
      <c r="AR125" s="70"/>
      <c r="AS125" s="70"/>
      <c r="AT125" s="70"/>
    </row>
    <row r="126" ht="15.75" customHeight="1">
      <c r="A126" s="70"/>
      <c r="B126" s="70"/>
      <c r="C126" s="70"/>
      <c r="D126" s="80"/>
      <c r="E126" s="70"/>
      <c r="F126" s="70"/>
      <c r="G126" s="72"/>
      <c r="H126" s="70"/>
      <c r="I126" s="70"/>
      <c r="J126" s="70"/>
      <c r="K126" s="70"/>
      <c r="L126" s="70"/>
      <c r="M126" s="70"/>
      <c r="N126" s="70"/>
      <c r="O126" s="70"/>
      <c r="P126" s="70"/>
      <c r="Q126" s="70"/>
      <c r="R126" s="70"/>
      <c r="S126" s="70"/>
      <c r="T126" s="91"/>
      <c r="U126" s="91"/>
      <c r="V126" s="70"/>
      <c r="W126" s="58"/>
      <c r="X126" s="58"/>
      <c r="Y126" s="70"/>
      <c r="Z126" s="83"/>
      <c r="AA126" s="70"/>
      <c r="AB126" s="70"/>
      <c r="AC126" s="70"/>
      <c r="AD126" s="70"/>
      <c r="AE126" s="70"/>
      <c r="AF126" s="70"/>
      <c r="AG126" s="70"/>
      <c r="AH126" s="70"/>
      <c r="AI126" s="70"/>
      <c r="AJ126" s="70"/>
      <c r="AK126" s="70"/>
      <c r="AL126" s="70"/>
      <c r="AM126" s="70"/>
      <c r="AN126" s="70"/>
      <c r="AO126" s="70"/>
      <c r="AP126" s="70"/>
      <c r="AQ126" s="70"/>
      <c r="AR126" s="70"/>
      <c r="AS126" s="70"/>
      <c r="AT126" s="70"/>
    </row>
    <row r="127" ht="15.75" customHeight="1">
      <c r="A127" s="70"/>
      <c r="B127" s="70"/>
      <c r="C127" s="70"/>
      <c r="D127" s="80"/>
      <c r="E127" s="70"/>
      <c r="F127" s="70"/>
      <c r="G127" s="72"/>
      <c r="H127" s="70"/>
      <c r="I127" s="70"/>
      <c r="J127" s="70"/>
      <c r="K127" s="70"/>
      <c r="L127" s="70"/>
      <c r="M127" s="70"/>
      <c r="N127" s="70"/>
      <c r="O127" s="70"/>
      <c r="P127" s="70"/>
      <c r="Q127" s="70"/>
      <c r="R127" s="70"/>
      <c r="S127" s="70"/>
      <c r="T127" s="91"/>
      <c r="U127" s="91"/>
      <c r="V127" s="70"/>
      <c r="W127" s="58"/>
      <c r="X127" s="58"/>
      <c r="Y127" s="70"/>
      <c r="Z127" s="83"/>
      <c r="AA127" s="70"/>
      <c r="AB127" s="70"/>
      <c r="AC127" s="70"/>
      <c r="AD127" s="70"/>
      <c r="AE127" s="70"/>
      <c r="AF127" s="70"/>
      <c r="AG127" s="70"/>
      <c r="AH127" s="70"/>
      <c r="AI127" s="70"/>
      <c r="AJ127" s="70"/>
      <c r="AK127" s="70"/>
      <c r="AL127" s="70"/>
      <c r="AM127" s="70"/>
      <c r="AN127" s="70"/>
      <c r="AO127" s="70"/>
      <c r="AP127" s="70"/>
      <c r="AQ127" s="70"/>
      <c r="AR127" s="70"/>
      <c r="AS127" s="70"/>
      <c r="AT127" s="70"/>
    </row>
    <row r="128" ht="15.75" customHeight="1">
      <c r="A128" s="70"/>
      <c r="B128" s="70"/>
      <c r="C128" s="70"/>
      <c r="D128" s="80"/>
      <c r="E128" s="70"/>
      <c r="F128" s="70"/>
      <c r="G128" s="72"/>
      <c r="H128" s="70"/>
      <c r="I128" s="70"/>
      <c r="J128" s="70"/>
      <c r="K128" s="70"/>
      <c r="L128" s="70"/>
      <c r="M128" s="70"/>
      <c r="N128" s="70"/>
      <c r="O128" s="70"/>
      <c r="P128" s="70"/>
      <c r="Q128" s="70"/>
      <c r="R128" s="70"/>
      <c r="S128" s="70"/>
      <c r="T128" s="91"/>
      <c r="U128" s="91"/>
      <c r="V128" s="70"/>
      <c r="W128" s="58"/>
      <c r="X128" s="58"/>
      <c r="Y128" s="70"/>
      <c r="Z128" s="83"/>
      <c r="AA128" s="70"/>
      <c r="AB128" s="70"/>
      <c r="AC128" s="70"/>
      <c r="AD128" s="70"/>
      <c r="AE128" s="70"/>
      <c r="AF128" s="70"/>
      <c r="AG128" s="70"/>
      <c r="AH128" s="70"/>
      <c r="AI128" s="70"/>
      <c r="AJ128" s="70"/>
      <c r="AK128" s="70"/>
      <c r="AL128" s="70"/>
      <c r="AM128" s="70"/>
      <c r="AN128" s="70"/>
      <c r="AO128" s="70"/>
      <c r="AP128" s="70"/>
      <c r="AQ128" s="70"/>
      <c r="AR128" s="70"/>
      <c r="AS128" s="70"/>
      <c r="AT128" s="70"/>
    </row>
    <row r="129" ht="15.75" customHeight="1">
      <c r="A129" s="70"/>
      <c r="B129" s="70"/>
      <c r="C129" s="70"/>
      <c r="D129" s="80"/>
      <c r="E129" s="70"/>
      <c r="F129" s="70"/>
      <c r="G129" s="72"/>
      <c r="H129" s="70"/>
      <c r="I129" s="70"/>
      <c r="J129" s="70"/>
      <c r="K129" s="70"/>
      <c r="L129" s="70"/>
      <c r="M129" s="70"/>
      <c r="N129" s="70"/>
      <c r="O129" s="70"/>
      <c r="P129" s="70"/>
      <c r="Q129" s="70"/>
      <c r="R129" s="70"/>
      <c r="S129" s="70"/>
      <c r="T129" s="91"/>
      <c r="U129" s="91"/>
      <c r="V129" s="70"/>
      <c r="W129" s="58"/>
      <c r="X129" s="58"/>
      <c r="Y129" s="70"/>
      <c r="Z129" s="83"/>
      <c r="AA129" s="70"/>
      <c r="AB129" s="70"/>
      <c r="AC129" s="70"/>
      <c r="AD129" s="70"/>
      <c r="AE129" s="70"/>
      <c r="AF129" s="70"/>
      <c r="AG129" s="70"/>
      <c r="AH129" s="70"/>
      <c r="AI129" s="70"/>
      <c r="AJ129" s="70"/>
      <c r="AK129" s="70"/>
      <c r="AL129" s="70"/>
      <c r="AM129" s="70"/>
      <c r="AN129" s="70"/>
      <c r="AO129" s="70"/>
      <c r="AP129" s="70"/>
      <c r="AQ129" s="70"/>
      <c r="AR129" s="70"/>
      <c r="AS129" s="70"/>
      <c r="AT129" s="70"/>
    </row>
    <row r="130" ht="15.75" customHeight="1">
      <c r="A130" s="70"/>
      <c r="B130" s="70"/>
      <c r="C130" s="70"/>
      <c r="D130" s="80"/>
      <c r="E130" s="70"/>
      <c r="F130" s="70"/>
      <c r="G130" s="72"/>
      <c r="H130" s="70"/>
      <c r="I130" s="70"/>
      <c r="J130" s="70"/>
      <c r="K130" s="70"/>
      <c r="L130" s="70"/>
      <c r="M130" s="70"/>
      <c r="N130" s="70"/>
      <c r="O130" s="70"/>
      <c r="P130" s="70"/>
      <c r="Q130" s="70"/>
      <c r="R130" s="70"/>
      <c r="S130" s="70"/>
      <c r="T130" s="91"/>
      <c r="U130" s="91"/>
      <c r="V130" s="70"/>
      <c r="W130" s="58"/>
      <c r="X130" s="58"/>
      <c r="Y130" s="70"/>
      <c r="Z130" s="83"/>
      <c r="AA130" s="70"/>
      <c r="AB130" s="70"/>
      <c r="AC130" s="70"/>
      <c r="AD130" s="70"/>
      <c r="AE130" s="70"/>
      <c r="AF130" s="70"/>
      <c r="AG130" s="70"/>
      <c r="AH130" s="70"/>
      <c r="AI130" s="70"/>
      <c r="AJ130" s="70"/>
      <c r="AK130" s="70"/>
      <c r="AL130" s="70"/>
      <c r="AM130" s="70"/>
      <c r="AN130" s="70"/>
      <c r="AO130" s="70"/>
      <c r="AP130" s="70"/>
      <c r="AQ130" s="70"/>
      <c r="AR130" s="70"/>
      <c r="AS130" s="70"/>
      <c r="AT130" s="70"/>
    </row>
    <row r="131" ht="15.75" customHeight="1">
      <c r="A131" s="70"/>
      <c r="B131" s="70"/>
      <c r="C131" s="70"/>
      <c r="D131" s="80"/>
      <c r="E131" s="70"/>
      <c r="F131" s="70"/>
      <c r="G131" s="72"/>
      <c r="H131" s="70"/>
      <c r="I131" s="70"/>
      <c r="J131" s="70"/>
      <c r="K131" s="70"/>
      <c r="L131" s="70"/>
      <c r="M131" s="70"/>
      <c r="N131" s="70"/>
      <c r="O131" s="70"/>
      <c r="P131" s="70"/>
      <c r="Q131" s="70"/>
      <c r="R131" s="70"/>
      <c r="S131" s="70"/>
      <c r="T131" s="91"/>
      <c r="U131" s="91"/>
      <c r="V131" s="70"/>
      <c r="W131" s="58"/>
      <c r="X131" s="58"/>
      <c r="Y131" s="70"/>
      <c r="Z131" s="83"/>
      <c r="AA131" s="70"/>
      <c r="AB131" s="70"/>
      <c r="AC131" s="70"/>
      <c r="AD131" s="70"/>
      <c r="AE131" s="70"/>
      <c r="AF131" s="70"/>
      <c r="AG131" s="70"/>
      <c r="AH131" s="70"/>
      <c r="AI131" s="70"/>
      <c r="AJ131" s="70"/>
      <c r="AK131" s="70"/>
      <c r="AL131" s="70"/>
      <c r="AM131" s="70"/>
      <c r="AN131" s="70"/>
      <c r="AO131" s="70"/>
      <c r="AP131" s="70"/>
      <c r="AQ131" s="70"/>
      <c r="AR131" s="70"/>
      <c r="AS131" s="70"/>
      <c r="AT131" s="70"/>
    </row>
    <row r="132" ht="15.75" customHeight="1">
      <c r="A132" s="70"/>
      <c r="B132" s="70"/>
      <c r="C132" s="70"/>
      <c r="D132" s="80"/>
      <c r="E132" s="70"/>
      <c r="F132" s="70"/>
      <c r="G132" s="72"/>
      <c r="H132" s="70"/>
      <c r="I132" s="70"/>
      <c r="J132" s="70"/>
      <c r="K132" s="70"/>
      <c r="L132" s="70"/>
      <c r="M132" s="70"/>
      <c r="N132" s="70"/>
      <c r="O132" s="70"/>
      <c r="P132" s="70"/>
      <c r="Q132" s="70"/>
      <c r="R132" s="70"/>
      <c r="S132" s="70"/>
      <c r="T132" s="91"/>
      <c r="U132" s="91"/>
      <c r="V132" s="70"/>
      <c r="W132" s="58"/>
      <c r="X132" s="58"/>
      <c r="Y132" s="70"/>
      <c r="Z132" s="83"/>
      <c r="AA132" s="70"/>
      <c r="AB132" s="70"/>
      <c r="AC132" s="70"/>
      <c r="AD132" s="70"/>
      <c r="AE132" s="70"/>
      <c r="AF132" s="70"/>
      <c r="AG132" s="70"/>
      <c r="AH132" s="70"/>
      <c r="AI132" s="70"/>
      <c r="AJ132" s="70"/>
      <c r="AK132" s="70"/>
      <c r="AL132" s="70"/>
      <c r="AM132" s="70"/>
      <c r="AN132" s="70"/>
      <c r="AO132" s="70"/>
      <c r="AP132" s="70"/>
      <c r="AQ132" s="70"/>
      <c r="AR132" s="70"/>
      <c r="AS132" s="70"/>
      <c r="AT132" s="70"/>
    </row>
    <row r="133" ht="15.75" customHeight="1">
      <c r="A133" s="70"/>
      <c r="B133" s="70"/>
      <c r="C133" s="70"/>
      <c r="D133" s="80"/>
      <c r="E133" s="70"/>
      <c r="F133" s="70"/>
      <c r="G133" s="72"/>
      <c r="H133" s="70"/>
      <c r="I133" s="70"/>
      <c r="J133" s="70"/>
      <c r="K133" s="70"/>
      <c r="L133" s="70"/>
      <c r="M133" s="70"/>
      <c r="N133" s="70"/>
      <c r="O133" s="70"/>
      <c r="P133" s="70"/>
      <c r="Q133" s="70"/>
      <c r="R133" s="70"/>
      <c r="S133" s="70"/>
      <c r="T133" s="91"/>
      <c r="U133" s="91"/>
      <c r="V133" s="70"/>
      <c r="W133" s="58"/>
      <c r="X133" s="58"/>
      <c r="Y133" s="70"/>
      <c r="Z133" s="83"/>
      <c r="AA133" s="70"/>
      <c r="AB133" s="70"/>
      <c r="AC133" s="70"/>
      <c r="AD133" s="70"/>
      <c r="AE133" s="70"/>
      <c r="AF133" s="70"/>
      <c r="AG133" s="70"/>
      <c r="AH133" s="70"/>
      <c r="AI133" s="70"/>
      <c r="AJ133" s="70"/>
      <c r="AK133" s="70"/>
      <c r="AL133" s="70"/>
      <c r="AM133" s="70"/>
      <c r="AN133" s="70"/>
      <c r="AO133" s="70"/>
      <c r="AP133" s="70"/>
      <c r="AQ133" s="70"/>
      <c r="AR133" s="70"/>
      <c r="AS133" s="70"/>
      <c r="AT133" s="70"/>
    </row>
    <row r="134" ht="15.75" customHeight="1">
      <c r="A134" s="70"/>
      <c r="B134" s="70"/>
      <c r="C134" s="70"/>
      <c r="D134" s="80"/>
      <c r="E134" s="70"/>
      <c r="F134" s="70"/>
      <c r="G134" s="72"/>
      <c r="H134" s="70"/>
      <c r="I134" s="70"/>
      <c r="J134" s="70"/>
      <c r="K134" s="70"/>
      <c r="L134" s="70"/>
      <c r="M134" s="70"/>
      <c r="N134" s="70"/>
      <c r="O134" s="70"/>
      <c r="P134" s="70"/>
      <c r="Q134" s="70"/>
      <c r="R134" s="70"/>
      <c r="S134" s="70"/>
      <c r="T134" s="91"/>
      <c r="U134" s="91"/>
      <c r="V134" s="70"/>
      <c r="W134" s="58"/>
      <c r="X134" s="58"/>
      <c r="Y134" s="70"/>
      <c r="Z134" s="83"/>
      <c r="AA134" s="70"/>
      <c r="AB134" s="70"/>
      <c r="AC134" s="70"/>
      <c r="AD134" s="70"/>
      <c r="AE134" s="70"/>
      <c r="AF134" s="70"/>
      <c r="AG134" s="70"/>
      <c r="AH134" s="70"/>
      <c r="AI134" s="70"/>
      <c r="AJ134" s="70"/>
      <c r="AK134" s="70"/>
      <c r="AL134" s="70"/>
      <c r="AM134" s="70"/>
      <c r="AN134" s="70"/>
      <c r="AO134" s="70"/>
      <c r="AP134" s="70"/>
      <c r="AQ134" s="70"/>
      <c r="AR134" s="70"/>
      <c r="AS134" s="70"/>
      <c r="AT134" s="70"/>
    </row>
    <row r="135" ht="15.75" customHeight="1">
      <c r="A135" s="70"/>
      <c r="B135" s="70"/>
      <c r="C135" s="70"/>
      <c r="D135" s="80"/>
      <c r="E135" s="70"/>
      <c r="F135" s="70"/>
      <c r="G135" s="72"/>
      <c r="H135" s="70"/>
      <c r="I135" s="70"/>
      <c r="J135" s="70"/>
      <c r="K135" s="70"/>
      <c r="L135" s="70"/>
      <c r="M135" s="70"/>
      <c r="N135" s="70"/>
      <c r="O135" s="70"/>
      <c r="P135" s="70"/>
      <c r="Q135" s="70"/>
      <c r="R135" s="70"/>
      <c r="S135" s="70"/>
      <c r="T135" s="91"/>
      <c r="U135" s="91"/>
      <c r="V135" s="70"/>
      <c r="W135" s="58"/>
      <c r="X135" s="58"/>
      <c r="Y135" s="70"/>
      <c r="Z135" s="83"/>
      <c r="AA135" s="70"/>
      <c r="AB135" s="70"/>
      <c r="AC135" s="70"/>
      <c r="AD135" s="70"/>
      <c r="AE135" s="70"/>
      <c r="AF135" s="70"/>
      <c r="AG135" s="70"/>
      <c r="AH135" s="70"/>
      <c r="AI135" s="70"/>
      <c r="AJ135" s="70"/>
      <c r="AK135" s="70"/>
      <c r="AL135" s="70"/>
      <c r="AM135" s="70"/>
      <c r="AN135" s="70"/>
      <c r="AO135" s="70"/>
      <c r="AP135" s="70"/>
      <c r="AQ135" s="70"/>
      <c r="AR135" s="70"/>
      <c r="AS135" s="70"/>
      <c r="AT135" s="70"/>
    </row>
    <row r="136" ht="15.75" customHeight="1">
      <c r="A136" s="70"/>
      <c r="B136" s="70"/>
      <c r="C136" s="70"/>
      <c r="D136" s="80"/>
      <c r="E136" s="70"/>
      <c r="F136" s="70"/>
      <c r="G136" s="72"/>
      <c r="H136" s="70"/>
      <c r="I136" s="70"/>
      <c r="J136" s="70"/>
      <c r="K136" s="70"/>
      <c r="L136" s="70"/>
      <c r="M136" s="70"/>
      <c r="N136" s="70"/>
      <c r="O136" s="70"/>
      <c r="P136" s="70"/>
      <c r="Q136" s="70"/>
      <c r="R136" s="70"/>
      <c r="S136" s="70"/>
      <c r="T136" s="91"/>
      <c r="U136" s="91"/>
      <c r="V136" s="70"/>
      <c r="W136" s="58"/>
      <c r="X136" s="58"/>
      <c r="Y136" s="70"/>
      <c r="Z136" s="83"/>
      <c r="AA136" s="70"/>
      <c r="AB136" s="70"/>
      <c r="AC136" s="70"/>
      <c r="AD136" s="70"/>
      <c r="AE136" s="70"/>
      <c r="AF136" s="70"/>
      <c r="AG136" s="70"/>
      <c r="AH136" s="70"/>
      <c r="AI136" s="70"/>
      <c r="AJ136" s="70"/>
      <c r="AK136" s="70"/>
      <c r="AL136" s="70"/>
      <c r="AM136" s="70"/>
      <c r="AN136" s="70"/>
      <c r="AO136" s="70"/>
      <c r="AP136" s="70"/>
      <c r="AQ136" s="70"/>
      <c r="AR136" s="70"/>
      <c r="AS136" s="70"/>
      <c r="AT136" s="70"/>
    </row>
    <row r="137" ht="15.75" customHeight="1">
      <c r="A137" s="70"/>
      <c r="B137" s="70"/>
      <c r="C137" s="70"/>
      <c r="D137" s="80"/>
      <c r="E137" s="70"/>
      <c r="F137" s="70"/>
      <c r="G137" s="72"/>
      <c r="H137" s="70"/>
      <c r="I137" s="70"/>
      <c r="J137" s="70"/>
      <c r="K137" s="70"/>
      <c r="L137" s="70"/>
      <c r="M137" s="70"/>
      <c r="N137" s="70"/>
      <c r="O137" s="70"/>
      <c r="P137" s="70"/>
      <c r="Q137" s="70"/>
      <c r="R137" s="70"/>
      <c r="S137" s="70"/>
      <c r="T137" s="91"/>
      <c r="U137" s="91"/>
      <c r="V137" s="70"/>
      <c r="W137" s="58"/>
      <c r="X137" s="58"/>
      <c r="Y137" s="70"/>
      <c r="Z137" s="83"/>
      <c r="AA137" s="70"/>
      <c r="AB137" s="70"/>
      <c r="AC137" s="70"/>
      <c r="AD137" s="70"/>
      <c r="AE137" s="70"/>
      <c r="AF137" s="70"/>
      <c r="AG137" s="70"/>
      <c r="AH137" s="70"/>
      <c r="AI137" s="70"/>
      <c r="AJ137" s="70"/>
      <c r="AK137" s="70"/>
      <c r="AL137" s="70"/>
      <c r="AM137" s="70"/>
      <c r="AN137" s="70"/>
      <c r="AO137" s="70"/>
      <c r="AP137" s="70"/>
      <c r="AQ137" s="70"/>
      <c r="AR137" s="70"/>
      <c r="AS137" s="70"/>
      <c r="AT137" s="70"/>
    </row>
    <row r="138" ht="15.75" customHeight="1">
      <c r="A138" s="70"/>
      <c r="B138" s="70"/>
      <c r="C138" s="70"/>
      <c r="D138" s="80"/>
      <c r="E138" s="70"/>
      <c r="F138" s="70"/>
      <c r="G138" s="72"/>
      <c r="H138" s="70"/>
      <c r="I138" s="70"/>
      <c r="J138" s="70"/>
      <c r="K138" s="70"/>
      <c r="L138" s="70"/>
      <c r="M138" s="70"/>
      <c r="N138" s="70"/>
      <c r="O138" s="70"/>
      <c r="P138" s="70"/>
      <c r="Q138" s="70"/>
      <c r="R138" s="70"/>
      <c r="S138" s="70"/>
      <c r="T138" s="91"/>
      <c r="U138" s="91"/>
      <c r="V138" s="70"/>
      <c r="W138" s="58"/>
      <c r="X138" s="58"/>
      <c r="Y138" s="70"/>
      <c r="Z138" s="83"/>
      <c r="AA138" s="70"/>
      <c r="AB138" s="70"/>
      <c r="AC138" s="70"/>
      <c r="AD138" s="70"/>
      <c r="AE138" s="70"/>
      <c r="AF138" s="70"/>
      <c r="AG138" s="70"/>
      <c r="AH138" s="70"/>
      <c r="AI138" s="70"/>
      <c r="AJ138" s="70"/>
      <c r="AK138" s="70"/>
      <c r="AL138" s="70"/>
      <c r="AM138" s="70"/>
      <c r="AN138" s="70"/>
      <c r="AO138" s="70"/>
      <c r="AP138" s="70"/>
      <c r="AQ138" s="70"/>
      <c r="AR138" s="70"/>
      <c r="AS138" s="70"/>
      <c r="AT138" s="70"/>
    </row>
    <row r="139" ht="15.75" customHeight="1">
      <c r="A139" s="70"/>
      <c r="B139" s="70"/>
      <c r="C139" s="70"/>
      <c r="D139" s="80"/>
      <c r="E139" s="70"/>
      <c r="F139" s="70"/>
      <c r="G139" s="72"/>
      <c r="H139" s="70"/>
      <c r="I139" s="70"/>
      <c r="J139" s="70"/>
      <c r="K139" s="70"/>
      <c r="L139" s="70"/>
      <c r="M139" s="70"/>
      <c r="N139" s="70"/>
      <c r="O139" s="70"/>
      <c r="P139" s="70"/>
      <c r="Q139" s="70"/>
      <c r="R139" s="70"/>
      <c r="S139" s="70"/>
      <c r="T139" s="91"/>
      <c r="U139" s="91"/>
      <c r="V139" s="70"/>
      <c r="W139" s="58"/>
      <c r="X139" s="58"/>
      <c r="Y139" s="70"/>
      <c r="Z139" s="83"/>
      <c r="AA139" s="70"/>
      <c r="AB139" s="70"/>
      <c r="AC139" s="70"/>
      <c r="AD139" s="70"/>
      <c r="AE139" s="70"/>
      <c r="AF139" s="70"/>
      <c r="AG139" s="70"/>
      <c r="AH139" s="70"/>
      <c r="AI139" s="70"/>
      <c r="AJ139" s="70"/>
      <c r="AK139" s="70"/>
      <c r="AL139" s="70"/>
      <c r="AM139" s="70"/>
      <c r="AN139" s="70"/>
      <c r="AO139" s="70"/>
      <c r="AP139" s="70"/>
      <c r="AQ139" s="70"/>
      <c r="AR139" s="70"/>
      <c r="AS139" s="70"/>
      <c r="AT139" s="70"/>
    </row>
    <row r="140" ht="15.75" customHeight="1">
      <c r="A140" s="70"/>
      <c r="B140" s="70"/>
      <c r="C140" s="70"/>
      <c r="D140" s="80"/>
      <c r="E140" s="70"/>
      <c r="F140" s="70"/>
      <c r="G140" s="72"/>
      <c r="H140" s="70"/>
      <c r="I140" s="70"/>
      <c r="J140" s="70"/>
      <c r="K140" s="70"/>
      <c r="L140" s="70"/>
      <c r="M140" s="70"/>
      <c r="N140" s="70"/>
      <c r="O140" s="70"/>
      <c r="P140" s="70"/>
      <c r="Q140" s="70"/>
      <c r="R140" s="70"/>
      <c r="S140" s="70"/>
      <c r="T140" s="91"/>
      <c r="U140" s="91"/>
      <c r="V140" s="70"/>
      <c r="W140" s="58"/>
      <c r="X140" s="58"/>
      <c r="Y140" s="70"/>
      <c r="Z140" s="83"/>
      <c r="AA140" s="70"/>
      <c r="AB140" s="70"/>
      <c r="AC140" s="70"/>
      <c r="AD140" s="70"/>
      <c r="AE140" s="70"/>
      <c r="AF140" s="70"/>
      <c r="AG140" s="70"/>
      <c r="AH140" s="70"/>
      <c r="AI140" s="70"/>
      <c r="AJ140" s="70"/>
      <c r="AK140" s="70"/>
      <c r="AL140" s="70"/>
      <c r="AM140" s="70"/>
      <c r="AN140" s="70"/>
      <c r="AO140" s="70"/>
      <c r="AP140" s="70"/>
      <c r="AQ140" s="70"/>
      <c r="AR140" s="70"/>
      <c r="AS140" s="70"/>
      <c r="AT140" s="70"/>
    </row>
    <row r="141" ht="15.75" customHeight="1">
      <c r="A141" s="70"/>
      <c r="B141" s="70"/>
      <c r="C141" s="70"/>
      <c r="D141" s="80"/>
      <c r="E141" s="70"/>
      <c r="F141" s="70"/>
      <c r="G141" s="72"/>
      <c r="H141" s="70"/>
      <c r="I141" s="70"/>
      <c r="J141" s="70"/>
      <c r="K141" s="70"/>
      <c r="L141" s="70"/>
      <c r="M141" s="70"/>
      <c r="N141" s="70"/>
      <c r="O141" s="70"/>
      <c r="P141" s="70"/>
      <c r="Q141" s="70"/>
      <c r="R141" s="70"/>
      <c r="S141" s="70"/>
      <c r="T141" s="91"/>
      <c r="U141" s="91"/>
      <c r="V141" s="70"/>
      <c r="W141" s="58"/>
      <c r="X141" s="58"/>
      <c r="Y141" s="70"/>
      <c r="Z141" s="83"/>
      <c r="AA141" s="70"/>
      <c r="AB141" s="70"/>
      <c r="AC141" s="70"/>
      <c r="AD141" s="70"/>
      <c r="AE141" s="70"/>
      <c r="AF141" s="70"/>
      <c r="AG141" s="70"/>
      <c r="AH141" s="70"/>
      <c r="AI141" s="70"/>
      <c r="AJ141" s="70"/>
      <c r="AK141" s="70"/>
      <c r="AL141" s="70"/>
      <c r="AM141" s="70"/>
      <c r="AN141" s="70"/>
      <c r="AO141" s="70"/>
      <c r="AP141" s="70"/>
      <c r="AQ141" s="70"/>
      <c r="AR141" s="70"/>
      <c r="AS141" s="70"/>
      <c r="AT141" s="70"/>
    </row>
    <row r="142" ht="15.75" customHeight="1">
      <c r="A142" s="70"/>
      <c r="B142" s="70"/>
      <c r="C142" s="70"/>
      <c r="D142" s="80"/>
      <c r="E142" s="70"/>
      <c r="F142" s="70"/>
      <c r="G142" s="72"/>
      <c r="H142" s="70"/>
      <c r="I142" s="70"/>
      <c r="J142" s="70"/>
      <c r="K142" s="70"/>
      <c r="L142" s="70"/>
      <c r="M142" s="70"/>
      <c r="N142" s="70"/>
      <c r="O142" s="70"/>
      <c r="P142" s="70"/>
      <c r="Q142" s="70"/>
      <c r="R142" s="70"/>
      <c r="S142" s="70"/>
      <c r="T142" s="91"/>
      <c r="U142" s="91"/>
      <c r="V142" s="70"/>
      <c r="W142" s="58"/>
      <c r="X142" s="58"/>
      <c r="Y142" s="70"/>
      <c r="Z142" s="83"/>
      <c r="AA142" s="70"/>
      <c r="AB142" s="70"/>
      <c r="AC142" s="70"/>
      <c r="AD142" s="70"/>
      <c r="AE142" s="70"/>
      <c r="AF142" s="70"/>
      <c r="AG142" s="70"/>
      <c r="AH142" s="70"/>
      <c r="AI142" s="70"/>
      <c r="AJ142" s="70"/>
      <c r="AK142" s="70"/>
      <c r="AL142" s="70"/>
      <c r="AM142" s="70"/>
      <c r="AN142" s="70"/>
      <c r="AO142" s="70"/>
      <c r="AP142" s="70"/>
      <c r="AQ142" s="70"/>
      <c r="AR142" s="70"/>
      <c r="AS142" s="70"/>
      <c r="AT142" s="70"/>
    </row>
    <row r="143" ht="15.75" customHeight="1">
      <c r="A143" s="70"/>
      <c r="B143" s="70"/>
      <c r="C143" s="70"/>
      <c r="D143" s="80"/>
      <c r="E143" s="70"/>
      <c r="F143" s="70"/>
      <c r="G143" s="72"/>
      <c r="H143" s="70"/>
      <c r="I143" s="70"/>
      <c r="J143" s="70"/>
      <c r="K143" s="70"/>
      <c r="L143" s="70"/>
      <c r="M143" s="70"/>
      <c r="N143" s="70"/>
      <c r="O143" s="70"/>
      <c r="P143" s="70"/>
      <c r="Q143" s="70"/>
      <c r="R143" s="70"/>
      <c r="S143" s="70"/>
      <c r="T143" s="91"/>
      <c r="U143" s="91"/>
      <c r="V143" s="70"/>
      <c r="W143" s="58"/>
      <c r="X143" s="58"/>
      <c r="Y143" s="70"/>
      <c r="Z143" s="83"/>
      <c r="AA143" s="70"/>
      <c r="AB143" s="70"/>
      <c r="AC143" s="70"/>
      <c r="AD143" s="70"/>
      <c r="AE143" s="70"/>
      <c r="AF143" s="70"/>
      <c r="AG143" s="70"/>
      <c r="AH143" s="70"/>
      <c r="AI143" s="70"/>
      <c r="AJ143" s="70"/>
      <c r="AK143" s="70"/>
      <c r="AL143" s="70"/>
      <c r="AM143" s="70"/>
      <c r="AN143" s="70"/>
      <c r="AO143" s="70"/>
      <c r="AP143" s="70"/>
      <c r="AQ143" s="70"/>
      <c r="AR143" s="70"/>
      <c r="AS143" s="70"/>
      <c r="AT143" s="70"/>
    </row>
    <row r="144" ht="15.75" customHeight="1">
      <c r="A144" s="70"/>
      <c r="B144" s="70"/>
      <c r="C144" s="70"/>
      <c r="D144" s="80"/>
      <c r="E144" s="70"/>
      <c r="F144" s="70"/>
      <c r="G144" s="72"/>
      <c r="H144" s="70"/>
      <c r="I144" s="70"/>
      <c r="J144" s="70"/>
      <c r="K144" s="70"/>
      <c r="L144" s="70"/>
      <c r="M144" s="70"/>
      <c r="N144" s="70"/>
      <c r="O144" s="70"/>
      <c r="P144" s="70"/>
      <c r="Q144" s="70"/>
      <c r="R144" s="70"/>
      <c r="S144" s="70"/>
      <c r="T144" s="91"/>
      <c r="U144" s="91"/>
      <c r="V144" s="70"/>
      <c r="W144" s="58"/>
      <c r="X144" s="58"/>
      <c r="Y144" s="70"/>
      <c r="Z144" s="83"/>
      <c r="AA144" s="70"/>
      <c r="AB144" s="70"/>
      <c r="AC144" s="70"/>
      <c r="AD144" s="70"/>
      <c r="AE144" s="70"/>
      <c r="AF144" s="70"/>
      <c r="AG144" s="70"/>
      <c r="AH144" s="70"/>
      <c r="AI144" s="70"/>
      <c r="AJ144" s="70"/>
      <c r="AK144" s="70"/>
      <c r="AL144" s="70"/>
      <c r="AM144" s="70"/>
      <c r="AN144" s="70"/>
      <c r="AO144" s="70"/>
      <c r="AP144" s="70"/>
      <c r="AQ144" s="70"/>
      <c r="AR144" s="70"/>
      <c r="AS144" s="70"/>
      <c r="AT144" s="70"/>
    </row>
    <row r="145" ht="15.75" customHeight="1">
      <c r="A145" s="70"/>
      <c r="B145" s="70"/>
      <c r="C145" s="70"/>
      <c r="D145" s="80"/>
      <c r="E145" s="70"/>
      <c r="F145" s="70"/>
      <c r="G145" s="72"/>
      <c r="H145" s="70"/>
      <c r="I145" s="70"/>
      <c r="J145" s="70"/>
      <c r="K145" s="70"/>
      <c r="L145" s="70"/>
      <c r="M145" s="70"/>
      <c r="N145" s="70"/>
      <c r="O145" s="70"/>
      <c r="P145" s="70"/>
      <c r="Q145" s="70"/>
      <c r="R145" s="70"/>
      <c r="S145" s="70"/>
      <c r="T145" s="91"/>
      <c r="U145" s="91"/>
      <c r="V145" s="70"/>
      <c r="W145" s="58"/>
      <c r="X145" s="58"/>
      <c r="Y145" s="70"/>
      <c r="Z145" s="83"/>
      <c r="AA145" s="70"/>
      <c r="AB145" s="70"/>
      <c r="AC145" s="70"/>
      <c r="AD145" s="70"/>
      <c r="AE145" s="70"/>
      <c r="AF145" s="70"/>
      <c r="AG145" s="70"/>
      <c r="AH145" s="70"/>
      <c r="AI145" s="70"/>
      <c r="AJ145" s="70"/>
      <c r="AK145" s="70"/>
      <c r="AL145" s="70"/>
      <c r="AM145" s="70"/>
      <c r="AN145" s="70"/>
      <c r="AO145" s="70"/>
      <c r="AP145" s="70"/>
      <c r="AQ145" s="70"/>
      <c r="AR145" s="70"/>
      <c r="AS145" s="70"/>
      <c r="AT145" s="70"/>
    </row>
    <row r="146" ht="15.75" customHeight="1">
      <c r="A146" s="70"/>
      <c r="B146" s="70"/>
      <c r="C146" s="70"/>
      <c r="D146" s="80"/>
      <c r="E146" s="70"/>
      <c r="F146" s="70"/>
      <c r="G146" s="72"/>
      <c r="H146" s="70"/>
      <c r="I146" s="70"/>
      <c r="J146" s="70"/>
      <c r="K146" s="70"/>
      <c r="L146" s="70"/>
      <c r="M146" s="70"/>
      <c r="N146" s="70"/>
      <c r="O146" s="70"/>
      <c r="P146" s="70"/>
      <c r="Q146" s="70"/>
      <c r="R146" s="70"/>
      <c r="S146" s="70"/>
      <c r="T146" s="91"/>
      <c r="U146" s="91"/>
      <c r="V146" s="70"/>
      <c r="W146" s="58"/>
      <c r="X146" s="58"/>
      <c r="Y146" s="70"/>
      <c r="Z146" s="83"/>
      <c r="AA146" s="70"/>
      <c r="AB146" s="70"/>
      <c r="AC146" s="70"/>
      <c r="AD146" s="70"/>
      <c r="AE146" s="70"/>
      <c r="AF146" s="70"/>
      <c r="AG146" s="70"/>
      <c r="AH146" s="70"/>
      <c r="AI146" s="70"/>
      <c r="AJ146" s="70"/>
      <c r="AK146" s="70"/>
      <c r="AL146" s="70"/>
      <c r="AM146" s="70"/>
      <c r="AN146" s="70"/>
      <c r="AO146" s="70"/>
      <c r="AP146" s="70"/>
      <c r="AQ146" s="70"/>
      <c r="AR146" s="70"/>
      <c r="AS146" s="70"/>
      <c r="AT146" s="70"/>
    </row>
    <row r="147" ht="15.75" customHeight="1">
      <c r="A147" s="70"/>
      <c r="B147" s="70"/>
      <c r="C147" s="70"/>
      <c r="D147" s="80"/>
      <c r="E147" s="70"/>
      <c r="F147" s="70"/>
      <c r="G147" s="72"/>
      <c r="H147" s="70"/>
      <c r="I147" s="70"/>
      <c r="J147" s="70"/>
      <c r="K147" s="70"/>
      <c r="L147" s="70"/>
      <c r="M147" s="70"/>
      <c r="N147" s="70"/>
      <c r="O147" s="70"/>
      <c r="P147" s="70"/>
      <c r="Q147" s="70"/>
      <c r="R147" s="70"/>
      <c r="S147" s="70"/>
      <c r="T147" s="91"/>
      <c r="U147" s="91"/>
      <c r="V147" s="70"/>
      <c r="W147" s="58"/>
      <c r="X147" s="58"/>
      <c r="Y147" s="70"/>
      <c r="Z147" s="83"/>
      <c r="AA147" s="70"/>
      <c r="AB147" s="70"/>
      <c r="AC147" s="70"/>
      <c r="AD147" s="70"/>
      <c r="AE147" s="70"/>
      <c r="AF147" s="70"/>
      <c r="AG147" s="70"/>
      <c r="AH147" s="70"/>
      <c r="AI147" s="70"/>
      <c r="AJ147" s="70"/>
      <c r="AK147" s="70"/>
      <c r="AL147" s="70"/>
      <c r="AM147" s="70"/>
      <c r="AN147" s="70"/>
      <c r="AO147" s="70"/>
      <c r="AP147" s="70"/>
      <c r="AQ147" s="70"/>
      <c r="AR147" s="70"/>
      <c r="AS147" s="70"/>
      <c r="AT147" s="70"/>
    </row>
    <row r="148" ht="15.75" customHeight="1">
      <c r="A148" s="70"/>
      <c r="B148" s="70"/>
      <c r="C148" s="70"/>
      <c r="D148" s="80"/>
      <c r="E148" s="70"/>
      <c r="F148" s="70"/>
      <c r="G148" s="72"/>
      <c r="H148" s="70"/>
      <c r="I148" s="70"/>
      <c r="J148" s="70"/>
      <c r="K148" s="70"/>
      <c r="L148" s="70"/>
      <c r="M148" s="70"/>
      <c r="N148" s="70"/>
      <c r="O148" s="70"/>
      <c r="P148" s="70"/>
      <c r="Q148" s="70"/>
      <c r="R148" s="70"/>
      <c r="S148" s="70"/>
      <c r="T148" s="91"/>
      <c r="U148" s="91"/>
      <c r="V148" s="70"/>
      <c r="W148" s="58"/>
      <c r="X148" s="58"/>
      <c r="Y148" s="70"/>
      <c r="Z148" s="83"/>
      <c r="AA148" s="70"/>
      <c r="AB148" s="70"/>
      <c r="AC148" s="70"/>
      <c r="AD148" s="70"/>
      <c r="AE148" s="70"/>
      <c r="AF148" s="70"/>
      <c r="AG148" s="70"/>
      <c r="AH148" s="70"/>
      <c r="AI148" s="70"/>
      <c r="AJ148" s="70"/>
      <c r="AK148" s="70"/>
      <c r="AL148" s="70"/>
      <c r="AM148" s="70"/>
      <c r="AN148" s="70"/>
      <c r="AO148" s="70"/>
      <c r="AP148" s="70"/>
      <c r="AQ148" s="70"/>
      <c r="AR148" s="70"/>
      <c r="AS148" s="70"/>
      <c r="AT148" s="70"/>
    </row>
    <row r="149" ht="15.75" customHeight="1">
      <c r="A149" s="70"/>
      <c r="B149" s="70"/>
      <c r="C149" s="70"/>
      <c r="D149" s="80"/>
      <c r="E149" s="70"/>
      <c r="F149" s="70"/>
      <c r="G149" s="72"/>
      <c r="H149" s="70"/>
      <c r="I149" s="70"/>
      <c r="J149" s="70"/>
      <c r="K149" s="70"/>
      <c r="L149" s="70"/>
      <c r="M149" s="70"/>
      <c r="N149" s="70"/>
      <c r="O149" s="70"/>
      <c r="P149" s="70"/>
      <c r="Q149" s="70"/>
      <c r="R149" s="70"/>
      <c r="S149" s="70"/>
      <c r="T149" s="91"/>
      <c r="U149" s="91"/>
      <c r="V149" s="70"/>
      <c r="W149" s="58"/>
      <c r="X149" s="58"/>
      <c r="Y149" s="70"/>
      <c r="Z149" s="83"/>
      <c r="AA149" s="70"/>
      <c r="AB149" s="70"/>
      <c r="AC149" s="70"/>
      <c r="AD149" s="70"/>
      <c r="AE149" s="70"/>
      <c r="AF149" s="70"/>
      <c r="AG149" s="70"/>
      <c r="AH149" s="70"/>
      <c r="AI149" s="70"/>
      <c r="AJ149" s="70"/>
      <c r="AK149" s="70"/>
      <c r="AL149" s="70"/>
      <c r="AM149" s="70"/>
      <c r="AN149" s="70"/>
      <c r="AO149" s="70"/>
      <c r="AP149" s="70"/>
      <c r="AQ149" s="70"/>
      <c r="AR149" s="70"/>
      <c r="AS149" s="70"/>
      <c r="AT149" s="70"/>
    </row>
    <row r="150" ht="15.75" customHeight="1">
      <c r="A150" s="70"/>
      <c r="B150" s="70"/>
      <c r="C150" s="70"/>
      <c r="D150" s="80"/>
      <c r="E150" s="70"/>
      <c r="F150" s="70"/>
      <c r="G150" s="72"/>
      <c r="H150" s="70"/>
      <c r="I150" s="70"/>
      <c r="J150" s="70"/>
      <c r="K150" s="70"/>
      <c r="L150" s="70"/>
      <c r="M150" s="70"/>
      <c r="N150" s="70"/>
      <c r="O150" s="70"/>
      <c r="P150" s="70"/>
      <c r="Q150" s="70"/>
      <c r="R150" s="70"/>
      <c r="S150" s="70"/>
      <c r="T150" s="91"/>
      <c r="U150" s="91"/>
      <c r="V150" s="70"/>
      <c r="W150" s="58"/>
      <c r="X150" s="58"/>
      <c r="Y150" s="70"/>
      <c r="Z150" s="83"/>
      <c r="AA150" s="70"/>
      <c r="AB150" s="70"/>
      <c r="AC150" s="70"/>
      <c r="AD150" s="70"/>
      <c r="AE150" s="70"/>
      <c r="AF150" s="70"/>
      <c r="AG150" s="70"/>
      <c r="AH150" s="70"/>
      <c r="AI150" s="70"/>
      <c r="AJ150" s="70"/>
      <c r="AK150" s="70"/>
      <c r="AL150" s="70"/>
      <c r="AM150" s="70"/>
      <c r="AN150" s="70"/>
      <c r="AO150" s="70"/>
      <c r="AP150" s="70"/>
      <c r="AQ150" s="70"/>
      <c r="AR150" s="70"/>
      <c r="AS150" s="70"/>
      <c r="AT150" s="70"/>
    </row>
    <row r="151" ht="15.75" customHeight="1">
      <c r="A151" s="70"/>
      <c r="B151" s="70"/>
      <c r="C151" s="70"/>
      <c r="D151" s="80"/>
      <c r="E151" s="70"/>
      <c r="F151" s="70"/>
      <c r="G151" s="72"/>
      <c r="H151" s="70"/>
      <c r="I151" s="70"/>
      <c r="J151" s="70"/>
      <c r="K151" s="70"/>
      <c r="L151" s="70"/>
      <c r="M151" s="70"/>
      <c r="N151" s="70"/>
      <c r="O151" s="70"/>
      <c r="P151" s="70"/>
      <c r="Q151" s="70"/>
      <c r="R151" s="70"/>
      <c r="S151" s="70"/>
      <c r="T151" s="91"/>
      <c r="U151" s="91"/>
      <c r="V151" s="70"/>
      <c r="W151" s="58"/>
      <c r="X151" s="58"/>
      <c r="Y151" s="70"/>
      <c r="Z151" s="83"/>
      <c r="AA151" s="70"/>
      <c r="AB151" s="70"/>
      <c r="AC151" s="70"/>
      <c r="AD151" s="70"/>
      <c r="AE151" s="70"/>
      <c r="AF151" s="70"/>
      <c r="AG151" s="70"/>
      <c r="AH151" s="70"/>
      <c r="AI151" s="70"/>
      <c r="AJ151" s="70"/>
      <c r="AK151" s="70"/>
      <c r="AL151" s="70"/>
      <c r="AM151" s="70"/>
      <c r="AN151" s="70"/>
      <c r="AO151" s="70"/>
      <c r="AP151" s="70"/>
      <c r="AQ151" s="70"/>
      <c r="AR151" s="70"/>
      <c r="AS151" s="70"/>
      <c r="AT151" s="70"/>
    </row>
    <row r="152" ht="15.75" customHeight="1">
      <c r="A152" s="70"/>
      <c r="B152" s="70"/>
      <c r="C152" s="70"/>
      <c r="D152" s="80"/>
      <c r="E152" s="70"/>
      <c r="F152" s="70"/>
      <c r="G152" s="72"/>
      <c r="H152" s="70"/>
      <c r="I152" s="70"/>
      <c r="J152" s="70"/>
      <c r="K152" s="70"/>
      <c r="L152" s="70"/>
      <c r="M152" s="70"/>
      <c r="N152" s="70"/>
      <c r="O152" s="70"/>
      <c r="P152" s="70"/>
      <c r="Q152" s="70"/>
      <c r="R152" s="70"/>
      <c r="S152" s="70"/>
      <c r="T152" s="91"/>
      <c r="U152" s="91"/>
      <c r="V152" s="70"/>
      <c r="W152" s="58"/>
      <c r="X152" s="58"/>
      <c r="Y152" s="70"/>
      <c r="Z152" s="83"/>
      <c r="AA152" s="70"/>
      <c r="AB152" s="70"/>
      <c r="AC152" s="70"/>
      <c r="AD152" s="70"/>
      <c r="AE152" s="70"/>
      <c r="AF152" s="70"/>
      <c r="AG152" s="70"/>
      <c r="AH152" s="70"/>
      <c r="AI152" s="70"/>
      <c r="AJ152" s="70"/>
      <c r="AK152" s="70"/>
      <c r="AL152" s="70"/>
      <c r="AM152" s="70"/>
      <c r="AN152" s="70"/>
      <c r="AO152" s="70"/>
      <c r="AP152" s="70"/>
      <c r="AQ152" s="70"/>
      <c r="AR152" s="70"/>
      <c r="AS152" s="70"/>
      <c r="AT152" s="70"/>
    </row>
    <row r="153" ht="15.75" customHeight="1">
      <c r="A153" s="70"/>
      <c r="B153" s="70"/>
      <c r="C153" s="70"/>
      <c r="D153" s="80"/>
      <c r="E153" s="70"/>
      <c r="F153" s="70"/>
      <c r="G153" s="72"/>
      <c r="H153" s="70"/>
      <c r="I153" s="70"/>
      <c r="J153" s="70"/>
      <c r="K153" s="70"/>
      <c r="L153" s="70"/>
      <c r="M153" s="70"/>
      <c r="N153" s="70"/>
      <c r="O153" s="70"/>
      <c r="P153" s="70"/>
      <c r="Q153" s="70"/>
      <c r="R153" s="70"/>
      <c r="S153" s="70"/>
      <c r="T153" s="91"/>
      <c r="U153" s="91"/>
      <c r="V153" s="70"/>
      <c r="W153" s="58"/>
      <c r="X153" s="58"/>
      <c r="Y153" s="70"/>
      <c r="Z153" s="83"/>
      <c r="AA153" s="70"/>
      <c r="AB153" s="70"/>
      <c r="AC153" s="70"/>
      <c r="AD153" s="70"/>
      <c r="AE153" s="70"/>
      <c r="AF153" s="70"/>
      <c r="AG153" s="70"/>
      <c r="AH153" s="70"/>
      <c r="AI153" s="70"/>
      <c r="AJ153" s="70"/>
      <c r="AK153" s="70"/>
      <c r="AL153" s="70"/>
      <c r="AM153" s="70"/>
      <c r="AN153" s="70"/>
      <c r="AO153" s="70"/>
      <c r="AP153" s="70"/>
      <c r="AQ153" s="70"/>
      <c r="AR153" s="70"/>
      <c r="AS153" s="70"/>
      <c r="AT153" s="70"/>
    </row>
    <row r="154" ht="15.75" customHeight="1">
      <c r="A154" s="70"/>
      <c r="B154" s="70"/>
      <c r="C154" s="70"/>
      <c r="D154" s="80"/>
      <c r="E154" s="70"/>
      <c r="F154" s="70"/>
      <c r="G154" s="72"/>
      <c r="H154" s="70"/>
      <c r="I154" s="70"/>
      <c r="J154" s="70"/>
      <c r="K154" s="70"/>
      <c r="L154" s="70"/>
      <c r="M154" s="70"/>
      <c r="N154" s="70"/>
      <c r="O154" s="70"/>
      <c r="P154" s="70"/>
      <c r="Q154" s="70"/>
      <c r="R154" s="70"/>
      <c r="S154" s="70"/>
      <c r="T154" s="91"/>
      <c r="U154" s="91"/>
      <c r="V154" s="70"/>
      <c r="W154" s="58"/>
      <c r="X154" s="58"/>
      <c r="Y154" s="70"/>
      <c r="Z154" s="83"/>
      <c r="AA154" s="70"/>
      <c r="AB154" s="70"/>
      <c r="AC154" s="70"/>
      <c r="AD154" s="70"/>
      <c r="AE154" s="70"/>
      <c r="AF154" s="70"/>
      <c r="AG154" s="70"/>
      <c r="AH154" s="70"/>
      <c r="AI154" s="70"/>
      <c r="AJ154" s="70"/>
      <c r="AK154" s="70"/>
      <c r="AL154" s="70"/>
      <c r="AM154" s="70"/>
      <c r="AN154" s="70"/>
      <c r="AO154" s="70"/>
      <c r="AP154" s="70"/>
      <c r="AQ154" s="70"/>
      <c r="AR154" s="70"/>
      <c r="AS154" s="70"/>
      <c r="AT154" s="70"/>
    </row>
    <row r="155" ht="15.75" customHeight="1">
      <c r="A155" s="70"/>
      <c r="B155" s="70"/>
      <c r="C155" s="70"/>
      <c r="D155" s="80"/>
      <c r="E155" s="70"/>
      <c r="F155" s="70"/>
      <c r="G155" s="72"/>
      <c r="H155" s="70"/>
      <c r="I155" s="70"/>
      <c r="J155" s="70"/>
      <c r="K155" s="70"/>
      <c r="L155" s="70"/>
      <c r="M155" s="70"/>
      <c r="N155" s="70"/>
      <c r="O155" s="70"/>
      <c r="P155" s="70"/>
      <c r="Q155" s="70"/>
      <c r="R155" s="70"/>
      <c r="S155" s="70"/>
      <c r="T155" s="91"/>
      <c r="U155" s="91"/>
      <c r="V155" s="70"/>
      <c r="W155" s="58"/>
      <c r="X155" s="58"/>
      <c r="Y155" s="70"/>
      <c r="Z155" s="83"/>
      <c r="AA155" s="70"/>
      <c r="AB155" s="70"/>
      <c r="AC155" s="70"/>
      <c r="AD155" s="70"/>
      <c r="AE155" s="70"/>
      <c r="AF155" s="70"/>
      <c r="AG155" s="70"/>
      <c r="AH155" s="70"/>
      <c r="AI155" s="70"/>
      <c r="AJ155" s="70"/>
      <c r="AK155" s="70"/>
      <c r="AL155" s="70"/>
      <c r="AM155" s="70"/>
      <c r="AN155" s="70"/>
      <c r="AO155" s="70"/>
      <c r="AP155" s="70"/>
      <c r="AQ155" s="70"/>
      <c r="AR155" s="70"/>
      <c r="AS155" s="70"/>
      <c r="AT155" s="70"/>
    </row>
    <row r="156" ht="15.75" customHeight="1">
      <c r="A156" s="70"/>
      <c r="B156" s="70"/>
      <c r="C156" s="70"/>
      <c r="D156" s="80"/>
      <c r="E156" s="70"/>
      <c r="F156" s="70"/>
      <c r="G156" s="72"/>
      <c r="H156" s="70"/>
      <c r="I156" s="70"/>
      <c r="J156" s="70"/>
      <c r="K156" s="70"/>
      <c r="L156" s="70"/>
      <c r="M156" s="70"/>
      <c r="N156" s="70"/>
      <c r="O156" s="70"/>
      <c r="P156" s="70"/>
      <c r="Q156" s="70"/>
      <c r="R156" s="70"/>
      <c r="S156" s="70"/>
      <c r="T156" s="91"/>
      <c r="U156" s="91"/>
      <c r="V156" s="70"/>
      <c r="W156" s="58"/>
      <c r="X156" s="58"/>
      <c r="Y156" s="70"/>
      <c r="Z156" s="83"/>
      <c r="AA156" s="70"/>
      <c r="AB156" s="70"/>
      <c r="AC156" s="70"/>
      <c r="AD156" s="70"/>
      <c r="AE156" s="70"/>
      <c r="AF156" s="70"/>
      <c r="AG156" s="70"/>
      <c r="AH156" s="70"/>
      <c r="AI156" s="70"/>
      <c r="AJ156" s="70"/>
      <c r="AK156" s="70"/>
      <c r="AL156" s="70"/>
      <c r="AM156" s="70"/>
      <c r="AN156" s="70"/>
      <c r="AO156" s="70"/>
      <c r="AP156" s="70"/>
      <c r="AQ156" s="70"/>
      <c r="AR156" s="70"/>
      <c r="AS156" s="70"/>
      <c r="AT156" s="70"/>
    </row>
    <row r="157" ht="15.75" customHeight="1">
      <c r="A157" s="70"/>
      <c r="B157" s="70"/>
      <c r="C157" s="70"/>
      <c r="D157" s="80"/>
      <c r="E157" s="70"/>
      <c r="F157" s="70"/>
      <c r="G157" s="72"/>
      <c r="H157" s="70"/>
      <c r="I157" s="70"/>
      <c r="J157" s="70"/>
      <c r="K157" s="70"/>
      <c r="L157" s="70"/>
      <c r="M157" s="70"/>
      <c r="N157" s="70"/>
      <c r="O157" s="70"/>
      <c r="P157" s="70"/>
      <c r="Q157" s="70"/>
      <c r="R157" s="70"/>
      <c r="S157" s="70"/>
      <c r="T157" s="91"/>
      <c r="U157" s="91"/>
      <c r="V157" s="70"/>
      <c r="W157" s="58"/>
      <c r="X157" s="58"/>
      <c r="Y157" s="70"/>
      <c r="Z157" s="83"/>
      <c r="AA157" s="70"/>
      <c r="AB157" s="70"/>
      <c r="AC157" s="70"/>
      <c r="AD157" s="70"/>
      <c r="AE157" s="70"/>
      <c r="AF157" s="70"/>
      <c r="AG157" s="70"/>
      <c r="AH157" s="70"/>
      <c r="AI157" s="70"/>
      <c r="AJ157" s="70"/>
      <c r="AK157" s="70"/>
      <c r="AL157" s="70"/>
      <c r="AM157" s="70"/>
      <c r="AN157" s="70"/>
      <c r="AO157" s="70"/>
      <c r="AP157" s="70"/>
      <c r="AQ157" s="70"/>
      <c r="AR157" s="70"/>
      <c r="AS157" s="70"/>
      <c r="AT157" s="70"/>
    </row>
    <row r="158" ht="15.75" customHeight="1">
      <c r="A158" s="70"/>
      <c r="B158" s="70"/>
      <c r="C158" s="70"/>
      <c r="D158" s="80"/>
      <c r="E158" s="70"/>
      <c r="F158" s="70"/>
      <c r="G158" s="72"/>
      <c r="H158" s="70"/>
      <c r="I158" s="70"/>
      <c r="J158" s="70"/>
      <c r="K158" s="70"/>
      <c r="L158" s="70"/>
      <c r="M158" s="70"/>
      <c r="N158" s="70"/>
      <c r="O158" s="70"/>
      <c r="P158" s="70"/>
      <c r="Q158" s="70"/>
      <c r="R158" s="70"/>
      <c r="S158" s="70"/>
      <c r="T158" s="91"/>
      <c r="U158" s="91"/>
      <c r="V158" s="70"/>
      <c r="W158" s="58"/>
      <c r="X158" s="58"/>
      <c r="Y158" s="70"/>
      <c r="Z158" s="83"/>
      <c r="AA158" s="70"/>
      <c r="AB158" s="70"/>
      <c r="AC158" s="70"/>
      <c r="AD158" s="70"/>
      <c r="AE158" s="70"/>
      <c r="AF158" s="70"/>
      <c r="AG158" s="70"/>
      <c r="AH158" s="70"/>
      <c r="AI158" s="70"/>
      <c r="AJ158" s="70"/>
      <c r="AK158" s="70"/>
      <c r="AL158" s="70"/>
      <c r="AM158" s="70"/>
      <c r="AN158" s="70"/>
      <c r="AO158" s="70"/>
      <c r="AP158" s="70"/>
      <c r="AQ158" s="70"/>
      <c r="AR158" s="70"/>
      <c r="AS158" s="70"/>
      <c r="AT158" s="70"/>
    </row>
    <row r="159" ht="15.75" customHeight="1">
      <c r="A159" s="70"/>
      <c r="B159" s="70"/>
      <c r="C159" s="70"/>
      <c r="D159" s="80"/>
      <c r="E159" s="70"/>
      <c r="F159" s="70"/>
      <c r="G159" s="72"/>
      <c r="H159" s="70"/>
      <c r="I159" s="70"/>
      <c r="J159" s="70"/>
      <c r="K159" s="70"/>
      <c r="L159" s="70"/>
      <c r="M159" s="70"/>
      <c r="N159" s="70"/>
      <c r="O159" s="70"/>
      <c r="P159" s="70"/>
      <c r="Q159" s="70"/>
      <c r="R159" s="70"/>
      <c r="S159" s="70"/>
      <c r="T159" s="91"/>
      <c r="U159" s="91"/>
      <c r="V159" s="70"/>
      <c r="W159" s="58"/>
      <c r="X159" s="58"/>
      <c r="Y159" s="70"/>
      <c r="Z159" s="83"/>
      <c r="AA159" s="70"/>
      <c r="AB159" s="70"/>
      <c r="AC159" s="70"/>
      <c r="AD159" s="70"/>
      <c r="AE159" s="70"/>
      <c r="AF159" s="70"/>
      <c r="AG159" s="70"/>
      <c r="AH159" s="70"/>
      <c r="AI159" s="70"/>
      <c r="AJ159" s="70"/>
      <c r="AK159" s="70"/>
      <c r="AL159" s="70"/>
      <c r="AM159" s="70"/>
      <c r="AN159" s="70"/>
      <c r="AO159" s="70"/>
      <c r="AP159" s="70"/>
      <c r="AQ159" s="70"/>
      <c r="AR159" s="70"/>
      <c r="AS159" s="70"/>
      <c r="AT159" s="70"/>
    </row>
    <row r="160" ht="15.75" customHeight="1">
      <c r="A160" s="70"/>
      <c r="B160" s="70"/>
      <c r="C160" s="70"/>
      <c r="D160" s="80"/>
      <c r="E160" s="70"/>
      <c r="F160" s="70"/>
      <c r="G160" s="72"/>
      <c r="H160" s="70"/>
      <c r="I160" s="70"/>
      <c r="J160" s="70"/>
      <c r="K160" s="70"/>
      <c r="L160" s="70"/>
      <c r="M160" s="70"/>
      <c r="N160" s="70"/>
      <c r="O160" s="70"/>
      <c r="P160" s="70"/>
      <c r="Q160" s="70"/>
      <c r="R160" s="70"/>
      <c r="S160" s="70"/>
      <c r="T160" s="91"/>
      <c r="U160" s="91"/>
      <c r="V160" s="70"/>
      <c r="W160" s="58"/>
      <c r="X160" s="58"/>
      <c r="Y160" s="70"/>
      <c r="Z160" s="83"/>
      <c r="AA160" s="70"/>
      <c r="AB160" s="70"/>
      <c r="AC160" s="70"/>
      <c r="AD160" s="70"/>
      <c r="AE160" s="70"/>
      <c r="AF160" s="70"/>
      <c r="AG160" s="70"/>
      <c r="AH160" s="70"/>
      <c r="AI160" s="70"/>
      <c r="AJ160" s="70"/>
      <c r="AK160" s="70"/>
      <c r="AL160" s="70"/>
      <c r="AM160" s="70"/>
      <c r="AN160" s="70"/>
      <c r="AO160" s="70"/>
      <c r="AP160" s="70"/>
      <c r="AQ160" s="70"/>
      <c r="AR160" s="70"/>
      <c r="AS160" s="70"/>
      <c r="AT160" s="70"/>
    </row>
    <row r="161" ht="15.75" customHeight="1">
      <c r="A161" s="70"/>
      <c r="B161" s="70"/>
      <c r="C161" s="70"/>
      <c r="D161" s="80"/>
      <c r="E161" s="70"/>
      <c r="F161" s="70"/>
      <c r="G161" s="72"/>
      <c r="H161" s="70"/>
      <c r="I161" s="70"/>
      <c r="J161" s="70"/>
      <c r="K161" s="70"/>
      <c r="L161" s="70"/>
      <c r="M161" s="70"/>
      <c r="N161" s="70"/>
      <c r="O161" s="70"/>
      <c r="P161" s="70"/>
      <c r="Q161" s="70"/>
      <c r="R161" s="70"/>
      <c r="S161" s="70"/>
      <c r="T161" s="91"/>
      <c r="U161" s="91"/>
      <c r="V161" s="70"/>
      <c r="W161" s="58"/>
      <c r="X161" s="58"/>
      <c r="Y161" s="70"/>
      <c r="Z161" s="83"/>
      <c r="AA161" s="70"/>
      <c r="AB161" s="70"/>
      <c r="AC161" s="70"/>
      <c r="AD161" s="70"/>
      <c r="AE161" s="70"/>
      <c r="AF161" s="70"/>
      <c r="AG161" s="70"/>
      <c r="AH161" s="70"/>
      <c r="AI161" s="70"/>
      <c r="AJ161" s="70"/>
      <c r="AK161" s="70"/>
      <c r="AL161" s="70"/>
      <c r="AM161" s="70"/>
      <c r="AN161" s="70"/>
      <c r="AO161" s="70"/>
      <c r="AP161" s="70"/>
      <c r="AQ161" s="70"/>
      <c r="AR161" s="70"/>
      <c r="AS161" s="70"/>
      <c r="AT161" s="70"/>
    </row>
    <row r="162" ht="15.75" customHeight="1">
      <c r="A162" s="70"/>
      <c r="B162" s="70"/>
      <c r="C162" s="70"/>
      <c r="D162" s="80"/>
      <c r="E162" s="70"/>
      <c r="F162" s="70"/>
      <c r="G162" s="72"/>
      <c r="H162" s="70"/>
      <c r="I162" s="70"/>
      <c r="J162" s="70"/>
      <c r="K162" s="70"/>
      <c r="L162" s="70"/>
      <c r="M162" s="70"/>
      <c r="N162" s="70"/>
      <c r="O162" s="70"/>
      <c r="P162" s="70"/>
      <c r="Q162" s="70"/>
      <c r="R162" s="70"/>
      <c r="S162" s="70"/>
      <c r="T162" s="91"/>
      <c r="U162" s="91"/>
      <c r="V162" s="70"/>
      <c r="W162" s="58"/>
      <c r="X162" s="58"/>
      <c r="Y162" s="70"/>
      <c r="Z162" s="83"/>
      <c r="AA162" s="70"/>
      <c r="AB162" s="70"/>
      <c r="AC162" s="70"/>
      <c r="AD162" s="70"/>
      <c r="AE162" s="70"/>
      <c r="AF162" s="70"/>
      <c r="AG162" s="70"/>
      <c r="AH162" s="70"/>
      <c r="AI162" s="70"/>
      <c r="AJ162" s="70"/>
      <c r="AK162" s="70"/>
      <c r="AL162" s="70"/>
      <c r="AM162" s="70"/>
      <c r="AN162" s="70"/>
      <c r="AO162" s="70"/>
      <c r="AP162" s="70"/>
      <c r="AQ162" s="70"/>
      <c r="AR162" s="70"/>
      <c r="AS162" s="70"/>
      <c r="AT162" s="70"/>
    </row>
    <row r="163" ht="15.75" customHeight="1">
      <c r="A163" s="70"/>
      <c r="B163" s="70"/>
      <c r="C163" s="70"/>
      <c r="D163" s="80"/>
      <c r="E163" s="70"/>
      <c r="F163" s="70"/>
      <c r="G163" s="72"/>
      <c r="H163" s="70"/>
      <c r="I163" s="70"/>
      <c r="J163" s="70"/>
      <c r="K163" s="70"/>
      <c r="L163" s="70"/>
      <c r="M163" s="70"/>
      <c r="N163" s="70"/>
      <c r="O163" s="70"/>
      <c r="P163" s="70"/>
      <c r="Q163" s="70"/>
      <c r="R163" s="70"/>
      <c r="S163" s="70"/>
      <c r="T163" s="91"/>
      <c r="U163" s="91"/>
      <c r="V163" s="70"/>
      <c r="W163" s="58"/>
      <c r="X163" s="58"/>
      <c r="Y163" s="70"/>
      <c r="Z163" s="83"/>
      <c r="AA163" s="70"/>
      <c r="AB163" s="70"/>
      <c r="AC163" s="70"/>
      <c r="AD163" s="70"/>
      <c r="AE163" s="70"/>
      <c r="AF163" s="70"/>
      <c r="AG163" s="70"/>
      <c r="AH163" s="70"/>
      <c r="AI163" s="70"/>
      <c r="AJ163" s="70"/>
      <c r="AK163" s="70"/>
      <c r="AL163" s="70"/>
      <c r="AM163" s="70"/>
      <c r="AN163" s="70"/>
      <c r="AO163" s="70"/>
      <c r="AP163" s="70"/>
      <c r="AQ163" s="70"/>
      <c r="AR163" s="70"/>
      <c r="AS163" s="70"/>
      <c r="AT163" s="70"/>
    </row>
    <row r="164" ht="15.75" customHeight="1">
      <c r="A164" s="70"/>
      <c r="B164" s="70"/>
      <c r="C164" s="70"/>
      <c r="D164" s="80"/>
      <c r="E164" s="70"/>
      <c r="F164" s="70"/>
      <c r="G164" s="70"/>
      <c r="H164" s="70"/>
      <c r="I164" s="70"/>
      <c r="J164" s="70"/>
      <c r="K164" s="70"/>
      <c r="L164" s="70"/>
      <c r="M164" s="70"/>
      <c r="N164" s="70"/>
      <c r="O164" s="70"/>
      <c r="P164" s="70"/>
      <c r="Q164" s="70"/>
      <c r="R164" s="70"/>
      <c r="S164" s="70"/>
      <c r="T164" s="91"/>
      <c r="U164" s="91"/>
      <c r="V164" s="70"/>
      <c r="W164" s="58"/>
      <c r="X164" s="58"/>
      <c r="Y164" s="70"/>
      <c r="Z164" s="83"/>
      <c r="AA164" s="70"/>
      <c r="AB164" s="70"/>
      <c r="AC164" s="70"/>
      <c r="AD164" s="70"/>
      <c r="AE164" s="70"/>
      <c r="AF164" s="70"/>
      <c r="AG164" s="70"/>
      <c r="AH164" s="70"/>
      <c r="AI164" s="70"/>
      <c r="AJ164" s="70"/>
      <c r="AK164" s="70"/>
      <c r="AL164" s="70"/>
      <c r="AM164" s="70"/>
      <c r="AN164" s="70"/>
      <c r="AO164" s="70"/>
      <c r="AP164" s="70"/>
      <c r="AQ164" s="70"/>
      <c r="AR164" s="70"/>
      <c r="AS164" s="70"/>
      <c r="AT164" s="70"/>
    </row>
    <row r="165" ht="15.75" customHeight="1">
      <c r="A165" s="70"/>
      <c r="B165" s="70"/>
      <c r="C165" s="70"/>
      <c r="D165" s="80"/>
      <c r="E165" s="70"/>
      <c r="F165" s="70"/>
      <c r="G165" s="70"/>
      <c r="H165" s="70"/>
      <c r="I165" s="70"/>
      <c r="J165" s="70"/>
      <c r="K165" s="70"/>
      <c r="L165" s="70"/>
      <c r="M165" s="70"/>
      <c r="N165" s="70"/>
      <c r="O165" s="70"/>
      <c r="P165" s="70"/>
      <c r="Q165" s="70"/>
      <c r="R165" s="70"/>
      <c r="S165" s="70"/>
      <c r="T165" s="91"/>
      <c r="U165" s="91"/>
      <c r="V165" s="70"/>
      <c r="W165" s="58"/>
      <c r="X165" s="58"/>
      <c r="Y165" s="70"/>
      <c r="Z165" s="83"/>
      <c r="AA165" s="70"/>
      <c r="AB165" s="70"/>
      <c r="AC165" s="70"/>
      <c r="AD165" s="70"/>
      <c r="AE165" s="70"/>
      <c r="AF165" s="70"/>
      <c r="AG165" s="70"/>
      <c r="AH165" s="70"/>
      <c r="AI165" s="70"/>
      <c r="AJ165" s="70"/>
      <c r="AK165" s="70"/>
      <c r="AL165" s="70"/>
      <c r="AM165" s="70"/>
      <c r="AN165" s="70"/>
      <c r="AO165" s="70"/>
      <c r="AP165" s="70"/>
      <c r="AQ165" s="70"/>
      <c r="AR165" s="70"/>
      <c r="AS165" s="70"/>
      <c r="AT165" s="70"/>
    </row>
    <row r="166" ht="15.75" customHeight="1">
      <c r="A166" s="70"/>
      <c r="B166" s="70"/>
      <c r="C166" s="70"/>
      <c r="D166" s="80"/>
      <c r="E166" s="70"/>
      <c r="F166" s="70"/>
      <c r="G166" s="70"/>
      <c r="H166" s="70"/>
      <c r="I166" s="70"/>
      <c r="J166" s="70"/>
      <c r="K166" s="70"/>
      <c r="L166" s="70"/>
      <c r="M166" s="70"/>
      <c r="N166" s="70"/>
      <c r="O166" s="70"/>
      <c r="P166" s="70"/>
      <c r="Q166" s="70"/>
      <c r="R166" s="70"/>
      <c r="S166" s="70"/>
      <c r="T166" s="91"/>
      <c r="U166" s="91"/>
      <c r="V166" s="70"/>
      <c r="W166" s="58"/>
      <c r="X166" s="58"/>
      <c r="Y166" s="70"/>
      <c r="Z166" s="83"/>
      <c r="AA166" s="70"/>
      <c r="AB166" s="70"/>
      <c r="AC166" s="70"/>
      <c r="AD166" s="70"/>
      <c r="AE166" s="70"/>
      <c r="AF166" s="70"/>
      <c r="AG166" s="70"/>
      <c r="AH166" s="70"/>
      <c r="AI166" s="70"/>
      <c r="AJ166" s="70"/>
      <c r="AK166" s="70"/>
      <c r="AL166" s="70"/>
      <c r="AM166" s="70"/>
      <c r="AN166" s="70"/>
      <c r="AO166" s="70"/>
      <c r="AP166" s="70"/>
      <c r="AQ166" s="70"/>
      <c r="AR166" s="70"/>
      <c r="AS166" s="70"/>
      <c r="AT166" s="70"/>
    </row>
    <row r="167" ht="15.75" customHeight="1">
      <c r="A167" s="70"/>
      <c r="B167" s="70"/>
      <c r="C167" s="70"/>
      <c r="D167" s="80"/>
      <c r="E167" s="70"/>
      <c r="F167" s="70"/>
      <c r="G167" s="70"/>
      <c r="H167" s="70"/>
      <c r="I167" s="70"/>
      <c r="J167" s="70"/>
      <c r="K167" s="70"/>
      <c r="L167" s="70"/>
      <c r="M167" s="70"/>
      <c r="N167" s="70"/>
      <c r="O167" s="70"/>
      <c r="P167" s="70"/>
      <c r="Q167" s="70"/>
      <c r="R167" s="70"/>
      <c r="S167" s="70"/>
      <c r="T167" s="91"/>
      <c r="U167" s="91"/>
      <c r="V167" s="70"/>
      <c r="W167" s="58"/>
      <c r="X167" s="58"/>
      <c r="Y167" s="70"/>
      <c r="Z167" s="83"/>
      <c r="AA167" s="70"/>
      <c r="AB167" s="70"/>
      <c r="AC167" s="70"/>
      <c r="AD167" s="70"/>
      <c r="AE167" s="70"/>
      <c r="AF167" s="70"/>
      <c r="AG167" s="70"/>
      <c r="AH167" s="70"/>
      <c r="AI167" s="70"/>
      <c r="AJ167" s="70"/>
      <c r="AK167" s="70"/>
      <c r="AL167" s="70"/>
      <c r="AM167" s="70"/>
      <c r="AN167" s="70"/>
      <c r="AO167" s="70"/>
      <c r="AP167" s="70"/>
      <c r="AQ167" s="70"/>
      <c r="AR167" s="70"/>
      <c r="AS167" s="70"/>
      <c r="AT167" s="70"/>
    </row>
    <row r="168" ht="15.75" customHeight="1">
      <c r="A168" s="70"/>
      <c r="B168" s="70"/>
      <c r="C168" s="70"/>
      <c r="D168" s="80"/>
      <c r="E168" s="70"/>
      <c r="F168" s="70"/>
      <c r="G168" s="70"/>
      <c r="H168" s="70"/>
      <c r="I168" s="70"/>
      <c r="J168" s="70"/>
      <c r="K168" s="70"/>
      <c r="L168" s="70"/>
      <c r="M168" s="70"/>
      <c r="N168" s="70"/>
      <c r="O168" s="70"/>
      <c r="P168" s="70"/>
      <c r="Q168" s="70"/>
      <c r="R168" s="70"/>
      <c r="S168" s="70"/>
      <c r="T168" s="91"/>
      <c r="U168" s="91"/>
      <c r="V168" s="70"/>
      <c r="W168" s="58"/>
      <c r="X168" s="58"/>
      <c r="Y168" s="70"/>
      <c r="Z168" s="83"/>
      <c r="AA168" s="70"/>
      <c r="AB168" s="70"/>
      <c r="AC168" s="70"/>
      <c r="AD168" s="70"/>
      <c r="AE168" s="70"/>
      <c r="AF168" s="70"/>
      <c r="AG168" s="70"/>
      <c r="AH168" s="70"/>
      <c r="AI168" s="70"/>
      <c r="AJ168" s="70"/>
      <c r="AK168" s="70"/>
      <c r="AL168" s="70"/>
      <c r="AM168" s="70"/>
      <c r="AN168" s="70"/>
      <c r="AO168" s="70"/>
      <c r="AP168" s="70"/>
      <c r="AQ168" s="70"/>
      <c r="AR168" s="70"/>
      <c r="AS168" s="70"/>
      <c r="AT168" s="70"/>
    </row>
    <row r="169" ht="15.75" customHeight="1">
      <c r="A169" s="70"/>
      <c r="B169" s="70"/>
      <c r="C169" s="70"/>
      <c r="D169" s="80"/>
      <c r="E169" s="70"/>
      <c r="F169" s="70"/>
      <c r="G169" s="70"/>
      <c r="H169" s="70"/>
      <c r="I169" s="70"/>
      <c r="J169" s="70"/>
      <c r="K169" s="70"/>
      <c r="L169" s="70"/>
      <c r="M169" s="70"/>
      <c r="N169" s="70"/>
      <c r="O169" s="70"/>
      <c r="P169" s="70"/>
      <c r="Q169" s="70"/>
      <c r="R169" s="70"/>
      <c r="S169" s="70"/>
      <c r="T169" s="91"/>
      <c r="U169" s="91"/>
      <c r="V169" s="70"/>
      <c r="W169" s="58"/>
      <c r="X169" s="58"/>
      <c r="Y169" s="70"/>
      <c r="Z169" s="83"/>
      <c r="AA169" s="70"/>
      <c r="AB169" s="70"/>
      <c r="AC169" s="70"/>
      <c r="AD169" s="70"/>
      <c r="AE169" s="70"/>
      <c r="AF169" s="70"/>
      <c r="AG169" s="70"/>
      <c r="AH169" s="70"/>
      <c r="AI169" s="70"/>
      <c r="AJ169" s="70"/>
      <c r="AK169" s="70"/>
      <c r="AL169" s="70"/>
      <c r="AM169" s="70"/>
      <c r="AN169" s="70"/>
      <c r="AO169" s="70"/>
      <c r="AP169" s="70"/>
      <c r="AQ169" s="70"/>
      <c r="AR169" s="70"/>
      <c r="AS169" s="70"/>
      <c r="AT169" s="70"/>
    </row>
    <row r="170" ht="15.75" customHeight="1">
      <c r="A170" s="70"/>
      <c r="B170" s="70"/>
      <c r="C170" s="70"/>
      <c r="D170" s="80"/>
      <c r="E170" s="70"/>
      <c r="F170" s="70"/>
      <c r="G170" s="70"/>
      <c r="H170" s="70"/>
      <c r="I170" s="70"/>
      <c r="J170" s="70"/>
      <c r="K170" s="70"/>
      <c r="L170" s="70"/>
      <c r="M170" s="70"/>
      <c r="N170" s="70"/>
      <c r="O170" s="70"/>
      <c r="P170" s="70"/>
      <c r="Q170" s="70"/>
      <c r="R170" s="70"/>
      <c r="S170" s="70"/>
      <c r="T170" s="91"/>
      <c r="U170" s="91"/>
      <c r="V170" s="70"/>
      <c r="W170" s="58"/>
      <c r="X170" s="58"/>
      <c r="Y170" s="70"/>
      <c r="Z170" s="83"/>
      <c r="AA170" s="70"/>
      <c r="AB170" s="70"/>
      <c r="AC170" s="70"/>
      <c r="AD170" s="70"/>
      <c r="AE170" s="70"/>
      <c r="AF170" s="70"/>
      <c r="AG170" s="70"/>
      <c r="AH170" s="70"/>
      <c r="AI170" s="70"/>
      <c r="AJ170" s="70"/>
      <c r="AK170" s="70"/>
      <c r="AL170" s="70"/>
      <c r="AM170" s="70"/>
      <c r="AN170" s="70"/>
      <c r="AO170" s="70"/>
      <c r="AP170" s="70"/>
      <c r="AQ170" s="70"/>
      <c r="AR170" s="70"/>
      <c r="AS170" s="70"/>
      <c r="AT170" s="70"/>
    </row>
    <row r="171" ht="15.75" customHeight="1">
      <c r="A171" s="70"/>
      <c r="B171" s="70"/>
      <c r="C171" s="70"/>
      <c r="D171" s="80"/>
      <c r="E171" s="70"/>
      <c r="F171" s="70"/>
      <c r="G171" s="70"/>
      <c r="H171" s="70"/>
      <c r="I171" s="70"/>
      <c r="J171" s="70"/>
      <c r="K171" s="70"/>
      <c r="L171" s="70"/>
      <c r="M171" s="70"/>
      <c r="N171" s="70"/>
      <c r="O171" s="70"/>
      <c r="P171" s="70"/>
      <c r="Q171" s="70"/>
      <c r="R171" s="70"/>
      <c r="S171" s="70"/>
      <c r="T171" s="91"/>
      <c r="U171" s="91"/>
      <c r="V171" s="70"/>
      <c r="W171" s="58"/>
      <c r="X171" s="58"/>
      <c r="Y171" s="70"/>
      <c r="Z171" s="83"/>
      <c r="AA171" s="70"/>
      <c r="AB171" s="70"/>
      <c r="AC171" s="70"/>
      <c r="AD171" s="70"/>
      <c r="AE171" s="70"/>
      <c r="AF171" s="70"/>
      <c r="AG171" s="70"/>
      <c r="AH171" s="70"/>
      <c r="AI171" s="70"/>
      <c r="AJ171" s="70"/>
      <c r="AK171" s="70"/>
      <c r="AL171" s="70"/>
      <c r="AM171" s="70"/>
      <c r="AN171" s="70"/>
      <c r="AO171" s="70"/>
      <c r="AP171" s="70"/>
      <c r="AQ171" s="70"/>
      <c r="AR171" s="70"/>
      <c r="AS171" s="70"/>
      <c r="AT171" s="70"/>
    </row>
    <row r="172" ht="15.75" customHeight="1">
      <c r="A172" s="70"/>
      <c r="B172" s="70"/>
      <c r="C172" s="70"/>
      <c r="D172" s="80"/>
      <c r="E172" s="70"/>
      <c r="F172" s="70"/>
      <c r="G172" s="70"/>
      <c r="H172" s="70"/>
      <c r="I172" s="70"/>
      <c r="J172" s="70"/>
      <c r="K172" s="70"/>
      <c r="L172" s="70"/>
      <c r="M172" s="70"/>
      <c r="N172" s="70"/>
      <c r="O172" s="70"/>
      <c r="P172" s="70"/>
      <c r="Q172" s="70"/>
      <c r="R172" s="70"/>
      <c r="S172" s="70"/>
      <c r="T172" s="91"/>
      <c r="U172" s="91"/>
      <c r="V172" s="70"/>
      <c r="W172" s="58"/>
      <c r="X172" s="58"/>
      <c r="Y172" s="70"/>
      <c r="Z172" s="83"/>
      <c r="AA172" s="70"/>
      <c r="AB172" s="70"/>
      <c r="AC172" s="70"/>
      <c r="AD172" s="70"/>
      <c r="AE172" s="70"/>
      <c r="AF172" s="70"/>
      <c r="AG172" s="70"/>
      <c r="AH172" s="70"/>
      <c r="AI172" s="70"/>
      <c r="AJ172" s="70"/>
      <c r="AK172" s="70"/>
      <c r="AL172" s="70"/>
      <c r="AM172" s="70"/>
      <c r="AN172" s="70"/>
      <c r="AO172" s="70"/>
      <c r="AP172" s="70"/>
      <c r="AQ172" s="70"/>
      <c r="AR172" s="70"/>
      <c r="AS172" s="70"/>
      <c r="AT172" s="70"/>
    </row>
    <row r="173" ht="15.75" customHeight="1">
      <c r="A173" s="70"/>
      <c r="B173" s="70"/>
      <c r="C173" s="70"/>
      <c r="D173" s="80"/>
      <c r="E173" s="70"/>
      <c r="F173" s="70"/>
      <c r="G173" s="70"/>
      <c r="H173" s="70"/>
      <c r="I173" s="70"/>
      <c r="J173" s="70"/>
      <c r="K173" s="70"/>
      <c r="L173" s="70"/>
      <c r="M173" s="70"/>
      <c r="N173" s="70"/>
      <c r="O173" s="70"/>
      <c r="P173" s="70"/>
      <c r="Q173" s="70"/>
      <c r="R173" s="70"/>
      <c r="S173" s="70"/>
      <c r="T173" s="91"/>
      <c r="U173" s="91"/>
      <c r="V173" s="70"/>
      <c r="W173" s="58"/>
      <c r="X173" s="58"/>
      <c r="Y173" s="70"/>
      <c r="Z173" s="83"/>
      <c r="AA173" s="70"/>
      <c r="AB173" s="70"/>
      <c r="AC173" s="70"/>
      <c r="AD173" s="70"/>
      <c r="AE173" s="70"/>
      <c r="AF173" s="70"/>
      <c r="AG173" s="70"/>
      <c r="AH173" s="70"/>
      <c r="AI173" s="70"/>
      <c r="AJ173" s="70"/>
      <c r="AK173" s="70"/>
      <c r="AL173" s="70"/>
      <c r="AM173" s="70"/>
      <c r="AN173" s="70"/>
      <c r="AO173" s="70"/>
      <c r="AP173" s="70"/>
      <c r="AQ173" s="70"/>
      <c r="AR173" s="70"/>
      <c r="AS173" s="70"/>
      <c r="AT173" s="70"/>
    </row>
    <row r="174" ht="15.75" customHeight="1">
      <c r="A174" s="70"/>
      <c r="B174" s="70"/>
      <c r="C174" s="70"/>
      <c r="D174" s="80"/>
      <c r="E174" s="70"/>
      <c r="F174" s="70"/>
      <c r="G174" s="70"/>
      <c r="H174" s="70"/>
      <c r="I174" s="70"/>
      <c r="J174" s="70"/>
      <c r="K174" s="70"/>
      <c r="L174" s="70"/>
      <c r="M174" s="70"/>
      <c r="N174" s="70"/>
      <c r="O174" s="70"/>
      <c r="P174" s="70"/>
      <c r="Q174" s="70"/>
      <c r="R174" s="70"/>
      <c r="S174" s="70"/>
      <c r="T174" s="91"/>
      <c r="U174" s="91"/>
      <c r="V174" s="70"/>
      <c r="W174" s="58"/>
      <c r="X174" s="58"/>
      <c r="Y174" s="70"/>
      <c r="Z174" s="83"/>
      <c r="AA174" s="70"/>
      <c r="AB174" s="70"/>
      <c r="AC174" s="70"/>
      <c r="AD174" s="70"/>
      <c r="AE174" s="70"/>
      <c r="AF174" s="70"/>
      <c r="AG174" s="70"/>
      <c r="AH174" s="70"/>
      <c r="AI174" s="70"/>
      <c r="AJ174" s="70"/>
      <c r="AK174" s="70"/>
      <c r="AL174" s="70"/>
      <c r="AM174" s="70"/>
      <c r="AN174" s="70"/>
      <c r="AO174" s="70"/>
      <c r="AP174" s="70"/>
      <c r="AQ174" s="70"/>
      <c r="AR174" s="70"/>
      <c r="AS174" s="70"/>
      <c r="AT174" s="70"/>
    </row>
    <row r="175" ht="15.75" customHeight="1">
      <c r="A175" s="70"/>
      <c r="B175" s="70"/>
      <c r="C175" s="70"/>
      <c r="D175" s="80"/>
      <c r="E175" s="70"/>
      <c r="F175" s="70"/>
      <c r="G175" s="70"/>
      <c r="H175" s="70"/>
      <c r="I175" s="70"/>
      <c r="J175" s="70"/>
      <c r="K175" s="70"/>
      <c r="L175" s="70"/>
      <c r="M175" s="70"/>
      <c r="N175" s="70"/>
      <c r="O175" s="70"/>
      <c r="P175" s="70"/>
      <c r="Q175" s="70"/>
      <c r="R175" s="70"/>
      <c r="S175" s="70"/>
      <c r="T175" s="91"/>
      <c r="U175" s="91"/>
      <c r="V175" s="70"/>
      <c r="W175" s="58"/>
      <c r="X175" s="58"/>
      <c r="Y175" s="70"/>
      <c r="Z175" s="83"/>
      <c r="AA175" s="70"/>
      <c r="AB175" s="70"/>
      <c r="AC175" s="70"/>
      <c r="AD175" s="70"/>
      <c r="AE175" s="70"/>
      <c r="AF175" s="70"/>
      <c r="AG175" s="70"/>
      <c r="AH175" s="70"/>
      <c r="AI175" s="70"/>
      <c r="AJ175" s="70"/>
      <c r="AK175" s="70"/>
      <c r="AL175" s="70"/>
      <c r="AM175" s="70"/>
      <c r="AN175" s="70"/>
      <c r="AO175" s="70"/>
      <c r="AP175" s="70"/>
      <c r="AQ175" s="70"/>
      <c r="AR175" s="70"/>
      <c r="AS175" s="70"/>
      <c r="AT175" s="70"/>
    </row>
    <row r="176" ht="15.75" customHeight="1">
      <c r="A176" s="70"/>
      <c r="B176" s="70"/>
      <c r="C176" s="70"/>
      <c r="D176" s="80"/>
      <c r="E176" s="70"/>
      <c r="F176" s="70"/>
      <c r="G176" s="70"/>
      <c r="H176" s="70"/>
      <c r="I176" s="70"/>
      <c r="J176" s="70"/>
      <c r="K176" s="70"/>
      <c r="L176" s="70"/>
      <c r="M176" s="70"/>
      <c r="N176" s="70"/>
      <c r="O176" s="70"/>
      <c r="P176" s="70"/>
      <c r="Q176" s="70"/>
      <c r="R176" s="70"/>
      <c r="S176" s="70"/>
      <c r="T176" s="91"/>
      <c r="U176" s="91"/>
      <c r="V176" s="70"/>
      <c r="W176" s="58"/>
      <c r="X176" s="58"/>
      <c r="Y176" s="70"/>
      <c r="Z176" s="83"/>
      <c r="AA176" s="70"/>
      <c r="AB176" s="70"/>
      <c r="AC176" s="70"/>
      <c r="AD176" s="70"/>
      <c r="AE176" s="70"/>
      <c r="AF176" s="70"/>
      <c r="AG176" s="70"/>
      <c r="AH176" s="70"/>
      <c r="AI176" s="70"/>
      <c r="AJ176" s="70"/>
      <c r="AK176" s="70"/>
      <c r="AL176" s="70"/>
      <c r="AM176" s="70"/>
      <c r="AN176" s="70"/>
      <c r="AO176" s="70"/>
      <c r="AP176" s="70"/>
      <c r="AQ176" s="70"/>
      <c r="AR176" s="70"/>
      <c r="AS176" s="70"/>
      <c r="AT176" s="70"/>
    </row>
    <row r="177" ht="15.75" customHeight="1">
      <c r="A177" s="70"/>
      <c r="B177" s="70"/>
      <c r="C177" s="70"/>
      <c r="D177" s="80"/>
      <c r="E177" s="70"/>
      <c r="F177" s="70"/>
      <c r="G177" s="70"/>
      <c r="H177" s="70"/>
      <c r="I177" s="70"/>
      <c r="J177" s="70"/>
      <c r="K177" s="70"/>
      <c r="L177" s="70"/>
      <c r="M177" s="70"/>
      <c r="N177" s="70"/>
      <c r="O177" s="70"/>
      <c r="P177" s="70"/>
      <c r="Q177" s="70"/>
      <c r="R177" s="70"/>
      <c r="S177" s="70"/>
      <c r="T177" s="91"/>
      <c r="U177" s="91"/>
      <c r="V177" s="70"/>
      <c r="W177" s="58"/>
      <c r="X177" s="58"/>
      <c r="Y177" s="70"/>
      <c r="Z177" s="83"/>
      <c r="AA177" s="70"/>
      <c r="AB177" s="70"/>
      <c r="AC177" s="70"/>
      <c r="AD177" s="70"/>
      <c r="AE177" s="70"/>
      <c r="AF177" s="70"/>
      <c r="AG177" s="70"/>
      <c r="AH177" s="70"/>
      <c r="AI177" s="70"/>
      <c r="AJ177" s="70"/>
      <c r="AK177" s="70"/>
      <c r="AL177" s="70"/>
      <c r="AM177" s="70"/>
      <c r="AN177" s="70"/>
      <c r="AO177" s="70"/>
      <c r="AP177" s="70"/>
      <c r="AQ177" s="70"/>
      <c r="AR177" s="70"/>
      <c r="AS177" s="70"/>
      <c r="AT177" s="70"/>
    </row>
    <row r="178" ht="15.75" customHeight="1">
      <c r="A178" s="70"/>
      <c r="B178" s="70"/>
      <c r="C178" s="70"/>
      <c r="D178" s="80"/>
      <c r="E178" s="70"/>
      <c r="F178" s="70"/>
      <c r="G178" s="70"/>
      <c r="H178" s="70"/>
      <c r="I178" s="70"/>
      <c r="J178" s="70"/>
      <c r="K178" s="70"/>
      <c r="L178" s="70"/>
      <c r="M178" s="70"/>
      <c r="N178" s="70"/>
      <c r="O178" s="70"/>
      <c r="P178" s="70"/>
      <c r="Q178" s="70"/>
      <c r="R178" s="70"/>
      <c r="S178" s="70"/>
      <c r="T178" s="91"/>
      <c r="U178" s="91"/>
      <c r="V178" s="70"/>
      <c r="W178" s="58"/>
      <c r="X178" s="58"/>
      <c r="Y178" s="70"/>
      <c r="Z178" s="83"/>
      <c r="AA178" s="70"/>
      <c r="AB178" s="70"/>
      <c r="AC178" s="70"/>
      <c r="AD178" s="70"/>
      <c r="AE178" s="70"/>
      <c r="AF178" s="70"/>
      <c r="AG178" s="70"/>
      <c r="AH178" s="70"/>
      <c r="AI178" s="70"/>
      <c r="AJ178" s="70"/>
      <c r="AK178" s="70"/>
      <c r="AL178" s="70"/>
      <c r="AM178" s="70"/>
      <c r="AN178" s="70"/>
      <c r="AO178" s="70"/>
      <c r="AP178" s="70"/>
      <c r="AQ178" s="70"/>
      <c r="AR178" s="70"/>
      <c r="AS178" s="70"/>
      <c r="AT178" s="70"/>
    </row>
    <row r="179" ht="15.75" customHeight="1">
      <c r="A179" s="70"/>
      <c r="B179" s="70"/>
      <c r="C179" s="70"/>
      <c r="D179" s="80"/>
      <c r="E179" s="70"/>
      <c r="F179" s="70"/>
      <c r="G179" s="70"/>
      <c r="H179" s="70"/>
      <c r="I179" s="70"/>
      <c r="J179" s="70"/>
      <c r="K179" s="70"/>
      <c r="L179" s="70"/>
      <c r="M179" s="70"/>
      <c r="N179" s="70"/>
      <c r="O179" s="70"/>
      <c r="P179" s="70"/>
      <c r="Q179" s="70"/>
      <c r="R179" s="70"/>
      <c r="S179" s="70"/>
      <c r="T179" s="91"/>
      <c r="U179" s="91"/>
      <c r="V179" s="70"/>
      <c r="W179" s="58"/>
      <c r="X179" s="58"/>
      <c r="Y179" s="70"/>
      <c r="Z179" s="83"/>
      <c r="AA179" s="70"/>
      <c r="AB179" s="70"/>
      <c r="AC179" s="70"/>
      <c r="AD179" s="70"/>
      <c r="AE179" s="70"/>
      <c r="AF179" s="70"/>
      <c r="AG179" s="70"/>
      <c r="AH179" s="70"/>
      <c r="AI179" s="70"/>
      <c r="AJ179" s="70"/>
      <c r="AK179" s="70"/>
      <c r="AL179" s="70"/>
      <c r="AM179" s="70"/>
      <c r="AN179" s="70"/>
      <c r="AO179" s="70"/>
      <c r="AP179" s="70"/>
      <c r="AQ179" s="70"/>
      <c r="AR179" s="70"/>
      <c r="AS179" s="70"/>
      <c r="AT179" s="70"/>
    </row>
    <row r="180" ht="15.75" customHeight="1">
      <c r="A180" s="70"/>
      <c r="B180" s="70"/>
      <c r="C180" s="70"/>
      <c r="D180" s="80"/>
      <c r="E180" s="70"/>
      <c r="F180" s="70"/>
      <c r="G180" s="70"/>
      <c r="H180" s="70"/>
      <c r="I180" s="70"/>
      <c r="J180" s="70"/>
      <c r="K180" s="70"/>
      <c r="L180" s="70"/>
      <c r="M180" s="70"/>
      <c r="N180" s="70"/>
      <c r="O180" s="70"/>
      <c r="P180" s="70"/>
      <c r="Q180" s="70"/>
      <c r="R180" s="70"/>
      <c r="S180" s="70"/>
      <c r="T180" s="91"/>
      <c r="U180" s="91"/>
      <c r="V180" s="70"/>
      <c r="W180" s="58"/>
      <c r="X180" s="58"/>
      <c r="Y180" s="70"/>
      <c r="Z180" s="83"/>
      <c r="AA180" s="70"/>
      <c r="AB180" s="70"/>
      <c r="AC180" s="70"/>
      <c r="AD180" s="70"/>
      <c r="AE180" s="70"/>
      <c r="AF180" s="70"/>
      <c r="AG180" s="70"/>
      <c r="AH180" s="70"/>
      <c r="AI180" s="70"/>
      <c r="AJ180" s="70"/>
      <c r="AK180" s="70"/>
      <c r="AL180" s="70"/>
      <c r="AM180" s="70"/>
      <c r="AN180" s="70"/>
      <c r="AO180" s="70"/>
      <c r="AP180" s="70"/>
      <c r="AQ180" s="70"/>
      <c r="AR180" s="70"/>
      <c r="AS180" s="70"/>
      <c r="AT180" s="70"/>
    </row>
    <row r="181" ht="15.75" customHeight="1">
      <c r="A181" s="70"/>
      <c r="B181" s="70"/>
      <c r="C181" s="70"/>
      <c r="D181" s="80"/>
      <c r="E181" s="70"/>
      <c r="F181" s="70"/>
      <c r="G181" s="70"/>
      <c r="H181" s="70"/>
      <c r="I181" s="70"/>
      <c r="J181" s="70"/>
      <c r="K181" s="70"/>
      <c r="L181" s="70"/>
      <c r="M181" s="70"/>
      <c r="N181" s="70"/>
      <c r="O181" s="70"/>
      <c r="P181" s="70"/>
      <c r="Q181" s="70"/>
      <c r="R181" s="70"/>
      <c r="S181" s="70"/>
      <c r="T181" s="91"/>
      <c r="U181" s="91"/>
      <c r="V181" s="70"/>
      <c r="W181" s="58"/>
      <c r="X181" s="58"/>
      <c r="Y181" s="70"/>
      <c r="Z181" s="83"/>
      <c r="AA181" s="70"/>
      <c r="AB181" s="70"/>
      <c r="AC181" s="70"/>
      <c r="AD181" s="70"/>
      <c r="AE181" s="70"/>
      <c r="AF181" s="70"/>
      <c r="AG181" s="70"/>
      <c r="AH181" s="70"/>
      <c r="AI181" s="70"/>
      <c r="AJ181" s="70"/>
      <c r="AK181" s="70"/>
      <c r="AL181" s="70"/>
      <c r="AM181" s="70"/>
      <c r="AN181" s="70"/>
      <c r="AO181" s="70"/>
      <c r="AP181" s="70"/>
      <c r="AQ181" s="70"/>
      <c r="AR181" s="70"/>
      <c r="AS181" s="70"/>
      <c r="AT181" s="70"/>
    </row>
    <row r="182" ht="15.75" customHeight="1">
      <c r="A182" s="70"/>
      <c r="B182" s="70"/>
      <c r="C182" s="70"/>
      <c r="D182" s="80"/>
      <c r="E182" s="70"/>
      <c r="F182" s="70"/>
      <c r="G182" s="70"/>
      <c r="H182" s="70"/>
      <c r="I182" s="70"/>
      <c r="J182" s="70"/>
      <c r="K182" s="70"/>
      <c r="L182" s="70"/>
      <c r="M182" s="70"/>
      <c r="N182" s="70"/>
      <c r="O182" s="70"/>
      <c r="P182" s="70"/>
      <c r="Q182" s="70"/>
      <c r="R182" s="70"/>
      <c r="S182" s="70"/>
      <c r="T182" s="91"/>
      <c r="U182" s="91"/>
      <c r="V182" s="70"/>
      <c r="W182" s="58"/>
      <c r="X182" s="58"/>
      <c r="Y182" s="70"/>
      <c r="Z182" s="83"/>
      <c r="AA182" s="70"/>
      <c r="AB182" s="70"/>
      <c r="AC182" s="70"/>
      <c r="AD182" s="70"/>
      <c r="AE182" s="70"/>
      <c r="AF182" s="70"/>
      <c r="AG182" s="70"/>
      <c r="AH182" s="70"/>
      <c r="AI182" s="70"/>
      <c r="AJ182" s="70"/>
      <c r="AK182" s="70"/>
      <c r="AL182" s="70"/>
      <c r="AM182" s="70"/>
      <c r="AN182" s="70"/>
      <c r="AO182" s="70"/>
      <c r="AP182" s="70"/>
      <c r="AQ182" s="70"/>
      <c r="AR182" s="70"/>
      <c r="AS182" s="70"/>
      <c r="AT182" s="70"/>
    </row>
    <row r="183" ht="15.75" customHeight="1">
      <c r="A183" s="70"/>
      <c r="B183" s="70"/>
      <c r="C183" s="70"/>
      <c r="D183" s="80"/>
      <c r="E183" s="70"/>
      <c r="F183" s="70"/>
      <c r="G183" s="70"/>
      <c r="H183" s="70"/>
      <c r="I183" s="70"/>
      <c r="J183" s="70"/>
      <c r="K183" s="70"/>
      <c r="L183" s="70"/>
      <c r="M183" s="70"/>
      <c r="N183" s="70"/>
      <c r="O183" s="70"/>
      <c r="P183" s="70"/>
      <c r="Q183" s="70"/>
      <c r="R183" s="70"/>
      <c r="S183" s="70"/>
      <c r="T183" s="91"/>
      <c r="U183" s="91"/>
      <c r="V183" s="70"/>
      <c r="W183" s="58"/>
      <c r="X183" s="58"/>
      <c r="Y183" s="70"/>
      <c r="Z183" s="83"/>
      <c r="AA183" s="70"/>
      <c r="AB183" s="70"/>
      <c r="AC183" s="70"/>
      <c r="AD183" s="70"/>
      <c r="AE183" s="70"/>
      <c r="AF183" s="70"/>
      <c r="AG183" s="70"/>
      <c r="AH183" s="70"/>
      <c r="AI183" s="70"/>
      <c r="AJ183" s="70"/>
      <c r="AK183" s="70"/>
      <c r="AL183" s="70"/>
      <c r="AM183" s="70"/>
      <c r="AN183" s="70"/>
      <c r="AO183" s="70"/>
      <c r="AP183" s="70"/>
      <c r="AQ183" s="70"/>
      <c r="AR183" s="70"/>
      <c r="AS183" s="70"/>
      <c r="AT183" s="70"/>
    </row>
    <row r="184" ht="15.75" customHeight="1">
      <c r="A184" s="70"/>
      <c r="B184" s="70"/>
      <c r="C184" s="70"/>
      <c r="D184" s="80"/>
      <c r="E184" s="70"/>
      <c r="F184" s="70"/>
      <c r="G184" s="70"/>
      <c r="H184" s="70"/>
      <c r="I184" s="70"/>
      <c r="J184" s="70"/>
      <c r="K184" s="70"/>
      <c r="L184" s="70"/>
      <c r="M184" s="70"/>
      <c r="N184" s="70"/>
      <c r="O184" s="70"/>
      <c r="P184" s="70"/>
      <c r="Q184" s="70"/>
      <c r="R184" s="70"/>
      <c r="S184" s="70"/>
      <c r="T184" s="91"/>
      <c r="U184" s="91"/>
      <c r="V184" s="70"/>
      <c r="W184" s="58"/>
      <c r="X184" s="58"/>
      <c r="Y184" s="70"/>
      <c r="Z184" s="83"/>
      <c r="AA184" s="70"/>
      <c r="AB184" s="70"/>
      <c r="AC184" s="70"/>
      <c r="AD184" s="70"/>
      <c r="AE184" s="70"/>
      <c r="AF184" s="70"/>
      <c r="AG184" s="70"/>
      <c r="AH184" s="70"/>
      <c r="AI184" s="70"/>
      <c r="AJ184" s="70"/>
      <c r="AK184" s="70"/>
      <c r="AL184" s="70"/>
      <c r="AM184" s="70"/>
      <c r="AN184" s="70"/>
      <c r="AO184" s="70"/>
      <c r="AP184" s="70"/>
      <c r="AQ184" s="70"/>
      <c r="AR184" s="70"/>
      <c r="AS184" s="70"/>
      <c r="AT184" s="70"/>
    </row>
    <row r="185" ht="15.75" customHeight="1">
      <c r="A185" s="70"/>
      <c r="B185" s="70"/>
      <c r="C185" s="70"/>
      <c r="D185" s="80"/>
      <c r="E185" s="70"/>
      <c r="F185" s="70"/>
      <c r="G185" s="70"/>
      <c r="H185" s="70"/>
      <c r="I185" s="70"/>
      <c r="J185" s="70"/>
      <c r="K185" s="70"/>
      <c r="L185" s="70"/>
      <c r="M185" s="70"/>
      <c r="N185" s="70"/>
      <c r="O185" s="70"/>
      <c r="P185" s="70"/>
      <c r="Q185" s="70"/>
      <c r="R185" s="70"/>
      <c r="S185" s="70"/>
      <c r="T185" s="91"/>
      <c r="U185" s="91"/>
      <c r="V185" s="70"/>
      <c r="W185" s="58"/>
      <c r="X185" s="58"/>
      <c r="Y185" s="70"/>
      <c r="Z185" s="83"/>
      <c r="AA185" s="70"/>
      <c r="AB185" s="70"/>
      <c r="AC185" s="70"/>
      <c r="AD185" s="70"/>
      <c r="AE185" s="70"/>
      <c r="AF185" s="70"/>
      <c r="AG185" s="70"/>
      <c r="AH185" s="70"/>
      <c r="AI185" s="70"/>
      <c r="AJ185" s="70"/>
      <c r="AK185" s="70"/>
      <c r="AL185" s="70"/>
      <c r="AM185" s="70"/>
      <c r="AN185" s="70"/>
      <c r="AO185" s="70"/>
      <c r="AP185" s="70"/>
      <c r="AQ185" s="70"/>
      <c r="AR185" s="70"/>
      <c r="AS185" s="70"/>
      <c r="AT185" s="70"/>
    </row>
    <row r="186" ht="15.75" customHeight="1">
      <c r="A186" s="70"/>
      <c r="B186" s="70"/>
      <c r="C186" s="70"/>
      <c r="D186" s="80"/>
      <c r="E186" s="70"/>
      <c r="F186" s="70"/>
      <c r="G186" s="70"/>
      <c r="H186" s="70"/>
      <c r="I186" s="70"/>
      <c r="J186" s="70"/>
      <c r="K186" s="70"/>
      <c r="L186" s="70"/>
      <c r="M186" s="70"/>
      <c r="N186" s="70"/>
      <c r="O186" s="70"/>
      <c r="P186" s="70"/>
      <c r="Q186" s="70"/>
      <c r="R186" s="70"/>
      <c r="S186" s="70"/>
      <c r="T186" s="91"/>
      <c r="U186" s="91"/>
      <c r="V186" s="70"/>
      <c r="W186" s="58"/>
      <c r="X186" s="58"/>
      <c r="Y186" s="70"/>
      <c r="Z186" s="83"/>
      <c r="AA186" s="70"/>
      <c r="AB186" s="70"/>
      <c r="AC186" s="70"/>
      <c r="AD186" s="70"/>
      <c r="AE186" s="70"/>
      <c r="AF186" s="70"/>
      <c r="AG186" s="70"/>
      <c r="AH186" s="70"/>
      <c r="AI186" s="70"/>
      <c r="AJ186" s="70"/>
      <c r="AK186" s="70"/>
      <c r="AL186" s="70"/>
      <c r="AM186" s="70"/>
      <c r="AN186" s="70"/>
      <c r="AO186" s="70"/>
      <c r="AP186" s="70"/>
      <c r="AQ186" s="70"/>
      <c r="AR186" s="70"/>
      <c r="AS186" s="70"/>
      <c r="AT186" s="70"/>
    </row>
    <row r="187" ht="15.75" customHeight="1">
      <c r="A187" s="70"/>
      <c r="B187" s="70"/>
      <c r="C187" s="70"/>
      <c r="D187" s="80"/>
      <c r="E187" s="70"/>
      <c r="F187" s="70"/>
      <c r="G187" s="70"/>
      <c r="H187" s="70"/>
      <c r="I187" s="70"/>
      <c r="J187" s="70"/>
      <c r="K187" s="70"/>
      <c r="L187" s="70"/>
      <c r="M187" s="70"/>
      <c r="N187" s="70"/>
      <c r="O187" s="70"/>
      <c r="P187" s="70"/>
      <c r="Q187" s="70"/>
      <c r="R187" s="70"/>
      <c r="S187" s="70"/>
      <c r="T187" s="91"/>
      <c r="U187" s="91"/>
      <c r="V187" s="70"/>
      <c r="W187" s="58"/>
      <c r="X187" s="58"/>
      <c r="Y187" s="70"/>
      <c r="Z187" s="83"/>
      <c r="AA187" s="70"/>
      <c r="AB187" s="70"/>
      <c r="AC187" s="70"/>
      <c r="AD187" s="70"/>
      <c r="AE187" s="70"/>
      <c r="AF187" s="70"/>
      <c r="AG187" s="70"/>
      <c r="AH187" s="70"/>
      <c r="AI187" s="70"/>
      <c r="AJ187" s="70"/>
      <c r="AK187" s="70"/>
      <c r="AL187" s="70"/>
      <c r="AM187" s="70"/>
      <c r="AN187" s="70"/>
      <c r="AO187" s="70"/>
      <c r="AP187" s="70"/>
      <c r="AQ187" s="70"/>
      <c r="AR187" s="70"/>
      <c r="AS187" s="70"/>
      <c r="AT187" s="70"/>
    </row>
    <row r="188" ht="15.75" customHeight="1">
      <c r="A188" s="70"/>
      <c r="B188" s="70"/>
      <c r="C188" s="70"/>
      <c r="D188" s="80"/>
      <c r="E188" s="70"/>
      <c r="F188" s="70"/>
      <c r="G188" s="70"/>
      <c r="H188" s="70"/>
      <c r="I188" s="70"/>
      <c r="J188" s="70"/>
      <c r="K188" s="70"/>
      <c r="L188" s="70"/>
      <c r="M188" s="70"/>
      <c r="N188" s="70"/>
      <c r="O188" s="70"/>
      <c r="P188" s="70"/>
      <c r="Q188" s="70"/>
      <c r="R188" s="70"/>
      <c r="S188" s="70"/>
      <c r="T188" s="91"/>
      <c r="U188" s="91"/>
      <c r="V188" s="70"/>
      <c r="W188" s="58"/>
      <c r="X188" s="58"/>
      <c r="Y188" s="70"/>
      <c r="Z188" s="83"/>
      <c r="AA188" s="70"/>
      <c r="AB188" s="70"/>
      <c r="AC188" s="70"/>
      <c r="AD188" s="70"/>
      <c r="AE188" s="70"/>
      <c r="AF188" s="70"/>
      <c r="AG188" s="70"/>
      <c r="AH188" s="70"/>
      <c r="AI188" s="70"/>
      <c r="AJ188" s="70"/>
      <c r="AK188" s="70"/>
      <c r="AL188" s="70"/>
      <c r="AM188" s="70"/>
      <c r="AN188" s="70"/>
      <c r="AO188" s="70"/>
      <c r="AP188" s="70"/>
      <c r="AQ188" s="70"/>
      <c r="AR188" s="70"/>
      <c r="AS188" s="70"/>
      <c r="AT188" s="70"/>
    </row>
    <row r="189" ht="15.75" customHeight="1">
      <c r="A189" s="70"/>
      <c r="B189" s="70"/>
      <c r="C189" s="70"/>
      <c r="D189" s="80"/>
      <c r="E189" s="70"/>
      <c r="F189" s="70"/>
      <c r="G189" s="70"/>
      <c r="H189" s="70"/>
      <c r="I189" s="70"/>
      <c r="J189" s="70"/>
      <c r="K189" s="70"/>
      <c r="L189" s="70"/>
      <c r="M189" s="70"/>
      <c r="N189" s="70"/>
      <c r="O189" s="70"/>
      <c r="P189" s="70"/>
      <c r="Q189" s="70"/>
      <c r="R189" s="70"/>
      <c r="S189" s="70"/>
      <c r="T189" s="91"/>
      <c r="U189" s="91"/>
      <c r="V189" s="70"/>
      <c r="W189" s="58"/>
      <c r="X189" s="58"/>
      <c r="Y189" s="70"/>
      <c r="Z189" s="83"/>
      <c r="AA189" s="70"/>
      <c r="AB189" s="70"/>
      <c r="AC189" s="70"/>
      <c r="AD189" s="70"/>
      <c r="AE189" s="70"/>
      <c r="AF189" s="70"/>
      <c r="AG189" s="70"/>
      <c r="AH189" s="70"/>
      <c r="AI189" s="70"/>
      <c r="AJ189" s="70"/>
      <c r="AK189" s="70"/>
      <c r="AL189" s="70"/>
      <c r="AM189" s="70"/>
      <c r="AN189" s="70"/>
      <c r="AO189" s="70"/>
      <c r="AP189" s="70"/>
      <c r="AQ189" s="70"/>
      <c r="AR189" s="70"/>
      <c r="AS189" s="70"/>
      <c r="AT189" s="70"/>
    </row>
    <row r="190" ht="15.75" customHeight="1">
      <c r="A190" s="70"/>
      <c r="B190" s="70"/>
      <c r="C190" s="70"/>
      <c r="D190" s="80"/>
      <c r="E190" s="70"/>
      <c r="F190" s="70"/>
      <c r="G190" s="70"/>
      <c r="H190" s="70"/>
      <c r="I190" s="70"/>
      <c r="J190" s="70"/>
      <c r="K190" s="70"/>
      <c r="L190" s="70"/>
      <c r="M190" s="70"/>
      <c r="N190" s="70"/>
      <c r="O190" s="70"/>
      <c r="P190" s="70"/>
      <c r="Q190" s="70"/>
      <c r="R190" s="70"/>
      <c r="S190" s="70"/>
      <c r="T190" s="91"/>
      <c r="U190" s="91"/>
      <c r="V190" s="70"/>
      <c r="W190" s="58"/>
      <c r="X190" s="58"/>
      <c r="Y190" s="70"/>
      <c r="Z190" s="83"/>
      <c r="AA190" s="70"/>
      <c r="AB190" s="70"/>
      <c r="AC190" s="70"/>
      <c r="AD190" s="70"/>
      <c r="AE190" s="70"/>
      <c r="AF190" s="70"/>
      <c r="AG190" s="70"/>
      <c r="AH190" s="70"/>
      <c r="AI190" s="70"/>
      <c r="AJ190" s="70"/>
      <c r="AK190" s="70"/>
      <c r="AL190" s="70"/>
      <c r="AM190" s="70"/>
      <c r="AN190" s="70"/>
      <c r="AO190" s="70"/>
      <c r="AP190" s="70"/>
      <c r="AQ190" s="70"/>
      <c r="AR190" s="70"/>
      <c r="AS190" s="70"/>
      <c r="AT190" s="70"/>
    </row>
    <row r="191" ht="15.75" customHeight="1">
      <c r="A191" s="70"/>
      <c r="B191" s="70"/>
      <c r="C191" s="70"/>
      <c r="D191" s="80"/>
      <c r="E191" s="70"/>
      <c r="F191" s="70"/>
      <c r="G191" s="70"/>
      <c r="H191" s="70"/>
      <c r="I191" s="70"/>
      <c r="J191" s="70"/>
      <c r="K191" s="70"/>
      <c r="L191" s="70"/>
      <c r="M191" s="70"/>
      <c r="N191" s="70"/>
      <c r="O191" s="70"/>
      <c r="P191" s="70"/>
      <c r="Q191" s="70"/>
      <c r="R191" s="70"/>
      <c r="S191" s="70"/>
      <c r="T191" s="91"/>
      <c r="U191" s="91"/>
      <c r="V191" s="70"/>
      <c r="W191" s="58"/>
      <c r="X191" s="58"/>
      <c r="Y191" s="70"/>
      <c r="Z191" s="83"/>
      <c r="AA191" s="70"/>
      <c r="AB191" s="70"/>
      <c r="AC191" s="70"/>
      <c r="AD191" s="70"/>
      <c r="AE191" s="70"/>
      <c r="AF191" s="70"/>
      <c r="AG191" s="70"/>
      <c r="AH191" s="70"/>
      <c r="AI191" s="70"/>
      <c r="AJ191" s="70"/>
      <c r="AK191" s="70"/>
      <c r="AL191" s="70"/>
      <c r="AM191" s="70"/>
      <c r="AN191" s="70"/>
      <c r="AO191" s="70"/>
      <c r="AP191" s="70"/>
      <c r="AQ191" s="70"/>
      <c r="AR191" s="70"/>
      <c r="AS191" s="70"/>
      <c r="AT191" s="70"/>
    </row>
    <row r="192" ht="15.75" customHeight="1">
      <c r="A192" s="70"/>
      <c r="B192" s="70"/>
      <c r="C192" s="70"/>
      <c r="D192" s="80"/>
      <c r="E192" s="70"/>
      <c r="F192" s="70"/>
      <c r="G192" s="70"/>
      <c r="H192" s="70"/>
      <c r="I192" s="70"/>
      <c r="J192" s="70"/>
      <c r="K192" s="70"/>
      <c r="L192" s="70"/>
      <c r="M192" s="70"/>
      <c r="N192" s="70"/>
      <c r="O192" s="70"/>
      <c r="P192" s="70"/>
      <c r="Q192" s="70"/>
      <c r="R192" s="70"/>
      <c r="S192" s="70"/>
      <c r="T192" s="91"/>
      <c r="U192" s="91"/>
      <c r="V192" s="70"/>
      <c r="W192" s="58"/>
      <c r="X192" s="58"/>
      <c r="Y192" s="70"/>
      <c r="Z192" s="83"/>
      <c r="AA192" s="70"/>
      <c r="AB192" s="70"/>
      <c r="AC192" s="70"/>
      <c r="AD192" s="70"/>
      <c r="AE192" s="70"/>
      <c r="AF192" s="70"/>
      <c r="AG192" s="70"/>
      <c r="AH192" s="70"/>
      <c r="AI192" s="70"/>
      <c r="AJ192" s="70"/>
      <c r="AK192" s="70"/>
      <c r="AL192" s="70"/>
      <c r="AM192" s="70"/>
      <c r="AN192" s="70"/>
      <c r="AO192" s="70"/>
      <c r="AP192" s="70"/>
      <c r="AQ192" s="70"/>
      <c r="AR192" s="70"/>
      <c r="AS192" s="70"/>
      <c r="AT192" s="70"/>
    </row>
    <row r="193" ht="15.75" customHeight="1">
      <c r="A193" s="70"/>
      <c r="B193" s="70"/>
      <c r="C193" s="70"/>
      <c r="D193" s="80"/>
      <c r="E193" s="70"/>
      <c r="F193" s="70"/>
      <c r="G193" s="70"/>
      <c r="H193" s="70"/>
      <c r="I193" s="70"/>
      <c r="J193" s="70"/>
      <c r="K193" s="70"/>
      <c r="L193" s="70"/>
      <c r="M193" s="70"/>
      <c r="N193" s="70"/>
      <c r="O193" s="70"/>
      <c r="P193" s="70"/>
      <c r="Q193" s="70"/>
      <c r="R193" s="70"/>
      <c r="S193" s="70"/>
      <c r="T193" s="91"/>
      <c r="U193" s="91"/>
      <c r="V193" s="70"/>
      <c r="W193" s="58"/>
      <c r="X193" s="58"/>
      <c r="Y193" s="70"/>
      <c r="Z193" s="83"/>
      <c r="AA193" s="70"/>
      <c r="AB193" s="70"/>
      <c r="AC193" s="70"/>
      <c r="AD193" s="70"/>
      <c r="AE193" s="70"/>
      <c r="AF193" s="70"/>
      <c r="AG193" s="70"/>
      <c r="AH193" s="70"/>
      <c r="AI193" s="70"/>
      <c r="AJ193" s="70"/>
      <c r="AK193" s="70"/>
      <c r="AL193" s="70"/>
      <c r="AM193" s="70"/>
      <c r="AN193" s="70"/>
      <c r="AO193" s="70"/>
      <c r="AP193" s="70"/>
      <c r="AQ193" s="70"/>
      <c r="AR193" s="70"/>
      <c r="AS193" s="70"/>
      <c r="AT193" s="70"/>
    </row>
    <row r="194" ht="15.75" customHeight="1">
      <c r="A194" s="70"/>
      <c r="B194" s="70"/>
      <c r="C194" s="70"/>
      <c r="D194" s="80"/>
      <c r="E194" s="70"/>
      <c r="F194" s="70"/>
      <c r="G194" s="70"/>
      <c r="H194" s="70"/>
      <c r="I194" s="70"/>
      <c r="J194" s="70"/>
      <c r="K194" s="70"/>
      <c r="L194" s="70"/>
      <c r="M194" s="70"/>
      <c r="N194" s="70"/>
      <c r="O194" s="70"/>
      <c r="P194" s="70"/>
      <c r="Q194" s="70"/>
      <c r="R194" s="70"/>
      <c r="S194" s="70"/>
      <c r="T194" s="91"/>
      <c r="U194" s="91"/>
      <c r="V194" s="70"/>
      <c r="W194" s="58"/>
      <c r="X194" s="58"/>
      <c r="Y194" s="70"/>
      <c r="Z194" s="83"/>
      <c r="AA194" s="70"/>
      <c r="AB194" s="70"/>
      <c r="AC194" s="70"/>
      <c r="AD194" s="70"/>
      <c r="AE194" s="70"/>
      <c r="AF194" s="70"/>
      <c r="AG194" s="70"/>
      <c r="AH194" s="70"/>
      <c r="AI194" s="70"/>
      <c r="AJ194" s="70"/>
      <c r="AK194" s="70"/>
      <c r="AL194" s="70"/>
      <c r="AM194" s="70"/>
      <c r="AN194" s="70"/>
      <c r="AO194" s="70"/>
      <c r="AP194" s="70"/>
      <c r="AQ194" s="70"/>
      <c r="AR194" s="70"/>
      <c r="AS194" s="70"/>
      <c r="AT194" s="70"/>
    </row>
    <row r="195" ht="15.75" customHeight="1">
      <c r="A195" s="70"/>
      <c r="B195" s="70"/>
      <c r="C195" s="70"/>
      <c r="D195" s="80"/>
      <c r="E195" s="70"/>
      <c r="F195" s="70"/>
      <c r="G195" s="70"/>
      <c r="H195" s="70"/>
      <c r="I195" s="70"/>
      <c r="J195" s="70"/>
      <c r="K195" s="70"/>
      <c r="L195" s="70"/>
      <c r="M195" s="70"/>
      <c r="N195" s="70"/>
      <c r="O195" s="70"/>
      <c r="P195" s="70"/>
      <c r="Q195" s="70"/>
      <c r="R195" s="70"/>
      <c r="S195" s="70"/>
      <c r="T195" s="91"/>
      <c r="U195" s="91"/>
      <c r="V195" s="70"/>
      <c r="W195" s="58"/>
      <c r="X195" s="58"/>
      <c r="Y195" s="70"/>
      <c r="Z195" s="83"/>
      <c r="AA195" s="70"/>
      <c r="AB195" s="70"/>
      <c r="AC195" s="70"/>
      <c r="AD195" s="70"/>
      <c r="AE195" s="70"/>
      <c r="AF195" s="70"/>
      <c r="AG195" s="70"/>
      <c r="AH195" s="70"/>
      <c r="AI195" s="70"/>
      <c r="AJ195" s="70"/>
      <c r="AK195" s="70"/>
      <c r="AL195" s="70"/>
      <c r="AM195" s="70"/>
      <c r="AN195" s="70"/>
      <c r="AO195" s="70"/>
      <c r="AP195" s="70"/>
      <c r="AQ195" s="70"/>
      <c r="AR195" s="70"/>
      <c r="AS195" s="70"/>
      <c r="AT195" s="70"/>
    </row>
    <row r="196" ht="15.75" customHeight="1">
      <c r="A196" s="70"/>
      <c r="B196" s="70"/>
      <c r="C196" s="70"/>
      <c r="D196" s="80"/>
      <c r="E196" s="70"/>
      <c r="F196" s="70"/>
      <c r="G196" s="70"/>
      <c r="H196" s="70"/>
      <c r="I196" s="70"/>
      <c r="J196" s="70"/>
      <c r="K196" s="70"/>
      <c r="L196" s="70"/>
      <c r="M196" s="70"/>
      <c r="N196" s="70"/>
      <c r="O196" s="70"/>
      <c r="P196" s="70"/>
      <c r="Q196" s="70"/>
      <c r="R196" s="70"/>
      <c r="S196" s="70"/>
      <c r="T196" s="91"/>
      <c r="U196" s="91"/>
      <c r="V196" s="70"/>
      <c r="W196" s="58"/>
      <c r="X196" s="58"/>
      <c r="Y196" s="70"/>
      <c r="Z196" s="83"/>
      <c r="AA196" s="70"/>
      <c r="AB196" s="70"/>
      <c r="AC196" s="70"/>
      <c r="AD196" s="70"/>
      <c r="AE196" s="70"/>
      <c r="AF196" s="70"/>
      <c r="AG196" s="70"/>
      <c r="AH196" s="70"/>
      <c r="AI196" s="70"/>
      <c r="AJ196" s="70"/>
      <c r="AK196" s="70"/>
      <c r="AL196" s="70"/>
      <c r="AM196" s="70"/>
      <c r="AN196" s="70"/>
      <c r="AO196" s="70"/>
      <c r="AP196" s="70"/>
      <c r="AQ196" s="70"/>
      <c r="AR196" s="70"/>
      <c r="AS196" s="70"/>
      <c r="AT196" s="70"/>
    </row>
    <row r="197" ht="15.75" customHeight="1">
      <c r="A197" s="70"/>
      <c r="B197" s="70"/>
      <c r="C197" s="70"/>
      <c r="D197" s="80"/>
      <c r="E197" s="70"/>
      <c r="F197" s="70"/>
      <c r="G197" s="70"/>
      <c r="H197" s="70"/>
      <c r="I197" s="70"/>
      <c r="J197" s="70"/>
      <c r="K197" s="70"/>
      <c r="L197" s="70"/>
      <c r="M197" s="70"/>
      <c r="N197" s="70"/>
      <c r="O197" s="70"/>
      <c r="P197" s="70"/>
      <c r="Q197" s="70"/>
      <c r="R197" s="70"/>
      <c r="S197" s="70"/>
      <c r="T197" s="91"/>
      <c r="U197" s="91"/>
      <c r="V197" s="70"/>
      <c r="W197" s="58"/>
      <c r="X197" s="58"/>
      <c r="Y197" s="70"/>
      <c r="Z197" s="83"/>
      <c r="AA197" s="70"/>
      <c r="AB197" s="70"/>
      <c r="AC197" s="70"/>
      <c r="AD197" s="70"/>
      <c r="AE197" s="70"/>
      <c r="AF197" s="70"/>
      <c r="AG197" s="70"/>
      <c r="AH197" s="70"/>
      <c r="AI197" s="70"/>
      <c r="AJ197" s="70"/>
      <c r="AK197" s="70"/>
      <c r="AL197" s="70"/>
      <c r="AM197" s="70"/>
      <c r="AN197" s="70"/>
      <c r="AO197" s="70"/>
      <c r="AP197" s="70"/>
      <c r="AQ197" s="70"/>
      <c r="AR197" s="70"/>
      <c r="AS197" s="70"/>
      <c r="AT197" s="70"/>
    </row>
    <row r="198" ht="15.75" customHeight="1">
      <c r="A198" s="70"/>
      <c r="B198" s="70"/>
      <c r="C198" s="70"/>
      <c r="D198" s="80"/>
      <c r="E198" s="70"/>
      <c r="F198" s="70"/>
      <c r="G198" s="70"/>
      <c r="H198" s="70"/>
      <c r="I198" s="70"/>
      <c r="J198" s="70"/>
      <c r="K198" s="70"/>
      <c r="L198" s="70"/>
      <c r="M198" s="70"/>
      <c r="N198" s="70"/>
      <c r="O198" s="70"/>
      <c r="P198" s="70"/>
      <c r="Q198" s="70"/>
      <c r="R198" s="70"/>
      <c r="S198" s="70"/>
      <c r="T198" s="91"/>
      <c r="U198" s="91"/>
      <c r="V198" s="70"/>
      <c r="W198" s="58"/>
      <c r="X198" s="58"/>
      <c r="Y198" s="70"/>
      <c r="Z198" s="83"/>
      <c r="AA198" s="70"/>
      <c r="AB198" s="70"/>
      <c r="AC198" s="70"/>
      <c r="AD198" s="70"/>
      <c r="AE198" s="70"/>
      <c r="AF198" s="70"/>
      <c r="AG198" s="70"/>
      <c r="AH198" s="70"/>
      <c r="AI198" s="70"/>
      <c r="AJ198" s="70"/>
      <c r="AK198" s="70"/>
      <c r="AL198" s="70"/>
      <c r="AM198" s="70"/>
      <c r="AN198" s="70"/>
      <c r="AO198" s="70"/>
      <c r="AP198" s="70"/>
      <c r="AQ198" s="70"/>
      <c r="AR198" s="70"/>
      <c r="AS198" s="70"/>
      <c r="AT198" s="70"/>
    </row>
    <row r="199" ht="15.75" customHeight="1">
      <c r="A199" s="70"/>
      <c r="B199" s="70"/>
      <c r="C199" s="70"/>
      <c r="D199" s="80"/>
      <c r="E199" s="70"/>
      <c r="F199" s="70"/>
      <c r="G199" s="70"/>
      <c r="H199" s="70"/>
      <c r="I199" s="70"/>
      <c r="J199" s="70"/>
      <c r="K199" s="70"/>
      <c r="L199" s="70"/>
      <c r="M199" s="70"/>
      <c r="N199" s="70"/>
      <c r="O199" s="70"/>
      <c r="P199" s="70"/>
      <c r="Q199" s="70"/>
      <c r="R199" s="70"/>
      <c r="S199" s="70"/>
      <c r="T199" s="91"/>
      <c r="U199" s="91"/>
      <c r="V199" s="70"/>
      <c r="W199" s="58"/>
      <c r="X199" s="58"/>
      <c r="Y199" s="70"/>
      <c r="Z199" s="83"/>
      <c r="AA199" s="70"/>
      <c r="AB199" s="70"/>
      <c r="AC199" s="70"/>
      <c r="AD199" s="70"/>
      <c r="AE199" s="70"/>
      <c r="AF199" s="70"/>
      <c r="AG199" s="70"/>
      <c r="AH199" s="70"/>
      <c r="AI199" s="70"/>
      <c r="AJ199" s="70"/>
      <c r="AK199" s="70"/>
      <c r="AL199" s="70"/>
      <c r="AM199" s="70"/>
      <c r="AN199" s="70"/>
      <c r="AO199" s="70"/>
      <c r="AP199" s="70"/>
      <c r="AQ199" s="70"/>
      <c r="AR199" s="70"/>
      <c r="AS199" s="70"/>
      <c r="AT199" s="70"/>
    </row>
    <row r="200" ht="15.75" customHeight="1">
      <c r="A200" s="70"/>
      <c r="B200" s="70"/>
      <c r="C200" s="70"/>
      <c r="D200" s="80"/>
      <c r="E200" s="70"/>
      <c r="F200" s="70"/>
      <c r="G200" s="70"/>
      <c r="H200" s="70"/>
      <c r="I200" s="70"/>
      <c r="J200" s="70"/>
      <c r="K200" s="70"/>
      <c r="L200" s="70"/>
      <c r="M200" s="70"/>
      <c r="N200" s="70"/>
      <c r="O200" s="70"/>
      <c r="P200" s="70"/>
      <c r="Q200" s="70"/>
      <c r="R200" s="70"/>
      <c r="S200" s="70"/>
      <c r="T200" s="91"/>
      <c r="U200" s="91"/>
      <c r="V200" s="70"/>
      <c r="W200" s="58"/>
      <c r="X200" s="58"/>
      <c r="Y200" s="70"/>
      <c r="Z200" s="83"/>
      <c r="AA200" s="70"/>
      <c r="AB200" s="70"/>
      <c r="AC200" s="70"/>
      <c r="AD200" s="70"/>
      <c r="AE200" s="70"/>
      <c r="AF200" s="70"/>
      <c r="AG200" s="70"/>
      <c r="AH200" s="70"/>
      <c r="AI200" s="70"/>
      <c r="AJ200" s="70"/>
      <c r="AK200" s="70"/>
      <c r="AL200" s="70"/>
      <c r="AM200" s="70"/>
      <c r="AN200" s="70"/>
      <c r="AO200" s="70"/>
      <c r="AP200" s="70"/>
      <c r="AQ200" s="70"/>
      <c r="AR200" s="70"/>
      <c r="AS200" s="70"/>
      <c r="AT200" s="70"/>
    </row>
    <row r="201" ht="15.75" customHeight="1">
      <c r="A201" s="70"/>
      <c r="B201" s="70"/>
      <c r="C201" s="70"/>
      <c r="D201" s="80"/>
      <c r="E201" s="70"/>
      <c r="F201" s="70"/>
      <c r="G201" s="70"/>
      <c r="H201" s="70"/>
      <c r="I201" s="70"/>
      <c r="J201" s="70"/>
      <c r="K201" s="70"/>
      <c r="L201" s="70"/>
      <c r="M201" s="70"/>
      <c r="N201" s="70"/>
      <c r="O201" s="70"/>
      <c r="P201" s="70"/>
      <c r="Q201" s="70"/>
      <c r="R201" s="70"/>
      <c r="S201" s="70"/>
      <c r="T201" s="91"/>
      <c r="U201" s="91"/>
      <c r="V201" s="70"/>
      <c r="W201" s="58"/>
      <c r="X201" s="58"/>
      <c r="Y201" s="70"/>
      <c r="Z201" s="83"/>
      <c r="AA201" s="70"/>
      <c r="AB201" s="70"/>
      <c r="AC201" s="70"/>
      <c r="AD201" s="70"/>
      <c r="AE201" s="70"/>
      <c r="AF201" s="70"/>
      <c r="AG201" s="70"/>
      <c r="AH201" s="70"/>
      <c r="AI201" s="70"/>
      <c r="AJ201" s="70"/>
      <c r="AK201" s="70"/>
      <c r="AL201" s="70"/>
      <c r="AM201" s="70"/>
      <c r="AN201" s="70"/>
      <c r="AO201" s="70"/>
      <c r="AP201" s="70"/>
      <c r="AQ201" s="70"/>
      <c r="AR201" s="70"/>
      <c r="AS201" s="70"/>
      <c r="AT201" s="70"/>
    </row>
    <row r="202" ht="15.75" customHeight="1">
      <c r="A202" s="70"/>
      <c r="B202" s="70"/>
      <c r="C202" s="70"/>
      <c r="D202" s="80"/>
      <c r="E202" s="70"/>
      <c r="F202" s="70"/>
      <c r="G202" s="70"/>
      <c r="H202" s="70"/>
      <c r="I202" s="70"/>
      <c r="J202" s="70"/>
      <c r="K202" s="70"/>
      <c r="L202" s="70"/>
      <c r="M202" s="70"/>
      <c r="N202" s="70"/>
      <c r="O202" s="70"/>
      <c r="P202" s="70"/>
      <c r="Q202" s="70"/>
      <c r="R202" s="70"/>
      <c r="S202" s="70"/>
      <c r="T202" s="91"/>
      <c r="U202" s="91"/>
      <c r="V202" s="70"/>
      <c r="W202" s="58"/>
      <c r="X202" s="58"/>
      <c r="Y202" s="70"/>
      <c r="Z202" s="83"/>
      <c r="AA202" s="70"/>
      <c r="AB202" s="70"/>
      <c r="AC202" s="70"/>
      <c r="AD202" s="70"/>
      <c r="AE202" s="70"/>
      <c r="AF202" s="70"/>
      <c r="AG202" s="70"/>
      <c r="AH202" s="70"/>
      <c r="AI202" s="70"/>
      <c r="AJ202" s="70"/>
      <c r="AK202" s="70"/>
      <c r="AL202" s="70"/>
      <c r="AM202" s="70"/>
      <c r="AN202" s="70"/>
      <c r="AO202" s="70"/>
      <c r="AP202" s="70"/>
      <c r="AQ202" s="70"/>
      <c r="AR202" s="70"/>
      <c r="AS202" s="70"/>
      <c r="AT202" s="70"/>
    </row>
    <row r="203" ht="15.75" customHeight="1">
      <c r="A203" s="70"/>
      <c r="B203" s="70"/>
      <c r="C203" s="70"/>
      <c r="D203" s="80"/>
      <c r="E203" s="70"/>
      <c r="F203" s="70"/>
      <c r="G203" s="70"/>
      <c r="H203" s="70"/>
      <c r="I203" s="70"/>
      <c r="J203" s="70"/>
      <c r="K203" s="70"/>
      <c r="L203" s="70"/>
      <c r="M203" s="70"/>
      <c r="N203" s="70"/>
      <c r="O203" s="70"/>
      <c r="P203" s="70"/>
      <c r="Q203" s="70"/>
      <c r="R203" s="70"/>
      <c r="S203" s="70"/>
      <c r="T203" s="91"/>
      <c r="U203" s="91"/>
      <c r="V203" s="70"/>
      <c r="W203" s="58"/>
      <c r="X203" s="58"/>
      <c r="Y203" s="70"/>
      <c r="Z203" s="83"/>
      <c r="AA203" s="70"/>
      <c r="AB203" s="70"/>
      <c r="AC203" s="70"/>
      <c r="AD203" s="70"/>
      <c r="AE203" s="70"/>
      <c r="AF203" s="70"/>
      <c r="AG203" s="70"/>
      <c r="AH203" s="70"/>
      <c r="AI203" s="70"/>
      <c r="AJ203" s="70"/>
      <c r="AK203" s="70"/>
      <c r="AL203" s="70"/>
      <c r="AM203" s="70"/>
      <c r="AN203" s="70"/>
      <c r="AO203" s="70"/>
      <c r="AP203" s="70"/>
      <c r="AQ203" s="70"/>
      <c r="AR203" s="70"/>
      <c r="AS203" s="70"/>
      <c r="AT203" s="70"/>
    </row>
    <row r="204" ht="15.75" customHeight="1">
      <c r="A204" s="70"/>
      <c r="B204" s="70"/>
      <c r="C204" s="70"/>
      <c r="D204" s="80"/>
      <c r="E204" s="70"/>
      <c r="F204" s="70"/>
      <c r="G204" s="70"/>
      <c r="H204" s="70"/>
      <c r="I204" s="70"/>
      <c r="J204" s="70"/>
      <c r="K204" s="70"/>
      <c r="L204" s="70"/>
      <c r="M204" s="70"/>
      <c r="N204" s="70"/>
      <c r="O204" s="70"/>
      <c r="P204" s="70"/>
      <c r="Q204" s="70"/>
      <c r="R204" s="70"/>
      <c r="S204" s="70"/>
      <c r="T204" s="91"/>
      <c r="U204" s="91"/>
      <c r="V204" s="70"/>
      <c r="W204" s="58"/>
      <c r="X204" s="58"/>
      <c r="Y204" s="70"/>
      <c r="Z204" s="83"/>
      <c r="AA204" s="70"/>
      <c r="AB204" s="70"/>
      <c r="AC204" s="70"/>
      <c r="AD204" s="70"/>
      <c r="AE204" s="70"/>
      <c r="AF204" s="70"/>
      <c r="AG204" s="70"/>
      <c r="AH204" s="70"/>
      <c r="AI204" s="70"/>
      <c r="AJ204" s="70"/>
      <c r="AK204" s="70"/>
      <c r="AL204" s="70"/>
      <c r="AM204" s="70"/>
      <c r="AN204" s="70"/>
      <c r="AO204" s="70"/>
      <c r="AP204" s="70"/>
      <c r="AQ204" s="70"/>
      <c r="AR204" s="70"/>
      <c r="AS204" s="70"/>
      <c r="AT204" s="70"/>
    </row>
    <row r="205" ht="15.75" customHeight="1">
      <c r="A205" s="70"/>
      <c r="B205" s="70"/>
      <c r="C205" s="70"/>
      <c r="D205" s="80"/>
      <c r="E205" s="70"/>
      <c r="F205" s="70"/>
      <c r="G205" s="70"/>
      <c r="H205" s="70"/>
      <c r="I205" s="70"/>
      <c r="J205" s="70"/>
      <c r="K205" s="70"/>
      <c r="L205" s="70"/>
      <c r="M205" s="70"/>
      <c r="N205" s="70"/>
      <c r="O205" s="70"/>
      <c r="P205" s="70"/>
      <c r="Q205" s="70"/>
      <c r="R205" s="70"/>
      <c r="S205" s="70"/>
      <c r="T205" s="91"/>
      <c r="U205" s="91"/>
      <c r="V205" s="70"/>
      <c r="W205" s="58"/>
      <c r="X205" s="58"/>
      <c r="Y205" s="70"/>
      <c r="Z205" s="83"/>
      <c r="AA205" s="70"/>
      <c r="AB205" s="70"/>
      <c r="AC205" s="70"/>
      <c r="AD205" s="70"/>
      <c r="AE205" s="70"/>
      <c r="AF205" s="70"/>
      <c r="AG205" s="70"/>
      <c r="AH205" s="70"/>
      <c r="AI205" s="70"/>
      <c r="AJ205" s="70"/>
      <c r="AK205" s="70"/>
      <c r="AL205" s="70"/>
      <c r="AM205" s="70"/>
      <c r="AN205" s="70"/>
      <c r="AO205" s="70"/>
      <c r="AP205" s="70"/>
      <c r="AQ205" s="70"/>
      <c r="AR205" s="70"/>
      <c r="AS205" s="70"/>
      <c r="AT205" s="70"/>
    </row>
    <row r="206" ht="15.75" customHeight="1">
      <c r="A206" s="70"/>
      <c r="B206" s="70"/>
      <c r="C206" s="70"/>
      <c r="D206" s="80"/>
      <c r="E206" s="70"/>
      <c r="F206" s="70"/>
      <c r="G206" s="70"/>
      <c r="H206" s="70"/>
      <c r="I206" s="70"/>
      <c r="J206" s="70"/>
      <c r="K206" s="70"/>
      <c r="L206" s="70"/>
      <c r="M206" s="70"/>
      <c r="N206" s="70"/>
      <c r="O206" s="70"/>
      <c r="P206" s="70"/>
      <c r="Q206" s="70"/>
      <c r="R206" s="70"/>
      <c r="S206" s="70"/>
      <c r="T206" s="91"/>
      <c r="U206" s="91"/>
      <c r="V206" s="70"/>
      <c r="W206" s="58"/>
      <c r="X206" s="58"/>
      <c r="Y206" s="70"/>
      <c r="Z206" s="83"/>
      <c r="AA206" s="70"/>
      <c r="AB206" s="70"/>
      <c r="AC206" s="70"/>
      <c r="AD206" s="70"/>
      <c r="AE206" s="70"/>
      <c r="AF206" s="70"/>
      <c r="AG206" s="70"/>
      <c r="AH206" s="70"/>
      <c r="AI206" s="70"/>
      <c r="AJ206" s="70"/>
      <c r="AK206" s="70"/>
      <c r="AL206" s="70"/>
      <c r="AM206" s="70"/>
      <c r="AN206" s="70"/>
      <c r="AO206" s="70"/>
      <c r="AP206" s="70"/>
      <c r="AQ206" s="70"/>
      <c r="AR206" s="70"/>
      <c r="AS206" s="70"/>
      <c r="AT206" s="70"/>
    </row>
    <row r="207" ht="15.75" customHeight="1">
      <c r="A207" s="70"/>
      <c r="B207" s="70"/>
      <c r="C207" s="70"/>
      <c r="D207" s="80"/>
      <c r="E207" s="70"/>
      <c r="F207" s="70"/>
      <c r="G207" s="70"/>
      <c r="H207" s="70"/>
      <c r="I207" s="70"/>
      <c r="J207" s="70"/>
      <c r="K207" s="70"/>
      <c r="L207" s="70"/>
      <c r="M207" s="70"/>
      <c r="N207" s="70"/>
      <c r="O207" s="70"/>
      <c r="P207" s="70"/>
      <c r="Q207" s="70"/>
      <c r="R207" s="70"/>
      <c r="S207" s="70"/>
      <c r="T207" s="91"/>
      <c r="U207" s="91"/>
      <c r="V207" s="70"/>
      <c r="W207" s="58"/>
      <c r="X207" s="58"/>
      <c r="Y207" s="70"/>
      <c r="Z207" s="83"/>
      <c r="AA207" s="70"/>
      <c r="AB207" s="70"/>
      <c r="AC207" s="70"/>
      <c r="AD207" s="70"/>
      <c r="AE207" s="70"/>
      <c r="AF207" s="70"/>
      <c r="AG207" s="70"/>
      <c r="AH207" s="70"/>
      <c r="AI207" s="70"/>
      <c r="AJ207" s="70"/>
      <c r="AK207" s="70"/>
      <c r="AL207" s="70"/>
      <c r="AM207" s="70"/>
      <c r="AN207" s="70"/>
      <c r="AO207" s="70"/>
      <c r="AP207" s="70"/>
      <c r="AQ207" s="70"/>
      <c r="AR207" s="70"/>
      <c r="AS207" s="70"/>
      <c r="AT207" s="70"/>
    </row>
    <row r="208" ht="15.75" customHeight="1">
      <c r="A208" s="70"/>
      <c r="B208" s="70"/>
      <c r="C208" s="70"/>
      <c r="D208" s="80"/>
      <c r="E208" s="70"/>
      <c r="F208" s="70"/>
      <c r="G208" s="70"/>
      <c r="H208" s="70"/>
      <c r="I208" s="70"/>
      <c r="J208" s="70"/>
      <c r="K208" s="70"/>
      <c r="L208" s="70"/>
      <c r="M208" s="70"/>
      <c r="N208" s="70"/>
      <c r="O208" s="70"/>
      <c r="P208" s="70"/>
      <c r="Q208" s="70"/>
      <c r="R208" s="70"/>
      <c r="S208" s="70"/>
      <c r="T208" s="91"/>
      <c r="U208" s="91"/>
      <c r="V208" s="70"/>
      <c r="W208" s="58"/>
      <c r="X208" s="58"/>
      <c r="Y208" s="70"/>
      <c r="Z208" s="83"/>
      <c r="AA208" s="70"/>
      <c r="AB208" s="70"/>
      <c r="AC208" s="70"/>
      <c r="AD208" s="70"/>
      <c r="AE208" s="70"/>
      <c r="AF208" s="70"/>
      <c r="AG208" s="70"/>
      <c r="AH208" s="70"/>
      <c r="AI208" s="70"/>
      <c r="AJ208" s="70"/>
      <c r="AK208" s="70"/>
      <c r="AL208" s="70"/>
      <c r="AM208" s="70"/>
      <c r="AN208" s="70"/>
      <c r="AO208" s="70"/>
      <c r="AP208" s="70"/>
      <c r="AQ208" s="70"/>
      <c r="AR208" s="70"/>
      <c r="AS208" s="70"/>
      <c r="AT208" s="70"/>
    </row>
    <row r="209" ht="15.75" customHeight="1">
      <c r="A209" s="70"/>
      <c r="B209" s="70"/>
      <c r="C209" s="70"/>
      <c r="D209" s="80"/>
      <c r="E209" s="70"/>
      <c r="F209" s="70"/>
      <c r="G209" s="70"/>
      <c r="H209" s="70"/>
      <c r="I209" s="70"/>
      <c r="J209" s="70"/>
      <c r="K209" s="70"/>
      <c r="L209" s="70"/>
      <c r="M209" s="70"/>
      <c r="N209" s="70"/>
      <c r="O209" s="70"/>
      <c r="P209" s="70"/>
      <c r="Q209" s="70"/>
      <c r="R209" s="70"/>
      <c r="S209" s="70"/>
      <c r="T209" s="91"/>
      <c r="U209" s="91"/>
      <c r="V209" s="70"/>
      <c r="W209" s="58"/>
      <c r="X209" s="58"/>
      <c r="Y209" s="70"/>
      <c r="Z209" s="83"/>
      <c r="AA209" s="70"/>
      <c r="AB209" s="70"/>
      <c r="AC209" s="70"/>
      <c r="AD209" s="70"/>
      <c r="AE209" s="70"/>
      <c r="AF209" s="70"/>
      <c r="AG209" s="70"/>
      <c r="AH209" s="70"/>
      <c r="AI209" s="70"/>
      <c r="AJ209" s="70"/>
      <c r="AK209" s="70"/>
      <c r="AL209" s="70"/>
      <c r="AM209" s="70"/>
      <c r="AN209" s="70"/>
      <c r="AO209" s="70"/>
      <c r="AP209" s="70"/>
      <c r="AQ209" s="70"/>
      <c r="AR209" s="70"/>
      <c r="AS209" s="70"/>
      <c r="AT209" s="70"/>
    </row>
    <row r="210" ht="15.75" customHeight="1">
      <c r="A210" s="70"/>
      <c r="B210" s="70"/>
      <c r="C210" s="70"/>
      <c r="D210" s="80"/>
      <c r="E210" s="70"/>
      <c r="F210" s="70"/>
      <c r="G210" s="70"/>
      <c r="H210" s="70"/>
      <c r="I210" s="70"/>
      <c r="J210" s="70"/>
      <c r="K210" s="70"/>
      <c r="L210" s="70"/>
      <c r="M210" s="70"/>
      <c r="N210" s="70"/>
      <c r="O210" s="70"/>
      <c r="P210" s="70"/>
      <c r="Q210" s="70"/>
      <c r="R210" s="70"/>
      <c r="S210" s="70"/>
      <c r="T210" s="91"/>
      <c r="U210" s="91"/>
      <c r="V210" s="70"/>
      <c r="W210" s="58"/>
      <c r="X210" s="58"/>
      <c r="Y210" s="70"/>
      <c r="Z210" s="83"/>
      <c r="AA210" s="70"/>
      <c r="AB210" s="70"/>
      <c r="AC210" s="70"/>
      <c r="AD210" s="70"/>
      <c r="AE210" s="70"/>
      <c r="AF210" s="70"/>
      <c r="AG210" s="70"/>
      <c r="AH210" s="70"/>
      <c r="AI210" s="70"/>
      <c r="AJ210" s="70"/>
      <c r="AK210" s="70"/>
      <c r="AL210" s="70"/>
      <c r="AM210" s="70"/>
      <c r="AN210" s="70"/>
      <c r="AO210" s="70"/>
      <c r="AP210" s="70"/>
      <c r="AQ210" s="70"/>
      <c r="AR210" s="70"/>
      <c r="AS210" s="70"/>
      <c r="AT210" s="70"/>
    </row>
    <row r="211" ht="15.75" customHeight="1">
      <c r="A211" s="70"/>
      <c r="B211" s="70"/>
      <c r="C211" s="70"/>
      <c r="D211" s="80"/>
      <c r="E211" s="70"/>
      <c r="F211" s="70"/>
      <c r="G211" s="70"/>
      <c r="H211" s="70"/>
      <c r="I211" s="70"/>
      <c r="J211" s="70"/>
      <c r="K211" s="70"/>
      <c r="L211" s="70"/>
      <c r="M211" s="70"/>
      <c r="N211" s="70"/>
      <c r="O211" s="70"/>
      <c r="P211" s="70"/>
      <c r="Q211" s="70"/>
      <c r="R211" s="70"/>
      <c r="S211" s="70"/>
      <c r="T211" s="91"/>
      <c r="U211" s="91"/>
      <c r="V211" s="70"/>
      <c r="W211" s="58"/>
      <c r="X211" s="58"/>
      <c r="Y211" s="70"/>
      <c r="Z211" s="83"/>
      <c r="AA211" s="70"/>
      <c r="AB211" s="70"/>
      <c r="AC211" s="70"/>
      <c r="AD211" s="70"/>
      <c r="AE211" s="70"/>
      <c r="AF211" s="70"/>
      <c r="AG211" s="70"/>
      <c r="AH211" s="70"/>
      <c r="AI211" s="70"/>
      <c r="AJ211" s="70"/>
      <c r="AK211" s="70"/>
      <c r="AL211" s="70"/>
      <c r="AM211" s="70"/>
      <c r="AN211" s="70"/>
      <c r="AO211" s="70"/>
      <c r="AP211" s="70"/>
      <c r="AQ211" s="70"/>
      <c r="AR211" s="70"/>
      <c r="AS211" s="70"/>
      <c r="AT211" s="70"/>
    </row>
    <row r="212" ht="15.75" customHeight="1">
      <c r="A212" s="70"/>
      <c r="B212" s="70"/>
      <c r="C212" s="70"/>
      <c r="D212" s="80"/>
      <c r="E212" s="70"/>
      <c r="F212" s="70"/>
      <c r="G212" s="70"/>
      <c r="H212" s="70"/>
      <c r="I212" s="70"/>
      <c r="J212" s="70"/>
      <c r="K212" s="70"/>
      <c r="L212" s="70"/>
      <c r="M212" s="70"/>
      <c r="N212" s="70"/>
      <c r="O212" s="70"/>
      <c r="P212" s="70"/>
      <c r="Q212" s="70"/>
      <c r="R212" s="70"/>
      <c r="S212" s="70"/>
      <c r="T212" s="91"/>
      <c r="U212" s="91"/>
      <c r="V212" s="70"/>
      <c r="W212" s="58"/>
      <c r="X212" s="58"/>
      <c r="Y212" s="70"/>
      <c r="Z212" s="83"/>
      <c r="AA212" s="70"/>
      <c r="AB212" s="70"/>
      <c r="AC212" s="70"/>
      <c r="AD212" s="70"/>
      <c r="AE212" s="70"/>
      <c r="AF212" s="70"/>
      <c r="AG212" s="70"/>
      <c r="AH212" s="70"/>
      <c r="AI212" s="70"/>
      <c r="AJ212" s="70"/>
      <c r="AK212" s="70"/>
      <c r="AL212" s="70"/>
      <c r="AM212" s="70"/>
      <c r="AN212" s="70"/>
      <c r="AO212" s="70"/>
      <c r="AP212" s="70"/>
      <c r="AQ212" s="70"/>
      <c r="AR212" s="70"/>
      <c r="AS212" s="70"/>
      <c r="AT212" s="70"/>
    </row>
    <row r="213" ht="15.75" customHeight="1">
      <c r="A213" s="70"/>
      <c r="B213" s="70"/>
      <c r="C213" s="70"/>
      <c r="D213" s="80"/>
      <c r="E213" s="70"/>
      <c r="F213" s="70"/>
      <c r="G213" s="70"/>
      <c r="H213" s="70"/>
      <c r="I213" s="70"/>
      <c r="J213" s="70"/>
      <c r="K213" s="70"/>
      <c r="L213" s="70"/>
      <c r="M213" s="70"/>
      <c r="N213" s="70"/>
      <c r="O213" s="70"/>
      <c r="P213" s="70"/>
      <c r="Q213" s="70"/>
      <c r="R213" s="70"/>
      <c r="S213" s="70"/>
      <c r="T213" s="91"/>
      <c r="U213" s="91"/>
      <c r="V213" s="70"/>
      <c r="W213" s="58"/>
      <c r="X213" s="58"/>
      <c r="Y213" s="70"/>
      <c r="Z213" s="83"/>
      <c r="AA213" s="70"/>
      <c r="AB213" s="70"/>
      <c r="AC213" s="70"/>
      <c r="AD213" s="70"/>
      <c r="AE213" s="70"/>
      <c r="AF213" s="70"/>
      <c r="AG213" s="70"/>
      <c r="AH213" s="70"/>
      <c r="AI213" s="70"/>
      <c r="AJ213" s="70"/>
      <c r="AK213" s="70"/>
      <c r="AL213" s="70"/>
      <c r="AM213" s="70"/>
      <c r="AN213" s="70"/>
      <c r="AO213" s="70"/>
      <c r="AP213" s="70"/>
      <c r="AQ213" s="70"/>
      <c r="AR213" s="70"/>
      <c r="AS213" s="70"/>
      <c r="AT213" s="70"/>
    </row>
    <row r="214" ht="15.75" customHeight="1">
      <c r="A214" s="70"/>
      <c r="B214" s="70"/>
      <c r="C214" s="70"/>
      <c r="D214" s="80"/>
      <c r="E214" s="70"/>
      <c r="F214" s="70"/>
      <c r="G214" s="70"/>
      <c r="H214" s="70"/>
      <c r="I214" s="70"/>
      <c r="J214" s="70"/>
      <c r="K214" s="70"/>
      <c r="L214" s="70"/>
      <c r="M214" s="70"/>
      <c r="N214" s="70"/>
      <c r="O214" s="70"/>
      <c r="P214" s="70"/>
      <c r="Q214" s="70"/>
      <c r="R214" s="70"/>
      <c r="S214" s="70"/>
      <c r="T214" s="91"/>
      <c r="U214" s="91"/>
      <c r="V214" s="70"/>
      <c r="W214" s="58"/>
      <c r="X214" s="58"/>
      <c r="Y214" s="70"/>
      <c r="Z214" s="83"/>
      <c r="AA214" s="70"/>
      <c r="AB214" s="70"/>
      <c r="AC214" s="70"/>
      <c r="AD214" s="70"/>
      <c r="AE214" s="70"/>
      <c r="AF214" s="70"/>
      <c r="AG214" s="70"/>
      <c r="AH214" s="70"/>
      <c r="AI214" s="70"/>
      <c r="AJ214" s="70"/>
      <c r="AK214" s="70"/>
      <c r="AL214" s="70"/>
      <c r="AM214" s="70"/>
      <c r="AN214" s="70"/>
      <c r="AO214" s="70"/>
      <c r="AP214" s="70"/>
      <c r="AQ214" s="70"/>
      <c r="AR214" s="70"/>
      <c r="AS214" s="70"/>
      <c r="AT214" s="70"/>
    </row>
    <row r="215" ht="15.75" customHeight="1">
      <c r="A215" s="70"/>
      <c r="B215" s="70"/>
      <c r="C215" s="70"/>
      <c r="D215" s="80"/>
      <c r="E215" s="70"/>
      <c r="F215" s="70"/>
      <c r="G215" s="70"/>
      <c r="H215" s="70"/>
      <c r="I215" s="70"/>
      <c r="J215" s="70"/>
      <c r="K215" s="70"/>
      <c r="L215" s="70"/>
      <c r="M215" s="70"/>
      <c r="N215" s="70"/>
      <c r="O215" s="70"/>
      <c r="P215" s="70"/>
      <c r="Q215" s="70"/>
      <c r="R215" s="70"/>
      <c r="S215" s="70"/>
      <c r="T215" s="91"/>
      <c r="U215" s="91"/>
      <c r="V215" s="70"/>
      <c r="W215" s="58"/>
      <c r="X215" s="58"/>
      <c r="Y215" s="70"/>
      <c r="Z215" s="83"/>
      <c r="AA215" s="70"/>
      <c r="AB215" s="70"/>
      <c r="AC215" s="70"/>
      <c r="AD215" s="70"/>
      <c r="AE215" s="70"/>
      <c r="AF215" s="70"/>
      <c r="AG215" s="70"/>
      <c r="AH215" s="70"/>
      <c r="AI215" s="70"/>
      <c r="AJ215" s="70"/>
      <c r="AK215" s="70"/>
      <c r="AL215" s="70"/>
      <c r="AM215" s="70"/>
      <c r="AN215" s="70"/>
      <c r="AO215" s="70"/>
      <c r="AP215" s="70"/>
      <c r="AQ215" s="70"/>
      <c r="AR215" s="70"/>
      <c r="AS215" s="70"/>
      <c r="AT215" s="70"/>
    </row>
    <row r="216" ht="15.75" customHeight="1">
      <c r="A216" s="70"/>
      <c r="B216" s="70"/>
      <c r="C216" s="70"/>
      <c r="D216" s="80"/>
      <c r="E216" s="70"/>
      <c r="F216" s="70"/>
      <c r="G216" s="70"/>
      <c r="H216" s="70"/>
      <c r="I216" s="70"/>
      <c r="J216" s="70"/>
      <c r="K216" s="70"/>
      <c r="L216" s="70"/>
      <c r="M216" s="70"/>
      <c r="N216" s="70"/>
      <c r="O216" s="70"/>
      <c r="P216" s="70"/>
      <c r="Q216" s="70"/>
      <c r="R216" s="70"/>
      <c r="S216" s="70"/>
      <c r="T216" s="91"/>
      <c r="U216" s="91"/>
      <c r="V216" s="70"/>
      <c r="W216" s="58"/>
      <c r="X216" s="58"/>
      <c r="Y216" s="70"/>
      <c r="Z216" s="83"/>
      <c r="AA216" s="70"/>
      <c r="AB216" s="70"/>
      <c r="AC216" s="70"/>
      <c r="AD216" s="70"/>
      <c r="AE216" s="70"/>
      <c r="AF216" s="70"/>
      <c r="AG216" s="70"/>
      <c r="AH216" s="70"/>
      <c r="AI216" s="70"/>
      <c r="AJ216" s="70"/>
      <c r="AK216" s="70"/>
      <c r="AL216" s="70"/>
      <c r="AM216" s="70"/>
      <c r="AN216" s="70"/>
      <c r="AO216" s="70"/>
      <c r="AP216" s="70"/>
      <c r="AQ216" s="70"/>
      <c r="AR216" s="70"/>
      <c r="AS216" s="70"/>
      <c r="AT216" s="70"/>
    </row>
    <row r="217" ht="15.75" customHeight="1">
      <c r="A217" s="70"/>
      <c r="B217" s="70"/>
      <c r="C217" s="70"/>
      <c r="D217" s="80"/>
      <c r="E217" s="70"/>
      <c r="F217" s="70"/>
      <c r="G217" s="70"/>
      <c r="H217" s="70"/>
      <c r="I217" s="70"/>
      <c r="J217" s="70"/>
      <c r="K217" s="70"/>
      <c r="L217" s="70"/>
      <c r="M217" s="70"/>
      <c r="N217" s="70"/>
      <c r="O217" s="70"/>
      <c r="P217" s="70"/>
      <c r="Q217" s="70"/>
      <c r="R217" s="70"/>
      <c r="S217" s="70"/>
      <c r="T217" s="91"/>
      <c r="U217" s="91"/>
      <c r="V217" s="70"/>
      <c r="W217" s="58"/>
      <c r="X217" s="58"/>
      <c r="Y217" s="70"/>
      <c r="Z217" s="83"/>
      <c r="AA217" s="70"/>
      <c r="AB217" s="70"/>
      <c r="AC217" s="70"/>
      <c r="AD217" s="70"/>
      <c r="AE217" s="70"/>
      <c r="AF217" s="70"/>
      <c r="AG217" s="70"/>
      <c r="AH217" s="70"/>
      <c r="AI217" s="70"/>
      <c r="AJ217" s="70"/>
      <c r="AK217" s="70"/>
      <c r="AL217" s="70"/>
      <c r="AM217" s="70"/>
      <c r="AN217" s="70"/>
      <c r="AO217" s="70"/>
      <c r="AP217" s="70"/>
      <c r="AQ217" s="70"/>
      <c r="AR217" s="70"/>
      <c r="AS217" s="70"/>
      <c r="AT217" s="70"/>
    </row>
    <row r="218" ht="15.75" customHeight="1">
      <c r="A218" s="70"/>
      <c r="B218" s="70"/>
      <c r="C218" s="70"/>
      <c r="D218" s="80"/>
      <c r="E218" s="70"/>
      <c r="F218" s="70"/>
      <c r="G218" s="70"/>
      <c r="H218" s="70"/>
      <c r="I218" s="70"/>
      <c r="J218" s="70"/>
      <c r="K218" s="70"/>
      <c r="L218" s="70"/>
      <c r="M218" s="70"/>
      <c r="N218" s="70"/>
      <c r="O218" s="70"/>
      <c r="P218" s="70"/>
      <c r="Q218" s="70"/>
      <c r="R218" s="70"/>
      <c r="S218" s="70"/>
      <c r="T218" s="91"/>
      <c r="U218" s="91"/>
      <c r="V218" s="70"/>
      <c r="W218" s="58"/>
      <c r="X218" s="58"/>
      <c r="Y218" s="70"/>
      <c r="Z218" s="83"/>
      <c r="AA218" s="70"/>
      <c r="AB218" s="70"/>
      <c r="AC218" s="70"/>
      <c r="AD218" s="70"/>
      <c r="AE218" s="70"/>
      <c r="AF218" s="70"/>
      <c r="AG218" s="70"/>
      <c r="AH218" s="70"/>
      <c r="AI218" s="70"/>
      <c r="AJ218" s="70"/>
      <c r="AK218" s="70"/>
      <c r="AL218" s="70"/>
      <c r="AM218" s="70"/>
      <c r="AN218" s="70"/>
      <c r="AO218" s="70"/>
      <c r="AP218" s="70"/>
      <c r="AQ218" s="70"/>
      <c r="AR218" s="70"/>
      <c r="AS218" s="70"/>
      <c r="AT218" s="70"/>
    </row>
    <row r="219" ht="15.75" customHeight="1">
      <c r="A219" s="70"/>
      <c r="B219" s="70"/>
      <c r="C219" s="70"/>
      <c r="D219" s="80"/>
      <c r="E219" s="70"/>
      <c r="F219" s="70"/>
      <c r="G219" s="70"/>
      <c r="H219" s="70"/>
      <c r="I219" s="70"/>
      <c r="J219" s="70"/>
      <c r="K219" s="70"/>
      <c r="L219" s="70"/>
      <c r="M219" s="70"/>
      <c r="N219" s="70"/>
      <c r="O219" s="70"/>
      <c r="P219" s="70"/>
      <c r="Q219" s="70"/>
      <c r="R219" s="70"/>
      <c r="S219" s="70"/>
      <c r="T219" s="91"/>
      <c r="U219" s="91"/>
      <c r="V219" s="70"/>
      <c r="W219" s="58"/>
      <c r="X219" s="58"/>
      <c r="Y219" s="70"/>
      <c r="Z219" s="83"/>
      <c r="AA219" s="70"/>
      <c r="AB219" s="70"/>
      <c r="AC219" s="70"/>
      <c r="AD219" s="70"/>
      <c r="AE219" s="70"/>
      <c r="AF219" s="70"/>
      <c r="AG219" s="70"/>
      <c r="AH219" s="70"/>
      <c r="AI219" s="70"/>
      <c r="AJ219" s="70"/>
      <c r="AK219" s="70"/>
      <c r="AL219" s="70"/>
      <c r="AM219" s="70"/>
      <c r="AN219" s="70"/>
      <c r="AO219" s="70"/>
      <c r="AP219" s="70"/>
      <c r="AQ219" s="70"/>
      <c r="AR219" s="70"/>
      <c r="AS219" s="70"/>
      <c r="AT219" s="70"/>
    </row>
    <row r="220" ht="15.75" customHeight="1">
      <c r="A220" s="70"/>
      <c r="B220" s="70"/>
      <c r="C220" s="70"/>
      <c r="D220" s="80"/>
      <c r="E220" s="70"/>
      <c r="F220" s="70"/>
      <c r="G220" s="70"/>
      <c r="H220" s="70"/>
      <c r="I220" s="70"/>
      <c r="J220" s="70"/>
      <c r="K220" s="70"/>
      <c r="L220" s="70"/>
      <c r="M220" s="70"/>
      <c r="N220" s="70"/>
      <c r="O220" s="70"/>
      <c r="P220" s="70"/>
      <c r="Q220" s="70"/>
      <c r="R220" s="70"/>
      <c r="S220" s="70"/>
      <c r="T220" s="91"/>
      <c r="U220" s="91"/>
      <c r="V220" s="70"/>
      <c r="W220" s="58"/>
      <c r="X220" s="58"/>
      <c r="Y220" s="70"/>
      <c r="Z220" s="83"/>
      <c r="AA220" s="70"/>
      <c r="AB220" s="70"/>
      <c r="AC220" s="70"/>
      <c r="AD220" s="70"/>
      <c r="AE220" s="70"/>
      <c r="AF220" s="70"/>
      <c r="AG220" s="70"/>
      <c r="AH220" s="70"/>
      <c r="AI220" s="70"/>
      <c r="AJ220" s="70"/>
      <c r="AK220" s="70"/>
      <c r="AL220" s="70"/>
      <c r="AM220" s="70"/>
      <c r="AN220" s="70"/>
      <c r="AO220" s="70"/>
      <c r="AP220" s="70"/>
      <c r="AQ220" s="70"/>
      <c r="AR220" s="70"/>
      <c r="AS220" s="70"/>
      <c r="AT220" s="70"/>
    </row>
    <row r="221" ht="15.75" customHeight="1">
      <c r="A221" s="70"/>
      <c r="B221" s="70"/>
      <c r="C221" s="70"/>
      <c r="D221" s="80"/>
      <c r="E221" s="70"/>
      <c r="F221" s="70"/>
      <c r="G221" s="70"/>
      <c r="H221" s="70"/>
      <c r="I221" s="70"/>
      <c r="J221" s="70"/>
      <c r="K221" s="70"/>
      <c r="L221" s="70"/>
      <c r="M221" s="70"/>
      <c r="N221" s="70"/>
      <c r="O221" s="70"/>
      <c r="P221" s="70"/>
      <c r="Q221" s="70"/>
      <c r="R221" s="70"/>
      <c r="S221" s="70"/>
      <c r="T221" s="91"/>
      <c r="U221" s="91"/>
      <c r="V221" s="70"/>
      <c r="W221" s="58"/>
      <c r="X221" s="58"/>
      <c r="Y221" s="70"/>
      <c r="Z221" s="83"/>
      <c r="AA221" s="70"/>
      <c r="AB221" s="70"/>
      <c r="AC221" s="70"/>
      <c r="AD221" s="70"/>
      <c r="AE221" s="70"/>
      <c r="AF221" s="70"/>
      <c r="AG221" s="70"/>
      <c r="AH221" s="70"/>
      <c r="AI221" s="70"/>
      <c r="AJ221" s="70"/>
      <c r="AK221" s="70"/>
      <c r="AL221" s="70"/>
      <c r="AM221" s="70"/>
      <c r="AN221" s="70"/>
      <c r="AO221" s="70"/>
      <c r="AP221" s="70"/>
      <c r="AQ221" s="70"/>
      <c r="AR221" s="70"/>
      <c r="AS221" s="70"/>
      <c r="AT221" s="70"/>
    </row>
    <row r="222" ht="15.75" customHeight="1">
      <c r="A222" s="70"/>
      <c r="B222" s="70"/>
      <c r="C222" s="70"/>
      <c r="D222" s="80"/>
      <c r="E222" s="70"/>
      <c r="F222" s="70"/>
      <c r="G222" s="70"/>
      <c r="H222" s="70"/>
      <c r="I222" s="70"/>
      <c r="J222" s="70"/>
      <c r="K222" s="70"/>
      <c r="L222" s="70"/>
      <c r="M222" s="70"/>
      <c r="N222" s="70"/>
      <c r="O222" s="70"/>
      <c r="P222" s="70"/>
      <c r="Q222" s="70"/>
      <c r="R222" s="70"/>
      <c r="S222" s="70"/>
      <c r="T222" s="91"/>
      <c r="U222" s="91"/>
      <c r="V222" s="70"/>
      <c r="W222" s="58"/>
      <c r="X222" s="58"/>
      <c r="Y222" s="70"/>
      <c r="Z222" s="83"/>
      <c r="AA222" s="70"/>
      <c r="AB222" s="70"/>
      <c r="AC222" s="70"/>
      <c r="AD222" s="70"/>
      <c r="AE222" s="70"/>
      <c r="AF222" s="70"/>
      <c r="AG222" s="70"/>
      <c r="AH222" s="70"/>
      <c r="AI222" s="70"/>
      <c r="AJ222" s="70"/>
      <c r="AK222" s="70"/>
      <c r="AL222" s="70"/>
      <c r="AM222" s="70"/>
      <c r="AN222" s="70"/>
      <c r="AO222" s="70"/>
      <c r="AP222" s="70"/>
      <c r="AQ222" s="70"/>
      <c r="AR222" s="70"/>
      <c r="AS222" s="70"/>
      <c r="AT222" s="70"/>
    </row>
    <row r="223" ht="15.75" customHeight="1">
      <c r="A223" s="70"/>
      <c r="B223" s="70"/>
      <c r="C223" s="70"/>
      <c r="D223" s="80"/>
      <c r="E223" s="70"/>
      <c r="F223" s="70"/>
      <c r="G223" s="70"/>
      <c r="H223" s="70"/>
      <c r="I223" s="70"/>
      <c r="J223" s="70"/>
      <c r="K223" s="70"/>
      <c r="L223" s="70"/>
      <c r="M223" s="70"/>
      <c r="N223" s="70"/>
      <c r="O223" s="70"/>
      <c r="P223" s="70"/>
      <c r="Q223" s="70"/>
      <c r="R223" s="70"/>
      <c r="S223" s="70"/>
      <c r="T223" s="91"/>
      <c r="U223" s="91"/>
      <c r="V223" s="70"/>
      <c r="W223" s="58"/>
      <c r="X223" s="58"/>
      <c r="Y223" s="70"/>
      <c r="Z223" s="83"/>
      <c r="AA223" s="70"/>
      <c r="AB223" s="70"/>
      <c r="AC223" s="70"/>
      <c r="AD223" s="70"/>
      <c r="AE223" s="70"/>
      <c r="AF223" s="70"/>
      <c r="AG223" s="70"/>
      <c r="AH223" s="70"/>
      <c r="AI223" s="70"/>
      <c r="AJ223" s="70"/>
      <c r="AK223" s="70"/>
      <c r="AL223" s="70"/>
      <c r="AM223" s="70"/>
      <c r="AN223" s="70"/>
      <c r="AO223" s="70"/>
      <c r="AP223" s="70"/>
      <c r="AQ223" s="70"/>
      <c r="AR223" s="70"/>
      <c r="AS223" s="70"/>
      <c r="AT223" s="70"/>
    </row>
    <row r="224" ht="15.75" customHeight="1">
      <c r="A224" s="70"/>
      <c r="B224" s="70"/>
      <c r="C224" s="70"/>
      <c r="D224" s="80"/>
      <c r="E224" s="70"/>
      <c r="F224" s="70"/>
      <c r="G224" s="70"/>
      <c r="H224" s="70"/>
      <c r="I224" s="70"/>
      <c r="J224" s="70"/>
      <c r="K224" s="70"/>
      <c r="L224" s="70"/>
      <c r="M224" s="70"/>
      <c r="N224" s="70"/>
      <c r="O224" s="70"/>
      <c r="P224" s="70"/>
      <c r="Q224" s="70"/>
      <c r="R224" s="70"/>
      <c r="S224" s="70"/>
      <c r="T224" s="91"/>
      <c r="U224" s="91"/>
      <c r="V224" s="70"/>
      <c r="W224" s="58"/>
      <c r="X224" s="58"/>
      <c r="Y224" s="70"/>
      <c r="Z224" s="83"/>
      <c r="AA224" s="70"/>
      <c r="AB224" s="70"/>
      <c r="AC224" s="70"/>
      <c r="AD224" s="70"/>
      <c r="AE224" s="70"/>
      <c r="AF224" s="70"/>
      <c r="AG224" s="70"/>
      <c r="AH224" s="70"/>
      <c r="AI224" s="70"/>
      <c r="AJ224" s="70"/>
      <c r="AK224" s="70"/>
      <c r="AL224" s="70"/>
      <c r="AM224" s="70"/>
      <c r="AN224" s="70"/>
      <c r="AO224" s="70"/>
      <c r="AP224" s="70"/>
      <c r="AQ224" s="70"/>
      <c r="AR224" s="70"/>
      <c r="AS224" s="70"/>
      <c r="AT224" s="70"/>
    </row>
    <row r="225" ht="15.75" customHeight="1">
      <c r="A225" s="70"/>
      <c r="B225" s="70"/>
      <c r="C225" s="70"/>
      <c r="D225" s="80"/>
      <c r="E225" s="70"/>
      <c r="F225" s="70"/>
      <c r="G225" s="70"/>
      <c r="H225" s="70"/>
      <c r="I225" s="70"/>
      <c r="J225" s="70"/>
      <c r="K225" s="70"/>
      <c r="L225" s="70"/>
      <c r="M225" s="70"/>
      <c r="N225" s="70"/>
      <c r="O225" s="70"/>
      <c r="P225" s="70"/>
      <c r="Q225" s="70"/>
      <c r="R225" s="70"/>
      <c r="S225" s="70"/>
      <c r="T225" s="91"/>
      <c r="U225" s="91"/>
      <c r="V225" s="70"/>
      <c r="W225" s="58"/>
      <c r="X225" s="58"/>
      <c r="Y225" s="70"/>
      <c r="Z225" s="83"/>
      <c r="AA225" s="70"/>
      <c r="AB225" s="70"/>
      <c r="AC225" s="70"/>
      <c r="AD225" s="70"/>
      <c r="AE225" s="70"/>
      <c r="AF225" s="70"/>
      <c r="AG225" s="70"/>
      <c r="AH225" s="70"/>
      <c r="AI225" s="70"/>
      <c r="AJ225" s="70"/>
      <c r="AK225" s="70"/>
      <c r="AL225" s="70"/>
      <c r="AM225" s="70"/>
      <c r="AN225" s="70"/>
      <c r="AO225" s="70"/>
      <c r="AP225" s="70"/>
      <c r="AQ225" s="70"/>
      <c r="AR225" s="70"/>
      <c r="AS225" s="70"/>
      <c r="AT225" s="70"/>
    </row>
    <row r="226" ht="15.75" customHeight="1">
      <c r="A226" s="70"/>
      <c r="B226" s="70"/>
      <c r="C226" s="70"/>
      <c r="D226" s="80"/>
      <c r="E226" s="70"/>
      <c r="F226" s="70"/>
      <c r="G226" s="70"/>
      <c r="H226" s="70"/>
      <c r="I226" s="70"/>
      <c r="J226" s="70"/>
      <c r="K226" s="70"/>
      <c r="L226" s="70"/>
      <c r="M226" s="70"/>
      <c r="N226" s="70"/>
      <c r="O226" s="70"/>
      <c r="P226" s="70"/>
      <c r="Q226" s="70"/>
      <c r="R226" s="70"/>
      <c r="S226" s="70"/>
      <c r="T226" s="91"/>
      <c r="U226" s="91"/>
      <c r="V226" s="70"/>
      <c r="W226" s="58"/>
      <c r="X226" s="58"/>
      <c r="Y226" s="70"/>
      <c r="Z226" s="83"/>
      <c r="AA226" s="70"/>
      <c r="AB226" s="70"/>
      <c r="AC226" s="70"/>
      <c r="AD226" s="70"/>
      <c r="AE226" s="70"/>
      <c r="AF226" s="70"/>
      <c r="AG226" s="70"/>
      <c r="AH226" s="70"/>
      <c r="AI226" s="70"/>
      <c r="AJ226" s="70"/>
      <c r="AK226" s="70"/>
      <c r="AL226" s="70"/>
      <c r="AM226" s="70"/>
      <c r="AN226" s="70"/>
      <c r="AO226" s="70"/>
      <c r="AP226" s="70"/>
      <c r="AQ226" s="70"/>
      <c r="AR226" s="70"/>
      <c r="AS226" s="70"/>
      <c r="AT226" s="70"/>
    </row>
    <row r="227" ht="15.75" customHeight="1">
      <c r="A227" s="70"/>
      <c r="B227" s="70"/>
      <c r="C227" s="70"/>
      <c r="D227" s="80"/>
      <c r="E227" s="70"/>
      <c r="F227" s="70"/>
      <c r="G227" s="70"/>
      <c r="H227" s="70"/>
      <c r="I227" s="70"/>
      <c r="J227" s="70"/>
      <c r="K227" s="70"/>
      <c r="L227" s="70"/>
      <c r="M227" s="70"/>
      <c r="N227" s="70"/>
      <c r="O227" s="70"/>
      <c r="P227" s="70"/>
      <c r="Q227" s="70"/>
      <c r="R227" s="70"/>
      <c r="S227" s="70"/>
      <c r="T227" s="91"/>
      <c r="U227" s="91"/>
      <c r="V227" s="70"/>
      <c r="W227" s="58"/>
      <c r="X227" s="58"/>
      <c r="Y227" s="70"/>
      <c r="Z227" s="83"/>
      <c r="AA227" s="70"/>
      <c r="AB227" s="70"/>
      <c r="AC227" s="70"/>
      <c r="AD227" s="70"/>
      <c r="AE227" s="70"/>
      <c r="AF227" s="70"/>
      <c r="AG227" s="70"/>
      <c r="AH227" s="70"/>
      <c r="AI227" s="70"/>
      <c r="AJ227" s="70"/>
      <c r="AK227" s="70"/>
      <c r="AL227" s="70"/>
      <c r="AM227" s="70"/>
      <c r="AN227" s="70"/>
      <c r="AO227" s="70"/>
      <c r="AP227" s="70"/>
      <c r="AQ227" s="70"/>
      <c r="AR227" s="70"/>
      <c r="AS227" s="70"/>
      <c r="AT227" s="70"/>
    </row>
    <row r="228" ht="15.75" customHeight="1">
      <c r="A228" s="70"/>
      <c r="B228" s="70"/>
      <c r="C228" s="70"/>
      <c r="D228" s="80"/>
      <c r="E228" s="70"/>
      <c r="F228" s="70"/>
      <c r="G228" s="70"/>
      <c r="H228" s="70"/>
      <c r="I228" s="70"/>
      <c r="J228" s="70"/>
      <c r="K228" s="70"/>
      <c r="L228" s="70"/>
      <c r="M228" s="70"/>
      <c r="N228" s="70"/>
      <c r="O228" s="70"/>
      <c r="P228" s="70"/>
      <c r="Q228" s="70"/>
      <c r="R228" s="70"/>
      <c r="S228" s="70"/>
      <c r="T228" s="91"/>
      <c r="U228" s="91"/>
      <c r="V228" s="70"/>
      <c r="W228" s="58"/>
      <c r="X228" s="58"/>
      <c r="Y228" s="70"/>
      <c r="Z228" s="83"/>
      <c r="AA228" s="70"/>
      <c r="AB228" s="70"/>
      <c r="AC228" s="70"/>
      <c r="AD228" s="70"/>
      <c r="AE228" s="70"/>
      <c r="AF228" s="70"/>
      <c r="AG228" s="70"/>
      <c r="AH228" s="70"/>
      <c r="AI228" s="70"/>
      <c r="AJ228" s="70"/>
      <c r="AK228" s="70"/>
      <c r="AL228" s="70"/>
      <c r="AM228" s="70"/>
      <c r="AN228" s="70"/>
      <c r="AO228" s="70"/>
      <c r="AP228" s="70"/>
      <c r="AQ228" s="70"/>
      <c r="AR228" s="70"/>
      <c r="AS228" s="70"/>
      <c r="AT228" s="70"/>
    </row>
    <row r="229" ht="15.75" customHeight="1">
      <c r="A229" s="70"/>
      <c r="B229" s="70"/>
      <c r="C229" s="70"/>
      <c r="D229" s="80"/>
      <c r="E229" s="70"/>
      <c r="F229" s="70"/>
      <c r="G229" s="70"/>
      <c r="H229" s="70"/>
      <c r="I229" s="70"/>
      <c r="J229" s="70"/>
      <c r="K229" s="70"/>
      <c r="L229" s="70"/>
      <c r="M229" s="70"/>
      <c r="N229" s="70"/>
      <c r="O229" s="70"/>
      <c r="P229" s="70"/>
      <c r="Q229" s="70"/>
      <c r="R229" s="70"/>
      <c r="S229" s="70"/>
      <c r="T229" s="91"/>
      <c r="U229" s="91"/>
      <c r="V229" s="70"/>
      <c r="W229" s="58"/>
      <c r="X229" s="58"/>
      <c r="Y229" s="70"/>
      <c r="Z229" s="83"/>
      <c r="AA229" s="70"/>
      <c r="AB229" s="70"/>
      <c r="AC229" s="70"/>
      <c r="AD229" s="70"/>
      <c r="AE229" s="70"/>
      <c r="AF229" s="70"/>
      <c r="AG229" s="70"/>
      <c r="AH229" s="70"/>
      <c r="AI229" s="70"/>
      <c r="AJ229" s="70"/>
      <c r="AK229" s="70"/>
      <c r="AL229" s="70"/>
      <c r="AM229" s="70"/>
      <c r="AN229" s="70"/>
      <c r="AO229" s="70"/>
      <c r="AP229" s="70"/>
      <c r="AQ229" s="70"/>
      <c r="AR229" s="70"/>
      <c r="AS229" s="70"/>
      <c r="AT229" s="70"/>
    </row>
    <row r="230" ht="15.75" customHeight="1">
      <c r="A230" s="70"/>
      <c r="B230" s="70"/>
      <c r="C230" s="70"/>
      <c r="D230" s="80"/>
      <c r="E230" s="70"/>
      <c r="F230" s="70"/>
      <c r="G230" s="70"/>
      <c r="H230" s="70"/>
      <c r="I230" s="70"/>
      <c r="J230" s="70"/>
      <c r="K230" s="70"/>
      <c r="L230" s="70"/>
      <c r="M230" s="70"/>
      <c r="N230" s="70"/>
      <c r="O230" s="70"/>
      <c r="P230" s="70"/>
      <c r="Q230" s="70"/>
      <c r="R230" s="70"/>
      <c r="S230" s="70"/>
      <c r="T230" s="91"/>
      <c r="U230" s="91"/>
      <c r="V230" s="70"/>
      <c r="W230" s="58"/>
      <c r="X230" s="58"/>
      <c r="Y230" s="70"/>
      <c r="Z230" s="83"/>
      <c r="AA230" s="70"/>
      <c r="AB230" s="70"/>
      <c r="AC230" s="70"/>
      <c r="AD230" s="70"/>
      <c r="AE230" s="70"/>
      <c r="AF230" s="70"/>
      <c r="AG230" s="70"/>
      <c r="AH230" s="70"/>
      <c r="AI230" s="70"/>
      <c r="AJ230" s="70"/>
      <c r="AK230" s="70"/>
      <c r="AL230" s="70"/>
      <c r="AM230" s="70"/>
      <c r="AN230" s="70"/>
      <c r="AO230" s="70"/>
      <c r="AP230" s="70"/>
      <c r="AQ230" s="70"/>
      <c r="AR230" s="70"/>
      <c r="AS230" s="70"/>
      <c r="AT230" s="70"/>
    </row>
    <row r="231" ht="15.75" customHeight="1">
      <c r="A231" s="70"/>
      <c r="B231" s="70"/>
      <c r="C231" s="70"/>
      <c r="D231" s="80"/>
      <c r="E231" s="70"/>
      <c r="F231" s="70"/>
      <c r="G231" s="70"/>
      <c r="H231" s="70"/>
      <c r="I231" s="70"/>
      <c r="J231" s="70"/>
      <c r="K231" s="70"/>
      <c r="L231" s="70"/>
      <c r="M231" s="70"/>
      <c r="N231" s="70"/>
      <c r="O231" s="70"/>
      <c r="P231" s="70"/>
      <c r="Q231" s="70"/>
      <c r="R231" s="70"/>
      <c r="S231" s="70"/>
      <c r="T231" s="91"/>
      <c r="U231" s="91"/>
      <c r="V231" s="70"/>
      <c r="W231" s="58"/>
      <c r="X231" s="58"/>
      <c r="Y231" s="70"/>
      <c r="Z231" s="83"/>
      <c r="AA231" s="70"/>
      <c r="AB231" s="70"/>
      <c r="AC231" s="70"/>
      <c r="AD231" s="70"/>
      <c r="AE231" s="70"/>
      <c r="AF231" s="70"/>
      <c r="AG231" s="70"/>
      <c r="AH231" s="70"/>
      <c r="AI231" s="70"/>
      <c r="AJ231" s="70"/>
      <c r="AK231" s="70"/>
      <c r="AL231" s="70"/>
      <c r="AM231" s="70"/>
      <c r="AN231" s="70"/>
      <c r="AO231" s="70"/>
      <c r="AP231" s="70"/>
      <c r="AQ231" s="70"/>
      <c r="AR231" s="70"/>
      <c r="AS231" s="70"/>
      <c r="AT231" s="70"/>
    </row>
    <row r="232" ht="15.75" customHeight="1">
      <c r="A232" s="70"/>
      <c r="B232" s="70"/>
      <c r="C232" s="70"/>
      <c r="D232" s="80"/>
      <c r="E232" s="70"/>
      <c r="F232" s="70"/>
      <c r="G232" s="70"/>
      <c r="H232" s="70"/>
      <c r="I232" s="70"/>
      <c r="J232" s="70"/>
      <c r="K232" s="70"/>
      <c r="L232" s="70"/>
      <c r="M232" s="70"/>
      <c r="N232" s="70"/>
      <c r="O232" s="70"/>
      <c r="P232" s="70"/>
      <c r="Q232" s="70"/>
      <c r="R232" s="70"/>
      <c r="S232" s="70"/>
      <c r="T232" s="91"/>
      <c r="U232" s="91"/>
      <c r="V232" s="70"/>
      <c r="W232" s="58"/>
      <c r="X232" s="58"/>
      <c r="Y232" s="70"/>
      <c r="Z232" s="83"/>
      <c r="AA232" s="70"/>
      <c r="AB232" s="70"/>
      <c r="AC232" s="70"/>
      <c r="AD232" s="70"/>
      <c r="AE232" s="70"/>
      <c r="AF232" s="70"/>
      <c r="AG232" s="70"/>
      <c r="AH232" s="70"/>
      <c r="AI232" s="70"/>
      <c r="AJ232" s="70"/>
      <c r="AK232" s="70"/>
      <c r="AL232" s="70"/>
      <c r="AM232" s="70"/>
      <c r="AN232" s="70"/>
      <c r="AO232" s="70"/>
      <c r="AP232" s="70"/>
      <c r="AQ232" s="70"/>
      <c r="AR232" s="70"/>
      <c r="AS232" s="70"/>
      <c r="AT232" s="70"/>
    </row>
    <row r="233" ht="15.75" customHeight="1">
      <c r="A233" s="70"/>
      <c r="B233" s="70"/>
      <c r="C233" s="70"/>
      <c r="D233" s="80"/>
      <c r="E233" s="70"/>
      <c r="F233" s="70"/>
      <c r="G233" s="70"/>
      <c r="H233" s="70"/>
      <c r="I233" s="70"/>
      <c r="J233" s="70"/>
      <c r="K233" s="70"/>
      <c r="L233" s="70"/>
      <c r="M233" s="70"/>
      <c r="N233" s="70"/>
      <c r="O233" s="70"/>
      <c r="P233" s="70"/>
      <c r="Q233" s="70"/>
      <c r="R233" s="70"/>
      <c r="S233" s="70"/>
      <c r="T233" s="91"/>
      <c r="U233" s="91"/>
      <c r="V233" s="70"/>
      <c r="W233" s="58"/>
      <c r="X233" s="58"/>
      <c r="Y233" s="70"/>
      <c r="Z233" s="83"/>
      <c r="AA233" s="70"/>
      <c r="AB233" s="70"/>
      <c r="AC233" s="70"/>
      <c r="AD233" s="70"/>
      <c r="AE233" s="70"/>
      <c r="AF233" s="70"/>
      <c r="AG233" s="70"/>
      <c r="AH233" s="70"/>
      <c r="AI233" s="70"/>
      <c r="AJ233" s="70"/>
      <c r="AK233" s="70"/>
      <c r="AL233" s="70"/>
      <c r="AM233" s="70"/>
      <c r="AN233" s="70"/>
      <c r="AO233" s="70"/>
      <c r="AP233" s="70"/>
      <c r="AQ233" s="70"/>
      <c r="AR233" s="70"/>
      <c r="AS233" s="70"/>
      <c r="AT233" s="70"/>
    </row>
    <row r="234" ht="15.75" customHeight="1">
      <c r="A234" s="70"/>
      <c r="B234" s="70"/>
      <c r="C234" s="70"/>
      <c r="D234" s="80"/>
      <c r="E234" s="70"/>
      <c r="F234" s="70"/>
      <c r="G234" s="70"/>
      <c r="H234" s="70"/>
      <c r="I234" s="70"/>
      <c r="J234" s="70"/>
      <c r="K234" s="70"/>
      <c r="L234" s="70"/>
      <c r="M234" s="70"/>
      <c r="N234" s="70"/>
      <c r="O234" s="70"/>
      <c r="P234" s="70"/>
      <c r="Q234" s="70"/>
      <c r="R234" s="70"/>
      <c r="S234" s="70"/>
      <c r="T234" s="91"/>
      <c r="U234" s="91"/>
      <c r="V234" s="70"/>
      <c r="W234" s="58"/>
      <c r="X234" s="58"/>
      <c r="Y234" s="70"/>
      <c r="Z234" s="83"/>
      <c r="AA234" s="70"/>
      <c r="AB234" s="70"/>
      <c r="AC234" s="70"/>
      <c r="AD234" s="70"/>
      <c r="AE234" s="70"/>
      <c r="AF234" s="70"/>
      <c r="AG234" s="70"/>
      <c r="AH234" s="70"/>
      <c r="AI234" s="70"/>
      <c r="AJ234" s="70"/>
      <c r="AK234" s="70"/>
      <c r="AL234" s="70"/>
      <c r="AM234" s="70"/>
      <c r="AN234" s="70"/>
      <c r="AO234" s="70"/>
      <c r="AP234" s="70"/>
      <c r="AQ234" s="70"/>
      <c r="AR234" s="70"/>
      <c r="AS234" s="70"/>
      <c r="AT234" s="70"/>
    </row>
    <row r="235" ht="15.75" customHeight="1">
      <c r="A235" s="70"/>
      <c r="B235" s="70"/>
      <c r="C235" s="70"/>
      <c r="D235" s="80"/>
      <c r="E235" s="70"/>
      <c r="F235" s="70"/>
      <c r="G235" s="70"/>
      <c r="H235" s="70"/>
      <c r="I235" s="70"/>
      <c r="J235" s="70"/>
      <c r="K235" s="70"/>
      <c r="L235" s="70"/>
      <c r="M235" s="70"/>
      <c r="N235" s="70"/>
      <c r="O235" s="70"/>
      <c r="P235" s="70"/>
      <c r="Q235" s="70"/>
      <c r="R235" s="70"/>
      <c r="S235" s="70"/>
      <c r="T235" s="91"/>
      <c r="U235" s="91"/>
      <c r="V235" s="70"/>
      <c r="W235" s="58"/>
      <c r="X235" s="58"/>
      <c r="Y235" s="70"/>
      <c r="Z235" s="83"/>
      <c r="AA235" s="70"/>
      <c r="AB235" s="70"/>
      <c r="AC235" s="70"/>
      <c r="AD235" s="70"/>
      <c r="AE235" s="70"/>
      <c r="AF235" s="70"/>
      <c r="AG235" s="70"/>
      <c r="AH235" s="70"/>
      <c r="AI235" s="70"/>
      <c r="AJ235" s="70"/>
      <c r="AK235" s="70"/>
      <c r="AL235" s="70"/>
      <c r="AM235" s="70"/>
      <c r="AN235" s="70"/>
      <c r="AO235" s="70"/>
      <c r="AP235" s="70"/>
      <c r="AQ235" s="70"/>
      <c r="AR235" s="70"/>
      <c r="AS235" s="70"/>
      <c r="AT235" s="70"/>
    </row>
    <row r="236" ht="15.75" customHeight="1">
      <c r="A236" s="70"/>
      <c r="B236" s="70"/>
      <c r="C236" s="70"/>
      <c r="D236" s="80"/>
      <c r="E236" s="70"/>
      <c r="F236" s="70"/>
      <c r="G236" s="70"/>
      <c r="H236" s="70"/>
      <c r="I236" s="70"/>
      <c r="J236" s="70"/>
      <c r="K236" s="70"/>
      <c r="L236" s="70"/>
      <c r="M236" s="70"/>
      <c r="N236" s="70"/>
      <c r="O236" s="70"/>
      <c r="P236" s="70"/>
      <c r="Q236" s="70"/>
      <c r="R236" s="70"/>
      <c r="S236" s="70"/>
      <c r="T236" s="91"/>
      <c r="U236" s="91"/>
      <c r="V236" s="70"/>
      <c r="W236" s="58"/>
      <c r="X236" s="58"/>
      <c r="Y236" s="70"/>
      <c r="Z236" s="83"/>
      <c r="AA236" s="70"/>
      <c r="AB236" s="70"/>
      <c r="AC236" s="70"/>
      <c r="AD236" s="70"/>
      <c r="AE236" s="70"/>
      <c r="AF236" s="70"/>
      <c r="AG236" s="70"/>
      <c r="AH236" s="70"/>
      <c r="AI236" s="70"/>
      <c r="AJ236" s="70"/>
      <c r="AK236" s="70"/>
      <c r="AL236" s="70"/>
      <c r="AM236" s="70"/>
      <c r="AN236" s="70"/>
      <c r="AO236" s="70"/>
      <c r="AP236" s="70"/>
      <c r="AQ236" s="70"/>
      <c r="AR236" s="70"/>
      <c r="AS236" s="70"/>
      <c r="AT236" s="70"/>
    </row>
    <row r="237" ht="15.75" customHeight="1">
      <c r="A237" s="70"/>
      <c r="B237" s="70"/>
      <c r="C237" s="70"/>
      <c r="D237" s="80"/>
      <c r="E237" s="70"/>
      <c r="F237" s="70"/>
      <c r="G237" s="70"/>
      <c r="H237" s="70"/>
      <c r="I237" s="70"/>
      <c r="J237" s="70"/>
      <c r="K237" s="70"/>
      <c r="L237" s="70"/>
      <c r="M237" s="70"/>
      <c r="N237" s="70"/>
      <c r="O237" s="70"/>
      <c r="P237" s="70"/>
      <c r="Q237" s="70"/>
      <c r="R237" s="70"/>
      <c r="S237" s="70"/>
      <c r="T237" s="91"/>
      <c r="U237" s="91"/>
      <c r="V237" s="70"/>
      <c r="W237" s="58"/>
      <c r="X237" s="58"/>
      <c r="Y237" s="70"/>
      <c r="Z237" s="83"/>
      <c r="AA237" s="70"/>
      <c r="AB237" s="70"/>
      <c r="AC237" s="70"/>
      <c r="AD237" s="70"/>
      <c r="AE237" s="70"/>
      <c r="AF237" s="70"/>
      <c r="AG237" s="70"/>
      <c r="AH237" s="70"/>
      <c r="AI237" s="70"/>
      <c r="AJ237" s="70"/>
      <c r="AK237" s="70"/>
      <c r="AL237" s="70"/>
      <c r="AM237" s="70"/>
      <c r="AN237" s="70"/>
      <c r="AO237" s="70"/>
      <c r="AP237" s="70"/>
      <c r="AQ237" s="70"/>
      <c r="AR237" s="70"/>
      <c r="AS237" s="70"/>
      <c r="AT237" s="70"/>
    </row>
    <row r="238" ht="15.75" customHeight="1">
      <c r="A238" s="70"/>
      <c r="B238" s="70"/>
      <c r="C238" s="70"/>
      <c r="D238" s="80"/>
      <c r="E238" s="70"/>
      <c r="F238" s="70"/>
      <c r="G238" s="70"/>
      <c r="H238" s="70"/>
      <c r="I238" s="70"/>
      <c r="J238" s="70"/>
      <c r="K238" s="70"/>
      <c r="L238" s="70"/>
      <c r="M238" s="70"/>
      <c r="N238" s="70"/>
      <c r="O238" s="70"/>
      <c r="P238" s="70"/>
      <c r="Q238" s="70"/>
      <c r="R238" s="70"/>
      <c r="S238" s="70"/>
      <c r="T238" s="91"/>
      <c r="U238" s="91"/>
      <c r="V238" s="70"/>
      <c r="W238" s="58"/>
      <c r="X238" s="58"/>
      <c r="Y238" s="70"/>
      <c r="Z238" s="83"/>
      <c r="AA238" s="70"/>
      <c r="AB238" s="70"/>
      <c r="AC238" s="70"/>
      <c r="AD238" s="70"/>
      <c r="AE238" s="70"/>
      <c r="AF238" s="70"/>
      <c r="AG238" s="70"/>
      <c r="AH238" s="70"/>
      <c r="AI238" s="70"/>
      <c r="AJ238" s="70"/>
      <c r="AK238" s="70"/>
      <c r="AL238" s="70"/>
      <c r="AM238" s="70"/>
      <c r="AN238" s="70"/>
      <c r="AO238" s="70"/>
      <c r="AP238" s="70"/>
      <c r="AQ238" s="70"/>
      <c r="AR238" s="70"/>
      <c r="AS238" s="70"/>
      <c r="AT238" s="70"/>
    </row>
    <row r="239" ht="15.75" customHeight="1">
      <c r="A239" s="70"/>
      <c r="B239" s="70"/>
      <c r="C239" s="70"/>
      <c r="D239" s="80"/>
      <c r="E239" s="70"/>
      <c r="F239" s="70"/>
      <c r="G239" s="70"/>
      <c r="H239" s="70"/>
      <c r="I239" s="70"/>
      <c r="J239" s="70"/>
      <c r="K239" s="70"/>
      <c r="L239" s="70"/>
      <c r="M239" s="70"/>
      <c r="N239" s="70"/>
      <c r="O239" s="70"/>
      <c r="P239" s="70"/>
      <c r="Q239" s="70"/>
      <c r="R239" s="70"/>
      <c r="S239" s="70"/>
      <c r="T239" s="91"/>
      <c r="U239" s="91"/>
      <c r="V239" s="70"/>
      <c r="W239" s="58"/>
      <c r="X239" s="58"/>
      <c r="Y239" s="70"/>
      <c r="Z239" s="83"/>
      <c r="AA239" s="70"/>
      <c r="AB239" s="70"/>
      <c r="AC239" s="70"/>
      <c r="AD239" s="70"/>
      <c r="AE239" s="70"/>
      <c r="AF239" s="70"/>
      <c r="AG239" s="70"/>
      <c r="AH239" s="70"/>
      <c r="AI239" s="70"/>
      <c r="AJ239" s="70"/>
      <c r="AK239" s="70"/>
      <c r="AL239" s="70"/>
      <c r="AM239" s="70"/>
      <c r="AN239" s="70"/>
      <c r="AO239" s="70"/>
      <c r="AP239" s="70"/>
      <c r="AQ239" s="70"/>
      <c r="AR239" s="70"/>
      <c r="AS239" s="70"/>
      <c r="AT239" s="70"/>
    </row>
    <row r="240" ht="15.75" customHeight="1">
      <c r="A240" s="70"/>
      <c r="B240" s="70"/>
      <c r="C240" s="70"/>
      <c r="D240" s="80"/>
      <c r="E240" s="70"/>
      <c r="F240" s="70"/>
      <c r="G240" s="70"/>
      <c r="H240" s="70"/>
      <c r="I240" s="70"/>
      <c r="J240" s="70"/>
      <c r="K240" s="70"/>
      <c r="L240" s="70"/>
      <c r="M240" s="70"/>
      <c r="N240" s="70"/>
      <c r="O240" s="70"/>
      <c r="P240" s="70"/>
      <c r="Q240" s="70"/>
      <c r="R240" s="70"/>
      <c r="S240" s="70"/>
      <c r="T240" s="91"/>
      <c r="U240" s="91"/>
      <c r="V240" s="70"/>
      <c r="W240" s="58"/>
      <c r="X240" s="58"/>
      <c r="Y240" s="70"/>
      <c r="Z240" s="83"/>
      <c r="AA240" s="70"/>
      <c r="AB240" s="70"/>
      <c r="AC240" s="70"/>
      <c r="AD240" s="70"/>
      <c r="AE240" s="70"/>
      <c r="AF240" s="70"/>
      <c r="AG240" s="70"/>
      <c r="AH240" s="70"/>
      <c r="AI240" s="70"/>
      <c r="AJ240" s="70"/>
      <c r="AK240" s="70"/>
      <c r="AL240" s="70"/>
      <c r="AM240" s="70"/>
      <c r="AN240" s="70"/>
      <c r="AO240" s="70"/>
      <c r="AP240" s="70"/>
      <c r="AQ240" s="70"/>
      <c r="AR240" s="70"/>
      <c r="AS240" s="70"/>
      <c r="AT240" s="70"/>
    </row>
    <row r="241" ht="15.75" customHeight="1">
      <c r="A241" s="70"/>
      <c r="B241" s="70"/>
      <c r="C241" s="70"/>
      <c r="D241" s="80"/>
      <c r="E241" s="70"/>
      <c r="F241" s="70"/>
      <c r="G241" s="70"/>
      <c r="H241" s="70"/>
      <c r="I241" s="70"/>
      <c r="J241" s="70"/>
      <c r="K241" s="70"/>
      <c r="L241" s="70"/>
      <c r="M241" s="70"/>
      <c r="N241" s="70"/>
      <c r="O241" s="70"/>
      <c r="P241" s="70"/>
      <c r="Q241" s="70"/>
      <c r="R241" s="70"/>
      <c r="S241" s="70"/>
      <c r="T241" s="91"/>
      <c r="U241" s="91"/>
      <c r="V241" s="70"/>
      <c r="W241" s="58"/>
      <c r="X241" s="58"/>
      <c r="Y241" s="70"/>
      <c r="Z241" s="83"/>
      <c r="AA241" s="70"/>
      <c r="AB241" s="70"/>
      <c r="AC241" s="70"/>
      <c r="AD241" s="70"/>
      <c r="AE241" s="70"/>
      <c r="AF241" s="70"/>
      <c r="AG241" s="70"/>
      <c r="AH241" s="70"/>
      <c r="AI241" s="70"/>
      <c r="AJ241" s="70"/>
      <c r="AK241" s="70"/>
      <c r="AL241" s="70"/>
      <c r="AM241" s="70"/>
      <c r="AN241" s="70"/>
      <c r="AO241" s="70"/>
      <c r="AP241" s="70"/>
      <c r="AQ241" s="70"/>
      <c r="AR241" s="70"/>
      <c r="AS241" s="70"/>
      <c r="AT241" s="70"/>
    </row>
    <row r="242" ht="15.75" customHeight="1">
      <c r="A242" s="70"/>
      <c r="B242" s="70"/>
      <c r="C242" s="70"/>
      <c r="D242" s="80"/>
      <c r="E242" s="70"/>
      <c r="F242" s="70"/>
      <c r="G242" s="70"/>
      <c r="H242" s="70"/>
      <c r="I242" s="70"/>
      <c r="J242" s="70"/>
      <c r="K242" s="70"/>
      <c r="L242" s="70"/>
      <c r="M242" s="70"/>
      <c r="N242" s="70"/>
      <c r="O242" s="70"/>
      <c r="P242" s="70"/>
      <c r="Q242" s="70"/>
      <c r="R242" s="70"/>
      <c r="S242" s="70"/>
      <c r="T242" s="91"/>
      <c r="U242" s="91"/>
      <c r="V242" s="70"/>
      <c r="W242" s="58"/>
      <c r="X242" s="58"/>
      <c r="Y242" s="70"/>
      <c r="Z242" s="83"/>
      <c r="AA242" s="70"/>
      <c r="AB242" s="70"/>
      <c r="AC242" s="70"/>
      <c r="AD242" s="70"/>
      <c r="AE242" s="70"/>
      <c r="AF242" s="70"/>
      <c r="AG242" s="70"/>
      <c r="AH242" s="70"/>
      <c r="AI242" s="70"/>
      <c r="AJ242" s="70"/>
      <c r="AK242" s="70"/>
      <c r="AL242" s="70"/>
      <c r="AM242" s="70"/>
      <c r="AN242" s="70"/>
      <c r="AO242" s="70"/>
      <c r="AP242" s="70"/>
      <c r="AQ242" s="70"/>
      <c r="AR242" s="70"/>
      <c r="AS242" s="70"/>
      <c r="AT242" s="70"/>
    </row>
    <row r="243" ht="15.75" customHeight="1">
      <c r="A243" s="70"/>
      <c r="B243" s="70"/>
      <c r="C243" s="70"/>
      <c r="D243" s="80"/>
      <c r="E243" s="70"/>
      <c r="F243" s="70"/>
      <c r="G243" s="70"/>
      <c r="H243" s="70"/>
      <c r="I243" s="70"/>
      <c r="J243" s="70"/>
      <c r="K243" s="70"/>
      <c r="L243" s="70"/>
      <c r="M243" s="70"/>
      <c r="N243" s="70"/>
      <c r="O243" s="70"/>
      <c r="P243" s="70"/>
      <c r="Q243" s="70"/>
      <c r="R243" s="70"/>
      <c r="S243" s="70"/>
      <c r="T243" s="91"/>
      <c r="U243" s="91"/>
      <c r="V243" s="70"/>
      <c r="W243" s="58"/>
      <c r="X243" s="58"/>
      <c r="Y243" s="70"/>
      <c r="Z243" s="83"/>
      <c r="AA243" s="70"/>
      <c r="AB243" s="70"/>
      <c r="AC243" s="70"/>
      <c r="AD243" s="70"/>
      <c r="AE243" s="70"/>
      <c r="AF243" s="70"/>
      <c r="AG243" s="70"/>
      <c r="AH243" s="70"/>
      <c r="AI243" s="70"/>
      <c r="AJ243" s="70"/>
      <c r="AK243" s="70"/>
      <c r="AL243" s="70"/>
      <c r="AM243" s="70"/>
      <c r="AN243" s="70"/>
      <c r="AO243" s="70"/>
      <c r="AP243" s="70"/>
      <c r="AQ243" s="70"/>
      <c r="AR243" s="70"/>
      <c r="AS243" s="70"/>
      <c r="AT243" s="70"/>
    </row>
    <row r="244" ht="15.75" customHeight="1">
      <c r="A244" s="70"/>
      <c r="B244" s="70"/>
      <c r="C244" s="70"/>
      <c r="D244" s="80"/>
      <c r="E244" s="70"/>
      <c r="F244" s="70"/>
      <c r="G244" s="70"/>
      <c r="H244" s="70"/>
      <c r="I244" s="70"/>
      <c r="J244" s="70"/>
      <c r="K244" s="70"/>
      <c r="L244" s="70"/>
      <c r="M244" s="70"/>
      <c r="N244" s="70"/>
      <c r="O244" s="70"/>
      <c r="P244" s="70"/>
      <c r="Q244" s="70"/>
      <c r="R244" s="70"/>
      <c r="S244" s="70"/>
      <c r="T244" s="91"/>
      <c r="U244" s="91"/>
      <c r="V244" s="70"/>
      <c r="W244" s="58"/>
      <c r="X244" s="58"/>
      <c r="Y244" s="70"/>
      <c r="Z244" s="83"/>
      <c r="AA244" s="70"/>
      <c r="AB244" s="70"/>
      <c r="AC244" s="70"/>
      <c r="AD244" s="70"/>
      <c r="AE244" s="70"/>
      <c r="AF244" s="70"/>
      <c r="AG244" s="70"/>
      <c r="AH244" s="70"/>
      <c r="AI244" s="70"/>
      <c r="AJ244" s="70"/>
      <c r="AK244" s="70"/>
      <c r="AL244" s="70"/>
      <c r="AM244" s="70"/>
      <c r="AN244" s="70"/>
      <c r="AO244" s="70"/>
      <c r="AP244" s="70"/>
      <c r="AQ244" s="70"/>
      <c r="AR244" s="70"/>
      <c r="AS244" s="70"/>
      <c r="AT244" s="70"/>
    </row>
    <row r="245" ht="15.75" customHeight="1">
      <c r="A245" s="70"/>
      <c r="B245" s="70"/>
      <c r="C245" s="70"/>
      <c r="D245" s="80"/>
      <c r="E245" s="70"/>
      <c r="F245" s="70"/>
      <c r="G245" s="70"/>
      <c r="H245" s="70"/>
      <c r="I245" s="70"/>
      <c r="J245" s="70"/>
      <c r="K245" s="70"/>
      <c r="L245" s="70"/>
      <c r="M245" s="70"/>
      <c r="N245" s="70"/>
      <c r="O245" s="70"/>
      <c r="P245" s="70"/>
      <c r="Q245" s="70"/>
      <c r="R245" s="70"/>
      <c r="S245" s="70"/>
      <c r="T245" s="91"/>
      <c r="U245" s="91"/>
      <c r="V245" s="70"/>
      <c r="W245" s="58"/>
      <c r="X245" s="58"/>
      <c r="Y245" s="70"/>
      <c r="Z245" s="83"/>
      <c r="AA245" s="70"/>
      <c r="AB245" s="70"/>
      <c r="AC245" s="70"/>
      <c r="AD245" s="70"/>
      <c r="AE245" s="70"/>
      <c r="AF245" s="70"/>
      <c r="AG245" s="70"/>
      <c r="AH245" s="70"/>
      <c r="AI245" s="70"/>
      <c r="AJ245" s="70"/>
      <c r="AK245" s="70"/>
      <c r="AL245" s="70"/>
      <c r="AM245" s="70"/>
      <c r="AN245" s="70"/>
      <c r="AO245" s="70"/>
      <c r="AP245" s="70"/>
      <c r="AQ245" s="70"/>
      <c r="AR245" s="70"/>
      <c r="AS245" s="70"/>
      <c r="AT245" s="70"/>
    </row>
    <row r="246" ht="15.75" customHeight="1">
      <c r="A246" s="70"/>
      <c r="B246" s="70"/>
      <c r="C246" s="70"/>
      <c r="D246" s="80"/>
      <c r="E246" s="70"/>
      <c r="F246" s="70"/>
      <c r="G246" s="70"/>
      <c r="H246" s="70"/>
      <c r="I246" s="70"/>
      <c r="J246" s="70"/>
      <c r="K246" s="70"/>
      <c r="L246" s="70"/>
      <c r="M246" s="70"/>
      <c r="N246" s="70"/>
      <c r="O246" s="70"/>
      <c r="P246" s="70"/>
      <c r="Q246" s="70"/>
      <c r="R246" s="70"/>
      <c r="S246" s="70"/>
      <c r="T246" s="91"/>
      <c r="U246" s="91"/>
      <c r="V246" s="70"/>
      <c r="W246" s="58"/>
      <c r="X246" s="58"/>
      <c r="Y246" s="70"/>
      <c r="Z246" s="83"/>
      <c r="AA246" s="70"/>
      <c r="AB246" s="70"/>
      <c r="AC246" s="70"/>
      <c r="AD246" s="70"/>
      <c r="AE246" s="70"/>
      <c r="AF246" s="70"/>
      <c r="AG246" s="70"/>
      <c r="AH246" s="70"/>
      <c r="AI246" s="70"/>
      <c r="AJ246" s="70"/>
      <c r="AK246" s="70"/>
      <c r="AL246" s="70"/>
      <c r="AM246" s="70"/>
      <c r="AN246" s="70"/>
      <c r="AO246" s="70"/>
      <c r="AP246" s="70"/>
      <c r="AQ246" s="70"/>
      <c r="AR246" s="70"/>
      <c r="AS246" s="70"/>
      <c r="AT246" s="70"/>
    </row>
    <row r="247" ht="15.75" customHeight="1">
      <c r="A247" s="70"/>
      <c r="B247" s="70"/>
      <c r="C247" s="70"/>
      <c r="D247" s="80"/>
      <c r="E247" s="70"/>
      <c r="F247" s="70"/>
      <c r="G247" s="70"/>
      <c r="H247" s="70"/>
      <c r="I247" s="70"/>
      <c r="J247" s="70"/>
      <c r="K247" s="70"/>
      <c r="L247" s="70"/>
      <c r="M247" s="70"/>
      <c r="N247" s="70"/>
      <c r="O247" s="70"/>
      <c r="P247" s="70"/>
      <c r="Q247" s="70"/>
      <c r="R247" s="70"/>
      <c r="S247" s="70"/>
      <c r="T247" s="91"/>
      <c r="U247" s="91"/>
      <c r="V247" s="70"/>
      <c r="W247" s="58"/>
      <c r="X247" s="58"/>
      <c r="Y247" s="70"/>
      <c r="Z247" s="83"/>
      <c r="AA247" s="70"/>
      <c r="AB247" s="70"/>
      <c r="AC247" s="70"/>
      <c r="AD247" s="70"/>
      <c r="AE247" s="70"/>
      <c r="AF247" s="70"/>
      <c r="AG247" s="70"/>
      <c r="AH247" s="70"/>
      <c r="AI247" s="70"/>
      <c r="AJ247" s="70"/>
      <c r="AK247" s="70"/>
      <c r="AL247" s="70"/>
      <c r="AM247" s="70"/>
      <c r="AN247" s="70"/>
      <c r="AO247" s="70"/>
      <c r="AP247" s="70"/>
      <c r="AQ247" s="70"/>
      <c r="AR247" s="70"/>
      <c r="AS247" s="70"/>
      <c r="AT247" s="70"/>
    </row>
    <row r="248" ht="15.75" customHeight="1">
      <c r="A248" s="70"/>
      <c r="B248" s="70"/>
      <c r="C248" s="70"/>
      <c r="D248" s="80"/>
      <c r="E248" s="70"/>
      <c r="F248" s="70"/>
      <c r="G248" s="70"/>
      <c r="H248" s="70"/>
      <c r="I248" s="70"/>
      <c r="J248" s="70"/>
      <c r="K248" s="70"/>
      <c r="L248" s="70"/>
      <c r="M248" s="70"/>
      <c r="N248" s="70"/>
      <c r="O248" s="70"/>
      <c r="P248" s="70"/>
      <c r="Q248" s="70"/>
      <c r="R248" s="70"/>
      <c r="S248" s="70"/>
      <c r="T248" s="91"/>
      <c r="U248" s="91"/>
      <c r="V248" s="70"/>
      <c r="W248" s="58"/>
      <c r="X248" s="58"/>
      <c r="Y248" s="70"/>
      <c r="Z248" s="83"/>
      <c r="AA248" s="70"/>
      <c r="AB248" s="70"/>
      <c r="AC248" s="70"/>
      <c r="AD248" s="70"/>
      <c r="AE248" s="70"/>
      <c r="AF248" s="70"/>
      <c r="AG248" s="70"/>
      <c r="AH248" s="70"/>
      <c r="AI248" s="70"/>
      <c r="AJ248" s="70"/>
      <c r="AK248" s="70"/>
      <c r="AL248" s="70"/>
      <c r="AM248" s="70"/>
      <c r="AN248" s="70"/>
      <c r="AO248" s="70"/>
      <c r="AP248" s="70"/>
      <c r="AQ248" s="70"/>
      <c r="AR248" s="70"/>
      <c r="AS248" s="70"/>
      <c r="AT248" s="70"/>
    </row>
    <row r="249" ht="15.75" customHeight="1">
      <c r="A249" s="70"/>
      <c r="B249" s="70"/>
      <c r="C249" s="70"/>
      <c r="D249" s="80"/>
      <c r="E249" s="70"/>
      <c r="F249" s="70"/>
      <c r="G249" s="70"/>
      <c r="H249" s="70"/>
      <c r="I249" s="70"/>
      <c r="J249" s="70"/>
      <c r="K249" s="70"/>
      <c r="L249" s="70"/>
      <c r="M249" s="70"/>
      <c r="N249" s="70"/>
      <c r="O249" s="70"/>
      <c r="P249" s="70"/>
      <c r="Q249" s="70"/>
      <c r="R249" s="70"/>
      <c r="S249" s="70"/>
      <c r="T249" s="91"/>
      <c r="U249" s="91"/>
      <c r="V249" s="70"/>
      <c r="W249" s="58"/>
      <c r="X249" s="58"/>
      <c r="Y249" s="70"/>
      <c r="Z249" s="83"/>
      <c r="AA249" s="70"/>
      <c r="AB249" s="70"/>
      <c r="AC249" s="70"/>
      <c r="AD249" s="70"/>
      <c r="AE249" s="70"/>
      <c r="AF249" s="70"/>
      <c r="AG249" s="70"/>
      <c r="AH249" s="70"/>
      <c r="AI249" s="70"/>
      <c r="AJ249" s="70"/>
      <c r="AK249" s="70"/>
      <c r="AL249" s="70"/>
      <c r="AM249" s="70"/>
      <c r="AN249" s="70"/>
      <c r="AO249" s="70"/>
      <c r="AP249" s="70"/>
      <c r="AQ249" s="70"/>
      <c r="AR249" s="70"/>
      <c r="AS249" s="70"/>
      <c r="AT249" s="70"/>
    </row>
    <row r="250" ht="15.75" customHeight="1">
      <c r="A250" s="70"/>
      <c r="B250" s="70"/>
      <c r="C250" s="70"/>
      <c r="D250" s="80"/>
      <c r="E250" s="70"/>
      <c r="F250" s="70"/>
      <c r="G250" s="70"/>
      <c r="H250" s="70"/>
      <c r="I250" s="70"/>
      <c r="J250" s="70"/>
      <c r="K250" s="70"/>
      <c r="L250" s="70"/>
      <c r="M250" s="70"/>
      <c r="N250" s="70"/>
      <c r="O250" s="70"/>
      <c r="P250" s="70"/>
      <c r="Q250" s="70"/>
      <c r="R250" s="70"/>
      <c r="S250" s="70"/>
      <c r="T250" s="91"/>
      <c r="U250" s="91"/>
      <c r="V250" s="70"/>
      <c r="W250" s="58"/>
      <c r="X250" s="58"/>
      <c r="Y250" s="70"/>
      <c r="Z250" s="83"/>
      <c r="AA250" s="70"/>
      <c r="AB250" s="70"/>
      <c r="AC250" s="70"/>
      <c r="AD250" s="70"/>
      <c r="AE250" s="70"/>
      <c r="AF250" s="70"/>
      <c r="AG250" s="70"/>
      <c r="AH250" s="70"/>
      <c r="AI250" s="70"/>
      <c r="AJ250" s="70"/>
      <c r="AK250" s="70"/>
      <c r="AL250" s="70"/>
      <c r="AM250" s="70"/>
      <c r="AN250" s="70"/>
      <c r="AO250" s="70"/>
      <c r="AP250" s="70"/>
      <c r="AQ250" s="70"/>
      <c r="AR250" s="70"/>
      <c r="AS250" s="70"/>
      <c r="AT250" s="70"/>
    </row>
    <row r="251" ht="15.75" customHeight="1">
      <c r="A251" s="70"/>
      <c r="B251" s="70"/>
      <c r="C251" s="70"/>
      <c r="D251" s="80"/>
      <c r="E251" s="70"/>
      <c r="F251" s="70"/>
      <c r="G251" s="70"/>
      <c r="H251" s="70"/>
      <c r="I251" s="70"/>
      <c r="J251" s="70"/>
      <c r="K251" s="70"/>
      <c r="L251" s="70"/>
      <c r="M251" s="70"/>
      <c r="N251" s="70"/>
      <c r="O251" s="70"/>
      <c r="P251" s="70"/>
      <c r="Q251" s="70"/>
      <c r="R251" s="70"/>
      <c r="S251" s="70"/>
      <c r="T251" s="91"/>
      <c r="U251" s="91"/>
      <c r="V251" s="70"/>
      <c r="W251" s="58"/>
      <c r="X251" s="58"/>
      <c r="Y251" s="70"/>
      <c r="Z251" s="83"/>
      <c r="AA251" s="70"/>
      <c r="AB251" s="70"/>
      <c r="AC251" s="70"/>
      <c r="AD251" s="70"/>
      <c r="AE251" s="70"/>
      <c r="AF251" s="70"/>
      <c r="AG251" s="70"/>
      <c r="AH251" s="70"/>
      <c r="AI251" s="70"/>
      <c r="AJ251" s="70"/>
      <c r="AK251" s="70"/>
      <c r="AL251" s="70"/>
      <c r="AM251" s="70"/>
      <c r="AN251" s="70"/>
      <c r="AO251" s="70"/>
      <c r="AP251" s="70"/>
      <c r="AQ251" s="70"/>
      <c r="AR251" s="70"/>
      <c r="AS251" s="70"/>
      <c r="AT251" s="70"/>
    </row>
    <row r="252" ht="15.75" customHeight="1">
      <c r="A252" s="70"/>
      <c r="B252" s="70"/>
      <c r="C252" s="70"/>
      <c r="D252" s="80"/>
      <c r="E252" s="70"/>
      <c r="F252" s="70"/>
      <c r="G252" s="70"/>
      <c r="H252" s="70"/>
      <c r="I252" s="70"/>
      <c r="J252" s="70"/>
      <c r="K252" s="70"/>
      <c r="L252" s="70"/>
      <c r="M252" s="70"/>
      <c r="N252" s="70"/>
      <c r="O252" s="70"/>
      <c r="P252" s="70"/>
      <c r="Q252" s="70"/>
      <c r="R252" s="70"/>
      <c r="S252" s="70"/>
      <c r="T252" s="91"/>
      <c r="U252" s="91"/>
      <c r="V252" s="70"/>
      <c r="W252" s="58"/>
      <c r="X252" s="58"/>
      <c r="Y252" s="70"/>
      <c r="Z252" s="83"/>
      <c r="AA252" s="70"/>
      <c r="AB252" s="70"/>
      <c r="AC252" s="70"/>
      <c r="AD252" s="70"/>
      <c r="AE252" s="70"/>
      <c r="AF252" s="70"/>
      <c r="AG252" s="70"/>
      <c r="AH252" s="70"/>
      <c r="AI252" s="70"/>
      <c r="AJ252" s="70"/>
      <c r="AK252" s="70"/>
      <c r="AL252" s="70"/>
      <c r="AM252" s="70"/>
      <c r="AN252" s="70"/>
      <c r="AO252" s="70"/>
      <c r="AP252" s="70"/>
      <c r="AQ252" s="70"/>
      <c r="AR252" s="70"/>
      <c r="AS252" s="70"/>
      <c r="AT252" s="70"/>
    </row>
    <row r="253" ht="15.75" customHeight="1">
      <c r="A253" s="70"/>
      <c r="B253" s="70"/>
      <c r="C253" s="70"/>
      <c r="D253" s="80"/>
      <c r="E253" s="70"/>
      <c r="F253" s="70"/>
      <c r="G253" s="70"/>
      <c r="H253" s="70"/>
      <c r="I253" s="70"/>
      <c r="J253" s="70"/>
      <c r="K253" s="70"/>
      <c r="L253" s="70"/>
      <c r="M253" s="70"/>
      <c r="N253" s="70"/>
      <c r="O253" s="70"/>
      <c r="P253" s="70"/>
      <c r="Q253" s="70"/>
      <c r="R253" s="70"/>
      <c r="S253" s="70"/>
      <c r="T253" s="91"/>
      <c r="U253" s="91"/>
      <c r="V253" s="70"/>
      <c r="W253" s="58"/>
      <c r="X253" s="58"/>
      <c r="Y253" s="70"/>
      <c r="Z253" s="83"/>
      <c r="AA253" s="70"/>
      <c r="AB253" s="70"/>
      <c r="AC253" s="70"/>
      <c r="AD253" s="70"/>
      <c r="AE253" s="70"/>
      <c r="AF253" s="70"/>
      <c r="AG253" s="70"/>
      <c r="AH253" s="70"/>
      <c r="AI253" s="70"/>
      <c r="AJ253" s="70"/>
      <c r="AK253" s="70"/>
      <c r="AL253" s="70"/>
      <c r="AM253" s="70"/>
      <c r="AN253" s="70"/>
      <c r="AO253" s="70"/>
      <c r="AP253" s="70"/>
      <c r="AQ253" s="70"/>
      <c r="AR253" s="70"/>
      <c r="AS253" s="70"/>
      <c r="AT253" s="70"/>
    </row>
    <row r="254" ht="15.75" customHeight="1">
      <c r="A254" s="70"/>
      <c r="B254" s="70"/>
      <c r="C254" s="70"/>
      <c r="D254" s="80"/>
      <c r="E254" s="70"/>
      <c r="F254" s="70"/>
      <c r="G254" s="70"/>
      <c r="H254" s="70"/>
      <c r="I254" s="70"/>
      <c r="J254" s="70"/>
      <c r="K254" s="70"/>
      <c r="L254" s="70"/>
      <c r="M254" s="70"/>
      <c r="N254" s="70"/>
      <c r="O254" s="70"/>
      <c r="P254" s="70"/>
      <c r="Q254" s="70"/>
      <c r="R254" s="70"/>
      <c r="S254" s="70"/>
      <c r="T254" s="91"/>
      <c r="U254" s="91"/>
      <c r="V254" s="70"/>
      <c r="W254" s="58"/>
      <c r="X254" s="58"/>
      <c r="Y254" s="70"/>
      <c r="Z254" s="83"/>
      <c r="AA254" s="70"/>
      <c r="AB254" s="70"/>
      <c r="AC254" s="70"/>
      <c r="AD254" s="70"/>
      <c r="AE254" s="70"/>
      <c r="AF254" s="70"/>
      <c r="AG254" s="70"/>
      <c r="AH254" s="70"/>
      <c r="AI254" s="70"/>
      <c r="AJ254" s="70"/>
      <c r="AK254" s="70"/>
      <c r="AL254" s="70"/>
      <c r="AM254" s="70"/>
      <c r="AN254" s="70"/>
      <c r="AO254" s="70"/>
      <c r="AP254" s="70"/>
      <c r="AQ254" s="70"/>
      <c r="AR254" s="70"/>
      <c r="AS254" s="70"/>
      <c r="AT254" s="70"/>
    </row>
    <row r="255" ht="15.75" customHeight="1">
      <c r="A255" s="70"/>
      <c r="B255" s="70"/>
      <c r="C255" s="70"/>
      <c r="D255" s="80"/>
      <c r="E255" s="70"/>
      <c r="F255" s="70"/>
      <c r="G255" s="70"/>
      <c r="H255" s="70"/>
      <c r="I255" s="70"/>
      <c r="J255" s="70"/>
      <c r="K255" s="70"/>
      <c r="L255" s="70"/>
      <c r="M255" s="70"/>
      <c r="N255" s="70"/>
      <c r="O255" s="70"/>
      <c r="P255" s="70"/>
      <c r="Q255" s="70"/>
      <c r="R255" s="70"/>
      <c r="S255" s="70"/>
      <c r="T255" s="91"/>
      <c r="U255" s="91"/>
      <c r="V255" s="70"/>
      <c r="W255" s="58"/>
      <c r="X255" s="58"/>
      <c r="Y255" s="70"/>
      <c r="Z255" s="83"/>
      <c r="AA255" s="70"/>
      <c r="AB255" s="70"/>
      <c r="AC255" s="70"/>
      <c r="AD255" s="70"/>
      <c r="AE255" s="70"/>
      <c r="AF255" s="70"/>
      <c r="AG255" s="70"/>
      <c r="AH255" s="70"/>
      <c r="AI255" s="70"/>
      <c r="AJ255" s="70"/>
      <c r="AK255" s="70"/>
      <c r="AL255" s="70"/>
      <c r="AM255" s="70"/>
      <c r="AN255" s="70"/>
      <c r="AO255" s="70"/>
      <c r="AP255" s="70"/>
      <c r="AQ255" s="70"/>
      <c r="AR255" s="70"/>
      <c r="AS255" s="70"/>
      <c r="AT255" s="70"/>
    </row>
    <row r="256" ht="15.75" customHeight="1">
      <c r="A256" s="70"/>
      <c r="B256" s="70"/>
      <c r="C256" s="70"/>
      <c r="D256" s="80"/>
      <c r="E256" s="70"/>
      <c r="F256" s="70"/>
      <c r="G256" s="70"/>
      <c r="H256" s="70"/>
      <c r="I256" s="70"/>
      <c r="J256" s="70"/>
      <c r="K256" s="70"/>
      <c r="L256" s="70"/>
      <c r="M256" s="70"/>
      <c r="N256" s="70"/>
      <c r="O256" s="70"/>
      <c r="P256" s="70"/>
      <c r="Q256" s="70"/>
      <c r="R256" s="70"/>
      <c r="S256" s="70"/>
      <c r="T256" s="91"/>
      <c r="U256" s="91"/>
      <c r="V256" s="70"/>
      <c r="W256" s="58"/>
      <c r="X256" s="58"/>
      <c r="Y256" s="70"/>
      <c r="Z256" s="83"/>
      <c r="AA256" s="70"/>
      <c r="AB256" s="70"/>
      <c r="AC256" s="70"/>
      <c r="AD256" s="70"/>
      <c r="AE256" s="70"/>
      <c r="AF256" s="70"/>
      <c r="AG256" s="70"/>
      <c r="AH256" s="70"/>
      <c r="AI256" s="70"/>
      <c r="AJ256" s="70"/>
      <c r="AK256" s="70"/>
      <c r="AL256" s="70"/>
      <c r="AM256" s="70"/>
      <c r="AN256" s="70"/>
      <c r="AO256" s="70"/>
      <c r="AP256" s="70"/>
      <c r="AQ256" s="70"/>
      <c r="AR256" s="70"/>
      <c r="AS256" s="70"/>
      <c r="AT256" s="70"/>
    </row>
    <row r="257" ht="15.75" customHeight="1">
      <c r="A257" s="70"/>
      <c r="B257" s="70"/>
      <c r="C257" s="70"/>
      <c r="D257" s="80"/>
      <c r="E257" s="70"/>
      <c r="F257" s="70"/>
      <c r="G257" s="70"/>
      <c r="H257" s="70"/>
      <c r="I257" s="70"/>
      <c r="J257" s="70"/>
      <c r="K257" s="70"/>
      <c r="L257" s="70"/>
      <c r="M257" s="70"/>
      <c r="N257" s="70"/>
      <c r="O257" s="70"/>
      <c r="P257" s="70"/>
      <c r="Q257" s="70"/>
      <c r="R257" s="70"/>
      <c r="S257" s="70"/>
      <c r="T257" s="91"/>
      <c r="U257" s="91"/>
      <c r="V257" s="70"/>
      <c r="W257" s="58"/>
      <c r="X257" s="58"/>
      <c r="Y257" s="70"/>
      <c r="Z257" s="83"/>
      <c r="AA257" s="70"/>
      <c r="AB257" s="70"/>
      <c r="AC257" s="70"/>
      <c r="AD257" s="70"/>
      <c r="AE257" s="70"/>
      <c r="AF257" s="70"/>
      <c r="AG257" s="70"/>
      <c r="AH257" s="70"/>
      <c r="AI257" s="70"/>
      <c r="AJ257" s="70"/>
      <c r="AK257" s="70"/>
      <c r="AL257" s="70"/>
      <c r="AM257" s="70"/>
      <c r="AN257" s="70"/>
      <c r="AO257" s="70"/>
      <c r="AP257" s="70"/>
      <c r="AQ257" s="70"/>
      <c r="AR257" s="70"/>
      <c r="AS257" s="70"/>
      <c r="AT257" s="70"/>
    </row>
    <row r="258" ht="15.75" customHeight="1">
      <c r="A258" s="70"/>
      <c r="B258" s="70"/>
      <c r="C258" s="70"/>
      <c r="D258" s="80"/>
      <c r="E258" s="70"/>
      <c r="F258" s="70"/>
      <c r="G258" s="70"/>
      <c r="H258" s="70"/>
      <c r="I258" s="70"/>
      <c r="J258" s="70"/>
      <c r="K258" s="70"/>
      <c r="L258" s="70"/>
      <c r="M258" s="70"/>
      <c r="N258" s="70"/>
      <c r="O258" s="70"/>
      <c r="P258" s="70"/>
      <c r="Q258" s="70"/>
      <c r="R258" s="70"/>
      <c r="S258" s="70"/>
      <c r="T258" s="91"/>
      <c r="U258" s="91"/>
      <c r="V258" s="70"/>
      <c r="W258" s="58"/>
      <c r="X258" s="58"/>
      <c r="Y258" s="70"/>
      <c r="Z258" s="83"/>
      <c r="AA258" s="70"/>
      <c r="AB258" s="70"/>
      <c r="AC258" s="70"/>
      <c r="AD258" s="70"/>
      <c r="AE258" s="70"/>
      <c r="AF258" s="70"/>
      <c r="AG258" s="70"/>
      <c r="AH258" s="70"/>
      <c r="AI258" s="70"/>
      <c r="AJ258" s="70"/>
      <c r="AK258" s="70"/>
      <c r="AL258" s="70"/>
      <c r="AM258" s="70"/>
      <c r="AN258" s="70"/>
      <c r="AO258" s="70"/>
      <c r="AP258" s="70"/>
      <c r="AQ258" s="70"/>
      <c r="AR258" s="70"/>
      <c r="AS258" s="70"/>
      <c r="AT258" s="70"/>
    </row>
    <row r="259" ht="15.75" customHeight="1">
      <c r="A259" s="70"/>
      <c r="B259" s="70"/>
      <c r="C259" s="70"/>
      <c r="D259" s="80"/>
      <c r="E259" s="70"/>
      <c r="F259" s="70"/>
      <c r="G259" s="70"/>
      <c r="H259" s="70"/>
      <c r="I259" s="70"/>
      <c r="J259" s="70"/>
      <c r="K259" s="70"/>
      <c r="L259" s="70"/>
      <c r="M259" s="70"/>
      <c r="N259" s="70"/>
      <c r="O259" s="70"/>
      <c r="P259" s="70"/>
      <c r="Q259" s="70"/>
      <c r="R259" s="70"/>
      <c r="S259" s="70"/>
      <c r="T259" s="91"/>
      <c r="U259" s="91"/>
      <c r="V259" s="70"/>
      <c r="W259" s="58"/>
      <c r="X259" s="58"/>
      <c r="Y259" s="70"/>
      <c r="Z259" s="83"/>
      <c r="AA259" s="70"/>
      <c r="AB259" s="70"/>
      <c r="AC259" s="70"/>
      <c r="AD259" s="70"/>
      <c r="AE259" s="70"/>
      <c r="AF259" s="70"/>
      <c r="AG259" s="70"/>
      <c r="AH259" s="70"/>
      <c r="AI259" s="70"/>
      <c r="AJ259" s="70"/>
      <c r="AK259" s="70"/>
      <c r="AL259" s="70"/>
      <c r="AM259" s="70"/>
      <c r="AN259" s="70"/>
      <c r="AO259" s="70"/>
      <c r="AP259" s="70"/>
      <c r="AQ259" s="70"/>
      <c r="AR259" s="70"/>
      <c r="AS259" s="70"/>
      <c r="AT259" s="70"/>
    </row>
    <row r="260" ht="15.75" customHeight="1">
      <c r="A260" s="70"/>
      <c r="B260" s="70"/>
      <c r="C260" s="70"/>
      <c r="D260" s="80"/>
      <c r="E260" s="70"/>
      <c r="F260" s="70"/>
      <c r="G260" s="70"/>
      <c r="H260" s="70"/>
      <c r="I260" s="70"/>
      <c r="J260" s="70"/>
      <c r="K260" s="70"/>
      <c r="L260" s="70"/>
      <c r="M260" s="70"/>
      <c r="N260" s="70"/>
      <c r="O260" s="70"/>
      <c r="P260" s="70"/>
      <c r="Q260" s="70"/>
      <c r="R260" s="70"/>
      <c r="S260" s="70"/>
      <c r="T260" s="91"/>
      <c r="U260" s="91"/>
      <c r="V260" s="70"/>
      <c r="W260" s="58"/>
      <c r="X260" s="58"/>
      <c r="Y260" s="70"/>
      <c r="Z260" s="83"/>
      <c r="AA260" s="70"/>
      <c r="AB260" s="70"/>
      <c r="AC260" s="70"/>
      <c r="AD260" s="70"/>
      <c r="AE260" s="70"/>
      <c r="AF260" s="70"/>
      <c r="AG260" s="70"/>
      <c r="AH260" s="70"/>
      <c r="AI260" s="70"/>
      <c r="AJ260" s="70"/>
      <c r="AK260" s="70"/>
      <c r="AL260" s="70"/>
      <c r="AM260" s="70"/>
      <c r="AN260" s="70"/>
      <c r="AO260" s="70"/>
      <c r="AP260" s="70"/>
      <c r="AQ260" s="70"/>
      <c r="AR260" s="70"/>
      <c r="AS260" s="70"/>
      <c r="AT260" s="70"/>
    </row>
    <row r="261" ht="15.75" customHeight="1">
      <c r="A261" s="70"/>
      <c r="B261" s="70"/>
      <c r="C261" s="70"/>
      <c r="D261" s="80"/>
      <c r="E261" s="70"/>
      <c r="F261" s="70"/>
      <c r="G261" s="70"/>
      <c r="H261" s="70"/>
      <c r="I261" s="70"/>
      <c r="J261" s="70"/>
      <c r="K261" s="70"/>
      <c r="L261" s="70"/>
      <c r="M261" s="70"/>
      <c r="N261" s="70"/>
      <c r="O261" s="70"/>
      <c r="P261" s="70"/>
      <c r="Q261" s="70"/>
      <c r="R261" s="70"/>
      <c r="S261" s="70"/>
      <c r="T261" s="91"/>
      <c r="U261" s="91"/>
      <c r="V261" s="70"/>
      <c r="W261" s="58"/>
      <c r="X261" s="58"/>
      <c r="Y261" s="70"/>
      <c r="Z261" s="83"/>
      <c r="AA261" s="70"/>
      <c r="AB261" s="70"/>
      <c r="AC261" s="70"/>
      <c r="AD261" s="70"/>
      <c r="AE261" s="70"/>
      <c r="AF261" s="70"/>
      <c r="AG261" s="70"/>
      <c r="AH261" s="70"/>
      <c r="AI261" s="70"/>
      <c r="AJ261" s="70"/>
      <c r="AK261" s="70"/>
      <c r="AL261" s="70"/>
      <c r="AM261" s="70"/>
      <c r="AN261" s="70"/>
      <c r="AO261" s="70"/>
      <c r="AP261" s="70"/>
      <c r="AQ261" s="70"/>
      <c r="AR261" s="70"/>
      <c r="AS261" s="70"/>
      <c r="AT261" s="70"/>
    </row>
    <row r="262" ht="15.75" customHeight="1">
      <c r="A262" s="70"/>
      <c r="B262" s="70"/>
      <c r="C262" s="70"/>
      <c r="D262" s="80"/>
      <c r="E262" s="70"/>
      <c r="F262" s="70"/>
      <c r="G262" s="70"/>
      <c r="H262" s="70"/>
      <c r="I262" s="70"/>
      <c r="J262" s="70"/>
      <c r="K262" s="70"/>
      <c r="L262" s="70"/>
      <c r="M262" s="70"/>
      <c r="N262" s="70"/>
      <c r="O262" s="70"/>
      <c r="P262" s="70"/>
      <c r="Q262" s="70"/>
      <c r="R262" s="70"/>
      <c r="S262" s="70"/>
      <c r="T262" s="91"/>
      <c r="U262" s="91"/>
      <c r="V262" s="70"/>
      <c r="W262" s="58"/>
      <c r="X262" s="58"/>
      <c r="Y262" s="70"/>
      <c r="Z262" s="83"/>
      <c r="AA262" s="70"/>
      <c r="AB262" s="70"/>
      <c r="AC262" s="70"/>
      <c r="AD262" s="70"/>
      <c r="AE262" s="70"/>
      <c r="AF262" s="70"/>
      <c r="AG262" s="70"/>
      <c r="AH262" s="70"/>
      <c r="AI262" s="70"/>
      <c r="AJ262" s="70"/>
      <c r="AK262" s="70"/>
      <c r="AL262" s="70"/>
      <c r="AM262" s="70"/>
      <c r="AN262" s="70"/>
      <c r="AO262" s="70"/>
      <c r="AP262" s="70"/>
      <c r="AQ262" s="70"/>
      <c r="AR262" s="70"/>
      <c r="AS262" s="70"/>
      <c r="AT262" s="70"/>
    </row>
    <row r="263" ht="15.75" customHeight="1">
      <c r="A263" s="70"/>
      <c r="B263" s="70"/>
      <c r="C263" s="70"/>
      <c r="D263" s="80"/>
      <c r="E263" s="70"/>
      <c r="F263" s="70"/>
      <c r="G263" s="70"/>
      <c r="H263" s="70"/>
      <c r="I263" s="70"/>
      <c r="J263" s="70"/>
      <c r="K263" s="70"/>
      <c r="L263" s="70"/>
      <c r="M263" s="70"/>
      <c r="N263" s="70"/>
      <c r="O263" s="70"/>
      <c r="P263" s="70"/>
      <c r="Q263" s="70"/>
      <c r="R263" s="70"/>
      <c r="S263" s="70"/>
      <c r="T263" s="91"/>
      <c r="U263" s="91"/>
      <c r="V263" s="70"/>
      <c r="W263" s="58"/>
      <c r="X263" s="58"/>
      <c r="Y263" s="70"/>
      <c r="Z263" s="83"/>
      <c r="AA263" s="70"/>
      <c r="AB263" s="70"/>
      <c r="AC263" s="70"/>
      <c r="AD263" s="70"/>
      <c r="AE263" s="70"/>
      <c r="AF263" s="70"/>
      <c r="AG263" s="70"/>
      <c r="AH263" s="70"/>
      <c r="AI263" s="70"/>
      <c r="AJ263" s="70"/>
      <c r="AK263" s="70"/>
      <c r="AL263" s="70"/>
      <c r="AM263" s="70"/>
      <c r="AN263" s="70"/>
      <c r="AO263" s="70"/>
      <c r="AP263" s="70"/>
      <c r="AQ263" s="70"/>
      <c r="AR263" s="70"/>
      <c r="AS263" s="70"/>
      <c r="AT263" s="70"/>
    </row>
    <row r="264" ht="15.75" customHeight="1">
      <c r="A264" s="70"/>
      <c r="B264" s="70"/>
      <c r="C264" s="70"/>
      <c r="D264" s="80"/>
      <c r="E264" s="70"/>
      <c r="F264" s="70"/>
      <c r="G264" s="70"/>
      <c r="H264" s="70"/>
      <c r="I264" s="70"/>
      <c r="J264" s="70"/>
      <c r="K264" s="70"/>
      <c r="L264" s="70"/>
      <c r="M264" s="70"/>
      <c r="N264" s="70"/>
      <c r="O264" s="70"/>
      <c r="P264" s="70"/>
      <c r="Q264" s="70"/>
      <c r="R264" s="70"/>
      <c r="S264" s="70"/>
      <c r="T264" s="91"/>
      <c r="U264" s="91"/>
      <c r="V264" s="70"/>
      <c r="W264" s="58"/>
      <c r="X264" s="58"/>
      <c r="Y264" s="70"/>
      <c r="Z264" s="83"/>
      <c r="AA264" s="70"/>
      <c r="AB264" s="70"/>
      <c r="AC264" s="70"/>
      <c r="AD264" s="70"/>
      <c r="AE264" s="70"/>
      <c r="AF264" s="70"/>
      <c r="AG264" s="70"/>
      <c r="AH264" s="70"/>
      <c r="AI264" s="70"/>
      <c r="AJ264" s="70"/>
      <c r="AK264" s="70"/>
      <c r="AL264" s="70"/>
      <c r="AM264" s="70"/>
      <c r="AN264" s="70"/>
      <c r="AO264" s="70"/>
      <c r="AP264" s="70"/>
      <c r="AQ264" s="70"/>
      <c r="AR264" s="70"/>
      <c r="AS264" s="70"/>
      <c r="AT264" s="70"/>
    </row>
    <row r="265" ht="15.75" customHeight="1">
      <c r="A265" s="70"/>
      <c r="B265" s="70"/>
      <c r="C265" s="70"/>
      <c r="D265" s="80"/>
      <c r="E265" s="70"/>
      <c r="F265" s="70"/>
      <c r="G265" s="70"/>
      <c r="H265" s="70"/>
      <c r="I265" s="70"/>
      <c r="J265" s="70"/>
      <c r="K265" s="70"/>
      <c r="L265" s="70"/>
      <c r="M265" s="70"/>
      <c r="N265" s="70"/>
      <c r="O265" s="70"/>
      <c r="P265" s="70"/>
      <c r="Q265" s="70"/>
      <c r="R265" s="70"/>
      <c r="S265" s="70"/>
      <c r="T265" s="91"/>
      <c r="U265" s="91"/>
      <c r="V265" s="70"/>
      <c r="W265" s="58"/>
      <c r="X265" s="58"/>
      <c r="Y265" s="70"/>
      <c r="Z265" s="83"/>
      <c r="AA265" s="70"/>
      <c r="AB265" s="70"/>
      <c r="AC265" s="70"/>
      <c r="AD265" s="70"/>
      <c r="AE265" s="70"/>
      <c r="AF265" s="70"/>
      <c r="AG265" s="70"/>
      <c r="AH265" s="70"/>
      <c r="AI265" s="70"/>
      <c r="AJ265" s="70"/>
      <c r="AK265" s="70"/>
      <c r="AL265" s="70"/>
      <c r="AM265" s="70"/>
      <c r="AN265" s="70"/>
      <c r="AO265" s="70"/>
      <c r="AP265" s="70"/>
      <c r="AQ265" s="70"/>
      <c r="AR265" s="70"/>
      <c r="AS265" s="70"/>
      <c r="AT265" s="70"/>
    </row>
    <row r="266" ht="15.75" customHeight="1">
      <c r="A266" s="70"/>
      <c r="B266" s="70"/>
      <c r="C266" s="70"/>
      <c r="D266" s="80"/>
      <c r="E266" s="70"/>
      <c r="F266" s="70"/>
      <c r="G266" s="70"/>
      <c r="H266" s="70"/>
      <c r="I266" s="70"/>
      <c r="J266" s="70"/>
      <c r="K266" s="70"/>
      <c r="L266" s="70"/>
      <c r="M266" s="70"/>
      <c r="N266" s="70"/>
      <c r="O266" s="70"/>
      <c r="P266" s="70"/>
      <c r="Q266" s="70"/>
      <c r="R266" s="70"/>
      <c r="S266" s="70"/>
      <c r="T266" s="91"/>
      <c r="U266" s="91"/>
      <c r="V266" s="70"/>
      <c r="W266" s="58"/>
      <c r="X266" s="58"/>
      <c r="Y266" s="70"/>
      <c r="Z266" s="83"/>
      <c r="AA266" s="70"/>
      <c r="AB266" s="70"/>
      <c r="AC266" s="70"/>
      <c r="AD266" s="70"/>
      <c r="AE266" s="70"/>
      <c r="AF266" s="70"/>
      <c r="AG266" s="70"/>
      <c r="AH266" s="70"/>
      <c r="AI266" s="70"/>
      <c r="AJ266" s="70"/>
      <c r="AK266" s="70"/>
      <c r="AL266" s="70"/>
      <c r="AM266" s="70"/>
      <c r="AN266" s="70"/>
      <c r="AO266" s="70"/>
      <c r="AP266" s="70"/>
      <c r="AQ266" s="70"/>
      <c r="AR266" s="70"/>
      <c r="AS266" s="70"/>
      <c r="AT266" s="70"/>
    </row>
    <row r="267" ht="15.75" customHeight="1">
      <c r="A267" s="70"/>
      <c r="B267" s="70"/>
      <c r="C267" s="70"/>
      <c r="D267" s="80"/>
      <c r="E267" s="70"/>
      <c r="F267" s="70"/>
      <c r="G267" s="70"/>
      <c r="H267" s="70"/>
      <c r="I267" s="70"/>
      <c r="J267" s="70"/>
      <c r="K267" s="70"/>
      <c r="L267" s="70"/>
      <c r="M267" s="70"/>
      <c r="N267" s="70"/>
      <c r="O267" s="70"/>
      <c r="P267" s="70"/>
      <c r="Q267" s="70"/>
      <c r="R267" s="70"/>
      <c r="S267" s="70"/>
      <c r="T267" s="91"/>
      <c r="U267" s="91"/>
      <c r="V267" s="70"/>
      <c r="W267" s="58"/>
      <c r="X267" s="58"/>
      <c r="Y267" s="70"/>
      <c r="Z267" s="83"/>
      <c r="AA267" s="70"/>
      <c r="AB267" s="70"/>
      <c r="AC267" s="70"/>
      <c r="AD267" s="70"/>
      <c r="AE267" s="70"/>
      <c r="AF267" s="70"/>
      <c r="AG267" s="70"/>
      <c r="AH267" s="70"/>
      <c r="AI267" s="70"/>
      <c r="AJ267" s="70"/>
      <c r="AK267" s="70"/>
      <c r="AL267" s="70"/>
      <c r="AM267" s="70"/>
      <c r="AN267" s="70"/>
      <c r="AO267" s="70"/>
      <c r="AP267" s="70"/>
      <c r="AQ267" s="70"/>
      <c r="AR267" s="70"/>
      <c r="AS267" s="70"/>
      <c r="AT267" s="70"/>
    </row>
    <row r="268" ht="15.75" customHeight="1">
      <c r="A268" s="70"/>
      <c r="B268" s="70"/>
      <c r="C268" s="70"/>
      <c r="D268" s="80"/>
      <c r="E268" s="70"/>
      <c r="F268" s="70"/>
      <c r="G268" s="70"/>
      <c r="H268" s="70"/>
      <c r="I268" s="70"/>
      <c r="J268" s="70"/>
      <c r="K268" s="70"/>
      <c r="L268" s="70"/>
      <c r="M268" s="70"/>
      <c r="N268" s="70"/>
      <c r="O268" s="70"/>
      <c r="P268" s="70"/>
      <c r="Q268" s="70"/>
      <c r="R268" s="70"/>
      <c r="S268" s="70"/>
      <c r="T268" s="91"/>
      <c r="U268" s="91"/>
      <c r="V268" s="70"/>
      <c r="W268" s="58"/>
      <c r="X268" s="58"/>
      <c r="Y268" s="70"/>
      <c r="Z268" s="83"/>
      <c r="AA268" s="70"/>
      <c r="AB268" s="70"/>
      <c r="AC268" s="70"/>
      <c r="AD268" s="70"/>
      <c r="AE268" s="70"/>
      <c r="AF268" s="70"/>
      <c r="AG268" s="70"/>
      <c r="AH268" s="70"/>
      <c r="AI268" s="70"/>
      <c r="AJ268" s="70"/>
      <c r="AK268" s="70"/>
      <c r="AL268" s="70"/>
      <c r="AM268" s="70"/>
      <c r="AN268" s="70"/>
      <c r="AO268" s="70"/>
      <c r="AP268" s="70"/>
      <c r="AQ268" s="70"/>
      <c r="AR268" s="70"/>
      <c r="AS268" s="70"/>
      <c r="AT268" s="70"/>
    </row>
    <row r="269" ht="15.75" customHeight="1">
      <c r="A269" s="70"/>
      <c r="B269" s="70"/>
      <c r="C269" s="70"/>
      <c r="D269" s="80"/>
      <c r="E269" s="70"/>
      <c r="F269" s="70"/>
      <c r="G269" s="70"/>
      <c r="H269" s="70"/>
      <c r="I269" s="70"/>
      <c r="J269" s="70"/>
      <c r="K269" s="70"/>
      <c r="L269" s="70"/>
      <c r="M269" s="70"/>
      <c r="N269" s="70"/>
      <c r="O269" s="70"/>
      <c r="P269" s="70"/>
      <c r="Q269" s="70"/>
      <c r="R269" s="70"/>
      <c r="S269" s="70"/>
      <c r="T269" s="91"/>
      <c r="U269" s="91"/>
      <c r="V269" s="70"/>
      <c r="W269" s="58"/>
      <c r="X269" s="58"/>
      <c r="Y269" s="70"/>
      <c r="Z269" s="83"/>
      <c r="AA269" s="70"/>
      <c r="AB269" s="70"/>
      <c r="AC269" s="70"/>
      <c r="AD269" s="70"/>
      <c r="AE269" s="70"/>
      <c r="AF269" s="70"/>
      <c r="AG269" s="70"/>
      <c r="AH269" s="70"/>
      <c r="AI269" s="70"/>
      <c r="AJ269" s="70"/>
      <c r="AK269" s="70"/>
      <c r="AL269" s="70"/>
      <c r="AM269" s="70"/>
      <c r="AN269" s="70"/>
      <c r="AO269" s="70"/>
      <c r="AP269" s="70"/>
      <c r="AQ269" s="70"/>
      <c r="AR269" s="70"/>
      <c r="AS269" s="70"/>
      <c r="AT269" s="70"/>
    </row>
    <row r="270" ht="15.75" customHeight="1">
      <c r="A270" s="70"/>
      <c r="B270" s="70"/>
      <c r="C270" s="70"/>
      <c r="D270" s="80"/>
      <c r="E270" s="70"/>
      <c r="F270" s="70"/>
      <c r="G270" s="70"/>
      <c r="H270" s="70"/>
      <c r="I270" s="70"/>
      <c r="J270" s="70"/>
      <c r="K270" s="70"/>
      <c r="L270" s="70"/>
      <c r="M270" s="70"/>
      <c r="N270" s="70"/>
      <c r="O270" s="70"/>
      <c r="P270" s="70"/>
      <c r="Q270" s="70"/>
      <c r="R270" s="70"/>
      <c r="S270" s="70"/>
      <c r="T270" s="91"/>
      <c r="U270" s="91"/>
      <c r="V270" s="70"/>
      <c r="W270" s="58"/>
      <c r="X270" s="58"/>
      <c r="Y270" s="70"/>
      <c r="Z270" s="83"/>
      <c r="AA270" s="70"/>
      <c r="AB270" s="70"/>
      <c r="AC270" s="70"/>
      <c r="AD270" s="70"/>
      <c r="AE270" s="70"/>
      <c r="AF270" s="70"/>
      <c r="AG270" s="70"/>
      <c r="AH270" s="70"/>
      <c r="AI270" s="70"/>
      <c r="AJ270" s="70"/>
      <c r="AK270" s="70"/>
      <c r="AL270" s="70"/>
      <c r="AM270" s="70"/>
      <c r="AN270" s="70"/>
      <c r="AO270" s="70"/>
      <c r="AP270" s="70"/>
      <c r="AQ270" s="70"/>
      <c r="AR270" s="70"/>
      <c r="AS270" s="70"/>
      <c r="AT270" s="70"/>
    </row>
    <row r="271" ht="15.75" customHeight="1">
      <c r="A271" s="70"/>
      <c r="B271" s="70"/>
      <c r="C271" s="70"/>
      <c r="D271" s="80"/>
      <c r="E271" s="70"/>
      <c r="F271" s="70"/>
      <c r="G271" s="70"/>
      <c r="H271" s="70"/>
      <c r="I271" s="70"/>
      <c r="J271" s="70"/>
      <c r="K271" s="70"/>
      <c r="L271" s="70"/>
      <c r="M271" s="70"/>
      <c r="N271" s="70"/>
      <c r="O271" s="70"/>
      <c r="P271" s="70"/>
      <c r="Q271" s="70"/>
      <c r="R271" s="70"/>
      <c r="S271" s="70"/>
      <c r="T271" s="91"/>
      <c r="U271" s="91"/>
      <c r="V271" s="70"/>
      <c r="W271" s="58"/>
      <c r="X271" s="58"/>
      <c r="Y271" s="70"/>
      <c r="Z271" s="83"/>
      <c r="AA271" s="70"/>
      <c r="AB271" s="70"/>
      <c r="AC271" s="70"/>
      <c r="AD271" s="70"/>
      <c r="AE271" s="70"/>
      <c r="AF271" s="70"/>
      <c r="AG271" s="70"/>
      <c r="AH271" s="70"/>
      <c r="AI271" s="70"/>
      <c r="AJ271" s="70"/>
      <c r="AK271" s="70"/>
      <c r="AL271" s="70"/>
      <c r="AM271" s="70"/>
      <c r="AN271" s="70"/>
      <c r="AO271" s="70"/>
      <c r="AP271" s="70"/>
      <c r="AQ271" s="70"/>
      <c r="AR271" s="70"/>
      <c r="AS271" s="70"/>
      <c r="AT271" s="70"/>
    </row>
    <row r="272" ht="15.75" customHeight="1">
      <c r="A272" s="70"/>
      <c r="B272" s="70"/>
      <c r="C272" s="70"/>
      <c r="D272" s="80"/>
      <c r="E272" s="70"/>
      <c r="F272" s="70"/>
      <c r="G272" s="70"/>
      <c r="H272" s="70"/>
      <c r="I272" s="70"/>
      <c r="J272" s="70"/>
      <c r="K272" s="70"/>
      <c r="L272" s="70"/>
      <c r="M272" s="70"/>
      <c r="N272" s="70"/>
      <c r="O272" s="70"/>
      <c r="P272" s="70"/>
      <c r="Q272" s="70"/>
      <c r="R272" s="70"/>
      <c r="S272" s="70"/>
      <c r="T272" s="91"/>
      <c r="U272" s="91"/>
      <c r="V272" s="70"/>
      <c r="W272" s="58"/>
      <c r="X272" s="58"/>
      <c r="Y272" s="70"/>
      <c r="Z272" s="83"/>
      <c r="AA272" s="70"/>
      <c r="AB272" s="70"/>
      <c r="AC272" s="70"/>
      <c r="AD272" s="70"/>
      <c r="AE272" s="70"/>
      <c r="AF272" s="70"/>
      <c r="AG272" s="70"/>
      <c r="AH272" s="70"/>
      <c r="AI272" s="70"/>
      <c r="AJ272" s="70"/>
      <c r="AK272" s="70"/>
      <c r="AL272" s="70"/>
      <c r="AM272" s="70"/>
      <c r="AN272" s="70"/>
      <c r="AO272" s="70"/>
      <c r="AP272" s="70"/>
      <c r="AQ272" s="70"/>
      <c r="AR272" s="70"/>
      <c r="AS272" s="70"/>
      <c r="AT272" s="70"/>
    </row>
    <row r="273" ht="15.75" customHeight="1">
      <c r="A273" s="70"/>
      <c r="B273" s="70"/>
      <c r="C273" s="70"/>
      <c r="D273" s="80"/>
      <c r="E273" s="70"/>
      <c r="F273" s="70"/>
      <c r="G273" s="70"/>
      <c r="H273" s="70"/>
      <c r="I273" s="70"/>
      <c r="J273" s="70"/>
      <c r="K273" s="70"/>
      <c r="L273" s="70"/>
      <c r="M273" s="70"/>
      <c r="N273" s="70"/>
      <c r="O273" s="70"/>
      <c r="P273" s="70"/>
      <c r="Q273" s="70"/>
      <c r="R273" s="70"/>
      <c r="S273" s="70"/>
      <c r="T273" s="91"/>
      <c r="U273" s="91"/>
      <c r="V273" s="70"/>
      <c r="W273" s="58"/>
      <c r="X273" s="58"/>
      <c r="Y273" s="70"/>
      <c r="Z273" s="83"/>
      <c r="AA273" s="70"/>
      <c r="AB273" s="70"/>
      <c r="AC273" s="70"/>
      <c r="AD273" s="70"/>
      <c r="AE273" s="70"/>
      <c r="AF273" s="70"/>
      <c r="AG273" s="70"/>
      <c r="AH273" s="70"/>
      <c r="AI273" s="70"/>
      <c r="AJ273" s="70"/>
      <c r="AK273" s="70"/>
      <c r="AL273" s="70"/>
      <c r="AM273" s="70"/>
      <c r="AN273" s="70"/>
      <c r="AO273" s="70"/>
      <c r="AP273" s="70"/>
      <c r="AQ273" s="70"/>
      <c r="AR273" s="70"/>
      <c r="AS273" s="70"/>
      <c r="AT273" s="70"/>
    </row>
    <row r="274" ht="15.75" customHeight="1">
      <c r="A274" s="70"/>
      <c r="B274" s="70"/>
      <c r="C274" s="70"/>
      <c r="D274" s="80"/>
      <c r="E274" s="70"/>
      <c r="F274" s="70"/>
      <c r="G274" s="70"/>
      <c r="H274" s="70"/>
      <c r="I274" s="70"/>
      <c r="J274" s="70"/>
      <c r="K274" s="70"/>
      <c r="L274" s="70"/>
      <c r="M274" s="70"/>
      <c r="N274" s="70"/>
      <c r="O274" s="70"/>
      <c r="P274" s="70"/>
      <c r="Q274" s="70"/>
      <c r="R274" s="70"/>
      <c r="S274" s="70"/>
      <c r="T274" s="91"/>
      <c r="U274" s="91"/>
      <c r="V274" s="70"/>
      <c r="W274" s="58"/>
      <c r="X274" s="58"/>
      <c r="Y274" s="70"/>
      <c r="Z274" s="83"/>
      <c r="AA274" s="70"/>
      <c r="AB274" s="70"/>
      <c r="AC274" s="70"/>
      <c r="AD274" s="70"/>
      <c r="AE274" s="70"/>
      <c r="AF274" s="70"/>
      <c r="AG274" s="70"/>
      <c r="AH274" s="70"/>
      <c r="AI274" s="70"/>
      <c r="AJ274" s="70"/>
      <c r="AK274" s="70"/>
      <c r="AL274" s="70"/>
      <c r="AM274" s="70"/>
      <c r="AN274" s="70"/>
      <c r="AO274" s="70"/>
      <c r="AP274" s="70"/>
      <c r="AQ274" s="70"/>
      <c r="AR274" s="70"/>
      <c r="AS274" s="70"/>
      <c r="AT274" s="70"/>
    </row>
    <row r="275" ht="15.75" customHeight="1">
      <c r="A275" s="70"/>
      <c r="B275" s="70"/>
      <c r="C275" s="70"/>
      <c r="D275" s="80"/>
      <c r="E275" s="70"/>
      <c r="F275" s="70"/>
      <c r="G275" s="70"/>
      <c r="H275" s="70"/>
      <c r="I275" s="70"/>
      <c r="J275" s="70"/>
      <c r="K275" s="70"/>
      <c r="L275" s="70"/>
      <c r="M275" s="70"/>
      <c r="N275" s="70"/>
      <c r="O275" s="70"/>
      <c r="P275" s="70"/>
      <c r="Q275" s="70"/>
      <c r="R275" s="70"/>
      <c r="S275" s="70"/>
      <c r="T275" s="91"/>
      <c r="U275" s="91"/>
      <c r="V275" s="70"/>
      <c r="W275" s="58"/>
      <c r="X275" s="58"/>
      <c r="Y275" s="70"/>
      <c r="Z275" s="83"/>
      <c r="AA275" s="70"/>
      <c r="AB275" s="70"/>
      <c r="AC275" s="70"/>
      <c r="AD275" s="70"/>
      <c r="AE275" s="70"/>
      <c r="AF275" s="70"/>
      <c r="AG275" s="70"/>
      <c r="AH275" s="70"/>
      <c r="AI275" s="70"/>
      <c r="AJ275" s="70"/>
      <c r="AK275" s="70"/>
      <c r="AL275" s="70"/>
      <c r="AM275" s="70"/>
      <c r="AN275" s="70"/>
      <c r="AO275" s="70"/>
      <c r="AP275" s="70"/>
      <c r="AQ275" s="70"/>
      <c r="AR275" s="70"/>
      <c r="AS275" s="70"/>
      <c r="AT275" s="70"/>
    </row>
    <row r="276" ht="15.75" customHeight="1">
      <c r="A276" s="70"/>
      <c r="B276" s="70"/>
      <c r="C276" s="70"/>
      <c r="D276" s="80"/>
      <c r="E276" s="70"/>
      <c r="F276" s="70"/>
      <c r="G276" s="70"/>
      <c r="H276" s="70"/>
      <c r="I276" s="70"/>
      <c r="J276" s="70"/>
      <c r="K276" s="70"/>
      <c r="L276" s="70"/>
      <c r="M276" s="70"/>
      <c r="N276" s="70"/>
      <c r="O276" s="70"/>
      <c r="P276" s="70"/>
      <c r="Q276" s="70"/>
      <c r="R276" s="70"/>
      <c r="S276" s="70"/>
      <c r="T276" s="91"/>
      <c r="U276" s="91"/>
      <c r="V276" s="70"/>
      <c r="W276" s="58"/>
      <c r="X276" s="58"/>
      <c r="Y276" s="70"/>
      <c r="Z276" s="83"/>
      <c r="AA276" s="70"/>
      <c r="AB276" s="70"/>
      <c r="AC276" s="70"/>
      <c r="AD276" s="70"/>
      <c r="AE276" s="70"/>
      <c r="AF276" s="70"/>
      <c r="AG276" s="70"/>
      <c r="AH276" s="70"/>
      <c r="AI276" s="70"/>
      <c r="AJ276" s="70"/>
      <c r="AK276" s="70"/>
      <c r="AL276" s="70"/>
      <c r="AM276" s="70"/>
      <c r="AN276" s="70"/>
      <c r="AO276" s="70"/>
      <c r="AP276" s="70"/>
      <c r="AQ276" s="70"/>
      <c r="AR276" s="70"/>
      <c r="AS276" s="70"/>
      <c r="AT276" s="70"/>
    </row>
    <row r="277" ht="15.75" customHeight="1">
      <c r="A277" s="70"/>
      <c r="B277" s="70"/>
      <c r="C277" s="70"/>
      <c r="D277" s="80"/>
      <c r="E277" s="70"/>
      <c r="F277" s="70"/>
      <c r="G277" s="70"/>
      <c r="H277" s="70"/>
      <c r="I277" s="70"/>
      <c r="J277" s="70"/>
      <c r="K277" s="70"/>
      <c r="L277" s="70"/>
      <c r="M277" s="70"/>
      <c r="N277" s="70"/>
      <c r="O277" s="70"/>
      <c r="P277" s="70"/>
      <c r="Q277" s="70"/>
      <c r="R277" s="70"/>
      <c r="S277" s="70"/>
      <c r="T277" s="91"/>
      <c r="U277" s="91"/>
      <c r="V277" s="70"/>
      <c r="W277" s="58"/>
      <c r="X277" s="58"/>
      <c r="Y277" s="70"/>
      <c r="Z277" s="83"/>
      <c r="AA277" s="70"/>
      <c r="AB277" s="70"/>
      <c r="AC277" s="70"/>
      <c r="AD277" s="70"/>
      <c r="AE277" s="70"/>
      <c r="AF277" s="70"/>
      <c r="AG277" s="70"/>
      <c r="AH277" s="70"/>
      <c r="AI277" s="70"/>
      <c r="AJ277" s="70"/>
      <c r="AK277" s="70"/>
      <c r="AL277" s="70"/>
      <c r="AM277" s="70"/>
      <c r="AN277" s="70"/>
      <c r="AO277" s="70"/>
      <c r="AP277" s="70"/>
      <c r="AQ277" s="70"/>
      <c r="AR277" s="70"/>
      <c r="AS277" s="70"/>
      <c r="AT277" s="70"/>
    </row>
    <row r="278" ht="15.75" customHeight="1">
      <c r="A278" s="70"/>
      <c r="B278" s="70"/>
      <c r="C278" s="70"/>
      <c r="D278" s="80"/>
      <c r="E278" s="70"/>
      <c r="F278" s="70"/>
      <c r="G278" s="70"/>
      <c r="H278" s="70"/>
      <c r="I278" s="70"/>
      <c r="J278" s="70"/>
      <c r="K278" s="70"/>
      <c r="L278" s="70"/>
      <c r="M278" s="70"/>
      <c r="N278" s="70"/>
      <c r="O278" s="70"/>
      <c r="P278" s="70"/>
      <c r="Q278" s="70"/>
      <c r="R278" s="70"/>
      <c r="S278" s="70"/>
      <c r="T278" s="91"/>
      <c r="U278" s="91"/>
      <c r="V278" s="70"/>
      <c r="W278" s="58"/>
      <c r="X278" s="58"/>
      <c r="Y278" s="70"/>
      <c r="Z278" s="83"/>
      <c r="AA278" s="70"/>
      <c r="AB278" s="70"/>
      <c r="AC278" s="70"/>
      <c r="AD278" s="70"/>
      <c r="AE278" s="70"/>
      <c r="AF278" s="70"/>
      <c r="AG278" s="70"/>
      <c r="AH278" s="70"/>
      <c r="AI278" s="70"/>
      <c r="AJ278" s="70"/>
      <c r="AK278" s="70"/>
      <c r="AL278" s="70"/>
      <c r="AM278" s="70"/>
      <c r="AN278" s="70"/>
      <c r="AO278" s="70"/>
      <c r="AP278" s="70"/>
      <c r="AQ278" s="70"/>
      <c r="AR278" s="70"/>
      <c r="AS278" s="70"/>
      <c r="AT278" s="70"/>
    </row>
    <row r="279" ht="15.75" customHeight="1">
      <c r="A279" s="70"/>
      <c r="B279" s="70"/>
      <c r="C279" s="70"/>
      <c r="D279" s="80"/>
      <c r="E279" s="70"/>
      <c r="F279" s="70"/>
      <c r="G279" s="70"/>
      <c r="H279" s="70"/>
      <c r="I279" s="70"/>
      <c r="J279" s="70"/>
      <c r="K279" s="70"/>
      <c r="L279" s="70"/>
      <c r="M279" s="70"/>
      <c r="N279" s="70"/>
      <c r="O279" s="70"/>
      <c r="P279" s="70"/>
      <c r="Q279" s="70"/>
      <c r="R279" s="70"/>
      <c r="S279" s="70"/>
      <c r="T279" s="91"/>
      <c r="U279" s="91"/>
      <c r="V279" s="70"/>
      <c r="W279" s="58"/>
      <c r="X279" s="58"/>
      <c r="Y279" s="70"/>
      <c r="Z279" s="83"/>
      <c r="AA279" s="70"/>
      <c r="AB279" s="70"/>
      <c r="AC279" s="70"/>
      <c r="AD279" s="70"/>
      <c r="AE279" s="70"/>
      <c r="AF279" s="70"/>
      <c r="AG279" s="70"/>
      <c r="AH279" s="70"/>
      <c r="AI279" s="70"/>
      <c r="AJ279" s="70"/>
      <c r="AK279" s="70"/>
      <c r="AL279" s="70"/>
      <c r="AM279" s="70"/>
      <c r="AN279" s="70"/>
      <c r="AO279" s="70"/>
      <c r="AP279" s="70"/>
      <c r="AQ279" s="70"/>
      <c r="AR279" s="70"/>
      <c r="AS279" s="70"/>
      <c r="AT279" s="70"/>
    </row>
    <row r="280" ht="15.75" customHeight="1">
      <c r="A280" s="70"/>
      <c r="B280" s="70"/>
      <c r="C280" s="70"/>
      <c r="D280" s="80"/>
      <c r="E280" s="70"/>
      <c r="F280" s="70"/>
      <c r="G280" s="70"/>
      <c r="H280" s="70"/>
      <c r="I280" s="70"/>
      <c r="J280" s="70"/>
      <c r="K280" s="70"/>
      <c r="L280" s="70"/>
      <c r="M280" s="70"/>
      <c r="N280" s="70"/>
      <c r="O280" s="70"/>
      <c r="P280" s="70"/>
      <c r="Q280" s="70"/>
      <c r="R280" s="70"/>
      <c r="S280" s="70"/>
      <c r="T280" s="91"/>
      <c r="U280" s="91"/>
      <c r="V280" s="70"/>
      <c r="W280" s="58"/>
      <c r="X280" s="58"/>
      <c r="Y280" s="70"/>
      <c r="Z280" s="83"/>
      <c r="AA280" s="70"/>
      <c r="AB280" s="70"/>
      <c r="AC280" s="70"/>
      <c r="AD280" s="70"/>
      <c r="AE280" s="70"/>
      <c r="AF280" s="70"/>
      <c r="AG280" s="70"/>
      <c r="AH280" s="70"/>
      <c r="AI280" s="70"/>
      <c r="AJ280" s="70"/>
      <c r="AK280" s="70"/>
      <c r="AL280" s="70"/>
      <c r="AM280" s="70"/>
      <c r="AN280" s="70"/>
      <c r="AO280" s="70"/>
      <c r="AP280" s="70"/>
      <c r="AQ280" s="70"/>
      <c r="AR280" s="70"/>
      <c r="AS280" s="70"/>
      <c r="AT280" s="70"/>
    </row>
    <row r="281" ht="15.75" customHeight="1">
      <c r="A281" s="70"/>
      <c r="B281" s="70"/>
      <c r="C281" s="70"/>
      <c r="D281" s="80"/>
      <c r="E281" s="70"/>
      <c r="F281" s="70"/>
      <c r="G281" s="70"/>
      <c r="H281" s="70"/>
      <c r="I281" s="70"/>
      <c r="J281" s="70"/>
      <c r="K281" s="70"/>
      <c r="L281" s="70"/>
      <c r="M281" s="70"/>
      <c r="N281" s="70"/>
      <c r="O281" s="70"/>
      <c r="P281" s="70"/>
      <c r="Q281" s="70"/>
      <c r="R281" s="70"/>
      <c r="S281" s="70"/>
      <c r="T281" s="91"/>
      <c r="U281" s="91"/>
      <c r="V281" s="70"/>
      <c r="W281" s="58"/>
      <c r="X281" s="58"/>
      <c r="Y281" s="70"/>
      <c r="Z281" s="83"/>
      <c r="AA281" s="70"/>
      <c r="AB281" s="70"/>
      <c r="AC281" s="70"/>
      <c r="AD281" s="70"/>
      <c r="AE281" s="70"/>
      <c r="AF281" s="70"/>
      <c r="AG281" s="70"/>
      <c r="AH281" s="70"/>
      <c r="AI281" s="70"/>
      <c r="AJ281" s="70"/>
      <c r="AK281" s="70"/>
      <c r="AL281" s="70"/>
      <c r="AM281" s="70"/>
      <c r="AN281" s="70"/>
      <c r="AO281" s="70"/>
      <c r="AP281" s="70"/>
      <c r="AQ281" s="70"/>
      <c r="AR281" s="70"/>
      <c r="AS281" s="70"/>
      <c r="AT281" s="70"/>
    </row>
    <row r="282" ht="15.75" customHeight="1">
      <c r="A282" s="70"/>
      <c r="B282" s="70"/>
      <c r="C282" s="70"/>
      <c r="D282" s="80"/>
      <c r="E282" s="70"/>
      <c r="F282" s="70"/>
      <c r="G282" s="70"/>
      <c r="H282" s="70"/>
      <c r="I282" s="70"/>
      <c r="J282" s="70"/>
      <c r="K282" s="70"/>
      <c r="L282" s="70"/>
      <c r="M282" s="70"/>
      <c r="N282" s="70"/>
      <c r="O282" s="70"/>
      <c r="P282" s="70"/>
      <c r="Q282" s="70"/>
      <c r="R282" s="70"/>
      <c r="S282" s="70"/>
      <c r="T282" s="91"/>
      <c r="U282" s="91"/>
      <c r="V282" s="70"/>
      <c r="W282" s="58"/>
      <c r="X282" s="58"/>
      <c r="Y282" s="70"/>
      <c r="Z282" s="83"/>
      <c r="AA282" s="70"/>
      <c r="AB282" s="70"/>
      <c r="AC282" s="70"/>
      <c r="AD282" s="70"/>
      <c r="AE282" s="70"/>
      <c r="AF282" s="70"/>
      <c r="AG282" s="70"/>
      <c r="AH282" s="70"/>
      <c r="AI282" s="70"/>
      <c r="AJ282" s="70"/>
      <c r="AK282" s="70"/>
      <c r="AL282" s="70"/>
      <c r="AM282" s="70"/>
      <c r="AN282" s="70"/>
      <c r="AO282" s="70"/>
      <c r="AP282" s="70"/>
      <c r="AQ282" s="70"/>
      <c r="AR282" s="70"/>
      <c r="AS282" s="70"/>
      <c r="AT282" s="70"/>
    </row>
    <row r="283" ht="15.75" customHeight="1">
      <c r="A283" s="70"/>
      <c r="B283" s="70"/>
      <c r="C283" s="70"/>
      <c r="D283" s="80"/>
      <c r="E283" s="70"/>
      <c r="F283" s="70"/>
      <c r="G283" s="70"/>
      <c r="H283" s="70"/>
      <c r="I283" s="70"/>
      <c r="J283" s="70"/>
      <c r="K283" s="70"/>
      <c r="L283" s="70"/>
      <c r="M283" s="70"/>
      <c r="N283" s="70"/>
      <c r="O283" s="70"/>
      <c r="P283" s="70"/>
      <c r="Q283" s="70"/>
      <c r="R283" s="70"/>
      <c r="S283" s="70"/>
      <c r="T283" s="91"/>
      <c r="U283" s="91"/>
      <c r="V283" s="70"/>
      <c r="W283" s="58"/>
      <c r="X283" s="58"/>
      <c r="Y283" s="70"/>
      <c r="Z283" s="83"/>
      <c r="AA283" s="70"/>
      <c r="AB283" s="70"/>
      <c r="AC283" s="70"/>
      <c r="AD283" s="70"/>
      <c r="AE283" s="70"/>
      <c r="AF283" s="70"/>
      <c r="AG283" s="70"/>
      <c r="AH283" s="70"/>
      <c r="AI283" s="70"/>
      <c r="AJ283" s="70"/>
      <c r="AK283" s="70"/>
      <c r="AL283" s="70"/>
      <c r="AM283" s="70"/>
      <c r="AN283" s="70"/>
      <c r="AO283" s="70"/>
      <c r="AP283" s="70"/>
      <c r="AQ283" s="70"/>
      <c r="AR283" s="70"/>
      <c r="AS283" s="70"/>
      <c r="AT283" s="70"/>
    </row>
    <row r="284" ht="15.75" customHeight="1">
      <c r="A284" s="70"/>
      <c r="B284" s="70"/>
      <c r="C284" s="70"/>
      <c r="D284" s="80"/>
      <c r="E284" s="70"/>
      <c r="F284" s="70"/>
      <c r="G284" s="70"/>
      <c r="H284" s="70"/>
      <c r="I284" s="70"/>
      <c r="J284" s="70"/>
      <c r="K284" s="70"/>
      <c r="L284" s="70"/>
      <c r="M284" s="70"/>
      <c r="N284" s="70"/>
      <c r="O284" s="70"/>
      <c r="P284" s="70"/>
      <c r="Q284" s="70"/>
      <c r="R284" s="70"/>
      <c r="S284" s="70"/>
      <c r="T284" s="91"/>
      <c r="U284" s="91"/>
      <c r="V284" s="70"/>
      <c r="W284" s="58"/>
      <c r="X284" s="58"/>
      <c r="Y284" s="70"/>
      <c r="Z284" s="83"/>
      <c r="AA284" s="70"/>
      <c r="AB284" s="70"/>
      <c r="AC284" s="70"/>
      <c r="AD284" s="70"/>
      <c r="AE284" s="70"/>
      <c r="AF284" s="70"/>
      <c r="AG284" s="70"/>
      <c r="AH284" s="70"/>
      <c r="AI284" s="70"/>
      <c r="AJ284" s="70"/>
      <c r="AK284" s="70"/>
      <c r="AL284" s="70"/>
      <c r="AM284" s="70"/>
      <c r="AN284" s="70"/>
      <c r="AO284" s="70"/>
      <c r="AP284" s="70"/>
      <c r="AQ284" s="70"/>
      <c r="AR284" s="70"/>
      <c r="AS284" s="70"/>
      <c r="AT284" s="70"/>
    </row>
    <row r="285" ht="15.75" customHeight="1">
      <c r="A285" s="70"/>
      <c r="B285" s="70"/>
      <c r="C285" s="70"/>
      <c r="D285" s="80"/>
      <c r="E285" s="70"/>
      <c r="F285" s="70"/>
      <c r="G285" s="70"/>
      <c r="H285" s="70"/>
      <c r="I285" s="70"/>
      <c r="J285" s="70"/>
      <c r="K285" s="70"/>
      <c r="L285" s="70"/>
      <c r="M285" s="70"/>
      <c r="N285" s="70"/>
      <c r="O285" s="70"/>
      <c r="P285" s="70"/>
      <c r="Q285" s="70"/>
      <c r="R285" s="70"/>
      <c r="S285" s="70"/>
      <c r="T285" s="91"/>
      <c r="U285" s="91"/>
      <c r="V285" s="70"/>
      <c r="W285" s="58"/>
      <c r="X285" s="58"/>
      <c r="Y285" s="70"/>
      <c r="Z285" s="83"/>
      <c r="AA285" s="70"/>
      <c r="AB285" s="70"/>
      <c r="AC285" s="70"/>
      <c r="AD285" s="70"/>
      <c r="AE285" s="70"/>
      <c r="AF285" s="70"/>
      <c r="AG285" s="70"/>
      <c r="AH285" s="70"/>
      <c r="AI285" s="70"/>
      <c r="AJ285" s="70"/>
      <c r="AK285" s="70"/>
      <c r="AL285" s="70"/>
      <c r="AM285" s="70"/>
      <c r="AN285" s="70"/>
      <c r="AO285" s="70"/>
      <c r="AP285" s="70"/>
      <c r="AQ285" s="70"/>
      <c r="AR285" s="70"/>
      <c r="AS285" s="70"/>
      <c r="AT285" s="70"/>
    </row>
    <row r="286" ht="15.75" customHeight="1">
      <c r="A286" s="70"/>
      <c r="B286" s="70"/>
      <c r="C286" s="70"/>
      <c r="D286" s="80"/>
      <c r="E286" s="70"/>
      <c r="F286" s="70"/>
      <c r="G286" s="70"/>
      <c r="H286" s="70"/>
      <c r="I286" s="70"/>
      <c r="J286" s="70"/>
      <c r="K286" s="70"/>
      <c r="L286" s="70"/>
      <c r="M286" s="70"/>
      <c r="N286" s="70"/>
      <c r="O286" s="70"/>
      <c r="P286" s="70"/>
      <c r="Q286" s="70"/>
      <c r="R286" s="70"/>
      <c r="S286" s="70"/>
      <c r="T286" s="91"/>
      <c r="U286" s="91"/>
      <c r="V286" s="70"/>
      <c r="W286" s="58"/>
      <c r="X286" s="58"/>
      <c r="Y286" s="70"/>
      <c r="Z286" s="83"/>
      <c r="AA286" s="70"/>
      <c r="AB286" s="70"/>
      <c r="AC286" s="70"/>
      <c r="AD286" s="70"/>
      <c r="AE286" s="70"/>
      <c r="AF286" s="70"/>
      <c r="AG286" s="70"/>
      <c r="AH286" s="70"/>
      <c r="AI286" s="70"/>
      <c r="AJ286" s="70"/>
      <c r="AK286" s="70"/>
      <c r="AL286" s="70"/>
      <c r="AM286" s="70"/>
      <c r="AN286" s="70"/>
      <c r="AO286" s="70"/>
      <c r="AP286" s="70"/>
      <c r="AQ286" s="70"/>
      <c r="AR286" s="70"/>
      <c r="AS286" s="70"/>
      <c r="AT286" s="70"/>
    </row>
    <row r="287" ht="15.75" customHeight="1">
      <c r="A287" s="70"/>
      <c r="B287" s="70"/>
      <c r="C287" s="70"/>
      <c r="D287" s="80"/>
      <c r="E287" s="70"/>
      <c r="F287" s="70"/>
      <c r="G287" s="70"/>
      <c r="H287" s="70"/>
      <c r="I287" s="70"/>
      <c r="J287" s="70"/>
      <c r="K287" s="70"/>
      <c r="L287" s="70"/>
      <c r="M287" s="70"/>
      <c r="N287" s="70"/>
      <c r="O287" s="70"/>
      <c r="P287" s="70"/>
      <c r="Q287" s="70"/>
      <c r="R287" s="70"/>
      <c r="S287" s="70"/>
      <c r="T287" s="91"/>
      <c r="U287" s="91"/>
      <c r="V287" s="70"/>
      <c r="W287" s="58"/>
      <c r="X287" s="58"/>
      <c r="Y287" s="70"/>
      <c r="Z287" s="83"/>
      <c r="AA287" s="70"/>
      <c r="AB287" s="70"/>
      <c r="AC287" s="70"/>
      <c r="AD287" s="70"/>
      <c r="AE287" s="70"/>
      <c r="AF287" s="70"/>
      <c r="AG287" s="70"/>
      <c r="AH287" s="70"/>
      <c r="AI287" s="70"/>
      <c r="AJ287" s="70"/>
      <c r="AK287" s="70"/>
      <c r="AL287" s="70"/>
      <c r="AM287" s="70"/>
      <c r="AN287" s="70"/>
      <c r="AO287" s="70"/>
      <c r="AP287" s="70"/>
      <c r="AQ287" s="70"/>
      <c r="AR287" s="70"/>
      <c r="AS287" s="70"/>
      <c r="AT287" s="70"/>
    </row>
    <row r="288" ht="15.75" customHeight="1">
      <c r="A288" s="70"/>
      <c r="B288" s="70"/>
      <c r="C288" s="70"/>
      <c r="D288" s="80"/>
      <c r="E288" s="70"/>
      <c r="F288" s="70"/>
      <c r="G288" s="70"/>
      <c r="H288" s="70"/>
      <c r="I288" s="70"/>
      <c r="J288" s="70"/>
      <c r="K288" s="70"/>
      <c r="L288" s="70"/>
      <c r="M288" s="70"/>
      <c r="N288" s="70"/>
      <c r="O288" s="70"/>
      <c r="P288" s="70"/>
      <c r="Q288" s="70"/>
      <c r="R288" s="70"/>
      <c r="S288" s="70"/>
      <c r="T288" s="91"/>
      <c r="U288" s="91"/>
      <c r="V288" s="70"/>
      <c r="W288" s="58"/>
      <c r="X288" s="58"/>
      <c r="Y288" s="70"/>
      <c r="Z288" s="83"/>
      <c r="AA288" s="70"/>
      <c r="AB288" s="70"/>
      <c r="AC288" s="70"/>
      <c r="AD288" s="70"/>
      <c r="AE288" s="70"/>
      <c r="AF288" s="70"/>
      <c r="AG288" s="70"/>
      <c r="AH288" s="70"/>
      <c r="AI288" s="70"/>
      <c r="AJ288" s="70"/>
      <c r="AK288" s="70"/>
      <c r="AL288" s="70"/>
      <c r="AM288" s="70"/>
      <c r="AN288" s="70"/>
      <c r="AO288" s="70"/>
      <c r="AP288" s="70"/>
      <c r="AQ288" s="70"/>
      <c r="AR288" s="70"/>
      <c r="AS288" s="70"/>
      <c r="AT288" s="70"/>
    </row>
    <row r="289" ht="15.75" customHeight="1">
      <c r="A289" s="70"/>
      <c r="B289" s="70"/>
      <c r="C289" s="70"/>
      <c r="D289" s="80"/>
      <c r="E289" s="70"/>
      <c r="F289" s="70"/>
      <c r="G289" s="70"/>
      <c r="H289" s="70"/>
      <c r="I289" s="70"/>
      <c r="J289" s="70"/>
      <c r="K289" s="70"/>
      <c r="L289" s="70"/>
      <c r="M289" s="70"/>
      <c r="N289" s="70"/>
      <c r="O289" s="70"/>
      <c r="P289" s="70"/>
      <c r="Q289" s="70"/>
      <c r="R289" s="70"/>
      <c r="S289" s="70"/>
      <c r="T289" s="91"/>
      <c r="U289" s="91"/>
      <c r="V289" s="70"/>
      <c r="W289" s="58"/>
      <c r="X289" s="58"/>
      <c r="Y289" s="70"/>
      <c r="Z289" s="83"/>
      <c r="AA289" s="70"/>
      <c r="AB289" s="70"/>
      <c r="AC289" s="70"/>
      <c r="AD289" s="70"/>
      <c r="AE289" s="70"/>
      <c r="AF289" s="70"/>
      <c r="AG289" s="70"/>
      <c r="AH289" s="70"/>
      <c r="AI289" s="70"/>
      <c r="AJ289" s="70"/>
      <c r="AK289" s="70"/>
      <c r="AL289" s="70"/>
      <c r="AM289" s="70"/>
      <c r="AN289" s="70"/>
      <c r="AO289" s="70"/>
      <c r="AP289" s="70"/>
      <c r="AQ289" s="70"/>
      <c r="AR289" s="70"/>
      <c r="AS289" s="70"/>
      <c r="AT289" s="70"/>
    </row>
    <row r="290" ht="15.75" customHeight="1">
      <c r="A290" s="70"/>
      <c r="B290" s="70"/>
      <c r="C290" s="70"/>
      <c r="D290" s="80"/>
      <c r="E290" s="70"/>
      <c r="F290" s="70"/>
      <c r="G290" s="70"/>
      <c r="H290" s="70"/>
      <c r="I290" s="70"/>
      <c r="J290" s="70"/>
      <c r="K290" s="70"/>
      <c r="L290" s="70"/>
      <c r="M290" s="70"/>
      <c r="N290" s="70"/>
      <c r="O290" s="70"/>
      <c r="P290" s="70"/>
      <c r="Q290" s="70"/>
      <c r="R290" s="70"/>
      <c r="S290" s="70"/>
      <c r="T290" s="91"/>
      <c r="U290" s="91"/>
      <c r="V290" s="70"/>
      <c r="W290" s="58"/>
      <c r="X290" s="58"/>
      <c r="Y290" s="70"/>
      <c r="Z290" s="83"/>
      <c r="AA290" s="70"/>
      <c r="AB290" s="70"/>
      <c r="AC290" s="70"/>
      <c r="AD290" s="70"/>
      <c r="AE290" s="70"/>
      <c r="AF290" s="70"/>
      <c r="AG290" s="70"/>
      <c r="AH290" s="70"/>
      <c r="AI290" s="70"/>
      <c r="AJ290" s="70"/>
      <c r="AK290" s="70"/>
      <c r="AL290" s="70"/>
      <c r="AM290" s="70"/>
      <c r="AN290" s="70"/>
      <c r="AO290" s="70"/>
      <c r="AP290" s="70"/>
      <c r="AQ290" s="70"/>
      <c r="AR290" s="70"/>
      <c r="AS290" s="70"/>
      <c r="AT290" s="70"/>
    </row>
    <row r="291" ht="15.75" customHeight="1">
      <c r="A291" s="70"/>
      <c r="B291" s="70"/>
      <c r="C291" s="70"/>
      <c r="D291" s="80"/>
      <c r="E291" s="70"/>
      <c r="F291" s="70"/>
      <c r="G291" s="70"/>
      <c r="H291" s="70"/>
      <c r="I291" s="70"/>
      <c r="J291" s="70"/>
      <c r="K291" s="70"/>
      <c r="L291" s="70"/>
      <c r="M291" s="70"/>
      <c r="N291" s="70"/>
      <c r="O291" s="70"/>
      <c r="P291" s="70"/>
      <c r="Q291" s="70"/>
      <c r="R291" s="70"/>
      <c r="S291" s="70"/>
      <c r="T291" s="91"/>
      <c r="U291" s="91"/>
      <c r="V291" s="70"/>
      <c r="W291" s="58"/>
      <c r="X291" s="58"/>
      <c r="Y291" s="70"/>
      <c r="Z291" s="83"/>
      <c r="AA291" s="70"/>
      <c r="AB291" s="70"/>
      <c r="AC291" s="70"/>
      <c r="AD291" s="70"/>
      <c r="AE291" s="70"/>
      <c r="AF291" s="70"/>
      <c r="AG291" s="70"/>
      <c r="AH291" s="70"/>
      <c r="AI291" s="70"/>
      <c r="AJ291" s="70"/>
      <c r="AK291" s="70"/>
      <c r="AL291" s="70"/>
      <c r="AM291" s="70"/>
      <c r="AN291" s="70"/>
      <c r="AO291" s="70"/>
      <c r="AP291" s="70"/>
      <c r="AQ291" s="70"/>
      <c r="AR291" s="70"/>
      <c r="AS291" s="70"/>
      <c r="AT291" s="70"/>
    </row>
    <row r="292" ht="15.75" customHeight="1">
      <c r="A292" s="70"/>
      <c r="B292" s="70"/>
      <c r="C292" s="70"/>
      <c r="D292" s="80"/>
      <c r="E292" s="70"/>
      <c r="F292" s="70"/>
      <c r="G292" s="70"/>
      <c r="H292" s="70"/>
      <c r="I292" s="70"/>
      <c r="J292" s="70"/>
      <c r="K292" s="70"/>
      <c r="L292" s="70"/>
      <c r="M292" s="70"/>
      <c r="N292" s="70"/>
      <c r="O292" s="70"/>
      <c r="P292" s="70"/>
      <c r="Q292" s="70"/>
      <c r="R292" s="70"/>
      <c r="S292" s="70"/>
      <c r="T292" s="91"/>
      <c r="U292" s="91"/>
      <c r="V292" s="70"/>
      <c r="W292" s="58"/>
      <c r="X292" s="58"/>
      <c r="Y292" s="70"/>
      <c r="Z292" s="83"/>
      <c r="AA292" s="70"/>
      <c r="AB292" s="70"/>
      <c r="AC292" s="70"/>
      <c r="AD292" s="70"/>
      <c r="AE292" s="70"/>
      <c r="AF292" s="70"/>
      <c r="AG292" s="70"/>
      <c r="AH292" s="70"/>
      <c r="AI292" s="70"/>
      <c r="AJ292" s="70"/>
      <c r="AK292" s="70"/>
      <c r="AL292" s="70"/>
      <c r="AM292" s="70"/>
      <c r="AN292" s="70"/>
      <c r="AO292" s="70"/>
      <c r="AP292" s="70"/>
      <c r="AQ292" s="70"/>
      <c r="AR292" s="70"/>
      <c r="AS292" s="70"/>
      <c r="AT292" s="70"/>
    </row>
    <row r="293" ht="15.75" customHeight="1">
      <c r="A293" s="70"/>
      <c r="B293" s="70"/>
      <c r="C293" s="70"/>
      <c r="D293" s="80"/>
      <c r="E293" s="70"/>
      <c r="F293" s="70"/>
      <c r="G293" s="70"/>
      <c r="H293" s="70"/>
      <c r="I293" s="70"/>
      <c r="J293" s="70"/>
      <c r="K293" s="70"/>
      <c r="L293" s="70"/>
      <c r="M293" s="70"/>
      <c r="N293" s="70"/>
      <c r="O293" s="70"/>
      <c r="P293" s="70"/>
      <c r="Q293" s="70"/>
      <c r="R293" s="70"/>
      <c r="S293" s="70"/>
      <c r="T293" s="91"/>
      <c r="U293" s="91"/>
      <c r="V293" s="70"/>
      <c r="W293" s="58"/>
      <c r="X293" s="58"/>
      <c r="Y293" s="70"/>
      <c r="Z293" s="83"/>
      <c r="AA293" s="70"/>
      <c r="AB293" s="70"/>
      <c r="AC293" s="70"/>
      <c r="AD293" s="70"/>
      <c r="AE293" s="70"/>
      <c r="AF293" s="70"/>
      <c r="AG293" s="70"/>
      <c r="AH293" s="70"/>
      <c r="AI293" s="70"/>
      <c r="AJ293" s="70"/>
      <c r="AK293" s="70"/>
      <c r="AL293" s="70"/>
      <c r="AM293" s="70"/>
      <c r="AN293" s="70"/>
      <c r="AO293" s="70"/>
      <c r="AP293" s="70"/>
      <c r="AQ293" s="70"/>
      <c r="AR293" s="70"/>
      <c r="AS293" s="70"/>
      <c r="AT293" s="70"/>
    </row>
    <row r="294" ht="15.75" customHeight="1">
      <c r="A294" s="70"/>
      <c r="B294" s="70"/>
      <c r="C294" s="70"/>
      <c r="D294" s="80"/>
      <c r="E294" s="70"/>
      <c r="F294" s="70"/>
      <c r="G294" s="70"/>
      <c r="H294" s="70"/>
      <c r="I294" s="70"/>
      <c r="J294" s="70"/>
      <c r="K294" s="70"/>
      <c r="L294" s="70"/>
      <c r="M294" s="70"/>
      <c r="N294" s="70"/>
      <c r="O294" s="70"/>
      <c r="P294" s="70"/>
      <c r="Q294" s="70"/>
      <c r="R294" s="70"/>
      <c r="S294" s="70"/>
      <c r="T294" s="91"/>
      <c r="U294" s="91"/>
      <c r="V294" s="70"/>
      <c r="W294" s="58"/>
      <c r="X294" s="58"/>
      <c r="Y294" s="70"/>
      <c r="Z294" s="83"/>
      <c r="AA294" s="70"/>
      <c r="AB294" s="70"/>
      <c r="AC294" s="70"/>
      <c r="AD294" s="70"/>
      <c r="AE294" s="70"/>
      <c r="AF294" s="70"/>
      <c r="AG294" s="70"/>
      <c r="AH294" s="70"/>
      <c r="AI294" s="70"/>
      <c r="AJ294" s="70"/>
      <c r="AK294" s="70"/>
      <c r="AL294" s="70"/>
      <c r="AM294" s="70"/>
      <c r="AN294" s="70"/>
      <c r="AO294" s="70"/>
      <c r="AP294" s="70"/>
      <c r="AQ294" s="70"/>
      <c r="AR294" s="70"/>
      <c r="AS294" s="70"/>
      <c r="AT294" s="70"/>
    </row>
    <row r="295" ht="15.75" customHeight="1">
      <c r="A295" s="70"/>
      <c r="B295" s="70"/>
      <c r="C295" s="70"/>
      <c r="D295" s="80"/>
      <c r="E295" s="70"/>
      <c r="F295" s="70"/>
      <c r="G295" s="70"/>
      <c r="H295" s="70"/>
      <c r="I295" s="70"/>
      <c r="J295" s="70"/>
      <c r="K295" s="70"/>
      <c r="L295" s="70"/>
      <c r="M295" s="70"/>
      <c r="N295" s="70"/>
      <c r="O295" s="70"/>
      <c r="P295" s="70"/>
      <c r="Q295" s="70"/>
      <c r="R295" s="70"/>
      <c r="S295" s="70"/>
      <c r="T295" s="91"/>
      <c r="U295" s="91"/>
      <c r="V295" s="70"/>
      <c r="W295" s="58"/>
      <c r="X295" s="58"/>
      <c r="Y295" s="70"/>
      <c r="Z295" s="83"/>
      <c r="AA295" s="70"/>
      <c r="AB295" s="70"/>
      <c r="AC295" s="70"/>
      <c r="AD295" s="70"/>
      <c r="AE295" s="70"/>
      <c r="AF295" s="70"/>
      <c r="AG295" s="70"/>
      <c r="AH295" s="70"/>
      <c r="AI295" s="70"/>
      <c r="AJ295" s="70"/>
      <c r="AK295" s="70"/>
      <c r="AL295" s="70"/>
      <c r="AM295" s="70"/>
      <c r="AN295" s="70"/>
      <c r="AO295" s="70"/>
      <c r="AP295" s="70"/>
      <c r="AQ295" s="70"/>
      <c r="AR295" s="70"/>
      <c r="AS295" s="70"/>
      <c r="AT295" s="70"/>
    </row>
    <row r="296" ht="15.75" customHeight="1">
      <c r="A296" s="70"/>
      <c r="B296" s="70"/>
      <c r="C296" s="70"/>
      <c r="D296" s="80"/>
      <c r="E296" s="70"/>
      <c r="F296" s="70"/>
      <c r="G296" s="70"/>
      <c r="H296" s="70"/>
      <c r="I296" s="70"/>
      <c r="J296" s="70"/>
      <c r="K296" s="70"/>
      <c r="L296" s="70"/>
      <c r="M296" s="70"/>
      <c r="N296" s="70"/>
      <c r="O296" s="70"/>
      <c r="P296" s="70"/>
      <c r="Q296" s="70"/>
      <c r="R296" s="70"/>
      <c r="S296" s="70"/>
      <c r="T296" s="91"/>
      <c r="U296" s="91"/>
      <c r="V296" s="70"/>
      <c r="W296" s="58"/>
      <c r="X296" s="58"/>
      <c r="Y296" s="70"/>
      <c r="Z296" s="83"/>
      <c r="AA296" s="70"/>
      <c r="AB296" s="70"/>
      <c r="AC296" s="70"/>
      <c r="AD296" s="70"/>
      <c r="AE296" s="70"/>
      <c r="AF296" s="70"/>
      <c r="AG296" s="70"/>
      <c r="AH296" s="70"/>
      <c r="AI296" s="70"/>
      <c r="AJ296" s="70"/>
      <c r="AK296" s="70"/>
      <c r="AL296" s="70"/>
      <c r="AM296" s="70"/>
      <c r="AN296" s="70"/>
      <c r="AO296" s="70"/>
      <c r="AP296" s="70"/>
      <c r="AQ296" s="70"/>
      <c r="AR296" s="70"/>
      <c r="AS296" s="70"/>
      <c r="AT296" s="70"/>
    </row>
    <row r="297" ht="15.75" customHeight="1">
      <c r="A297" s="70"/>
      <c r="B297" s="70"/>
      <c r="C297" s="70"/>
      <c r="D297" s="80"/>
      <c r="E297" s="70"/>
      <c r="F297" s="70"/>
      <c r="G297" s="70"/>
      <c r="H297" s="70"/>
      <c r="I297" s="70"/>
      <c r="J297" s="70"/>
      <c r="K297" s="70"/>
      <c r="L297" s="70"/>
      <c r="M297" s="70"/>
      <c r="N297" s="70"/>
      <c r="O297" s="70"/>
      <c r="P297" s="70"/>
      <c r="Q297" s="70"/>
      <c r="R297" s="70"/>
      <c r="S297" s="70"/>
      <c r="T297" s="91"/>
      <c r="U297" s="91"/>
      <c r="V297" s="70"/>
      <c r="W297" s="58"/>
      <c r="X297" s="58"/>
      <c r="Y297" s="70"/>
      <c r="Z297" s="83"/>
      <c r="AA297" s="70"/>
      <c r="AB297" s="70"/>
      <c r="AC297" s="70"/>
      <c r="AD297" s="70"/>
      <c r="AE297" s="70"/>
      <c r="AF297" s="70"/>
      <c r="AG297" s="70"/>
      <c r="AH297" s="70"/>
      <c r="AI297" s="70"/>
      <c r="AJ297" s="70"/>
      <c r="AK297" s="70"/>
      <c r="AL297" s="70"/>
      <c r="AM297" s="70"/>
      <c r="AN297" s="70"/>
      <c r="AO297" s="70"/>
      <c r="AP297" s="70"/>
      <c r="AQ297" s="70"/>
      <c r="AR297" s="70"/>
      <c r="AS297" s="70"/>
      <c r="AT297" s="70"/>
    </row>
    <row r="298" ht="15.75" customHeight="1">
      <c r="A298" s="70"/>
      <c r="B298" s="70"/>
      <c r="C298" s="70"/>
      <c r="D298" s="80"/>
      <c r="E298" s="70"/>
      <c r="F298" s="70"/>
      <c r="G298" s="70"/>
      <c r="H298" s="70"/>
      <c r="I298" s="70"/>
      <c r="J298" s="70"/>
      <c r="K298" s="70"/>
      <c r="L298" s="70"/>
      <c r="M298" s="70"/>
      <c r="N298" s="70"/>
      <c r="O298" s="70"/>
      <c r="P298" s="70"/>
      <c r="Q298" s="70"/>
      <c r="R298" s="70"/>
      <c r="S298" s="70"/>
      <c r="T298" s="91"/>
      <c r="U298" s="91"/>
      <c r="V298" s="70"/>
      <c r="W298" s="58"/>
      <c r="X298" s="58"/>
      <c r="Y298" s="70"/>
      <c r="Z298" s="83"/>
      <c r="AA298" s="70"/>
      <c r="AB298" s="70"/>
      <c r="AC298" s="70"/>
      <c r="AD298" s="70"/>
      <c r="AE298" s="70"/>
      <c r="AF298" s="70"/>
      <c r="AG298" s="70"/>
      <c r="AH298" s="70"/>
      <c r="AI298" s="70"/>
      <c r="AJ298" s="70"/>
      <c r="AK298" s="70"/>
      <c r="AL298" s="70"/>
      <c r="AM298" s="70"/>
      <c r="AN298" s="70"/>
      <c r="AO298" s="70"/>
      <c r="AP298" s="70"/>
      <c r="AQ298" s="70"/>
      <c r="AR298" s="70"/>
      <c r="AS298" s="70"/>
      <c r="AT298" s="70"/>
    </row>
    <row r="299" ht="15.75" customHeight="1">
      <c r="A299" s="70"/>
      <c r="B299" s="70"/>
      <c r="C299" s="70"/>
      <c r="D299" s="80"/>
      <c r="E299" s="70"/>
      <c r="F299" s="70"/>
      <c r="G299" s="70"/>
      <c r="H299" s="70"/>
      <c r="I299" s="70"/>
      <c r="J299" s="70"/>
      <c r="K299" s="70"/>
      <c r="L299" s="70"/>
      <c r="M299" s="70"/>
      <c r="N299" s="70"/>
      <c r="O299" s="70"/>
      <c r="P299" s="70"/>
      <c r="Q299" s="70"/>
      <c r="R299" s="70"/>
      <c r="S299" s="70"/>
      <c r="T299" s="91"/>
      <c r="U299" s="91"/>
      <c r="V299" s="70"/>
      <c r="W299" s="58"/>
      <c r="X299" s="58"/>
      <c r="Y299" s="70"/>
      <c r="Z299" s="83"/>
      <c r="AA299" s="70"/>
      <c r="AB299" s="70"/>
      <c r="AC299" s="70"/>
      <c r="AD299" s="70"/>
      <c r="AE299" s="70"/>
      <c r="AF299" s="70"/>
      <c r="AG299" s="70"/>
      <c r="AH299" s="70"/>
      <c r="AI299" s="70"/>
      <c r="AJ299" s="70"/>
      <c r="AK299" s="70"/>
      <c r="AL299" s="70"/>
      <c r="AM299" s="70"/>
      <c r="AN299" s="70"/>
      <c r="AO299" s="70"/>
      <c r="AP299" s="70"/>
      <c r="AQ299" s="70"/>
      <c r="AR299" s="70"/>
      <c r="AS299" s="70"/>
      <c r="AT299" s="70"/>
    </row>
    <row r="300" ht="15.75" customHeight="1">
      <c r="A300" s="70"/>
      <c r="B300" s="70"/>
      <c r="C300" s="70"/>
      <c r="D300" s="80"/>
      <c r="E300" s="70"/>
      <c r="F300" s="70"/>
      <c r="G300" s="70"/>
      <c r="H300" s="70"/>
      <c r="I300" s="70"/>
      <c r="J300" s="70"/>
      <c r="K300" s="70"/>
      <c r="L300" s="70"/>
      <c r="M300" s="70"/>
      <c r="N300" s="70"/>
      <c r="O300" s="70"/>
      <c r="P300" s="70"/>
      <c r="Q300" s="70"/>
      <c r="R300" s="70"/>
      <c r="S300" s="70"/>
      <c r="T300" s="91"/>
      <c r="U300" s="91"/>
      <c r="V300" s="70"/>
      <c r="W300" s="58"/>
      <c r="X300" s="58"/>
      <c r="Y300" s="70"/>
      <c r="Z300" s="83"/>
      <c r="AA300" s="70"/>
      <c r="AB300" s="70"/>
      <c r="AC300" s="70"/>
      <c r="AD300" s="70"/>
      <c r="AE300" s="70"/>
      <c r="AF300" s="70"/>
      <c r="AG300" s="70"/>
      <c r="AH300" s="70"/>
      <c r="AI300" s="70"/>
      <c r="AJ300" s="70"/>
      <c r="AK300" s="70"/>
      <c r="AL300" s="70"/>
      <c r="AM300" s="70"/>
      <c r="AN300" s="70"/>
      <c r="AO300" s="70"/>
      <c r="AP300" s="70"/>
      <c r="AQ300" s="70"/>
      <c r="AR300" s="70"/>
      <c r="AS300" s="70"/>
      <c r="AT300" s="70"/>
    </row>
    <row r="301" ht="15.75" customHeight="1">
      <c r="A301" s="70"/>
      <c r="B301" s="70"/>
      <c r="C301" s="70"/>
      <c r="D301" s="80"/>
      <c r="E301" s="70"/>
      <c r="F301" s="70"/>
      <c r="G301" s="70"/>
      <c r="H301" s="70"/>
      <c r="I301" s="70"/>
      <c r="J301" s="70"/>
      <c r="K301" s="70"/>
      <c r="L301" s="70"/>
      <c r="M301" s="70"/>
      <c r="N301" s="70"/>
      <c r="O301" s="70"/>
      <c r="P301" s="70"/>
      <c r="Q301" s="70"/>
      <c r="R301" s="70"/>
      <c r="S301" s="70"/>
      <c r="T301" s="91"/>
      <c r="U301" s="91"/>
      <c r="V301" s="70"/>
      <c r="W301" s="58"/>
      <c r="X301" s="58"/>
      <c r="Y301" s="70"/>
      <c r="Z301" s="83"/>
      <c r="AA301" s="70"/>
      <c r="AB301" s="70"/>
      <c r="AC301" s="70"/>
      <c r="AD301" s="70"/>
      <c r="AE301" s="70"/>
      <c r="AF301" s="70"/>
      <c r="AG301" s="70"/>
      <c r="AH301" s="70"/>
      <c r="AI301" s="70"/>
      <c r="AJ301" s="70"/>
      <c r="AK301" s="70"/>
      <c r="AL301" s="70"/>
      <c r="AM301" s="70"/>
      <c r="AN301" s="70"/>
      <c r="AO301" s="70"/>
      <c r="AP301" s="70"/>
      <c r="AQ301" s="70"/>
      <c r="AR301" s="70"/>
      <c r="AS301" s="70"/>
      <c r="AT301" s="70"/>
    </row>
    <row r="302" ht="15.75" customHeight="1">
      <c r="A302" s="70"/>
      <c r="B302" s="70"/>
      <c r="C302" s="70"/>
      <c r="D302" s="80"/>
      <c r="E302" s="70"/>
      <c r="F302" s="70"/>
      <c r="G302" s="70"/>
      <c r="H302" s="70"/>
      <c r="I302" s="70"/>
      <c r="J302" s="70"/>
      <c r="K302" s="70"/>
      <c r="L302" s="70"/>
      <c r="M302" s="70"/>
      <c r="N302" s="70"/>
      <c r="O302" s="70"/>
      <c r="P302" s="70"/>
      <c r="Q302" s="70"/>
      <c r="R302" s="70"/>
      <c r="S302" s="70"/>
      <c r="T302" s="91"/>
      <c r="U302" s="91"/>
      <c r="V302" s="70"/>
      <c r="W302" s="58"/>
      <c r="X302" s="58"/>
      <c r="Y302" s="70"/>
      <c r="Z302" s="83"/>
      <c r="AA302" s="70"/>
      <c r="AB302" s="70"/>
      <c r="AC302" s="70"/>
      <c r="AD302" s="70"/>
      <c r="AE302" s="70"/>
      <c r="AF302" s="70"/>
      <c r="AG302" s="70"/>
      <c r="AH302" s="70"/>
      <c r="AI302" s="70"/>
      <c r="AJ302" s="70"/>
      <c r="AK302" s="70"/>
      <c r="AL302" s="70"/>
      <c r="AM302" s="70"/>
      <c r="AN302" s="70"/>
      <c r="AO302" s="70"/>
      <c r="AP302" s="70"/>
      <c r="AQ302" s="70"/>
      <c r="AR302" s="70"/>
      <c r="AS302" s="70"/>
      <c r="AT302" s="70"/>
    </row>
    <row r="303" ht="15.75" customHeight="1">
      <c r="A303" s="70"/>
      <c r="B303" s="70"/>
      <c r="C303" s="70"/>
      <c r="D303" s="80"/>
      <c r="E303" s="70"/>
      <c r="F303" s="70"/>
      <c r="G303" s="70"/>
      <c r="H303" s="70"/>
      <c r="I303" s="70"/>
      <c r="J303" s="70"/>
      <c r="K303" s="70"/>
      <c r="L303" s="70"/>
      <c r="M303" s="70"/>
      <c r="N303" s="70"/>
      <c r="O303" s="70"/>
      <c r="P303" s="70"/>
      <c r="Q303" s="70"/>
      <c r="R303" s="70"/>
      <c r="S303" s="70"/>
      <c r="T303" s="91"/>
      <c r="U303" s="91"/>
      <c r="V303" s="70"/>
      <c r="W303" s="58"/>
      <c r="X303" s="58"/>
      <c r="Y303" s="70"/>
      <c r="Z303" s="83"/>
      <c r="AA303" s="70"/>
      <c r="AB303" s="70"/>
      <c r="AC303" s="70"/>
      <c r="AD303" s="70"/>
      <c r="AE303" s="70"/>
      <c r="AF303" s="70"/>
      <c r="AG303" s="70"/>
      <c r="AH303" s="70"/>
      <c r="AI303" s="70"/>
      <c r="AJ303" s="70"/>
      <c r="AK303" s="70"/>
      <c r="AL303" s="70"/>
      <c r="AM303" s="70"/>
      <c r="AN303" s="70"/>
      <c r="AO303" s="70"/>
      <c r="AP303" s="70"/>
      <c r="AQ303" s="70"/>
      <c r="AR303" s="70"/>
      <c r="AS303" s="70"/>
      <c r="AT303" s="70"/>
    </row>
    <row r="304" ht="15.75" customHeight="1">
      <c r="A304" s="70"/>
      <c r="B304" s="70"/>
      <c r="C304" s="70"/>
      <c r="D304" s="80"/>
      <c r="E304" s="70"/>
      <c r="F304" s="70"/>
      <c r="G304" s="70"/>
      <c r="H304" s="70"/>
      <c r="I304" s="70"/>
      <c r="J304" s="70"/>
      <c r="K304" s="70"/>
      <c r="L304" s="70"/>
      <c r="M304" s="70"/>
      <c r="N304" s="70"/>
      <c r="O304" s="70"/>
      <c r="P304" s="70"/>
      <c r="Q304" s="70"/>
      <c r="R304" s="70"/>
      <c r="S304" s="70"/>
      <c r="T304" s="91"/>
      <c r="U304" s="91"/>
      <c r="V304" s="70"/>
      <c r="W304" s="58"/>
      <c r="X304" s="58"/>
      <c r="Y304" s="70"/>
      <c r="Z304" s="83"/>
      <c r="AA304" s="70"/>
      <c r="AB304" s="70"/>
      <c r="AC304" s="70"/>
      <c r="AD304" s="70"/>
      <c r="AE304" s="70"/>
      <c r="AF304" s="70"/>
      <c r="AG304" s="70"/>
      <c r="AH304" s="70"/>
      <c r="AI304" s="70"/>
      <c r="AJ304" s="70"/>
      <c r="AK304" s="70"/>
      <c r="AL304" s="70"/>
      <c r="AM304" s="70"/>
      <c r="AN304" s="70"/>
      <c r="AO304" s="70"/>
      <c r="AP304" s="70"/>
      <c r="AQ304" s="70"/>
      <c r="AR304" s="70"/>
      <c r="AS304" s="70"/>
      <c r="AT304" s="70"/>
    </row>
    <row r="305" ht="15.75" customHeight="1">
      <c r="A305" s="70"/>
      <c r="B305" s="70"/>
      <c r="C305" s="70"/>
      <c r="D305" s="80"/>
      <c r="E305" s="70"/>
      <c r="F305" s="70"/>
      <c r="G305" s="70"/>
      <c r="H305" s="70"/>
      <c r="I305" s="70"/>
      <c r="J305" s="70"/>
      <c r="K305" s="70"/>
      <c r="L305" s="70"/>
      <c r="M305" s="70"/>
      <c r="N305" s="70"/>
      <c r="O305" s="70"/>
      <c r="P305" s="70"/>
      <c r="Q305" s="70"/>
      <c r="R305" s="70"/>
      <c r="S305" s="70"/>
      <c r="T305" s="91"/>
      <c r="U305" s="91"/>
      <c r="V305" s="70"/>
      <c r="W305" s="58"/>
      <c r="X305" s="58"/>
      <c r="Y305" s="70"/>
      <c r="Z305" s="83"/>
      <c r="AA305" s="70"/>
      <c r="AB305" s="70"/>
      <c r="AC305" s="70"/>
      <c r="AD305" s="70"/>
      <c r="AE305" s="70"/>
      <c r="AF305" s="70"/>
      <c r="AG305" s="70"/>
      <c r="AH305" s="70"/>
      <c r="AI305" s="70"/>
      <c r="AJ305" s="70"/>
      <c r="AK305" s="70"/>
      <c r="AL305" s="70"/>
      <c r="AM305" s="70"/>
      <c r="AN305" s="70"/>
      <c r="AO305" s="70"/>
      <c r="AP305" s="70"/>
      <c r="AQ305" s="70"/>
      <c r="AR305" s="70"/>
      <c r="AS305" s="70"/>
      <c r="AT305" s="70"/>
    </row>
    <row r="306" ht="15.75" customHeight="1">
      <c r="A306" s="70"/>
      <c r="B306" s="70"/>
      <c r="C306" s="70"/>
      <c r="D306" s="80"/>
      <c r="E306" s="70"/>
      <c r="F306" s="70"/>
      <c r="G306" s="70"/>
      <c r="H306" s="70"/>
      <c r="I306" s="70"/>
      <c r="J306" s="70"/>
      <c r="K306" s="70"/>
      <c r="L306" s="70"/>
      <c r="M306" s="70"/>
      <c r="N306" s="70"/>
      <c r="O306" s="70"/>
      <c r="P306" s="70"/>
      <c r="Q306" s="70"/>
      <c r="R306" s="70"/>
      <c r="S306" s="70"/>
      <c r="T306" s="91"/>
      <c r="U306" s="91"/>
      <c r="V306" s="70"/>
      <c r="W306" s="58"/>
      <c r="X306" s="58"/>
      <c r="Y306" s="70"/>
      <c r="Z306" s="83"/>
      <c r="AA306" s="70"/>
      <c r="AB306" s="70"/>
      <c r="AC306" s="70"/>
      <c r="AD306" s="70"/>
      <c r="AE306" s="70"/>
      <c r="AF306" s="70"/>
      <c r="AG306" s="70"/>
      <c r="AH306" s="70"/>
      <c r="AI306" s="70"/>
      <c r="AJ306" s="70"/>
      <c r="AK306" s="70"/>
      <c r="AL306" s="70"/>
      <c r="AM306" s="70"/>
      <c r="AN306" s="70"/>
      <c r="AO306" s="70"/>
      <c r="AP306" s="70"/>
      <c r="AQ306" s="70"/>
      <c r="AR306" s="70"/>
      <c r="AS306" s="70"/>
      <c r="AT306" s="70"/>
    </row>
    <row r="307" ht="15.75" customHeight="1">
      <c r="A307" s="70"/>
      <c r="B307" s="70"/>
      <c r="C307" s="70"/>
      <c r="D307" s="80"/>
      <c r="E307" s="70"/>
      <c r="F307" s="70"/>
      <c r="G307" s="70"/>
      <c r="H307" s="70"/>
      <c r="I307" s="70"/>
      <c r="J307" s="70"/>
      <c r="K307" s="70"/>
      <c r="L307" s="70"/>
      <c r="M307" s="70"/>
      <c r="N307" s="70"/>
      <c r="O307" s="70"/>
      <c r="P307" s="70"/>
      <c r="Q307" s="70"/>
      <c r="R307" s="70"/>
      <c r="S307" s="70"/>
      <c r="T307" s="91"/>
      <c r="U307" s="91"/>
      <c r="V307" s="70"/>
      <c r="W307" s="58"/>
      <c r="X307" s="58"/>
      <c r="Y307" s="70"/>
      <c r="Z307" s="83"/>
      <c r="AA307" s="70"/>
      <c r="AB307" s="70"/>
      <c r="AC307" s="70"/>
      <c r="AD307" s="70"/>
      <c r="AE307" s="70"/>
      <c r="AF307" s="70"/>
      <c r="AG307" s="70"/>
      <c r="AH307" s="70"/>
      <c r="AI307" s="70"/>
      <c r="AJ307" s="70"/>
      <c r="AK307" s="70"/>
      <c r="AL307" s="70"/>
      <c r="AM307" s="70"/>
      <c r="AN307" s="70"/>
      <c r="AO307" s="70"/>
      <c r="AP307" s="70"/>
      <c r="AQ307" s="70"/>
      <c r="AR307" s="70"/>
      <c r="AS307" s="70"/>
      <c r="AT307" s="70"/>
    </row>
    <row r="308" ht="15.75" customHeight="1">
      <c r="A308" s="70"/>
      <c r="B308" s="70"/>
      <c r="C308" s="70"/>
      <c r="D308" s="80"/>
      <c r="E308" s="70"/>
      <c r="F308" s="70"/>
      <c r="G308" s="70"/>
      <c r="H308" s="70"/>
      <c r="I308" s="70"/>
      <c r="J308" s="70"/>
      <c r="K308" s="70"/>
      <c r="L308" s="70"/>
      <c r="M308" s="70"/>
      <c r="N308" s="70"/>
      <c r="O308" s="70"/>
      <c r="P308" s="70"/>
      <c r="Q308" s="70"/>
      <c r="R308" s="70"/>
      <c r="S308" s="70"/>
      <c r="T308" s="91"/>
      <c r="U308" s="91"/>
      <c r="V308" s="70"/>
      <c r="W308" s="58"/>
      <c r="X308" s="58"/>
      <c r="Y308" s="70"/>
      <c r="Z308" s="83"/>
      <c r="AA308" s="70"/>
      <c r="AB308" s="70"/>
      <c r="AC308" s="70"/>
      <c r="AD308" s="70"/>
      <c r="AE308" s="70"/>
      <c r="AF308" s="70"/>
      <c r="AG308" s="70"/>
      <c r="AH308" s="70"/>
      <c r="AI308" s="70"/>
      <c r="AJ308" s="70"/>
      <c r="AK308" s="70"/>
      <c r="AL308" s="70"/>
      <c r="AM308" s="70"/>
      <c r="AN308" s="70"/>
      <c r="AO308" s="70"/>
      <c r="AP308" s="70"/>
      <c r="AQ308" s="70"/>
      <c r="AR308" s="70"/>
      <c r="AS308" s="70"/>
      <c r="AT308" s="70"/>
    </row>
    <row r="309" ht="15.75" customHeight="1">
      <c r="A309" s="70"/>
      <c r="B309" s="70"/>
      <c r="C309" s="70"/>
      <c r="D309" s="80"/>
      <c r="E309" s="70"/>
      <c r="F309" s="70"/>
      <c r="G309" s="70"/>
      <c r="H309" s="70"/>
      <c r="I309" s="70"/>
      <c r="J309" s="70"/>
      <c r="K309" s="70"/>
      <c r="L309" s="70"/>
      <c r="M309" s="70"/>
      <c r="N309" s="70"/>
      <c r="O309" s="70"/>
      <c r="P309" s="70"/>
      <c r="Q309" s="70"/>
      <c r="R309" s="70"/>
      <c r="S309" s="70"/>
      <c r="T309" s="91"/>
      <c r="U309" s="91"/>
      <c r="V309" s="70"/>
      <c r="W309" s="58"/>
      <c r="X309" s="58"/>
      <c r="Y309" s="70"/>
      <c r="Z309" s="83"/>
      <c r="AA309" s="70"/>
      <c r="AB309" s="70"/>
      <c r="AC309" s="70"/>
      <c r="AD309" s="70"/>
      <c r="AE309" s="70"/>
      <c r="AF309" s="70"/>
      <c r="AG309" s="70"/>
      <c r="AH309" s="70"/>
      <c r="AI309" s="70"/>
      <c r="AJ309" s="70"/>
      <c r="AK309" s="70"/>
      <c r="AL309" s="70"/>
      <c r="AM309" s="70"/>
      <c r="AN309" s="70"/>
      <c r="AO309" s="70"/>
      <c r="AP309" s="70"/>
      <c r="AQ309" s="70"/>
      <c r="AR309" s="70"/>
      <c r="AS309" s="70"/>
      <c r="AT309" s="70"/>
    </row>
    <row r="310" ht="15.75" customHeight="1">
      <c r="A310" s="70"/>
      <c r="B310" s="70"/>
      <c r="C310" s="70"/>
      <c r="D310" s="80"/>
      <c r="E310" s="70"/>
      <c r="F310" s="70"/>
      <c r="G310" s="70"/>
      <c r="H310" s="70"/>
      <c r="I310" s="70"/>
      <c r="J310" s="70"/>
      <c r="K310" s="70"/>
      <c r="L310" s="70"/>
      <c r="M310" s="70"/>
      <c r="N310" s="70"/>
      <c r="O310" s="70"/>
      <c r="P310" s="70"/>
      <c r="Q310" s="70"/>
      <c r="R310" s="70"/>
      <c r="S310" s="70"/>
      <c r="T310" s="91"/>
      <c r="U310" s="91"/>
      <c r="V310" s="70"/>
      <c r="W310" s="58"/>
      <c r="X310" s="58"/>
      <c r="Y310" s="70"/>
      <c r="Z310" s="83"/>
      <c r="AA310" s="70"/>
      <c r="AB310" s="70"/>
      <c r="AC310" s="70"/>
      <c r="AD310" s="70"/>
      <c r="AE310" s="70"/>
      <c r="AF310" s="70"/>
      <c r="AG310" s="70"/>
      <c r="AH310" s="70"/>
      <c r="AI310" s="70"/>
      <c r="AJ310" s="70"/>
      <c r="AK310" s="70"/>
      <c r="AL310" s="70"/>
      <c r="AM310" s="70"/>
      <c r="AN310" s="70"/>
      <c r="AO310" s="70"/>
      <c r="AP310" s="70"/>
      <c r="AQ310" s="70"/>
      <c r="AR310" s="70"/>
      <c r="AS310" s="70"/>
      <c r="AT310" s="70"/>
    </row>
    <row r="311" ht="15.75" customHeight="1">
      <c r="A311" s="70"/>
      <c r="B311" s="70"/>
      <c r="C311" s="70"/>
      <c r="D311" s="80"/>
      <c r="E311" s="70"/>
      <c r="F311" s="70"/>
      <c r="G311" s="70"/>
      <c r="H311" s="70"/>
      <c r="I311" s="70"/>
      <c r="J311" s="70"/>
      <c r="K311" s="70"/>
      <c r="L311" s="70"/>
      <c r="M311" s="70"/>
      <c r="N311" s="70"/>
      <c r="O311" s="70"/>
      <c r="P311" s="70"/>
      <c r="Q311" s="70"/>
      <c r="R311" s="70"/>
      <c r="S311" s="70"/>
      <c r="T311" s="91"/>
      <c r="U311" s="91"/>
      <c r="V311" s="70"/>
      <c r="W311" s="58"/>
      <c r="X311" s="58"/>
      <c r="Y311" s="70"/>
      <c r="Z311" s="83"/>
      <c r="AA311" s="70"/>
      <c r="AB311" s="70"/>
      <c r="AC311" s="70"/>
      <c r="AD311" s="70"/>
      <c r="AE311" s="70"/>
      <c r="AF311" s="70"/>
      <c r="AG311" s="70"/>
      <c r="AH311" s="70"/>
      <c r="AI311" s="70"/>
      <c r="AJ311" s="70"/>
      <c r="AK311" s="70"/>
      <c r="AL311" s="70"/>
      <c r="AM311" s="70"/>
      <c r="AN311" s="70"/>
      <c r="AO311" s="70"/>
      <c r="AP311" s="70"/>
      <c r="AQ311" s="70"/>
      <c r="AR311" s="70"/>
      <c r="AS311" s="70"/>
      <c r="AT311" s="70"/>
    </row>
    <row r="312" ht="15.75" customHeight="1">
      <c r="A312" s="70"/>
      <c r="B312" s="70"/>
      <c r="C312" s="70"/>
      <c r="D312" s="80"/>
      <c r="E312" s="70"/>
      <c r="F312" s="70"/>
      <c r="G312" s="70"/>
      <c r="H312" s="70"/>
      <c r="I312" s="70"/>
      <c r="J312" s="70"/>
      <c r="K312" s="70"/>
      <c r="L312" s="70"/>
      <c r="M312" s="70"/>
      <c r="N312" s="70"/>
      <c r="O312" s="70"/>
      <c r="P312" s="70"/>
      <c r="Q312" s="70"/>
      <c r="R312" s="70"/>
      <c r="S312" s="70"/>
      <c r="T312" s="91"/>
      <c r="U312" s="91"/>
      <c r="V312" s="70"/>
      <c r="W312" s="58"/>
      <c r="X312" s="58"/>
      <c r="Y312" s="70"/>
      <c r="Z312" s="83"/>
      <c r="AA312" s="70"/>
      <c r="AB312" s="70"/>
      <c r="AC312" s="70"/>
      <c r="AD312" s="70"/>
      <c r="AE312" s="70"/>
      <c r="AF312" s="70"/>
      <c r="AG312" s="70"/>
      <c r="AH312" s="70"/>
      <c r="AI312" s="70"/>
      <c r="AJ312" s="70"/>
      <c r="AK312" s="70"/>
      <c r="AL312" s="70"/>
      <c r="AM312" s="70"/>
      <c r="AN312" s="70"/>
      <c r="AO312" s="70"/>
      <c r="AP312" s="70"/>
      <c r="AQ312" s="70"/>
      <c r="AR312" s="70"/>
      <c r="AS312" s="70"/>
      <c r="AT312" s="70"/>
    </row>
    <row r="313" ht="15.75" customHeight="1">
      <c r="A313" s="70"/>
      <c r="B313" s="70"/>
      <c r="C313" s="70"/>
      <c r="D313" s="80"/>
      <c r="E313" s="70"/>
      <c r="F313" s="70"/>
      <c r="G313" s="70"/>
      <c r="H313" s="70"/>
      <c r="I313" s="70"/>
      <c r="J313" s="70"/>
      <c r="K313" s="70"/>
      <c r="L313" s="70"/>
      <c r="M313" s="70"/>
      <c r="N313" s="70"/>
      <c r="O313" s="70"/>
      <c r="P313" s="70"/>
      <c r="Q313" s="70"/>
      <c r="R313" s="70"/>
      <c r="S313" s="70"/>
      <c r="T313" s="91"/>
      <c r="U313" s="91"/>
      <c r="V313" s="70"/>
      <c r="W313" s="58"/>
      <c r="X313" s="58"/>
      <c r="Y313" s="70"/>
      <c r="Z313" s="83"/>
      <c r="AA313" s="70"/>
      <c r="AB313" s="70"/>
      <c r="AC313" s="70"/>
      <c r="AD313" s="70"/>
      <c r="AE313" s="70"/>
      <c r="AF313" s="70"/>
      <c r="AG313" s="70"/>
      <c r="AH313" s="70"/>
      <c r="AI313" s="70"/>
      <c r="AJ313" s="70"/>
      <c r="AK313" s="70"/>
      <c r="AL313" s="70"/>
      <c r="AM313" s="70"/>
      <c r="AN313" s="70"/>
      <c r="AO313" s="70"/>
      <c r="AP313" s="70"/>
      <c r="AQ313" s="70"/>
      <c r="AR313" s="70"/>
      <c r="AS313" s="70"/>
      <c r="AT313" s="70"/>
    </row>
    <row r="314" ht="15.75" customHeight="1">
      <c r="A314" s="70"/>
      <c r="B314" s="70"/>
      <c r="C314" s="70"/>
      <c r="D314" s="80"/>
      <c r="E314" s="70"/>
      <c r="F314" s="70"/>
      <c r="G314" s="70"/>
      <c r="H314" s="70"/>
      <c r="I314" s="70"/>
      <c r="J314" s="70"/>
      <c r="K314" s="70"/>
      <c r="L314" s="70"/>
      <c r="M314" s="70"/>
      <c r="N314" s="70"/>
      <c r="O314" s="70"/>
      <c r="P314" s="70"/>
      <c r="Q314" s="70"/>
      <c r="R314" s="70"/>
      <c r="S314" s="70"/>
      <c r="T314" s="91"/>
      <c r="U314" s="91"/>
      <c r="V314" s="70"/>
      <c r="W314" s="58"/>
      <c r="X314" s="58"/>
      <c r="Y314" s="70"/>
      <c r="Z314" s="83"/>
      <c r="AA314" s="70"/>
      <c r="AB314" s="70"/>
      <c r="AC314" s="70"/>
      <c r="AD314" s="70"/>
      <c r="AE314" s="70"/>
      <c r="AF314" s="70"/>
      <c r="AG314" s="70"/>
      <c r="AH314" s="70"/>
      <c r="AI314" s="70"/>
      <c r="AJ314" s="70"/>
      <c r="AK314" s="70"/>
      <c r="AL314" s="70"/>
      <c r="AM314" s="70"/>
      <c r="AN314" s="70"/>
      <c r="AO314" s="70"/>
      <c r="AP314" s="70"/>
      <c r="AQ314" s="70"/>
      <c r="AR314" s="70"/>
      <c r="AS314" s="70"/>
      <c r="AT314" s="70"/>
    </row>
    <row r="315" ht="15.75" customHeight="1">
      <c r="A315" s="70"/>
      <c r="B315" s="70"/>
      <c r="C315" s="70"/>
      <c r="D315" s="80"/>
      <c r="E315" s="70"/>
      <c r="F315" s="70"/>
      <c r="G315" s="70"/>
      <c r="H315" s="70"/>
      <c r="I315" s="70"/>
      <c r="J315" s="70"/>
      <c r="K315" s="70"/>
      <c r="L315" s="70"/>
      <c r="M315" s="70"/>
      <c r="N315" s="70"/>
      <c r="O315" s="70"/>
      <c r="P315" s="70"/>
      <c r="Q315" s="70"/>
      <c r="R315" s="70"/>
      <c r="S315" s="70"/>
      <c r="T315" s="91"/>
      <c r="U315" s="91"/>
      <c r="V315" s="70"/>
      <c r="W315" s="58"/>
      <c r="X315" s="58"/>
      <c r="Y315" s="70"/>
      <c r="Z315" s="83"/>
      <c r="AA315" s="70"/>
      <c r="AB315" s="70"/>
      <c r="AC315" s="70"/>
      <c r="AD315" s="70"/>
      <c r="AE315" s="70"/>
      <c r="AF315" s="70"/>
      <c r="AG315" s="70"/>
      <c r="AH315" s="70"/>
      <c r="AI315" s="70"/>
      <c r="AJ315" s="70"/>
      <c r="AK315" s="70"/>
      <c r="AL315" s="70"/>
      <c r="AM315" s="70"/>
      <c r="AN315" s="70"/>
      <c r="AO315" s="70"/>
      <c r="AP315" s="70"/>
      <c r="AQ315" s="70"/>
      <c r="AR315" s="70"/>
      <c r="AS315" s="70"/>
      <c r="AT315" s="70"/>
    </row>
    <row r="316" ht="15.75" customHeight="1">
      <c r="A316" s="70"/>
      <c r="B316" s="70"/>
      <c r="C316" s="70"/>
      <c r="D316" s="80"/>
      <c r="E316" s="70"/>
      <c r="F316" s="70"/>
      <c r="G316" s="70"/>
      <c r="H316" s="70"/>
      <c r="I316" s="70"/>
      <c r="J316" s="70"/>
      <c r="K316" s="70"/>
      <c r="L316" s="70"/>
      <c r="M316" s="70"/>
      <c r="N316" s="70"/>
      <c r="O316" s="70"/>
      <c r="P316" s="70"/>
      <c r="Q316" s="70"/>
      <c r="R316" s="70"/>
      <c r="S316" s="70"/>
      <c r="T316" s="91"/>
      <c r="U316" s="91"/>
      <c r="V316" s="70"/>
      <c r="W316" s="58"/>
      <c r="X316" s="58"/>
      <c r="Y316" s="70"/>
      <c r="Z316" s="83"/>
      <c r="AA316" s="70"/>
      <c r="AB316" s="70"/>
      <c r="AC316" s="70"/>
      <c r="AD316" s="70"/>
      <c r="AE316" s="70"/>
      <c r="AF316" s="70"/>
      <c r="AG316" s="70"/>
      <c r="AH316" s="70"/>
      <c r="AI316" s="70"/>
      <c r="AJ316" s="70"/>
      <c r="AK316" s="70"/>
      <c r="AL316" s="70"/>
      <c r="AM316" s="70"/>
      <c r="AN316" s="70"/>
      <c r="AO316" s="70"/>
      <c r="AP316" s="70"/>
      <c r="AQ316" s="70"/>
      <c r="AR316" s="70"/>
      <c r="AS316" s="70"/>
      <c r="AT316" s="70"/>
    </row>
    <row r="317" ht="15.75" customHeight="1">
      <c r="A317" s="70"/>
      <c r="B317" s="70"/>
      <c r="C317" s="70"/>
      <c r="D317" s="80"/>
      <c r="E317" s="70"/>
      <c r="F317" s="70"/>
      <c r="G317" s="70"/>
      <c r="H317" s="70"/>
      <c r="I317" s="70"/>
      <c r="J317" s="70"/>
      <c r="K317" s="70"/>
      <c r="L317" s="70"/>
      <c r="M317" s="70"/>
      <c r="N317" s="70"/>
      <c r="O317" s="70"/>
      <c r="P317" s="70"/>
      <c r="Q317" s="70"/>
      <c r="R317" s="70"/>
      <c r="S317" s="70"/>
      <c r="T317" s="91"/>
      <c r="U317" s="91"/>
      <c r="V317" s="70"/>
      <c r="W317" s="58"/>
      <c r="X317" s="58"/>
      <c r="Y317" s="70"/>
      <c r="Z317" s="83"/>
      <c r="AA317" s="70"/>
      <c r="AB317" s="70"/>
      <c r="AC317" s="70"/>
      <c r="AD317" s="70"/>
      <c r="AE317" s="70"/>
      <c r="AF317" s="70"/>
      <c r="AG317" s="70"/>
      <c r="AH317" s="70"/>
      <c r="AI317" s="70"/>
      <c r="AJ317" s="70"/>
      <c r="AK317" s="70"/>
      <c r="AL317" s="70"/>
      <c r="AM317" s="70"/>
      <c r="AN317" s="70"/>
      <c r="AO317" s="70"/>
      <c r="AP317" s="70"/>
      <c r="AQ317" s="70"/>
      <c r="AR317" s="70"/>
      <c r="AS317" s="70"/>
      <c r="AT317" s="70"/>
    </row>
    <row r="318" ht="15.75" customHeight="1">
      <c r="A318" s="70"/>
      <c r="B318" s="70"/>
      <c r="C318" s="70"/>
      <c r="D318" s="80"/>
      <c r="E318" s="70"/>
      <c r="F318" s="70"/>
      <c r="G318" s="70"/>
      <c r="H318" s="70"/>
      <c r="I318" s="70"/>
      <c r="J318" s="70"/>
      <c r="K318" s="70"/>
      <c r="L318" s="70"/>
      <c r="M318" s="70"/>
      <c r="N318" s="70"/>
      <c r="O318" s="70"/>
      <c r="P318" s="70"/>
      <c r="Q318" s="70"/>
      <c r="R318" s="70"/>
      <c r="S318" s="70"/>
      <c r="T318" s="91"/>
      <c r="U318" s="91"/>
      <c r="V318" s="70"/>
      <c r="W318" s="58"/>
      <c r="X318" s="58"/>
      <c r="Y318" s="70"/>
      <c r="Z318" s="83"/>
      <c r="AA318" s="70"/>
      <c r="AB318" s="70"/>
      <c r="AC318" s="70"/>
      <c r="AD318" s="70"/>
      <c r="AE318" s="70"/>
      <c r="AF318" s="70"/>
      <c r="AG318" s="70"/>
      <c r="AH318" s="70"/>
      <c r="AI318" s="70"/>
      <c r="AJ318" s="70"/>
      <c r="AK318" s="70"/>
      <c r="AL318" s="70"/>
      <c r="AM318" s="70"/>
      <c r="AN318" s="70"/>
      <c r="AO318" s="70"/>
      <c r="AP318" s="70"/>
      <c r="AQ318" s="70"/>
      <c r="AR318" s="70"/>
      <c r="AS318" s="70"/>
      <c r="AT318" s="70"/>
    </row>
    <row r="319" ht="15.75" customHeight="1">
      <c r="A319" s="70"/>
      <c r="B319" s="70"/>
      <c r="C319" s="70"/>
      <c r="D319" s="80"/>
      <c r="E319" s="70"/>
      <c r="F319" s="70"/>
      <c r="G319" s="70"/>
      <c r="H319" s="70"/>
      <c r="I319" s="70"/>
      <c r="J319" s="70"/>
      <c r="K319" s="70"/>
      <c r="L319" s="70"/>
      <c r="M319" s="70"/>
      <c r="N319" s="70"/>
      <c r="O319" s="70"/>
      <c r="P319" s="70"/>
      <c r="Q319" s="70"/>
      <c r="R319" s="70"/>
      <c r="S319" s="70"/>
      <c r="T319" s="91"/>
      <c r="U319" s="91"/>
      <c r="V319" s="70"/>
      <c r="W319" s="58"/>
      <c r="X319" s="58"/>
      <c r="Y319" s="70"/>
      <c r="Z319" s="83"/>
      <c r="AA319" s="70"/>
      <c r="AB319" s="70"/>
      <c r="AC319" s="70"/>
      <c r="AD319" s="70"/>
      <c r="AE319" s="70"/>
      <c r="AF319" s="70"/>
      <c r="AG319" s="70"/>
      <c r="AH319" s="70"/>
      <c r="AI319" s="70"/>
      <c r="AJ319" s="70"/>
      <c r="AK319" s="70"/>
      <c r="AL319" s="70"/>
      <c r="AM319" s="70"/>
      <c r="AN319" s="70"/>
      <c r="AO319" s="70"/>
      <c r="AP319" s="70"/>
      <c r="AQ319" s="70"/>
      <c r="AR319" s="70"/>
      <c r="AS319" s="70"/>
      <c r="AT319" s="70"/>
    </row>
    <row r="320" ht="15.75" customHeight="1">
      <c r="A320" s="70"/>
      <c r="B320" s="70"/>
      <c r="C320" s="70"/>
      <c r="D320" s="80"/>
      <c r="E320" s="70"/>
      <c r="F320" s="70"/>
      <c r="G320" s="70"/>
      <c r="H320" s="70"/>
      <c r="I320" s="70"/>
      <c r="J320" s="70"/>
      <c r="K320" s="70"/>
      <c r="L320" s="70"/>
      <c r="M320" s="70"/>
      <c r="N320" s="70"/>
      <c r="O320" s="70"/>
      <c r="P320" s="70"/>
      <c r="Q320" s="70"/>
      <c r="R320" s="70"/>
      <c r="S320" s="70"/>
      <c r="T320" s="91"/>
      <c r="U320" s="91"/>
      <c r="V320" s="70"/>
      <c r="W320" s="58"/>
      <c r="X320" s="58"/>
      <c r="Y320" s="70"/>
      <c r="Z320" s="83"/>
      <c r="AA320" s="70"/>
      <c r="AB320" s="70"/>
      <c r="AC320" s="70"/>
      <c r="AD320" s="70"/>
      <c r="AE320" s="70"/>
      <c r="AF320" s="70"/>
      <c r="AG320" s="70"/>
      <c r="AH320" s="70"/>
      <c r="AI320" s="70"/>
      <c r="AJ320" s="70"/>
      <c r="AK320" s="70"/>
      <c r="AL320" s="70"/>
      <c r="AM320" s="70"/>
      <c r="AN320" s="70"/>
      <c r="AO320" s="70"/>
      <c r="AP320" s="70"/>
      <c r="AQ320" s="70"/>
      <c r="AR320" s="70"/>
      <c r="AS320" s="70"/>
      <c r="AT320" s="70"/>
    </row>
    <row r="321" ht="15.75" customHeight="1">
      <c r="A321" s="70"/>
      <c r="B321" s="70"/>
      <c r="C321" s="70"/>
      <c r="D321" s="80"/>
      <c r="E321" s="70"/>
      <c r="F321" s="70"/>
      <c r="G321" s="70"/>
      <c r="H321" s="70"/>
      <c r="I321" s="70"/>
      <c r="J321" s="70"/>
      <c r="K321" s="70"/>
      <c r="L321" s="70"/>
      <c r="M321" s="70"/>
      <c r="N321" s="70"/>
      <c r="O321" s="70"/>
      <c r="P321" s="70"/>
      <c r="Q321" s="70"/>
      <c r="R321" s="70"/>
      <c r="S321" s="70"/>
      <c r="T321" s="91"/>
      <c r="U321" s="91"/>
      <c r="V321" s="70"/>
      <c r="W321" s="58"/>
      <c r="X321" s="58"/>
      <c r="Y321" s="70"/>
      <c r="Z321" s="83"/>
      <c r="AA321" s="70"/>
      <c r="AB321" s="70"/>
      <c r="AC321" s="70"/>
      <c r="AD321" s="70"/>
      <c r="AE321" s="70"/>
      <c r="AF321" s="70"/>
      <c r="AG321" s="70"/>
      <c r="AH321" s="70"/>
      <c r="AI321" s="70"/>
      <c r="AJ321" s="70"/>
      <c r="AK321" s="70"/>
      <c r="AL321" s="70"/>
      <c r="AM321" s="70"/>
      <c r="AN321" s="70"/>
      <c r="AO321" s="70"/>
      <c r="AP321" s="70"/>
      <c r="AQ321" s="70"/>
      <c r="AR321" s="70"/>
      <c r="AS321" s="70"/>
      <c r="AT321" s="70"/>
    </row>
    <row r="322" ht="15.75" customHeight="1">
      <c r="A322" s="70"/>
      <c r="B322" s="70"/>
      <c r="C322" s="70"/>
      <c r="D322" s="80"/>
      <c r="E322" s="70"/>
      <c r="F322" s="70"/>
      <c r="G322" s="70"/>
      <c r="H322" s="70"/>
      <c r="I322" s="70"/>
      <c r="J322" s="70"/>
      <c r="K322" s="70"/>
      <c r="L322" s="70"/>
      <c r="M322" s="70"/>
      <c r="N322" s="70"/>
      <c r="O322" s="70"/>
      <c r="P322" s="70"/>
      <c r="Q322" s="70"/>
      <c r="R322" s="70"/>
      <c r="S322" s="70"/>
      <c r="T322" s="91"/>
      <c r="U322" s="91"/>
      <c r="V322" s="70"/>
      <c r="W322" s="58"/>
      <c r="X322" s="58"/>
      <c r="Y322" s="70"/>
      <c r="Z322" s="83"/>
      <c r="AA322" s="70"/>
      <c r="AB322" s="70"/>
      <c r="AC322" s="70"/>
      <c r="AD322" s="70"/>
      <c r="AE322" s="70"/>
      <c r="AF322" s="70"/>
      <c r="AG322" s="70"/>
      <c r="AH322" s="70"/>
      <c r="AI322" s="70"/>
      <c r="AJ322" s="70"/>
      <c r="AK322" s="70"/>
      <c r="AL322" s="70"/>
      <c r="AM322" s="70"/>
      <c r="AN322" s="70"/>
      <c r="AO322" s="70"/>
      <c r="AP322" s="70"/>
      <c r="AQ322" s="70"/>
      <c r="AR322" s="70"/>
      <c r="AS322" s="70"/>
      <c r="AT322" s="70"/>
    </row>
    <row r="323" ht="15.75" customHeight="1">
      <c r="A323" s="70"/>
      <c r="B323" s="70"/>
      <c r="C323" s="70"/>
      <c r="D323" s="80"/>
      <c r="E323" s="70"/>
      <c r="F323" s="70"/>
      <c r="G323" s="70"/>
      <c r="H323" s="70"/>
      <c r="I323" s="70"/>
      <c r="J323" s="70"/>
      <c r="K323" s="70"/>
      <c r="L323" s="70"/>
      <c r="M323" s="70"/>
      <c r="N323" s="70"/>
      <c r="O323" s="70"/>
      <c r="P323" s="70"/>
      <c r="Q323" s="70"/>
      <c r="R323" s="70"/>
      <c r="S323" s="70"/>
      <c r="T323" s="91"/>
      <c r="U323" s="91"/>
      <c r="V323" s="70"/>
      <c r="W323" s="58"/>
      <c r="X323" s="58"/>
      <c r="Y323" s="70"/>
      <c r="Z323" s="83"/>
      <c r="AA323" s="70"/>
      <c r="AB323" s="70"/>
      <c r="AC323" s="70"/>
      <c r="AD323" s="70"/>
      <c r="AE323" s="70"/>
      <c r="AF323" s="70"/>
      <c r="AG323" s="70"/>
      <c r="AH323" s="70"/>
      <c r="AI323" s="70"/>
      <c r="AJ323" s="70"/>
      <c r="AK323" s="70"/>
      <c r="AL323" s="70"/>
      <c r="AM323" s="70"/>
      <c r="AN323" s="70"/>
      <c r="AO323" s="70"/>
      <c r="AP323" s="70"/>
      <c r="AQ323" s="70"/>
      <c r="AR323" s="70"/>
      <c r="AS323" s="70"/>
      <c r="AT323" s="70"/>
    </row>
    <row r="324" ht="15.75" customHeight="1">
      <c r="A324" s="70"/>
      <c r="B324" s="70"/>
      <c r="C324" s="70"/>
      <c r="D324" s="80"/>
      <c r="E324" s="70"/>
      <c r="F324" s="70"/>
      <c r="G324" s="70"/>
      <c r="H324" s="70"/>
      <c r="I324" s="70"/>
      <c r="J324" s="70"/>
      <c r="K324" s="70"/>
      <c r="L324" s="70"/>
      <c r="M324" s="70"/>
      <c r="N324" s="70"/>
      <c r="O324" s="70"/>
      <c r="P324" s="70"/>
      <c r="Q324" s="70"/>
      <c r="R324" s="70"/>
      <c r="S324" s="70"/>
      <c r="T324" s="91"/>
      <c r="U324" s="91"/>
      <c r="V324" s="70"/>
      <c r="W324" s="58"/>
      <c r="X324" s="58"/>
      <c r="Y324" s="70"/>
      <c r="Z324" s="83"/>
      <c r="AA324" s="70"/>
      <c r="AB324" s="70"/>
      <c r="AC324" s="70"/>
      <c r="AD324" s="70"/>
      <c r="AE324" s="70"/>
      <c r="AF324" s="70"/>
      <c r="AG324" s="70"/>
      <c r="AH324" s="70"/>
      <c r="AI324" s="70"/>
      <c r="AJ324" s="70"/>
      <c r="AK324" s="70"/>
      <c r="AL324" s="70"/>
      <c r="AM324" s="70"/>
      <c r="AN324" s="70"/>
      <c r="AO324" s="70"/>
      <c r="AP324" s="70"/>
      <c r="AQ324" s="70"/>
      <c r="AR324" s="70"/>
      <c r="AS324" s="70"/>
      <c r="AT324" s="70"/>
    </row>
    <row r="325" ht="15.75" customHeight="1">
      <c r="A325" s="70"/>
      <c r="B325" s="70"/>
      <c r="C325" s="70"/>
      <c r="D325" s="80"/>
      <c r="E325" s="70"/>
      <c r="F325" s="70"/>
      <c r="G325" s="70"/>
      <c r="H325" s="70"/>
      <c r="I325" s="70"/>
      <c r="J325" s="70"/>
      <c r="K325" s="70"/>
      <c r="L325" s="70"/>
      <c r="M325" s="70"/>
      <c r="N325" s="70"/>
      <c r="O325" s="70"/>
      <c r="P325" s="70"/>
      <c r="Q325" s="70"/>
      <c r="R325" s="70"/>
      <c r="S325" s="70"/>
      <c r="T325" s="91"/>
      <c r="U325" s="91"/>
      <c r="V325" s="70"/>
      <c r="W325" s="58"/>
      <c r="X325" s="58"/>
      <c r="Y325" s="70"/>
      <c r="Z325" s="83"/>
      <c r="AA325" s="70"/>
      <c r="AB325" s="70"/>
      <c r="AC325" s="70"/>
      <c r="AD325" s="70"/>
      <c r="AE325" s="70"/>
      <c r="AF325" s="70"/>
      <c r="AG325" s="70"/>
      <c r="AH325" s="70"/>
      <c r="AI325" s="70"/>
      <c r="AJ325" s="70"/>
      <c r="AK325" s="70"/>
      <c r="AL325" s="70"/>
      <c r="AM325" s="70"/>
      <c r="AN325" s="70"/>
      <c r="AO325" s="70"/>
      <c r="AP325" s="70"/>
      <c r="AQ325" s="70"/>
      <c r="AR325" s="70"/>
      <c r="AS325" s="70"/>
      <c r="AT325" s="70"/>
    </row>
    <row r="326" ht="15.75" customHeight="1">
      <c r="A326" s="70"/>
      <c r="B326" s="70"/>
      <c r="C326" s="70"/>
      <c r="D326" s="80"/>
      <c r="E326" s="70"/>
      <c r="F326" s="70"/>
      <c r="G326" s="70"/>
      <c r="H326" s="70"/>
      <c r="I326" s="70"/>
      <c r="J326" s="70"/>
      <c r="K326" s="70"/>
      <c r="L326" s="70"/>
      <c r="M326" s="70"/>
      <c r="N326" s="70"/>
      <c r="O326" s="70"/>
      <c r="P326" s="70"/>
      <c r="Q326" s="70"/>
      <c r="R326" s="70"/>
      <c r="S326" s="70"/>
      <c r="T326" s="91"/>
      <c r="U326" s="91"/>
      <c r="V326" s="70"/>
      <c r="W326" s="58"/>
      <c r="X326" s="58"/>
      <c r="Y326" s="70"/>
      <c r="Z326" s="83"/>
      <c r="AA326" s="70"/>
      <c r="AB326" s="70"/>
      <c r="AC326" s="70"/>
      <c r="AD326" s="70"/>
      <c r="AE326" s="70"/>
      <c r="AF326" s="70"/>
      <c r="AG326" s="70"/>
      <c r="AH326" s="70"/>
      <c r="AI326" s="70"/>
      <c r="AJ326" s="70"/>
      <c r="AK326" s="70"/>
      <c r="AL326" s="70"/>
      <c r="AM326" s="70"/>
      <c r="AN326" s="70"/>
      <c r="AO326" s="70"/>
      <c r="AP326" s="70"/>
      <c r="AQ326" s="70"/>
      <c r="AR326" s="70"/>
      <c r="AS326" s="70"/>
      <c r="AT326" s="70"/>
    </row>
    <row r="327" ht="15.75" customHeight="1">
      <c r="A327" s="70"/>
      <c r="B327" s="70"/>
      <c r="C327" s="70"/>
      <c r="D327" s="80"/>
      <c r="E327" s="70"/>
      <c r="F327" s="70"/>
      <c r="G327" s="70"/>
      <c r="H327" s="70"/>
      <c r="I327" s="70"/>
      <c r="J327" s="70"/>
      <c r="K327" s="70"/>
      <c r="L327" s="70"/>
      <c r="M327" s="70"/>
      <c r="N327" s="70"/>
      <c r="O327" s="70"/>
      <c r="P327" s="70"/>
      <c r="Q327" s="70"/>
      <c r="R327" s="70"/>
      <c r="S327" s="70"/>
      <c r="T327" s="91"/>
      <c r="U327" s="91"/>
      <c r="V327" s="70"/>
      <c r="W327" s="58"/>
      <c r="X327" s="58"/>
      <c r="Y327" s="70"/>
      <c r="Z327" s="83"/>
      <c r="AA327" s="70"/>
      <c r="AB327" s="70"/>
      <c r="AC327" s="70"/>
      <c r="AD327" s="70"/>
      <c r="AE327" s="70"/>
      <c r="AF327" s="70"/>
      <c r="AG327" s="70"/>
      <c r="AH327" s="70"/>
      <c r="AI327" s="70"/>
      <c r="AJ327" s="70"/>
      <c r="AK327" s="70"/>
      <c r="AL327" s="70"/>
      <c r="AM327" s="70"/>
      <c r="AN327" s="70"/>
      <c r="AO327" s="70"/>
      <c r="AP327" s="70"/>
      <c r="AQ327" s="70"/>
      <c r="AR327" s="70"/>
      <c r="AS327" s="70"/>
      <c r="AT327" s="70"/>
    </row>
    <row r="328" ht="15.75" customHeight="1">
      <c r="A328" s="70"/>
      <c r="B328" s="70"/>
      <c r="C328" s="70"/>
      <c r="D328" s="80"/>
      <c r="E328" s="70"/>
      <c r="F328" s="70"/>
      <c r="G328" s="70"/>
      <c r="H328" s="70"/>
      <c r="I328" s="70"/>
      <c r="J328" s="70"/>
      <c r="K328" s="70"/>
      <c r="L328" s="70"/>
      <c r="M328" s="70"/>
      <c r="N328" s="70"/>
      <c r="O328" s="70"/>
      <c r="P328" s="70"/>
      <c r="Q328" s="70"/>
      <c r="R328" s="70"/>
      <c r="S328" s="70"/>
      <c r="T328" s="91"/>
      <c r="U328" s="91"/>
      <c r="V328" s="70"/>
      <c r="W328" s="58"/>
      <c r="X328" s="58"/>
      <c r="Y328" s="70"/>
      <c r="Z328" s="83"/>
      <c r="AA328" s="70"/>
      <c r="AB328" s="70"/>
      <c r="AC328" s="70"/>
      <c r="AD328" s="70"/>
      <c r="AE328" s="70"/>
      <c r="AF328" s="70"/>
      <c r="AG328" s="70"/>
      <c r="AH328" s="70"/>
      <c r="AI328" s="70"/>
      <c r="AJ328" s="70"/>
      <c r="AK328" s="70"/>
      <c r="AL328" s="70"/>
      <c r="AM328" s="70"/>
      <c r="AN328" s="70"/>
      <c r="AO328" s="70"/>
      <c r="AP328" s="70"/>
      <c r="AQ328" s="70"/>
      <c r="AR328" s="70"/>
      <c r="AS328" s="70"/>
      <c r="AT328" s="70"/>
    </row>
    <row r="329" ht="15.75" customHeight="1">
      <c r="A329" s="70"/>
      <c r="B329" s="70"/>
      <c r="C329" s="70"/>
      <c r="D329" s="80"/>
      <c r="E329" s="70"/>
      <c r="F329" s="70"/>
      <c r="G329" s="70"/>
      <c r="H329" s="70"/>
      <c r="I329" s="70"/>
      <c r="J329" s="70"/>
      <c r="K329" s="70"/>
      <c r="L329" s="70"/>
      <c r="M329" s="70"/>
      <c r="N329" s="70"/>
      <c r="O329" s="70"/>
      <c r="P329" s="70"/>
      <c r="Q329" s="70"/>
      <c r="R329" s="70"/>
      <c r="S329" s="70"/>
      <c r="T329" s="91"/>
      <c r="U329" s="91"/>
      <c r="V329" s="70"/>
      <c r="W329" s="58"/>
      <c r="X329" s="58"/>
      <c r="Y329" s="70"/>
      <c r="Z329" s="83"/>
      <c r="AA329" s="70"/>
      <c r="AB329" s="70"/>
      <c r="AC329" s="70"/>
      <c r="AD329" s="70"/>
      <c r="AE329" s="70"/>
      <c r="AF329" s="70"/>
      <c r="AG329" s="70"/>
      <c r="AH329" s="70"/>
      <c r="AI329" s="70"/>
      <c r="AJ329" s="70"/>
      <c r="AK329" s="70"/>
      <c r="AL329" s="70"/>
      <c r="AM329" s="70"/>
      <c r="AN329" s="70"/>
      <c r="AO329" s="70"/>
      <c r="AP329" s="70"/>
      <c r="AQ329" s="70"/>
      <c r="AR329" s="70"/>
      <c r="AS329" s="70"/>
      <c r="AT329" s="70"/>
    </row>
    <row r="330" ht="15.75" customHeight="1">
      <c r="A330" s="70"/>
      <c r="B330" s="70"/>
      <c r="C330" s="70"/>
      <c r="D330" s="80"/>
      <c r="E330" s="70"/>
      <c r="F330" s="70"/>
      <c r="G330" s="70"/>
      <c r="H330" s="70"/>
      <c r="I330" s="70"/>
      <c r="J330" s="70"/>
      <c r="K330" s="70"/>
      <c r="L330" s="70"/>
      <c r="M330" s="70"/>
      <c r="N330" s="70"/>
      <c r="O330" s="70"/>
      <c r="P330" s="70"/>
      <c r="Q330" s="70"/>
      <c r="R330" s="70"/>
      <c r="S330" s="70"/>
      <c r="T330" s="91"/>
      <c r="U330" s="91"/>
      <c r="V330" s="70"/>
      <c r="W330" s="58"/>
      <c r="X330" s="58"/>
      <c r="Y330" s="70"/>
      <c r="Z330" s="83"/>
      <c r="AA330" s="70"/>
      <c r="AB330" s="70"/>
      <c r="AC330" s="70"/>
      <c r="AD330" s="70"/>
      <c r="AE330" s="70"/>
      <c r="AF330" s="70"/>
      <c r="AG330" s="70"/>
      <c r="AH330" s="70"/>
      <c r="AI330" s="70"/>
      <c r="AJ330" s="70"/>
      <c r="AK330" s="70"/>
      <c r="AL330" s="70"/>
      <c r="AM330" s="70"/>
      <c r="AN330" s="70"/>
      <c r="AO330" s="70"/>
      <c r="AP330" s="70"/>
      <c r="AQ330" s="70"/>
      <c r="AR330" s="70"/>
      <c r="AS330" s="70"/>
      <c r="AT330" s="70"/>
    </row>
    <row r="331" ht="15.75" customHeight="1">
      <c r="A331" s="70"/>
      <c r="B331" s="70"/>
      <c r="C331" s="70"/>
      <c r="D331" s="80"/>
      <c r="E331" s="70"/>
      <c r="F331" s="70"/>
      <c r="G331" s="70"/>
      <c r="H331" s="70"/>
      <c r="I331" s="70"/>
      <c r="J331" s="70"/>
      <c r="K331" s="70"/>
      <c r="L331" s="70"/>
      <c r="M331" s="70"/>
      <c r="N331" s="70"/>
      <c r="O331" s="70"/>
      <c r="P331" s="70"/>
      <c r="Q331" s="70"/>
      <c r="R331" s="70"/>
      <c r="S331" s="70"/>
      <c r="T331" s="91"/>
      <c r="U331" s="91"/>
      <c r="V331" s="70"/>
      <c r="W331" s="58"/>
      <c r="X331" s="58"/>
      <c r="Y331" s="70"/>
      <c r="Z331" s="83"/>
      <c r="AA331" s="70"/>
      <c r="AB331" s="70"/>
      <c r="AC331" s="70"/>
      <c r="AD331" s="70"/>
      <c r="AE331" s="70"/>
      <c r="AF331" s="70"/>
      <c r="AG331" s="70"/>
      <c r="AH331" s="70"/>
      <c r="AI331" s="70"/>
      <c r="AJ331" s="70"/>
      <c r="AK331" s="70"/>
      <c r="AL331" s="70"/>
      <c r="AM331" s="70"/>
      <c r="AN331" s="70"/>
      <c r="AO331" s="70"/>
      <c r="AP331" s="70"/>
      <c r="AQ331" s="70"/>
      <c r="AR331" s="70"/>
      <c r="AS331" s="70"/>
      <c r="AT331" s="70"/>
    </row>
    <row r="332" ht="15.75" customHeight="1">
      <c r="A332" s="70"/>
      <c r="B332" s="70"/>
      <c r="C332" s="70"/>
      <c r="D332" s="80"/>
      <c r="E332" s="70"/>
      <c r="F332" s="70"/>
      <c r="G332" s="70"/>
      <c r="H332" s="70"/>
      <c r="I332" s="70"/>
      <c r="J332" s="70"/>
      <c r="K332" s="70"/>
      <c r="L332" s="70"/>
      <c r="M332" s="70"/>
      <c r="N332" s="70"/>
      <c r="O332" s="70"/>
      <c r="P332" s="70"/>
      <c r="Q332" s="70"/>
      <c r="R332" s="70"/>
      <c r="S332" s="70"/>
      <c r="T332" s="91"/>
      <c r="U332" s="91"/>
      <c r="V332" s="70"/>
      <c r="W332" s="58"/>
      <c r="X332" s="58"/>
      <c r="Y332" s="70"/>
      <c r="Z332" s="83"/>
      <c r="AA332" s="70"/>
      <c r="AB332" s="70"/>
      <c r="AC332" s="70"/>
      <c r="AD332" s="70"/>
      <c r="AE332" s="70"/>
      <c r="AF332" s="70"/>
      <c r="AG332" s="70"/>
      <c r="AH332" s="70"/>
      <c r="AI332" s="70"/>
      <c r="AJ332" s="70"/>
      <c r="AK332" s="70"/>
      <c r="AL332" s="70"/>
      <c r="AM332" s="70"/>
      <c r="AN332" s="70"/>
      <c r="AO332" s="70"/>
      <c r="AP332" s="70"/>
      <c r="AQ332" s="70"/>
      <c r="AR332" s="70"/>
      <c r="AS332" s="70"/>
      <c r="AT332" s="70"/>
    </row>
    <row r="333" ht="15.75" customHeight="1">
      <c r="A333" s="70"/>
      <c r="B333" s="70"/>
      <c r="C333" s="70"/>
      <c r="D333" s="80"/>
      <c r="E333" s="70"/>
      <c r="F333" s="70"/>
      <c r="G333" s="70"/>
      <c r="H333" s="70"/>
      <c r="I333" s="70"/>
      <c r="J333" s="70"/>
      <c r="K333" s="70"/>
      <c r="L333" s="70"/>
      <c r="M333" s="70"/>
      <c r="N333" s="70"/>
      <c r="O333" s="70"/>
      <c r="P333" s="70"/>
      <c r="Q333" s="70"/>
      <c r="R333" s="70"/>
      <c r="S333" s="70"/>
      <c r="T333" s="91"/>
      <c r="U333" s="91"/>
      <c r="V333" s="70"/>
      <c r="W333" s="58"/>
      <c r="X333" s="58"/>
      <c r="Y333" s="70"/>
      <c r="Z333" s="83"/>
      <c r="AA333" s="70"/>
      <c r="AB333" s="70"/>
      <c r="AC333" s="70"/>
      <c r="AD333" s="70"/>
      <c r="AE333" s="70"/>
      <c r="AF333" s="70"/>
      <c r="AG333" s="70"/>
      <c r="AH333" s="70"/>
      <c r="AI333" s="70"/>
      <c r="AJ333" s="70"/>
      <c r="AK333" s="70"/>
      <c r="AL333" s="70"/>
      <c r="AM333" s="70"/>
      <c r="AN333" s="70"/>
      <c r="AO333" s="70"/>
      <c r="AP333" s="70"/>
      <c r="AQ333" s="70"/>
      <c r="AR333" s="70"/>
      <c r="AS333" s="70"/>
      <c r="AT333" s="70"/>
    </row>
    <row r="334" ht="15.75" customHeight="1">
      <c r="A334" s="70"/>
      <c r="B334" s="70"/>
      <c r="C334" s="70"/>
      <c r="D334" s="80"/>
      <c r="E334" s="70"/>
      <c r="F334" s="70"/>
      <c r="G334" s="70"/>
      <c r="H334" s="70"/>
      <c r="I334" s="70"/>
      <c r="J334" s="70"/>
      <c r="K334" s="70"/>
      <c r="L334" s="70"/>
      <c r="M334" s="70"/>
      <c r="N334" s="70"/>
      <c r="O334" s="70"/>
      <c r="P334" s="70"/>
      <c r="Q334" s="70"/>
      <c r="R334" s="70"/>
      <c r="S334" s="70"/>
      <c r="T334" s="91"/>
      <c r="U334" s="91"/>
      <c r="V334" s="70"/>
      <c r="W334" s="58"/>
      <c r="X334" s="58"/>
      <c r="Y334" s="70"/>
      <c r="Z334" s="83"/>
      <c r="AA334" s="70"/>
      <c r="AB334" s="70"/>
      <c r="AC334" s="70"/>
      <c r="AD334" s="70"/>
      <c r="AE334" s="70"/>
      <c r="AF334" s="70"/>
      <c r="AG334" s="70"/>
      <c r="AH334" s="70"/>
      <c r="AI334" s="70"/>
      <c r="AJ334" s="70"/>
      <c r="AK334" s="70"/>
      <c r="AL334" s="70"/>
      <c r="AM334" s="70"/>
      <c r="AN334" s="70"/>
      <c r="AO334" s="70"/>
      <c r="AP334" s="70"/>
      <c r="AQ334" s="70"/>
      <c r="AR334" s="70"/>
      <c r="AS334" s="70"/>
      <c r="AT334" s="70"/>
    </row>
    <row r="335" ht="15.75" customHeight="1">
      <c r="A335" s="70"/>
      <c r="B335" s="70"/>
      <c r="C335" s="70"/>
      <c r="D335" s="80"/>
      <c r="E335" s="70"/>
      <c r="F335" s="70"/>
      <c r="G335" s="70"/>
      <c r="H335" s="70"/>
      <c r="I335" s="70"/>
      <c r="J335" s="70"/>
      <c r="K335" s="70"/>
      <c r="L335" s="70"/>
      <c r="M335" s="70"/>
      <c r="N335" s="70"/>
      <c r="O335" s="70"/>
      <c r="P335" s="70"/>
      <c r="Q335" s="70"/>
      <c r="R335" s="70"/>
      <c r="S335" s="70"/>
      <c r="T335" s="91"/>
      <c r="U335" s="91"/>
      <c r="V335" s="70"/>
      <c r="W335" s="58"/>
      <c r="X335" s="58"/>
      <c r="Y335" s="70"/>
      <c r="Z335" s="83"/>
      <c r="AA335" s="70"/>
      <c r="AB335" s="70"/>
      <c r="AC335" s="70"/>
      <c r="AD335" s="70"/>
      <c r="AE335" s="70"/>
      <c r="AF335" s="70"/>
      <c r="AG335" s="70"/>
      <c r="AH335" s="70"/>
      <c r="AI335" s="70"/>
      <c r="AJ335" s="70"/>
      <c r="AK335" s="70"/>
      <c r="AL335" s="70"/>
      <c r="AM335" s="70"/>
      <c r="AN335" s="70"/>
      <c r="AO335" s="70"/>
      <c r="AP335" s="70"/>
      <c r="AQ335" s="70"/>
      <c r="AR335" s="70"/>
      <c r="AS335" s="70"/>
      <c r="AT335" s="70"/>
    </row>
    <row r="336" ht="15.75" customHeight="1">
      <c r="A336" s="70"/>
      <c r="B336" s="70"/>
      <c r="C336" s="70"/>
      <c r="D336" s="80"/>
      <c r="E336" s="70"/>
      <c r="F336" s="70"/>
      <c r="G336" s="70"/>
      <c r="H336" s="70"/>
      <c r="I336" s="70"/>
      <c r="J336" s="70"/>
      <c r="K336" s="70"/>
      <c r="L336" s="70"/>
      <c r="M336" s="70"/>
      <c r="N336" s="70"/>
      <c r="O336" s="70"/>
      <c r="P336" s="70"/>
      <c r="Q336" s="70"/>
      <c r="R336" s="70"/>
      <c r="S336" s="70"/>
      <c r="T336" s="91"/>
      <c r="U336" s="91"/>
      <c r="V336" s="70"/>
      <c r="W336" s="58"/>
      <c r="X336" s="58"/>
      <c r="Y336" s="70"/>
      <c r="Z336" s="83"/>
      <c r="AA336" s="70"/>
      <c r="AB336" s="70"/>
      <c r="AC336" s="70"/>
      <c r="AD336" s="70"/>
      <c r="AE336" s="70"/>
      <c r="AF336" s="70"/>
      <c r="AG336" s="70"/>
      <c r="AH336" s="70"/>
      <c r="AI336" s="70"/>
      <c r="AJ336" s="70"/>
      <c r="AK336" s="70"/>
      <c r="AL336" s="70"/>
      <c r="AM336" s="70"/>
      <c r="AN336" s="70"/>
      <c r="AO336" s="70"/>
      <c r="AP336" s="70"/>
      <c r="AQ336" s="70"/>
      <c r="AR336" s="70"/>
      <c r="AS336" s="70"/>
      <c r="AT336" s="70"/>
    </row>
    <row r="337" ht="15.75" customHeight="1">
      <c r="A337" s="70"/>
      <c r="B337" s="70"/>
      <c r="C337" s="70"/>
      <c r="D337" s="80"/>
      <c r="E337" s="70"/>
      <c r="F337" s="70"/>
      <c r="G337" s="70"/>
      <c r="H337" s="70"/>
      <c r="I337" s="70"/>
      <c r="J337" s="70"/>
      <c r="K337" s="70"/>
      <c r="L337" s="70"/>
      <c r="M337" s="70"/>
      <c r="N337" s="70"/>
      <c r="O337" s="70"/>
      <c r="P337" s="70"/>
      <c r="Q337" s="70"/>
      <c r="R337" s="70"/>
      <c r="S337" s="70"/>
      <c r="T337" s="91"/>
      <c r="U337" s="91"/>
      <c r="V337" s="70"/>
      <c r="W337" s="58"/>
      <c r="X337" s="58"/>
      <c r="Y337" s="70"/>
      <c r="Z337" s="83"/>
      <c r="AA337" s="70"/>
      <c r="AB337" s="70"/>
      <c r="AC337" s="70"/>
      <c r="AD337" s="70"/>
      <c r="AE337" s="70"/>
      <c r="AF337" s="70"/>
      <c r="AG337" s="70"/>
      <c r="AH337" s="70"/>
      <c r="AI337" s="70"/>
      <c r="AJ337" s="70"/>
      <c r="AK337" s="70"/>
      <c r="AL337" s="70"/>
      <c r="AM337" s="70"/>
      <c r="AN337" s="70"/>
      <c r="AO337" s="70"/>
      <c r="AP337" s="70"/>
      <c r="AQ337" s="70"/>
      <c r="AR337" s="70"/>
      <c r="AS337" s="70"/>
      <c r="AT337" s="70"/>
    </row>
    <row r="338" ht="15.75" customHeight="1">
      <c r="A338" s="70"/>
      <c r="B338" s="70"/>
      <c r="C338" s="70"/>
      <c r="D338" s="80"/>
      <c r="E338" s="70"/>
      <c r="F338" s="70"/>
      <c r="G338" s="70"/>
      <c r="H338" s="70"/>
      <c r="I338" s="70"/>
      <c r="J338" s="70"/>
      <c r="K338" s="70"/>
      <c r="L338" s="70"/>
      <c r="M338" s="70"/>
      <c r="N338" s="70"/>
      <c r="O338" s="70"/>
      <c r="P338" s="70"/>
      <c r="Q338" s="70"/>
      <c r="R338" s="70"/>
      <c r="S338" s="70"/>
      <c r="T338" s="91"/>
      <c r="U338" s="91"/>
      <c r="V338" s="70"/>
      <c r="W338" s="58"/>
      <c r="X338" s="58"/>
      <c r="Y338" s="70"/>
      <c r="Z338" s="83"/>
      <c r="AA338" s="70"/>
      <c r="AB338" s="70"/>
      <c r="AC338" s="70"/>
      <c r="AD338" s="70"/>
      <c r="AE338" s="70"/>
      <c r="AF338" s="70"/>
      <c r="AG338" s="70"/>
      <c r="AH338" s="70"/>
      <c r="AI338" s="70"/>
      <c r="AJ338" s="70"/>
      <c r="AK338" s="70"/>
      <c r="AL338" s="70"/>
      <c r="AM338" s="70"/>
      <c r="AN338" s="70"/>
      <c r="AO338" s="70"/>
      <c r="AP338" s="70"/>
      <c r="AQ338" s="70"/>
      <c r="AR338" s="70"/>
      <c r="AS338" s="70"/>
      <c r="AT338" s="70"/>
    </row>
    <row r="339" ht="15.75" customHeight="1">
      <c r="A339" s="70"/>
      <c r="B339" s="70"/>
      <c r="C339" s="70"/>
      <c r="D339" s="80"/>
      <c r="E339" s="70"/>
      <c r="F339" s="70"/>
      <c r="G339" s="70"/>
      <c r="H339" s="70"/>
      <c r="I339" s="70"/>
      <c r="J339" s="70"/>
      <c r="K339" s="70"/>
      <c r="L339" s="70"/>
      <c r="M339" s="70"/>
      <c r="N339" s="70"/>
      <c r="O339" s="70"/>
      <c r="P339" s="70"/>
      <c r="Q339" s="70"/>
      <c r="R339" s="70"/>
      <c r="S339" s="70"/>
      <c r="T339" s="91"/>
      <c r="U339" s="91"/>
      <c r="V339" s="70"/>
      <c r="W339" s="58"/>
      <c r="X339" s="58"/>
      <c r="Y339" s="70"/>
      <c r="Z339" s="83"/>
      <c r="AA339" s="70"/>
      <c r="AB339" s="70"/>
      <c r="AC339" s="70"/>
      <c r="AD339" s="70"/>
      <c r="AE339" s="70"/>
      <c r="AF339" s="70"/>
      <c r="AG339" s="70"/>
      <c r="AH339" s="70"/>
      <c r="AI339" s="70"/>
      <c r="AJ339" s="70"/>
      <c r="AK339" s="70"/>
      <c r="AL339" s="70"/>
      <c r="AM339" s="70"/>
      <c r="AN339" s="70"/>
      <c r="AO339" s="70"/>
      <c r="AP339" s="70"/>
      <c r="AQ339" s="70"/>
      <c r="AR339" s="70"/>
      <c r="AS339" s="70"/>
      <c r="AT339" s="70"/>
    </row>
    <row r="340" ht="15.75" customHeight="1">
      <c r="A340" s="70"/>
      <c r="B340" s="70"/>
      <c r="C340" s="70"/>
      <c r="D340" s="80"/>
      <c r="E340" s="70"/>
      <c r="F340" s="70"/>
      <c r="G340" s="70"/>
      <c r="H340" s="70"/>
      <c r="I340" s="70"/>
      <c r="J340" s="70"/>
      <c r="K340" s="70"/>
      <c r="L340" s="70"/>
      <c r="M340" s="70"/>
      <c r="N340" s="70"/>
      <c r="O340" s="70"/>
      <c r="P340" s="70"/>
      <c r="Q340" s="70"/>
      <c r="R340" s="70"/>
      <c r="S340" s="70"/>
      <c r="T340" s="91"/>
      <c r="U340" s="91"/>
      <c r="V340" s="70"/>
      <c r="W340" s="58"/>
      <c r="X340" s="58"/>
      <c r="Y340" s="70"/>
      <c r="Z340" s="83"/>
      <c r="AA340" s="70"/>
      <c r="AB340" s="70"/>
      <c r="AC340" s="70"/>
      <c r="AD340" s="70"/>
      <c r="AE340" s="70"/>
      <c r="AF340" s="70"/>
      <c r="AG340" s="70"/>
      <c r="AH340" s="70"/>
      <c r="AI340" s="70"/>
      <c r="AJ340" s="70"/>
      <c r="AK340" s="70"/>
      <c r="AL340" s="70"/>
      <c r="AM340" s="70"/>
      <c r="AN340" s="70"/>
      <c r="AO340" s="70"/>
      <c r="AP340" s="70"/>
      <c r="AQ340" s="70"/>
      <c r="AR340" s="70"/>
      <c r="AS340" s="70"/>
      <c r="AT340" s="70"/>
    </row>
    <row r="341" ht="15.75" customHeight="1">
      <c r="A341" s="70"/>
      <c r="B341" s="70"/>
      <c r="C341" s="70"/>
      <c r="D341" s="80"/>
      <c r="E341" s="70"/>
      <c r="F341" s="70"/>
      <c r="G341" s="70"/>
      <c r="H341" s="70"/>
      <c r="I341" s="70"/>
      <c r="J341" s="70"/>
      <c r="K341" s="70"/>
      <c r="L341" s="70"/>
      <c r="M341" s="70"/>
      <c r="N341" s="70"/>
      <c r="O341" s="70"/>
      <c r="P341" s="70"/>
      <c r="Q341" s="70"/>
      <c r="R341" s="70"/>
      <c r="S341" s="70"/>
      <c r="T341" s="91"/>
      <c r="U341" s="91"/>
      <c r="V341" s="70"/>
      <c r="W341" s="58"/>
      <c r="X341" s="58"/>
      <c r="Y341" s="70"/>
      <c r="Z341" s="83"/>
      <c r="AA341" s="70"/>
      <c r="AB341" s="70"/>
      <c r="AC341" s="70"/>
      <c r="AD341" s="70"/>
      <c r="AE341" s="70"/>
      <c r="AF341" s="70"/>
      <c r="AG341" s="70"/>
      <c r="AH341" s="70"/>
      <c r="AI341" s="70"/>
      <c r="AJ341" s="70"/>
      <c r="AK341" s="70"/>
      <c r="AL341" s="70"/>
      <c r="AM341" s="70"/>
      <c r="AN341" s="70"/>
      <c r="AO341" s="70"/>
      <c r="AP341" s="70"/>
      <c r="AQ341" s="70"/>
      <c r="AR341" s="70"/>
      <c r="AS341" s="70"/>
      <c r="AT341" s="70"/>
    </row>
    <row r="342" ht="15.75" customHeight="1">
      <c r="A342" s="70"/>
      <c r="B342" s="70"/>
      <c r="C342" s="70"/>
      <c r="D342" s="80"/>
      <c r="E342" s="70"/>
      <c r="F342" s="70"/>
      <c r="G342" s="70"/>
      <c r="H342" s="70"/>
      <c r="I342" s="70"/>
      <c r="J342" s="70"/>
      <c r="K342" s="70"/>
      <c r="L342" s="70"/>
      <c r="M342" s="70"/>
      <c r="N342" s="70"/>
      <c r="O342" s="70"/>
      <c r="P342" s="70"/>
      <c r="Q342" s="70"/>
      <c r="R342" s="70"/>
      <c r="S342" s="70"/>
      <c r="T342" s="91"/>
      <c r="U342" s="91"/>
      <c r="V342" s="70"/>
      <c r="W342" s="58"/>
      <c r="X342" s="58"/>
      <c r="Y342" s="70"/>
      <c r="Z342" s="83"/>
      <c r="AA342" s="70"/>
      <c r="AB342" s="70"/>
      <c r="AC342" s="70"/>
      <c r="AD342" s="70"/>
      <c r="AE342" s="70"/>
      <c r="AF342" s="70"/>
      <c r="AG342" s="70"/>
      <c r="AH342" s="70"/>
      <c r="AI342" s="70"/>
      <c r="AJ342" s="70"/>
      <c r="AK342" s="70"/>
      <c r="AL342" s="70"/>
      <c r="AM342" s="70"/>
      <c r="AN342" s="70"/>
      <c r="AO342" s="70"/>
      <c r="AP342" s="70"/>
      <c r="AQ342" s="70"/>
      <c r="AR342" s="70"/>
      <c r="AS342" s="70"/>
      <c r="AT342" s="70"/>
    </row>
    <row r="343" ht="15.75" customHeight="1">
      <c r="A343" s="70"/>
      <c r="B343" s="70"/>
      <c r="C343" s="70"/>
      <c r="D343" s="80"/>
      <c r="E343" s="70"/>
      <c r="F343" s="70"/>
      <c r="G343" s="70"/>
      <c r="H343" s="70"/>
      <c r="I343" s="70"/>
      <c r="J343" s="70"/>
      <c r="K343" s="70"/>
      <c r="L343" s="70"/>
      <c r="M343" s="70"/>
      <c r="N343" s="70"/>
      <c r="O343" s="70"/>
      <c r="P343" s="70"/>
      <c r="Q343" s="70"/>
      <c r="R343" s="70"/>
      <c r="S343" s="70"/>
      <c r="T343" s="91"/>
      <c r="U343" s="91"/>
      <c r="V343" s="70"/>
      <c r="W343" s="58"/>
      <c r="X343" s="58"/>
      <c r="Y343" s="70"/>
      <c r="Z343" s="83"/>
      <c r="AA343" s="70"/>
      <c r="AB343" s="70"/>
      <c r="AC343" s="70"/>
      <c r="AD343" s="70"/>
      <c r="AE343" s="70"/>
      <c r="AF343" s="70"/>
      <c r="AG343" s="70"/>
      <c r="AH343" s="70"/>
      <c r="AI343" s="70"/>
      <c r="AJ343" s="70"/>
      <c r="AK343" s="70"/>
      <c r="AL343" s="70"/>
      <c r="AM343" s="70"/>
      <c r="AN343" s="70"/>
      <c r="AO343" s="70"/>
      <c r="AP343" s="70"/>
      <c r="AQ343" s="70"/>
      <c r="AR343" s="70"/>
      <c r="AS343" s="70"/>
      <c r="AT343" s="70"/>
    </row>
    <row r="344" ht="15.75" customHeight="1">
      <c r="A344" s="70"/>
      <c r="B344" s="70"/>
      <c r="C344" s="70"/>
      <c r="D344" s="80"/>
      <c r="E344" s="70"/>
      <c r="F344" s="70"/>
      <c r="G344" s="70"/>
      <c r="H344" s="70"/>
      <c r="I344" s="70"/>
      <c r="J344" s="70"/>
      <c r="K344" s="70"/>
      <c r="L344" s="70"/>
      <c r="M344" s="70"/>
      <c r="N344" s="70"/>
      <c r="O344" s="70"/>
      <c r="P344" s="70"/>
      <c r="Q344" s="70"/>
      <c r="R344" s="70"/>
      <c r="S344" s="70"/>
      <c r="T344" s="91"/>
      <c r="U344" s="91"/>
      <c r="V344" s="70"/>
      <c r="W344" s="58"/>
      <c r="X344" s="58"/>
      <c r="Y344" s="70"/>
      <c r="Z344" s="83"/>
      <c r="AA344" s="70"/>
      <c r="AB344" s="70"/>
      <c r="AC344" s="70"/>
      <c r="AD344" s="70"/>
      <c r="AE344" s="70"/>
      <c r="AF344" s="70"/>
      <c r="AG344" s="70"/>
      <c r="AH344" s="70"/>
      <c r="AI344" s="70"/>
      <c r="AJ344" s="70"/>
      <c r="AK344" s="70"/>
      <c r="AL344" s="70"/>
      <c r="AM344" s="70"/>
      <c r="AN344" s="70"/>
      <c r="AO344" s="70"/>
      <c r="AP344" s="70"/>
      <c r="AQ344" s="70"/>
      <c r="AR344" s="70"/>
      <c r="AS344" s="70"/>
      <c r="AT344" s="70"/>
    </row>
    <row r="345" ht="15.75" customHeight="1">
      <c r="A345" s="70"/>
      <c r="B345" s="70"/>
      <c r="C345" s="70"/>
      <c r="D345" s="80"/>
      <c r="E345" s="70"/>
      <c r="F345" s="70"/>
      <c r="G345" s="70"/>
      <c r="H345" s="70"/>
      <c r="I345" s="70"/>
      <c r="J345" s="70"/>
      <c r="K345" s="70"/>
      <c r="L345" s="70"/>
      <c r="M345" s="70"/>
      <c r="N345" s="70"/>
      <c r="O345" s="70"/>
      <c r="P345" s="70"/>
      <c r="Q345" s="70"/>
      <c r="R345" s="70"/>
      <c r="S345" s="70"/>
      <c r="T345" s="91"/>
      <c r="U345" s="91"/>
      <c r="V345" s="70"/>
      <c r="W345" s="58"/>
      <c r="X345" s="58"/>
      <c r="Y345" s="70"/>
      <c r="Z345" s="83"/>
      <c r="AA345" s="70"/>
      <c r="AB345" s="70"/>
      <c r="AC345" s="70"/>
      <c r="AD345" s="70"/>
      <c r="AE345" s="70"/>
      <c r="AF345" s="70"/>
      <c r="AG345" s="70"/>
      <c r="AH345" s="70"/>
      <c r="AI345" s="70"/>
      <c r="AJ345" s="70"/>
      <c r="AK345" s="70"/>
      <c r="AL345" s="70"/>
      <c r="AM345" s="70"/>
      <c r="AN345" s="70"/>
      <c r="AO345" s="70"/>
      <c r="AP345" s="70"/>
      <c r="AQ345" s="70"/>
      <c r="AR345" s="70"/>
      <c r="AS345" s="70"/>
      <c r="AT345" s="70"/>
    </row>
    <row r="346" ht="15.75" customHeight="1">
      <c r="A346" s="70"/>
      <c r="B346" s="70"/>
      <c r="C346" s="70"/>
      <c r="D346" s="80"/>
      <c r="E346" s="70"/>
      <c r="F346" s="70"/>
      <c r="G346" s="70"/>
      <c r="H346" s="70"/>
      <c r="I346" s="70"/>
      <c r="J346" s="70"/>
      <c r="K346" s="70"/>
      <c r="L346" s="70"/>
      <c r="M346" s="70"/>
      <c r="N346" s="70"/>
      <c r="O346" s="70"/>
      <c r="P346" s="70"/>
      <c r="Q346" s="70"/>
      <c r="R346" s="70"/>
      <c r="S346" s="70"/>
      <c r="T346" s="91"/>
      <c r="U346" s="91"/>
      <c r="V346" s="70"/>
      <c r="W346" s="58"/>
      <c r="X346" s="58"/>
      <c r="Y346" s="70"/>
      <c r="Z346" s="83"/>
      <c r="AA346" s="70"/>
      <c r="AB346" s="70"/>
      <c r="AC346" s="70"/>
      <c r="AD346" s="70"/>
      <c r="AE346" s="70"/>
      <c r="AF346" s="70"/>
      <c r="AG346" s="70"/>
      <c r="AH346" s="70"/>
      <c r="AI346" s="70"/>
      <c r="AJ346" s="70"/>
      <c r="AK346" s="70"/>
      <c r="AL346" s="70"/>
      <c r="AM346" s="70"/>
      <c r="AN346" s="70"/>
      <c r="AO346" s="70"/>
      <c r="AP346" s="70"/>
      <c r="AQ346" s="70"/>
      <c r="AR346" s="70"/>
      <c r="AS346" s="70"/>
      <c r="AT346" s="70"/>
    </row>
    <row r="347" ht="15.75" customHeight="1">
      <c r="A347" s="70"/>
      <c r="B347" s="70"/>
      <c r="C347" s="70"/>
      <c r="D347" s="80"/>
      <c r="E347" s="70"/>
      <c r="F347" s="70"/>
      <c r="G347" s="70"/>
      <c r="H347" s="70"/>
      <c r="I347" s="70"/>
      <c r="J347" s="70"/>
      <c r="K347" s="70"/>
      <c r="L347" s="70"/>
      <c r="M347" s="70"/>
      <c r="N347" s="70"/>
      <c r="O347" s="70"/>
      <c r="P347" s="70"/>
      <c r="Q347" s="70"/>
      <c r="R347" s="70"/>
      <c r="S347" s="70"/>
      <c r="T347" s="91"/>
      <c r="U347" s="91"/>
      <c r="V347" s="70"/>
      <c r="W347" s="58"/>
      <c r="X347" s="58"/>
      <c r="Y347" s="70"/>
      <c r="Z347" s="83"/>
      <c r="AA347" s="70"/>
      <c r="AB347" s="70"/>
      <c r="AC347" s="70"/>
      <c r="AD347" s="70"/>
      <c r="AE347" s="70"/>
      <c r="AF347" s="70"/>
      <c r="AG347" s="70"/>
      <c r="AH347" s="70"/>
      <c r="AI347" s="70"/>
      <c r="AJ347" s="70"/>
      <c r="AK347" s="70"/>
      <c r="AL347" s="70"/>
      <c r="AM347" s="70"/>
      <c r="AN347" s="70"/>
      <c r="AO347" s="70"/>
      <c r="AP347" s="70"/>
      <c r="AQ347" s="70"/>
      <c r="AR347" s="70"/>
      <c r="AS347" s="70"/>
      <c r="AT347" s="70"/>
    </row>
    <row r="348" ht="15.75" customHeight="1">
      <c r="A348" s="70"/>
      <c r="B348" s="70"/>
      <c r="C348" s="70"/>
      <c r="D348" s="80"/>
      <c r="E348" s="70"/>
      <c r="F348" s="70"/>
      <c r="G348" s="70"/>
      <c r="H348" s="70"/>
      <c r="I348" s="70"/>
      <c r="J348" s="70"/>
      <c r="K348" s="70"/>
      <c r="L348" s="70"/>
      <c r="M348" s="70"/>
      <c r="N348" s="70"/>
      <c r="O348" s="70"/>
      <c r="P348" s="70"/>
      <c r="Q348" s="70"/>
      <c r="R348" s="70"/>
      <c r="S348" s="70"/>
      <c r="T348" s="91"/>
      <c r="U348" s="91"/>
      <c r="V348" s="70"/>
      <c r="W348" s="58"/>
      <c r="X348" s="58"/>
      <c r="Y348" s="70"/>
      <c r="Z348" s="83"/>
      <c r="AA348" s="70"/>
      <c r="AB348" s="70"/>
      <c r="AC348" s="70"/>
      <c r="AD348" s="70"/>
      <c r="AE348" s="70"/>
      <c r="AF348" s="70"/>
      <c r="AG348" s="70"/>
      <c r="AH348" s="70"/>
      <c r="AI348" s="70"/>
      <c r="AJ348" s="70"/>
      <c r="AK348" s="70"/>
      <c r="AL348" s="70"/>
      <c r="AM348" s="70"/>
      <c r="AN348" s="70"/>
      <c r="AO348" s="70"/>
      <c r="AP348" s="70"/>
      <c r="AQ348" s="70"/>
      <c r="AR348" s="70"/>
      <c r="AS348" s="70"/>
      <c r="AT348" s="70"/>
    </row>
    <row r="349" ht="15.75" customHeight="1">
      <c r="A349" s="70"/>
      <c r="B349" s="70"/>
      <c r="C349" s="70"/>
      <c r="D349" s="80"/>
      <c r="E349" s="70"/>
      <c r="F349" s="70"/>
      <c r="G349" s="70"/>
      <c r="H349" s="70"/>
      <c r="I349" s="70"/>
      <c r="J349" s="70"/>
      <c r="K349" s="70"/>
      <c r="L349" s="70"/>
      <c r="M349" s="70"/>
      <c r="N349" s="70"/>
      <c r="O349" s="70"/>
      <c r="P349" s="70"/>
      <c r="Q349" s="70"/>
      <c r="R349" s="70"/>
      <c r="S349" s="70"/>
      <c r="T349" s="91"/>
      <c r="U349" s="91"/>
      <c r="V349" s="70"/>
      <c r="W349" s="58"/>
      <c r="X349" s="58"/>
      <c r="Y349" s="70"/>
      <c r="Z349" s="83"/>
      <c r="AA349" s="70"/>
      <c r="AB349" s="70"/>
      <c r="AC349" s="70"/>
      <c r="AD349" s="70"/>
      <c r="AE349" s="70"/>
      <c r="AF349" s="70"/>
      <c r="AG349" s="70"/>
      <c r="AH349" s="70"/>
      <c r="AI349" s="70"/>
      <c r="AJ349" s="70"/>
      <c r="AK349" s="70"/>
      <c r="AL349" s="70"/>
      <c r="AM349" s="70"/>
      <c r="AN349" s="70"/>
      <c r="AO349" s="70"/>
      <c r="AP349" s="70"/>
      <c r="AQ349" s="70"/>
      <c r="AR349" s="70"/>
      <c r="AS349" s="70"/>
      <c r="AT349" s="70"/>
    </row>
    <row r="350" ht="15.75" customHeight="1">
      <c r="A350" s="70"/>
      <c r="B350" s="70"/>
      <c r="C350" s="70"/>
      <c r="D350" s="80"/>
      <c r="E350" s="70"/>
      <c r="F350" s="70"/>
      <c r="G350" s="70"/>
      <c r="H350" s="70"/>
      <c r="I350" s="70"/>
      <c r="J350" s="70"/>
      <c r="K350" s="70"/>
      <c r="L350" s="70"/>
      <c r="M350" s="70"/>
      <c r="N350" s="70"/>
      <c r="O350" s="70"/>
      <c r="P350" s="70"/>
      <c r="Q350" s="70"/>
      <c r="R350" s="70"/>
      <c r="S350" s="70"/>
      <c r="T350" s="91"/>
      <c r="U350" s="91"/>
      <c r="V350" s="70"/>
      <c r="W350" s="58"/>
      <c r="X350" s="58"/>
      <c r="Y350" s="70"/>
      <c r="Z350" s="83"/>
      <c r="AA350" s="70"/>
      <c r="AB350" s="70"/>
      <c r="AC350" s="70"/>
      <c r="AD350" s="70"/>
      <c r="AE350" s="70"/>
      <c r="AF350" s="70"/>
      <c r="AG350" s="70"/>
      <c r="AH350" s="70"/>
      <c r="AI350" s="70"/>
      <c r="AJ350" s="70"/>
      <c r="AK350" s="70"/>
      <c r="AL350" s="70"/>
      <c r="AM350" s="70"/>
      <c r="AN350" s="70"/>
      <c r="AO350" s="70"/>
      <c r="AP350" s="70"/>
      <c r="AQ350" s="70"/>
      <c r="AR350" s="70"/>
      <c r="AS350" s="70"/>
      <c r="AT350" s="70"/>
    </row>
    <row r="351" ht="15.75" customHeight="1">
      <c r="A351" s="70"/>
      <c r="B351" s="70"/>
      <c r="C351" s="70"/>
      <c r="D351" s="80"/>
      <c r="E351" s="70"/>
      <c r="F351" s="70"/>
      <c r="G351" s="70"/>
      <c r="H351" s="70"/>
      <c r="I351" s="70"/>
      <c r="J351" s="70"/>
      <c r="K351" s="70"/>
      <c r="L351" s="70"/>
      <c r="M351" s="70"/>
      <c r="N351" s="70"/>
      <c r="O351" s="70"/>
      <c r="P351" s="70"/>
      <c r="Q351" s="70"/>
      <c r="R351" s="70"/>
      <c r="S351" s="70"/>
      <c r="T351" s="91"/>
      <c r="U351" s="91"/>
      <c r="V351" s="70"/>
      <c r="W351" s="58"/>
      <c r="X351" s="58"/>
      <c r="Y351" s="70"/>
      <c r="Z351" s="83"/>
      <c r="AA351" s="70"/>
      <c r="AB351" s="70"/>
      <c r="AC351" s="70"/>
      <c r="AD351" s="70"/>
      <c r="AE351" s="70"/>
      <c r="AF351" s="70"/>
      <c r="AG351" s="70"/>
      <c r="AH351" s="70"/>
      <c r="AI351" s="70"/>
      <c r="AJ351" s="70"/>
      <c r="AK351" s="70"/>
      <c r="AL351" s="70"/>
      <c r="AM351" s="70"/>
      <c r="AN351" s="70"/>
      <c r="AO351" s="70"/>
      <c r="AP351" s="70"/>
      <c r="AQ351" s="70"/>
      <c r="AR351" s="70"/>
      <c r="AS351" s="70"/>
      <c r="AT351" s="70"/>
    </row>
    <row r="352" ht="15.75" customHeight="1">
      <c r="A352" s="70"/>
      <c r="B352" s="70"/>
      <c r="C352" s="70"/>
      <c r="D352" s="80"/>
      <c r="E352" s="70"/>
      <c r="F352" s="70"/>
      <c r="G352" s="70"/>
      <c r="H352" s="70"/>
      <c r="I352" s="70"/>
      <c r="J352" s="70"/>
      <c r="K352" s="70"/>
      <c r="L352" s="70"/>
      <c r="M352" s="70"/>
      <c r="N352" s="70"/>
      <c r="O352" s="70"/>
      <c r="P352" s="70"/>
      <c r="Q352" s="70"/>
      <c r="R352" s="70"/>
      <c r="S352" s="70"/>
      <c r="T352" s="91"/>
      <c r="U352" s="91"/>
      <c r="V352" s="70"/>
      <c r="W352" s="58"/>
      <c r="X352" s="58"/>
      <c r="Y352" s="70"/>
      <c r="Z352" s="83"/>
      <c r="AA352" s="70"/>
      <c r="AB352" s="70"/>
      <c r="AC352" s="70"/>
      <c r="AD352" s="70"/>
      <c r="AE352" s="70"/>
      <c r="AF352" s="70"/>
      <c r="AG352" s="70"/>
      <c r="AH352" s="70"/>
      <c r="AI352" s="70"/>
      <c r="AJ352" s="70"/>
      <c r="AK352" s="70"/>
      <c r="AL352" s="70"/>
      <c r="AM352" s="70"/>
      <c r="AN352" s="70"/>
      <c r="AO352" s="70"/>
      <c r="AP352" s="70"/>
      <c r="AQ352" s="70"/>
      <c r="AR352" s="70"/>
      <c r="AS352" s="70"/>
      <c r="AT352" s="70"/>
    </row>
    <row r="353" ht="15.75" customHeight="1">
      <c r="A353" s="70"/>
      <c r="B353" s="70"/>
      <c r="C353" s="70"/>
      <c r="D353" s="80"/>
      <c r="E353" s="70"/>
      <c r="F353" s="70"/>
      <c r="G353" s="70"/>
      <c r="H353" s="70"/>
      <c r="I353" s="70"/>
      <c r="J353" s="70"/>
      <c r="K353" s="70"/>
      <c r="L353" s="70"/>
      <c r="M353" s="70"/>
      <c r="N353" s="70"/>
      <c r="O353" s="70"/>
      <c r="P353" s="70"/>
      <c r="Q353" s="70"/>
      <c r="R353" s="70"/>
      <c r="S353" s="70"/>
      <c r="T353" s="91"/>
      <c r="U353" s="91"/>
      <c r="V353" s="70"/>
      <c r="W353" s="58"/>
      <c r="X353" s="58"/>
      <c r="Y353" s="70"/>
      <c r="Z353" s="83"/>
      <c r="AA353" s="70"/>
      <c r="AB353" s="70"/>
      <c r="AC353" s="70"/>
      <c r="AD353" s="70"/>
      <c r="AE353" s="70"/>
      <c r="AF353" s="70"/>
      <c r="AG353" s="70"/>
      <c r="AH353" s="70"/>
      <c r="AI353" s="70"/>
      <c r="AJ353" s="70"/>
      <c r="AK353" s="70"/>
      <c r="AL353" s="70"/>
      <c r="AM353" s="70"/>
      <c r="AN353" s="70"/>
      <c r="AO353" s="70"/>
      <c r="AP353" s="70"/>
      <c r="AQ353" s="70"/>
      <c r="AR353" s="70"/>
      <c r="AS353" s="70"/>
      <c r="AT353" s="70"/>
    </row>
    <row r="354" ht="15.75" customHeight="1">
      <c r="A354" s="70"/>
      <c r="B354" s="70"/>
      <c r="C354" s="70"/>
      <c r="D354" s="80"/>
      <c r="E354" s="70"/>
      <c r="F354" s="70"/>
      <c r="G354" s="70"/>
      <c r="H354" s="70"/>
      <c r="I354" s="70"/>
      <c r="J354" s="70"/>
      <c r="K354" s="70"/>
      <c r="L354" s="70"/>
      <c r="M354" s="70"/>
      <c r="N354" s="70"/>
      <c r="O354" s="70"/>
      <c r="P354" s="70"/>
      <c r="Q354" s="70"/>
      <c r="R354" s="70"/>
      <c r="S354" s="70"/>
      <c r="T354" s="91"/>
      <c r="U354" s="91"/>
      <c r="V354" s="70"/>
      <c r="W354" s="58"/>
      <c r="X354" s="58"/>
      <c r="Y354" s="70"/>
      <c r="Z354" s="83"/>
      <c r="AA354" s="70"/>
      <c r="AB354" s="70"/>
      <c r="AC354" s="70"/>
      <c r="AD354" s="70"/>
      <c r="AE354" s="70"/>
      <c r="AF354" s="70"/>
      <c r="AG354" s="70"/>
      <c r="AH354" s="70"/>
      <c r="AI354" s="70"/>
      <c r="AJ354" s="70"/>
      <c r="AK354" s="70"/>
      <c r="AL354" s="70"/>
      <c r="AM354" s="70"/>
      <c r="AN354" s="70"/>
      <c r="AO354" s="70"/>
      <c r="AP354" s="70"/>
      <c r="AQ354" s="70"/>
      <c r="AR354" s="70"/>
      <c r="AS354" s="70"/>
      <c r="AT354" s="70"/>
    </row>
    <row r="355" ht="15.75" customHeight="1">
      <c r="A355" s="70"/>
      <c r="B355" s="70"/>
      <c r="C355" s="70"/>
      <c r="D355" s="80"/>
      <c r="E355" s="70"/>
      <c r="F355" s="70"/>
      <c r="G355" s="70"/>
      <c r="H355" s="70"/>
      <c r="I355" s="70"/>
      <c r="J355" s="70"/>
      <c r="K355" s="70"/>
      <c r="L355" s="70"/>
      <c r="M355" s="70"/>
      <c r="N355" s="70"/>
      <c r="O355" s="70"/>
      <c r="P355" s="70"/>
      <c r="Q355" s="70"/>
      <c r="R355" s="70"/>
      <c r="S355" s="70"/>
      <c r="T355" s="91"/>
      <c r="U355" s="91"/>
      <c r="V355" s="70"/>
      <c r="W355" s="58"/>
      <c r="X355" s="58"/>
      <c r="Y355" s="70"/>
      <c r="Z355" s="83"/>
      <c r="AA355" s="70"/>
      <c r="AB355" s="70"/>
      <c r="AC355" s="70"/>
      <c r="AD355" s="70"/>
      <c r="AE355" s="70"/>
      <c r="AF355" s="70"/>
      <c r="AG355" s="70"/>
      <c r="AH355" s="70"/>
      <c r="AI355" s="70"/>
      <c r="AJ355" s="70"/>
      <c r="AK355" s="70"/>
      <c r="AL355" s="70"/>
      <c r="AM355" s="70"/>
      <c r="AN355" s="70"/>
      <c r="AO355" s="70"/>
      <c r="AP355" s="70"/>
      <c r="AQ355" s="70"/>
      <c r="AR355" s="70"/>
      <c r="AS355" s="70"/>
      <c r="AT355" s="70"/>
    </row>
    <row r="356" ht="15.75" customHeight="1">
      <c r="A356" s="70"/>
      <c r="B356" s="70"/>
      <c r="C356" s="70"/>
      <c r="D356" s="80"/>
      <c r="E356" s="70"/>
      <c r="F356" s="70"/>
      <c r="G356" s="70"/>
      <c r="H356" s="70"/>
      <c r="I356" s="70"/>
      <c r="J356" s="70"/>
      <c r="K356" s="70"/>
      <c r="L356" s="70"/>
      <c r="M356" s="70"/>
      <c r="N356" s="70"/>
      <c r="O356" s="70"/>
      <c r="P356" s="70"/>
      <c r="Q356" s="70"/>
      <c r="R356" s="70"/>
      <c r="S356" s="70"/>
      <c r="T356" s="91"/>
      <c r="U356" s="91"/>
      <c r="V356" s="70"/>
      <c r="W356" s="58"/>
      <c r="X356" s="58"/>
      <c r="Y356" s="70"/>
      <c r="Z356" s="83"/>
      <c r="AA356" s="70"/>
      <c r="AB356" s="70"/>
      <c r="AC356" s="70"/>
      <c r="AD356" s="70"/>
      <c r="AE356" s="70"/>
      <c r="AF356" s="70"/>
      <c r="AG356" s="70"/>
      <c r="AH356" s="70"/>
      <c r="AI356" s="70"/>
      <c r="AJ356" s="70"/>
      <c r="AK356" s="70"/>
      <c r="AL356" s="70"/>
      <c r="AM356" s="70"/>
      <c r="AN356" s="70"/>
      <c r="AO356" s="70"/>
      <c r="AP356" s="70"/>
      <c r="AQ356" s="70"/>
      <c r="AR356" s="70"/>
      <c r="AS356" s="70"/>
      <c r="AT356" s="70"/>
    </row>
    <row r="357" ht="15.75" customHeight="1">
      <c r="A357" s="70"/>
      <c r="B357" s="70"/>
      <c r="C357" s="70"/>
      <c r="D357" s="80"/>
      <c r="E357" s="70"/>
      <c r="F357" s="70"/>
      <c r="G357" s="70"/>
      <c r="H357" s="70"/>
      <c r="I357" s="70"/>
      <c r="J357" s="70"/>
      <c r="K357" s="70"/>
      <c r="L357" s="70"/>
      <c r="M357" s="70"/>
      <c r="N357" s="70"/>
      <c r="O357" s="70"/>
      <c r="P357" s="70"/>
      <c r="Q357" s="70"/>
      <c r="R357" s="70"/>
      <c r="S357" s="70"/>
      <c r="T357" s="91"/>
      <c r="U357" s="91"/>
      <c r="V357" s="70"/>
      <c r="W357" s="58"/>
      <c r="X357" s="58"/>
      <c r="Y357" s="70"/>
      <c r="Z357" s="83"/>
      <c r="AA357" s="70"/>
      <c r="AB357" s="70"/>
      <c r="AC357" s="70"/>
      <c r="AD357" s="70"/>
      <c r="AE357" s="70"/>
      <c r="AF357" s="70"/>
      <c r="AG357" s="70"/>
      <c r="AH357" s="70"/>
      <c r="AI357" s="70"/>
      <c r="AJ357" s="70"/>
      <c r="AK357" s="70"/>
      <c r="AL357" s="70"/>
      <c r="AM357" s="70"/>
      <c r="AN357" s="70"/>
      <c r="AO357" s="70"/>
      <c r="AP357" s="70"/>
      <c r="AQ357" s="70"/>
      <c r="AR357" s="70"/>
      <c r="AS357" s="70"/>
      <c r="AT357" s="70"/>
    </row>
    <row r="358" ht="15.75" customHeight="1">
      <c r="A358" s="70"/>
      <c r="B358" s="70"/>
      <c r="C358" s="70"/>
      <c r="D358" s="80"/>
      <c r="E358" s="70"/>
      <c r="F358" s="70"/>
      <c r="G358" s="70"/>
      <c r="H358" s="70"/>
      <c r="I358" s="70"/>
      <c r="J358" s="70"/>
      <c r="K358" s="70"/>
      <c r="L358" s="70"/>
      <c r="M358" s="70"/>
      <c r="N358" s="70"/>
      <c r="O358" s="70"/>
      <c r="P358" s="70"/>
      <c r="Q358" s="70"/>
      <c r="R358" s="70"/>
      <c r="S358" s="70"/>
      <c r="T358" s="91"/>
      <c r="U358" s="91"/>
      <c r="V358" s="70"/>
      <c r="W358" s="58"/>
      <c r="X358" s="58"/>
      <c r="Y358" s="70"/>
      <c r="Z358" s="83"/>
      <c r="AA358" s="70"/>
      <c r="AB358" s="70"/>
      <c r="AC358" s="70"/>
      <c r="AD358" s="70"/>
      <c r="AE358" s="70"/>
      <c r="AF358" s="70"/>
      <c r="AG358" s="70"/>
      <c r="AH358" s="70"/>
      <c r="AI358" s="70"/>
      <c r="AJ358" s="70"/>
      <c r="AK358" s="70"/>
      <c r="AL358" s="70"/>
      <c r="AM358" s="70"/>
      <c r="AN358" s="70"/>
      <c r="AO358" s="70"/>
      <c r="AP358" s="70"/>
      <c r="AQ358" s="70"/>
      <c r="AR358" s="70"/>
      <c r="AS358" s="70"/>
      <c r="AT358" s="70"/>
    </row>
    <row r="359" ht="15.75" customHeight="1">
      <c r="A359" s="70"/>
      <c r="B359" s="70"/>
      <c r="C359" s="70"/>
      <c r="D359" s="80"/>
      <c r="E359" s="70"/>
      <c r="F359" s="70"/>
      <c r="G359" s="70"/>
      <c r="H359" s="70"/>
      <c r="I359" s="70"/>
      <c r="J359" s="70"/>
      <c r="K359" s="70"/>
      <c r="L359" s="70"/>
      <c r="M359" s="70"/>
      <c r="N359" s="70"/>
      <c r="O359" s="70"/>
      <c r="P359" s="70"/>
      <c r="Q359" s="70"/>
      <c r="R359" s="70"/>
      <c r="S359" s="70"/>
      <c r="T359" s="91"/>
      <c r="U359" s="91"/>
      <c r="V359" s="70"/>
      <c r="W359" s="58"/>
      <c r="X359" s="58"/>
      <c r="Y359" s="70"/>
      <c r="Z359" s="83"/>
      <c r="AA359" s="70"/>
      <c r="AB359" s="70"/>
      <c r="AC359" s="70"/>
      <c r="AD359" s="70"/>
      <c r="AE359" s="70"/>
      <c r="AF359" s="70"/>
      <c r="AG359" s="70"/>
      <c r="AH359" s="70"/>
      <c r="AI359" s="70"/>
      <c r="AJ359" s="70"/>
      <c r="AK359" s="70"/>
      <c r="AL359" s="70"/>
      <c r="AM359" s="70"/>
      <c r="AN359" s="70"/>
      <c r="AO359" s="70"/>
      <c r="AP359" s="70"/>
      <c r="AQ359" s="70"/>
      <c r="AR359" s="70"/>
      <c r="AS359" s="70"/>
      <c r="AT359" s="70"/>
    </row>
    <row r="360" ht="15.75" customHeight="1">
      <c r="A360" s="70"/>
      <c r="B360" s="70"/>
      <c r="C360" s="70"/>
      <c r="D360" s="80"/>
      <c r="E360" s="70"/>
      <c r="F360" s="70"/>
      <c r="G360" s="70"/>
      <c r="H360" s="70"/>
      <c r="I360" s="70"/>
      <c r="J360" s="70"/>
      <c r="K360" s="70"/>
      <c r="L360" s="70"/>
      <c r="M360" s="70"/>
      <c r="N360" s="70"/>
      <c r="O360" s="70"/>
      <c r="P360" s="70"/>
      <c r="Q360" s="70"/>
      <c r="R360" s="70"/>
      <c r="S360" s="70"/>
      <c r="T360" s="91"/>
      <c r="U360" s="91"/>
      <c r="V360" s="70"/>
      <c r="W360" s="58"/>
      <c r="X360" s="58"/>
      <c r="Y360" s="70"/>
      <c r="Z360" s="83"/>
      <c r="AA360" s="70"/>
      <c r="AB360" s="70"/>
      <c r="AC360" s="70"/>
      <c r="AD360" s="70"/>
      <c r="AE360" s="70"/>
      <c r="AF360" s="70"/>
      <c r="AG360" s="70"/>
      <c r="AH360" s="70"/>
      <c r="AI360" s="70"/>
      <c r="AJ360" s="70"/>
      <c r="AK360" s="70"/>
      <c r="AL360" s="70"/>
      <c r="AM360" s="70"/>
      <c r="AN360" s="70"/>
      <c r="AO360" s="70"/>
      <c r="AP360" s="70"/>
      <c r="AQ360" s="70"/>
      <c r="AR360" s="70"/>
      <c r="AS360" s="70"/>
      <c r="AT360" s="70"/>
    </row>
    <row r="361" ht="15.75" customHeight="1">
      <c r="A361" s="70"/>
      <c r="B361" s="70"/>
      <c r="C361" s="70"/>
      <c r="D361" s="80"/>
      <c r="E361" s="70"/>
      <c r="F361" s="70"/>
      <c r="G361" s="70"/>
      <c r="H361" s="70"/>
      <c r="I361" s="70"/>
      <c r="J361" s="70"/>
      <c r="K361" s="70"/>
      <c r="L361" s="70"/>
      <c r="M361" s="70"/>
      <c r="N361" s="70"/>
      <c r="O361" s="70"/>
      <c r="P361" s="70"/>
      <c r="Q361" s="70"/>
      <c r="R361" s="70"/>
      <c r="S361" s="70"/>
      <c r="T361" s="91"/>
      <c r="U361" s="91"/>
      <c r="V361" s="70"/>
      <c r="W361" s="58"/>
      <c r="X361" s="58"/>
      <c r="Y361" s="70"/>
      <c r="Z361" s="83"/>
      <c r="AA361" s="70"/>
      <c r="AB361" s="70"/>
      <c r="AC361" s="70"/>
      <c r="AD361" s="70"/>
      <c r="AE361" s="70"/>
      <c r="AF361" s="70"/>
      <c r="AG361" s="70"/>
      <c r="AH361" s="70"/>
      <c r="AI361" s="70"/>
      <c r="AJ361" s="70"/>
      <c r="AK361" s="70"/>
      <c r="AL361" s="70"/>
      <c r="AM361" s="70"/>
      <c r="AN361" s="70"/>
      <c r="AO361" s="70"/>
      <c r="AP361" s="70"/>
      <c r="AQ361" s="70"/>
      <c r="AR361" s="70"/>
      <c r="AS361" s="70"/>
      <c r="AT361" s="70"/>
    </row>
    <row r="362" ht="15.75" customHeight="1">
      <c r="A362" s="70"/>
      <c r="B362" s="70"/>
      <c r="C362" s="70"/>
      <c r="D362" s="80"/>
      <c r="E362" s="70"/>
      <c r="F362" s="70"/>
      <c r="G362" s="70"/>
      <c r="H362" s="70"/>
      <c r="I362" s="70"/>
      <c r="J362" s="70"/>
      <c r="K362" s="70"/>
      <c r="L362" s="70"/>
      <c r="M362" s="70"/>
      <c r="N362" s="70"/>
      <c r="O362" s="70"/>
      <c r="P362" s="70"/>
      <c r="Q362" s="70"/>
      <c r="R362" s="70"/>
      <c r="S362" s="70"/>
      <c r="T362" s="91"/>
      <c r="U362" s="91"/>
      <c r="V362" s="70"/>
      <c r="W362" s="58"/>
      <c r="X362" s="58"/>
      <c r="Y362" s="70"/>
      <c r="Z362" s="83"/>
      <c r="AA362" s="70"/>
      <c r="AB362" s="70"/>
      <c r="AC362" s="70"/>
      <c r="AD362" s="70"/>
      <c r="AE362" s="70"/>
      <c r="AF362" s="70"/>
      <c r="AG362" s="70"/>
      <c r="AH362" s="70"/>
      <c r="AI362" s="70"/>
      <c r="AJ362" s="70"/>
      <c r="AK362" s="70"/>
      <c r="AL362" s="70"/>
      <c r="AM362" s="70"/>
      <c r="AN362" s="70"/>
      <c r="AO362" s="70"/>
      <c r="AP362" s="70"/>
      <c r="AQ362" s="70"/>
      <c r="AR362" s="70"/>
      <c r="AS362" s="70"/>
      <c r="AT362" s="70"/>
    </row>
    <row r="363" ht="15.75" customHeight="1">
      <c r="A363" s="70"/>
      <c r="B363" s="70"/>
      <c r="C363" s="70"/>
      <c r="D363" s="80"/>
      <c r="E363" s="70"/>
      <c r="F363" s="70"/>
      <c r="G363" s="70"/>
      <c r="H363" s="70"/>
      <c r="I363" s="70"/>
      <c r="J363" s="70"/>
      <c r="K363" s="70"/>
      <c r="L363" s="70"/>
      <c r="M363" s="70"/>
      <c r="N363" s="70"/>
      <c r="O363" s="70"/>
      <c r="P363" s="70"/>
      <c r="Q363" s="70"/>
      <c r="R363" s="70"/>
      <c r="S363" s="70"/>
      <c r="T363" s="91"/>
      <c r="U363" s="91"/>
      <c r="V363" s="70"/>
      <c r="W363" s="58"/>
      <c r="X363" s="58"/>
      <c r="Y363" s="70"/>
      <c r="Z363" s="83"/>
      <c r="AA363" s="70"/>
      <c r="AB363" s="70"/>
      <c r="AC363" s="70"/>
      <c r="AD363" s="70"/>
      <c r="AE363" s="70"/>
      <c r="AF363" s="70"/>
      <c r="AG363" s="70"/>
      <c r="AH363" s="70"/>
      <c r="AI363" s="70"/>
      <c r="AJ363" s="70"/>
      <c r="AK363" s="70"/>
      <c r="AL363" s="70"/>
      <c r="AM363" s="70"/>
      <c r="AN363" s="70"/>
      <c r="AO363" s="70"/>
      <c r="AP363" s="70"/>
      <c r="AQ363" s="70"/>
      <c r="AR363" s="70"/>
      <c r="AS363" s="70"/>
      <c r="AT363" s="70"/>
    </row>
    <row r="364" ht="15.75" customHeight="1">
      <c r="A364" s="70"/>
      <c r="B364" s="70"/>
      <c r="C364" s="70"/>
      <c r="D364" s="80"/>
      <c r="E364" s="70"/>
      <c r="F364" s="70"/>
      <c r="G364" s="70"/>
      <c r="H364" s="70"/>
      <c r="I364" s="70"/>
      <c r="J364" s="70"/>
      <c r="K364" s="70"/>
      <c r="L364" s="70"/>
      <c r="M364" s="70"/>
      <c r="N364" s="70"/>
      <c r="O364" s="70"/>
      <c r="P364" s="70"/>
      <c r="Q364" s="70"/>
      <c r="R364" s="70"/>
      <c r="S364" s="70"/>
      <c r="T364" s="91"/>
      <c r="U364" s="91"/>
      <c r="V364" s="70"/>
      <c r="W364" s="58"/>
      <c r="X364" s="58"/>
      <c r="Y364" s="70"/>
      <c r="Z364" s="83"/>
      <c r="AA364" s="70"/>
      <c r="AB364" s="70"/>
      <c r="AC364" s="70"/>
      <c r="AD364" s="70"/>
      <c r="AE364" s="70"/>
      <c r="AF364" s="70"/>
      <c r="AG364" s="70"/>
      <c r="AH364" s="70"/>
      <c r="AI364" s="70"/>
      <c r="AJ364" s="70"/>
      <c r="AK364" s="70"/>
      <c r="AL364" s="70"/>
      <c r="AM364" s="70"/>
      <c r="AN364" s="70"/>
      <c r="AO364" s="70"/>
      <c r="AP364" s="70"/>
      <c r="AQ364" s="70"/>
      <c r="AR364" s="70"/>
      <c r="AS364" s="70"/>
      <c r="AT364" s="70"/>
    </row>
    <row r="365" ht="15.75" customHeight="1">
      <c r="A365" s="70"/>
      <c r="B365" s="70"/>
      <c r="C365" s="70"/>
      <c r="D365" s="80"/>
      <c r="E365" s="70"/>
      <c r="F365" s="70"/>
      <c r="G365" s="70"/>
      <c r="H365" s="70"/>
      <c r="I365" s="70"/>
      <c r="J365" s="70"/>
      <c r="K365" s="70"/>
      <c r="L365" s="70"/>
      <c r="M365" s="70"/>
      <c r="N365" s="70"/>
      <c r="O365" s="70"/>
      <c r="P365" s="70"/>
      <c r="Q365" s="70"/>
      <c r="R365" s="70"/>
      <c r="S365" s="70"/>
      <c r="T365" s="91"/>
      <c r="U365" s="91"/>
      <c r="V365" s="70"/>
      <c r="W365" s="58"/>
      <c r="X365" s="58"/>
      <c r="Y365" s="70"/>
      <c r="Z365" s="83"/>
      <c r="AA365" s="70"/>
      <c r="AB365" s="70"/>
      <c r="AC365" s="70"/>
      <c r="AD365" s="70"/>
      <c r="AE365" s="70"/>
      <c r="AF365" s="70"/>
      <c r="AG365" s="70"/>
      <c r="AH365" s="70"/>
      <c r="AI365" s="70"/>
      <c r="AJ365" s="70"/>
      <c r="AK365" s="70"/>
      <c r="AL365" s="70"/>
      <c r="AM365" s="70"/>
      <c r="AN365" s="70"/>
      <c r="AO365" s="70"/>
      <c r="AP365" s="70"/>
      <c r="AQ365" s="70"/>
      <c r="AR365" s="70"/>
      <c r="AS365" s="70"/>
      <c r="AT365" s="70"/>
    </row>
    <row r="366" ht="15.75" customHeight="1">
      <c r="A366" s="70"/>
      <c r="B366" s="70"/>
      <c r="C366" s="70"/>
      <c r="D366" s="80"/>
      <c r="E366" s="70"/>
      <c r="F366" s="70"/>
      <c r="G366" s="70"/>
      <c r="H366" s="70"/>
      <c r="I366" s="70"/>
      <c r="J366" s="70"/>
      <c r="K366" s="70"/>
      <c r="L366" s="70"/>
      <c r="M366" s="70"/>
      <c r="N366" s="70"/>
      <c r="O366" s="70"/>
      <c r="P366" s="70"/>
      <c r="Q366" s="70"/>
      <c r="R366" s="70"/>
      <c r="S366" s="70"/>
      <c r="T366" s="91"/>
      <c r="U366" s="91"/>
      <c r="V366" s="70"/>
      <c r="W366" s="58"/>
      <c r="X366" s="58"/>
      <c r="Y366" s="70"/>
      <c r="Z366" s="83"/>
      <c r="AA366" s="70"/>
      <c r="AB366" s="70"/>
      <c r="AC366" s="70"/>
      <c r="AD366" s="70"/>
      <c r="AE366" s="70"/>
      <c r="AF366" s="70"/>
      <c r="AG366" s="70"/>
      <c r="AH366" s="70"/>
      <c r="AI366" s="70"/>
      <c r="AJ366" s="70"/>
      <c r="AK366" s="70"/>
      <c r="AL366" s="70"/>
      <c r="AM366" s="70"/>
      <c r="AN366" s="70"/>
      <c r="AO366" s="70"/>
      <c r="AP366" s="70"/>
      <c r="AQ366" s="70"/>
      <c r="AR366" s="70"/>
      <c r="AS366" s="70"/>
      <c r="AT366" s="70"/>
    </row>
    <row r="367" ht="15.75" customHeight="1">
      <c r="A367" s="70"/>
      <c r="B367" s="70"/>
      <c r="C367" s="70"/>
      <c r="D367" s="80"/>
      <c r="E367" s="70"/>
      <c r="F367" s="70"/>
      <c r="G367" s="70"/>
      <c r="H367" s="70"/>
      <c r="I367" s="70"/>
      <c r="J367" s="70"/>
      <c r="K367" s="70"/>
      <c r="L367" s="70"/>
      <c r="M367" s="70"/>
      <c r="N367" s="70"/>
      <c r="O367" s="70"/>
      <c r="P367" s="70"/>
      <c r="Q367" s="70"/>
      <c r="R367" s="70"/>
      <c r="S367" s="70"/>
      <c r="T367" s="91"/>
      <c r="U367" s="91"/>
      <c r="V367" s="70"/>
      <c r="W367" s="58"/>
      <c r="X367" s="58"/>
      <c r="Y367" s="70"/>
      <c r="Z367" s="83"/>
      <c r="AA367" s="70"/>
      <c r="AB367" s="70"/>
      <c r="AC367" s="70"/>
      <c r="AD367" s="70"/>
      <c r="AE367" s="70"/>
      <c r="AF367" s="70"/>
      <c r="AG367" s="70"/>
      <c r="AH367" s="70"/>
      <c r="AI367" s="70"/>
      <c r="AJ367" s="70"/>
      <c r="AK367" s="70"/>
      <c r="AL367" s="70"/>
      <c r="AM367" s="70"/>
      <c r="AN367" s="70"/>
      <c r="AO367" s="70"/>
      <c r="AP367" s="70"/>
      <c r="AQ367" s="70"/>
      <c r="AR367" s="70"/>
      <c r="AS367" s="70"/>
      <c r="AT367" s="70"/>
    </row>
    <row r="368" ht="15.75" customHeight="1">
      <c r="A368" s="70"/>
      <c r="B368" s="70"/>
      <c r="C368" s="70"/>
      <c r="D368" s="80"/>
      <c r="E368" s="70"/>
      <c r="F368" s="70"/>
      <c r="G368" s="70"/>
      <c r="H368" s="70"/>
      <c r="I368" s="70"/>
      <c r="J368" s="70"/>
      <c r="K368" s="70"/>
      <c r="L368" s="70"/>
      <c r="M368" s="70"/>
      <c r="N368" s="70"/>
      <c r="O368" s="70"/>
      <c r="P368" s="70"/>
      <c r="Q368" s="70"/>
      <c r="R368" s="70"/>
      <c r="S368" s="70"/>
      <c r="T368" s="91"/>
      <c r="U368" s="91"/>
      <c r="V368" s="70"/>
      <c r="W368" s="58"/>
      <c r="X368" s="58"/>
      <c r="Y368" s="70"/>
      <c r="Z368" s="83"/>
      <c r="AA368" s="70"/>
      <c r="AB368" s="70"/>
      <c r="AC368" s="70"/>
      <c r="AD368" s="70"/>
      <c r="AE368" s="70"/>
      <c r="AF368" s="70"/>
      <c r="AG368" s="70"/>
      <c r="AH368" s="70"/>
      <c r="AI368" s="70"/>
      <c r="AJ368" s="70"/>
      <c r="AK368" s="70"/>
      <c r="AL368" s="70"/>
      <c r="AM368" s="70"/>
      <c r="AN368" s="70"/>
      <c r="AO368" s="70"/>
      <c r="AP368" s="70"/>
      <c r="AQ368" s="70"/>
      <c r="AR368" s="70"/>
      <c r="AS368" s="70"/>
      <c r="AT368" s="70"/>
    </row>
    <row r="369" ht="15.75" customHeight="1">
      <c r="A369" s="70"/>
      <c r="B369" s="70"/>
      <c r="C369" s="70"/>
      <c r="D369" s="80"/>
      <c r="E369" s="70"/>
      <c r="F369" s="70"/>
      <c r="G369" s="70"/>
      <c r="H369" s="70"/>
      <c r="I369" s="70"/>
      <c r="J369" s="70"/>
      <c r="K369" s="70"/>
      <c r="L369" s="70"/>
      <c r="M369" s="70"/>
      <c r="N369" s="70"/>
      <c r="O369" s="70"/>
      <c r="P369" s="70"/>
      <c r="Q369" s="70"/>
      <c r="R369" s="70"/>
      <c r="S369" s="70"/>
      <c r="T369" s="91"/>
      <c r="U369" s="91"/>
      <c r="V369" s="70"/>
      <c r="W369" s="58"/>
      <c r="X369" s="58"/>
      <c r="Y369" s="70"/>
      <c r="Z369" s="83"/>
      <c r="AA369" s="70"/>
      <c r="AB369" s="70"/>
      <c r="AC369" s="70"/>
      <c r="AD369" s="70"/>
      <c r="AE369" s="70"/>
      <c r="AF369" s="70"/>
      <c r="AG369" s="70"/>
      <c r="AH369" s="70"/>
      <c r="AI369" s="70"/>
      <c r="AJ369" s="70"/>
      <c r="AK369" s="70"/>
      <c r="AL369" s="70"/>
      <c r="AM369" s="70"/>
      <c r="AN369" s="70"/>
      <c r="AO369" s="70"/>
      <c r="AP369" s="70"/>
      <c r="AQ369" s="70"/>
      <c r="AR369" s="70"/>
      <c r="AS369" s="70"/>
      <c r="AT369" s="70"/>
    </row>
    <row r="370" ht="15.75" customHeight="1">
      <c r="A370" s="70"/>
      <c r="B370" s="70"/>
      <c r="C370" s="70"/>
      <c r="D370" s="80"/>
      <c r="E370" s="70"/>
      <c r="F370" s="70"/>
      <c r="G370" s="70"/>
      <c r="H370" s="70"/>
      <c r="I370" s="70"/>
      <c r="J370" s="70"/>
      <c r="K370" s="70"/>
      <c r="L370" s="70"/>
      <c r="M370" s="70"/>
      <c r="N370" s="70"/>
      <c r="O370" s="70"/>
      <c r="P370" s="70"/>
      <c r="Q370" s="70"/>
      <c r="R370" s="70"/>
      <c r="S370" s="70"/>
      <c r="T370" s="91"/>
      <c r="U370" s="91"/>
      <c r="V370" s="70"/>
      <c r="W370" s="58"/>
      <c r="X370" s="58"/>
      <c r="Y370" s="70"/>
      <c r="Z370" s="83"/>
      <c r="AA370" s="70"/>
      <c r="AB370" s="70"/>
      <c r="AC370" s="70"/>
      <c r="AD370" s="70"/>
      <c r="AE370" s="70"/>
      <c r="AF370" s="70"/>
      <c r="AG370" s="70"/>
      <c r="AH370" s="70"/>
      <c r="AI370" s="70"/>
      <c r="AJ370" s="70"/>
      <c r="AK370" s="70"/>
      <c r="AL370" s="70"/>
      <c r="AM370" s="70"/>
      <c r="AN370" s="70"/>
      <c r="AO370" s="70"/>
      <c r="AP370" s="70"/>
      <c r="AQ370" s="70"/>
      <c r="AR370" s="70"/>
      <c r="AS370" s="70"/>
      <c r="AT370" s="70"/>
    </row>
    <row r="371" ht="15.75" customHeight="1">
      <c r="A371" s="70"/>
      <c r="B371" s="70"/>
      <c r="C371" s="70"/>
      <c r="D371" s="80"/>
      <c r="E371" s="70"/>
      <c r="F371" s="70"/>
      <c r="G371" s="70"/>
      <c r="H371" s="70"/>
      <c r="I371" s="70"/>
      <c r="J371" s="70"/>
      <c r="K371" s="70"/>
      <c r="L371" s="70"/>
      <c r="M371" s="70"/>
      <c r="N371" s="70"/>
      <c r="O371" s="70"/>
      <c r="P371" s="70"/>
      <c r="Q371" s="70"/>
      <c r="R371" s="70"/>
      <c r="S371" s="70"/>
      <c r="T371" s="91"/>
      <c r="U371" s="91"/>
      <c r="V371" s="70"/>
      <c r="W371" s="58"/>
      <c r="X371" s="58"/>
      <c r="Y371" s="70"/>
      <c r="Z371" s="83"/>
      <c r="AA371" s="70"/>
      <c r="AB371" s="70"/>
      <c r="AC371" s="70"/>
      <c r="AD371" s="70"/>
      <c r="AE371" s="70"/>
      <c r="AF371" s="70"/>
      <c r="AG371" s="70"/>
      <c r="AH371" s="70"/>
      <c r="AI371" s="70"/>
      <c r="AJ371" s="70"/>
      <c r="AK371" s="70"/>
      <c r="AL371" s="70"/>
      <c r="AM371" s="70"/>
      <c r="AN371" s="70"/>
      <c r="AO371" s="70"/>
      <c r="AP371" s="70"/>
      <c r="AQ371" s="70"/>
      <c r="AR371" s="70"/>
      <c r="AS371" s="70"/>
      <c r="AT371" s="70"/>
    </row>
    <row r="372" ht="15.75" customHeight="1">
      <c r="A372" s="70"/>
      <c r="B372" s="70"/>
      <c r="C372" s="70"/>
      <c r="D372" s="80"/>
      <c r="E372" s="70"/>
      <c r="F372" s="70"/>
      <c r="G372" s="70"/>
      <c r="H372" s="70"/>
      <c r="I372" s="70"/>
      <c r="J372" s="70"/>
      <c r="K372" s="70"/>
      <c r="L372" s="70"/>
      <c r="M372" s="70"/>
      <c r="N372" s="70"/>
      <c r="O372" s="70"/>
      <c r="P372" s="70"/>
      <c r="Q372" s="70"/>
      <c r="R372" s="70"/>
      <c r="S372" s="70"/>
      <c r="T372" s="91"/>
      <c r="U372" s="91"/>
      <c r="V372" s="70"/>
      <c r="W372" s="58"/>
      <c r="X372" s="58"/>
      <c r="Y372" s="70"/>
      <c r="Z372" s="83"/>
      <c r="AA372" s="70"/>
      <c r="AB372" s="70"/>
      <c r="AC372" s="70"/>
      <c r="AD372" s="70"/>
      <c r="AE372" s="70"/>
      <c r="AF372" s="70"/>
      <c r="AG372" s="70"/>
      <c r="AH372" s="70"/>
      <c r="AI372" s="70"/>
      <c r="AJ372" s="70"/>
      <c r="AK372" s="70"/>
      <c r="AL372" s="70"/>
      <c r="AM372" s="70"/>
      <c r="AN372" s="70"/>
      <c r="AO372" s="70"/>
      <c r="AP372" s="70"/>
      <c r="AQ372" s="70"/>
      <c r="AR372" s="70"/>
      <c r="AS372" s="70"/>
      <c r="AT372" s="70"/>
    </row>
    <row r="373" ht="15.75" customHeight="1">
      <c r="A373" s="70"/>
      <c r="B373" s="70"/>
      <c r="C373" s="70"/>
      <c r="D373" s="80"/>
      <c r="E373" s="70"/>
      <c r="F373" s="70"/>
      <c r="G373" s="70"/>
      <c r="H373" s="70"/>
      <c r="I373" s="70"/>
      <c r="J373" s="70"/>
      <c r="K373" s="70"/>
      <c r="L373" s="70"/>
      <c r="M373" s="70"/>
      <c r="N373" s="70"/>
      <c r="O373" s="70"/>
      <c r="P373" s="70"/>
      <c r="Q373" s="70"/>
      <c r="R373" s="70"/>
      <c r="S373" s="70"/>
      <c r="T373" s="91"/>
      <c r="U373" s="91"/>
      <c r="V373" s="70"/>
      <c r="W373" s="58"/>
      <c r="X373" s="58"/>
      <c r="Y373" s="70"/>
      <c r="Z373" s="83"/>
      <c r="AA373" s="70"/>
      <c r="AB373" s="70"/>
      <c r="AC373" s="70"/>
      <c r="AD373" s="70"/>
      <c r="AE373" s="70"/>
      <c r="AF373" s="70"/>
      <c r="AG373" s="70"/>
      <c r="AH373" s="70"/>
      <c r="AI373" s="70"/>
      <c r="AJ373" s="70"/>
      <c r="AK373" s="70"/>
      <c r="AL373" s="70"/>
      <c r="AM373" s="70"/>
      <c r="AN373" s="70"/>
      <c r="AO373" s="70"/>
      <c r="AP373" s="70"/>
      <c r="AQ373" s="70"/>
      <c r="AR373" s="70"/>
      <c r="AS373" s="70"/>
      <c r="AT373" s="70"/>
    </row>
    <row r="374" ht="15.75" customHeight="1">
      <c r="A374" s="70"/>
      <c r="B374" s="70"/>
      <c r="C374" s="70"/>
      <c r="D374" s="80"/>
      <c r="E374" s="70"/>
      <c r="F374" s="70"/>
      <c r="G374" s="70"/>
      <c r="H374" s="70"/>
      <c r="I374" s="70"/>
      <c r="J374" s="70"/>
      <c r="K374" s="70"/>
      <c r="L374" s="70"/>
      <c r="M374" s="70"/>
      <c r="N374" s="70"/>
      <c r="O374" s="70"/>
      <c r="P374" s="70"/>
      <c r="Q374" s="70"/>
      <c r="R374" s="70"/>
      <c r="S374" s="70"/>
      <c r="T374" s="91"/>
      <c r="U374" s="91"/>
      <c r="V374" s="70"/>
      <c r="W374" s="58"/>
      <c r="X374" s="58"/>
      <c r="Y374" s="70"/>
      <c r="Z374" s="83"/>
      <c r="AA374" s="70"/>
      <c r="AB374" s="70"/>
      <c r="AC374" s="70"/>
      <c r="AD374" s="70"/>
      <c r="AE374" s="70"/>
      <c r="AF374" s="70"/>
      <c r="AG374" s="70"/>
      <c r="AH374" s="70"/>
      <c r="AI374" s="70"/>
      <c r="AJ374" s="70"/>
      <c r="AK374" s="70"/>
      <c r="AL374" s="70"/>
      <c r="AM374" s="70"/>
      <c r="AN374" s="70"/>
      <c r="AO374" s="70"/>
      <c r="AP374" s="70"/>
      <c r="AQ374" s="70"/>
      <c r="AR374" s="70"/>
      <c r="AS374" s="70"/>
      <c r="AT374" s="70"/>
    </row>
    <row r="375" ht="15.75" customHeight="1">
      <c r="A375" s="70"/>
      <c r="B375" s="70"/>
      <c r="C375" s="70"/>
      <c r="D375" s="80"/>
      <c r="E375" s="70"/>
      <c r="F375" s="70"/>
      <c r="G375" s="70"/>
      <c r="H375" s="70"/>
      <c r="I375" s="70"/>
      <c r="J375" s="70"/>
      <c r="K375" s="70"/>
      <c r="L375" s="70"/>
      <c r="M375" s="70"/>
      <c r="N375" s="70"/>
      <c r="O375" s="70"/>
      <c r="P375" s="70"/>
      <c r="Q375" s="70"/>
      <c r="R375" s="70"/>
      <c r="S375" s="70"/>
      <c r="T375" s="91"/>
      <c r="U375" s="91"/>
      <c r="V375" s="70"/>
      <c r="W375" s="58"/>
      <c r="X375" s="58"/>
      <c r="Y375" s="70"/>
      <c r="Z375" s="83"/>
      <c r="AA375" s="70"/>
      <c r="AB375" s="70"/>
      <c r="AC375" s="70"/>
      <c r="AD375" s="70"/>
      <c r="AE375" s="70"/>
      <c r="AF375" s="70"/>
      <c r="AG375" s="70"/>
      <c r="AH375" s="70"/>
      <c r="AI375" s="70"/>
      <c r="AJ375" s="70"/>
      <c r="AK375" s="70"/>
      <c r="AL375" s="70"/>
      <c r="AM375" s="70"/>
      <c r="AN375" s="70"/>
      <c r="AO375" s="70"/>
      <c r="AP375" s="70"/>
      <c r="AQ375" s="70"/>
      <c r="AR375" s="70"/>
      <c r="AS375" s="70"/>
      <c r="AT375" s="70"/>
    </row>
    <row r="376" ht="15.75" customHeight="1">
      <c r="A376" s="70"/>
      <c r="B376" s="70"/>
      <c r="C376" s="70"/>
      <c r="D376" s="80"/>
      <c r="E376" s="70"/>
      <c r="F376" s="70"/>
      <c r="G376" s="70"/>
      <c r="H376" s="70"/>
      <c r="I376" s="70"/>
      <c r="J376" s="70"/>
      <c r="K376" s="70"/>
      <c r="L376" s="70"/>
      <c r="M376" s="70"/>
      <c r="N376" s="70"/>
      <c r="O376" s="70"/>
      <c r="P376" s="70"/>
      <c r="Q376" s="70"/>
      <c r="R376" s="70"/>
      <c r="S376" s="70"/>
      <c r="T376" s="91"/>
      <c r="U376" s="91"/>
      <c r="V376" s="70"/>
      <c r="W376" s="58"/>
      <c r="X376" s="58"/>
      <c r="Y376" s="70"/>
      <c r="Z376" s="83"/>
      <c r="AA376" s="70"/>
      <c r="AB376" s="70"/>
      <c r="AC376" s="70"/>
      <c r="AD376" s="70"/>
      <c r="AE376" s="70"/>
      <c r="AF376" s="70"/>
      <c r="AG376" s="70"/>
      <c r="AH376" s="70"/>
      <c r="AI376" s="70"/>
      <c r="AJ376" s="70"/>
      <c r="AK376" s="70"/>
      <c r="AL376" s="70"/>
      <c r="AM376" s="70"/>
      <c r="AN376" s="70"/>
      <c r="AO376" s="70"/>
      <c r="AP376" s="70"/>
      <c r="AQ376" s="70"/>
      <c r="AR376" s="70"/>
      <c r="AS376" s="70"/>
      <c r="AT376" s="70"/>
    </row>
    <row r="377" ht="15.75" customHeight="1">
      <c r="A377" s="70"/>
      <c r="B377" s="70"/>
      <c r="C377" s="70"/>
      <c r="D377" s="80"/>
      <c r="E377" s="70"/>
      <c r="F377" s="70"/>
      <c r="G377" s="70"/>
      <c r="H377" s="70"/>
      <c r="I377" s="70"/>
      <c r="J377" s="70"/>
      <c r="K377" s="70"/>
      <c r="L377" s="70"/>
      <c r="M377" s="70"/>
      <c r="N377" s="70"/>
      <c r="O377" s="70"/>
      <c r="P377" s="70"/>
      <c r="Q377" s="70"/>
      <c r="R377" s="70"/>
      <c r="S377" s="70"/>
      <c r="T377" s="91"/>
      <c r="U377" s="91"/>
      <c r="V377" s="70"/>
      <c r="W377" s="58"/>
      <c r="X377" s="58"/>
      <c r="Y377" s="70"/>
      <c r="Z377" s="83"/>
      <c r="AA377" s="70"/>
      <c r="AB377" s="70"/>
      <c r="AC377" s="70"/>
      <c r="AD377" s="70"/>
      <c r="AE377" s="70"/>
      <c r="AF377" s="70"/>
      <c r="AG377" s="70"/>
      <c r="AH377" s="70"/>
      <c r="AI377" s="70"/>
      <c r="AJ377" s="70"/>
      <c r="AK377" s="70"/>
      <c r="AL377" s="70"/>
      <c r="AM377" s="70"/>
      <c r="AN377" s="70"/>
      <c r="AO377" s="70"/>
      <c r="AP377" s="70"/>
      <c r="AQ377" s="70"/>
      <c r="AR377" s="70"/>
      <c r="AS377" s="70"/>
      <c r="AT377" s="70"/>
    </row>
    <row r="378" ht="15.75" customHeight="1">
      <c r="A378" s="70"/>
      <c r="B378" s="70"/>
      <c r="C378" s="70"/>
      <c r="D378" s="80"/>
      <c r="E378" s="70"/>
      <c r="F378" s="70"/>
      <c r="G378" s="70"/>
      <c r="H378" s="70"/>
      <c r="I378" s="70"/>
      <c r="J378" s="70"/>
      <c r="K378" s="70"/>
      <c r="L378" s="70"/>
      <c r="M378" s="70"/>
      <c r="N378" s="70"/>
      <c r="O378" s="70"/>
      <c r="P378" s="70"/>
      <c r="Q378" s="70"/>
      <c r="R378" s="70"/>
      <c r="S378" s="70"/>
      <c r="T378" s="91"/>
      <c r="U378" s="91"/>
      <c r="V378" s="70"/>
      <c r="W378" s="58"/>
      <c r="X378" s="58"/>
      <c r="Y378" s="70"/>
      <c r="Z378" s="83"/>
      <c r="AA378" s="70"/>
      <c r="AB378" s="70"/>
      <c r="AC378" s="70"/>
      <c r="AD378" s="70"/>
      <c r="AE378" s="70"/>
      <c r="AF378" s="70"/>
      <c r="AG378" s="70"/>
      <c r="AH378" s="70"/>
      <c r="AI378" s="70"/>
      <c r="AJ378" s="70"/>
      <c r="AK378" s="70"/>
      <c r="AL378" s="70"/>
      <c r="AM378" s="70"/>
      <c r="AN378" s="70"/>
      <c r="AO378" s="70"/>
      <c r="AP378" s="70"/>
      <c r="AQ378" s="70"/>
      <c r="AR378" s="70"/>
      <c r="AS378" s="70"/>
      <c r="AT378" s="70"/>
    </row>
    <row r="379" ht="15.75" customHeight="1">
      <c r="A379" s="70"/>
      <c r="B379" s="70"/>
      <c r="C379" s="70"/>
      <c r="D379" s="80"/>
      <c r="E379" s="70"/>
      <c r="F379" s="70"/>
      <c r="G379" s="70"/>
      <c r="H379" s="70"/>
      <c r="I379" s="70"/>
      <c r="J379" s="70"/>
      <c r="K379" s="70"/>
      <c r="L379" s="70"/>
      <c r="M379" s="70"/>
      <c r="N379" s="70"/>
      <c r="O379" s="70"/>
      <c r="P379" s="70"/>
      <c r="Q379" s="70"/>
      <c r="R379" s="70"/>
      <c r="S379" s="70"/>
      <c r="T379" s="91"/>
      <c r="U379" s="91"/>
      <c r="V379" s="70"/>
      <c r="W379" s="58"/>
      <c r="X379" s="58"/>
      <c r="Y379" s="70"/>
      <c r="Z379" s="83"/>
      <c r="AA379" s="70"/>
      <c r="AB379" s="70"/>
      <c r="AC379" s="70"/>
      <c r="AD379" s="70"/>
      <c r="AE379" s="70"/>
      <c r="AF379" s="70"/>
      <c r="AG379" s="70"/>
      <c r="AH379" s="70"/>
      <c r="AI379" s="70"/>
      <c r="AJ379" s="70"/>
      <c r="AK379" s="70"/>
      <c r="AL379" s="70"/>
      <c r="AM379" s="70"/>
      <c r="AN379" s="70"/>
      <c r="AO379" s="70"/>
      <c r="AP379" s="70"/>
      <c r="AQ379" s="70"/>
      <c r="AR379" s="70"/>
      <c r="AS379" s="70"/>
      <c r="AT379" s="70"/>
    </row>
    <row r="380" ht="15.75" customHeight="1">
      <c r="A380" s="70"/>
      <c r="B380" s="70"/>
      <c r="C380" s="70"/>
      <c r="D380" s="80"/>
      <c r="E380" s="70"/>
      <c r="F380" s="70"/>
      <c r="G380" s="70"/>
      <c r="H380" s="70"/>
      <c r="I380" s="70"/>
      <c r="J380" s="70"/>
      <c r="K380" s="70"/>
      <c r="L380" s="70"/>
      <c r="M380" s="70"/>
      <c r="N380" s="70"/>
      <c r="O380" s="70"/>
      <c r="P380" s="70"/>
      <c r="Q380" s="70"/>
      <c r="R380" s="70"/>
      <c r="S380" s="70"/>
      <c r="T380" s="91"/>
      <c r="U380" s="91"/>
      <c r="V380" s="70"/>
      <c r="W380" s="58"/>
      <c r="X380" s="58"/>
      <c r="Y380" s="70"/>
      <c r="Z380" s="83"/>
      <c r="AA380" s="70"/>
      <c r="AB380" s="70"/>
      <c r="AC380" s="70"/>
      <c r="AD380" s="70"/>
      <c r="AE380" s="70"/>
      <c r="AF380" s="70"/>
      <c r="AG380" s="70"/>
      <c r="AH380" s="70"/>
      <c r="AI380" s="70"/>
      <c r="AJ380" s="70"/>
      <c r="AK380" s="70"/>
      <c r="AL380" s="70"/>
      <c r="AM380" s="70"/>
      <c r="AN380" s="70"/>
      <c r="AO380" s="70"/>
      <c r="AP380" s="70"/>
      <c r="AQ380" s="70"/>
      <c r="AR380" s="70"/>
      <c r="AS380" s="70"/>
      <c r="AT380" s="70"/>
    </row>
    <row r="381" ht="15.75" customHeight="1">
      <c r="A381" s="70"/>
      <c r="B381" s="70"/>
      <c r="C381" s="70"/>
      <c r="D381" s="80"/>
      <c r="E381" s="70"/>
      <c r="F381" s="70"/>
      <c r="G381" s="70"/>
      <c r="H381" s="70"/>
      <c r="I381" s="70"/>
      <c r="J381" s="70"/>
      <c r="K381" s="70"/>
      <c r="L381" s="70"/>
      <c r="M381" s="70"/>
      <c r="N381" s="70"/>
      <c r="O381" s="70"/>
      <c r="P381" s="70"/>
      <c r="Q381" s="70"/>
      <c r="R381" s="70"/>
      <c r="S381" s="70"/>
      <c r="T381" s="91"/>
      <c r="U381" s="91"/>
      <c r="V381" s="70"/>
      <c r="W381" s="58"/>
      <c r="X381" s="58"/>
      <c r="Y381" s="70"/>
      <c r="Z381" s="83"/>
      <c r="AA381" s="70"/>
      <c r="AB381" s="70"/>
      <c r="AC381" s="70"/>
      <c r="AD381" s="70"/>
      <c r="AE381" s="70"/>
      <c r="AF381" s="70"/>
      <c r="AG381" s="70"/>
      <c r="AH381" s="70"/>
      <c r="AI381" s="70"/>
      <c r="AJ381" s="70"/>
      <c r="AK381" s="70"/>
      <c r="AL381" s="70"/>
      <c r="AM381" s="70"/>
      <c r="AN381" s="70"/>
      <c r="AO381" s="70"/>
      <c r="AP381" s="70"/>
      <c r="AQ381" s="70"/>
      <c r="AR381" s="70"/>
      <c r="AS381" s="70"/>
      <c r="AT381" s="70"/>
    </row>
    <row r="382" ht="15.75" customHeight="1">
      <c r="A382" s="70"/>
      <c r="B382" s="70"/>
      <c r="C382" s="70"/>
      <c r="D382" s="80"/>
      <c r="E382" s="70"/>
      <c r="F382" s="70"/>
      <c r="G382" s="70"/>
      <c r="H382" s="70"/>
      <c r="I382" s="70"/>
      <c r="J382" s="70"/>
      <c r="K382" s="70"/>
      <c r="L382" s="70"/>
      <c r="M382" s="70"/>
      <c r="N382" s="70"/>
      <c r="O382" s="70"/>
      <c r="P382" s="70"/>
      <c r="Q382" s="70"/>
      <c r="R382" s="70"/>
      <c r="S382" s="70"/>
      <c r="T382" s="91"/>
      <c r="U382" s="91"/>
      <c r="V382" s="70"/>
      <c r="W382" s="58"/>
      <c r="X382" s="58"/>
      <c r="Y382" s="70"/>
      <c r="Z382" s="83"/>
      <c r="AA382" s="70"/>
      <c r="AB382" s="70"/>
      <c r="AC382" s="70"/>
      <c r="AD382" s="70"/>
      <c r="AE382" s="70"/>
      <c r="AF382" s="70"/>
      <c r="AG382" s="70"/>
      <c r="AH382" s="70"/>
      <c r="AI382" s="70"/>
      <c r="AJ382" s="70"/>
      <c r="AK382" s="70"/>
      <c r="AL382" s="70"/>
      <c r="AM382" s="70"/>
      <c r="AN382" s="70"/>
      <c r="AO382" s="70"/>
      <c r="AP382" s="70"/>
      <c r="AQ382" s="70"/>
      <c r="AR382" s="70"/>
      <c r="AS382" s="70"/>
      <c r="AT382" s="70"/>
    </row>
    <row r="383" ht="15.75" customHeight="1">
      <c r="A383" s="70"/>
      <c r="B383" s="70"/>
      <c r="C383" s="70"/>
      <c r="D383" s="80"/>
      <c r="E383" s="70"/>
      <c r="F383" s="70"/>
      <c r="G383" s="70"/>
      <c r="H383" s="70"/>
      <c r="I383" s="70"/>
      <c r="J383" s="70"/>
      <c r="K383" s="70"/>
      <c r="L383" s="70"/>
      <c r="M383" s="70"/>
      <c r="N383" s="70"/>
      <c r="O383" s="70"/>
      <c r="P383" s="70"/>
      <c r="Q383" s="70"/>
      <c r="R383" s="70"/>
      <c r="S383" s="70"/>
      <c r="T383" s="91"/>
      <c r="U383" s="91"/>
      <c r="V383" s="70"/>
      <c r="W383" s="58"/>
      <c r="X383" s="58"/>
      <c r="Y383" s="70"/>
      <c r="Z383" s="83"/>
      <c r="AA383" s="70"/>
      <c r="AB383" s="70"/>
      <c r="AC383" s="70"/>
      <c r="AD383" s="70"/>
      <c r="AE383" s="70"/>
      <c r="AF383" s="70"/>
      <c r="AG383" s="70"/>
      <c r="AH383" s="70"/>
      <c r="AI383" s="70"/>
      <c r="AJ383" s="70"/>
      <c r="AK383" s="70"/>
      <c r="AL383" s="70"/>
      <c r="AM383" s="70"/>
      <c r="AN383" s="70"/>
      <c r="AO383" s="70"/>
      <c r="AP383" s="70"/>
      <c r="AQ383" s="70"/>
      <c r="AR383" s="70"/>
      <c r="AS383" s="70"/>
      <c r="AT383" s="70"/>
    </row>
    <row r="384" ht="15.75" customHeight="1">
      <c r="A384" s="70"/>
      <c r="B384" s="70"/>
      <c r="C384" s="70"/>
      <c r="D384" s="80"/>
      <c r="E384" s="70"/>
      <c r="F384" s="70"/>
      <c r="G384" s="70"/>
      <c r="H384" s="70"/>
      <c r="I384" s="70"/>
      <c r="J384" s="70"/>
      <c r="K384" s="70"/>
      <c r="L384" s="70"/>
      <c r="M384" s="70"/>
      <c r="N384" s="70"/>
      <c r="O384" s="70"/>
      <c r="P384" s="70"/>
      <c r="Q384" s="70"/>
      <c r="R384" s="70"/>
      <c r="S384" s="70"/>
      <c r="T384" s="91"/>
      <c r="U384" s="91"/>
      <c r="V384" s="70"/>
      <c r="W384" s="58"/>
      <c r="X384" s="58"/>
      <c r="Y384" s="70"/>
      <c r="Z384" s="83"/>
      <c r="AA384" s="70"/>
      <c r="AB384" s="70"/>
      <c r="AC384" s="70"/>
      <c r="AD384" s="70"/>
      <c r="AE384" s="70"/>
      <c r="AF384" s="70"/>
      <c r="AG384" s="70"/>
      <c r="AH384" s="70"/>
      <c r="AI384" s="70"/>
      <c r="AJ384" s="70"/>
      <c r="AK384" s="70"/>
      <c r="AL384" s="70"/>
      <c r="AM384" s="70"/>
      <c r="AN384" s="70"/>
      <c r="AO384" s="70"/>
      <c r="AP384" s="70"/>
      <c r="AQ384" s="70"/>
      <c r="AR384" s="70"/>
      <c r="AS384" s="70"/>
      <c r="AT384" s="70"/>
    </row>
    <row r="385" ht="15.75" customHeight="1">
      <c r="A385" s="70"/>
      <c r="B385" s="70"/>
      <c r="C385" s="70"/>
      <c r="D385" s="80"/>
      <c r="E385" s="70"/>
      <c r="F385" s="70"/>
      <c r="G385" s="70"/>
      <c r="H385" s="70"/>
      <c r="I385" s="70"/>
      <c r="J385" s="70"/>
      <c r="K385" s="70"/>
      <c r="L385" s="70"/>
      <c r="M385" s="70"/>
      <c r="N385" s="70"/>
      <c r="O385" s="70"/>
      <c r="P385" s="70"/>
      <c r="Q385" s="70"/>
      <c r="R385" s="70"/>
      <c r="S385" s="70"/>
      <c r="T385" s="91"/>
      <c r="U385" s="91"/>
      <c r="V385" s="70"/>
      <c r="W385" s="58"/>
      <c r="X385" s="58"/>
      <c r="Y385" s="70"/>
      <c r="Z385" s="83"/>
      <c r="AA385" s="70"/>
      <c r="AB385" s="70"/>
      <c r="AC385" s="70"/>
      <c r="AD385" s="70"/>
      <c r="AE385" s="70"/>
      <c r="AF385" s="70"/>
      <c r="AG385" s="70"/>
      <c r="AH385" s="70"/>
      <c r="AI385" s="70"/>
      <c r="AJ385" s="70"/>
      <c r="AK385" s="70"/>
      <c r="AL385" s="70"/>
      <c r="AM385" s="70"/>
      <c r="AN385" s="70"/>
      <c r="AO385" s="70"/>
      <c r="AP385" s="70"/>
      <c r="AQ385" s="70"/>
      <c r="AR385" s="70"/>
      <c r="AS385" s="70"/>
      <c r="AT385" s="70"/>
    </row>
    <row r="386" ht="15.75" customHeight="1">
      <c r="A386" s="70"/>
      <c r="B386" s="70"/>
      <c r="C386" s="70"/>
      <c r="D386" s="80"/>
      <c r="E386" s="70"/>
      <c r="F386" s="70"/>
      <c r="G386" s="70"/>
      <c r="H386" s="70"/>
      <c r="I386" s="70"/>
      <c r="J386" s="70"/>
      <c r="K386" s="70"/>
      <c r="L386" s="70"/>
      <c r="M386" s="70"/>
      <c r="N386" s="70"/>
      <c r="O386" s="70"/>
      <c r="P386" s="70"/>
      <c r="Q386" s="70"/>
      <c r="R386" s="70"/>
      <c r="S386" s="70"/>
      <c r="T386" s="91"/>
      <c r="U386" s="91"/>
      <c r="V386" s="70"/>
      <c r="W386" s="58"/>
      <c r="X386" s="58"/>
      <c r="Y386" s="70"/>
      <c r="Z386" s="83"/>
      <c r="AA386" s="70"/>
      <c r="AB386" s="70"/>
      <c r="AC386" s="70"/>
      <c r="AD386" s="70"/>
      <c r="AE386" s="70"/>
      <c r="AF386" s="70"/>
      <c r="AG386" s="70"/>
      <c r="AH386" s="70"/>
      <c r="AI386" s="70"/>
      <c r="AJ386" s="70"/>
      <c r="AK386" s="70"/>
      <c r="AL386" s="70"/>
      <c r="AM386" s="70"/>
      <c r="AN386" s="70"/>
      <c r="AO386" s="70"/>
      <c r="AP386" s="70"/>
      <c r="AQ386" s="70"/>
      <c r="AR386" s="70"/>
      <c r="AS386" s="70"/>
      <c r="AT386" s="70"/>
    </row>
    <row r="387" ht="15.75" customHeight="1">
      <c r="A387" s="70"/>
      <c r="B387" s="70"/>
      <c r="C387" s="70"/>
      <c r="D387" s="80"/>
      <c r="E387" s="70"/>
      <c r="F387" s="70"/>
      <c r="G387" s="70"/>
      <c r="H387" s="70"/>
      <c r="I387" s="70"/>
      <c r="J387" s="70"/>
      <c r="K387" s="70"/>
      <c r="L387" s="70"/>
      <c r="M387" s="70"/>
      <c r="N387" s="70"/>
      <c r="O387" s="70"/>
      <c r="P387" s="70"/>
      <c r="Q387" s="70"/>
      <c r="R387" s="70"/>
      <c r="S387" s="70"/>
      <c r="T387" s="91"/>
      <c r="U387" s="91"/>
      <c r="V387" s="70"/>
      <c r="W387" s="58"/>
      <c r="X387" s="58"/>
      <c r="Y387" s="70"/>
      <c r="Z387" s="83"/>
      <c r="AA387" s="70"/>
      <c r="AB387" s="70"/>
      <c r="AC387" s="70"/>
      <c r="AD387" s="70"/>
      <c r="AE387" s="70"/>
      <c r="AF387" s="70"/>
      <c r="AG387" s="70"/>
      <c r="AH387" s="70"/>
      <c r="AI387" s="70"/>
      <c r="AJ387" s="70"/>
      <c r="AK387" s="70"/>
      <c r="AL387" s="70"/>
      <c r="AM387" s="70"/>
      <c r="AN387" s="70"/>
      <c r="AO387" s="70"/>
      <c r="AP387" s="70"/>
      <c r="AQ387" s="70"/>
      <c r="AR387" s="70"/>
      <c r="AS387" s="70"/>
      <c r="AT387" s="70"/>
    </row>
    <row r="388" ht="15.75" customHeight="1">
      <c r="A388" s="70"/>
      <c r="B388" s="70"/>
      <c r="C388" s="70"/>
      <c r="D388" s="80"/>
      <c r="E388" s="70"/>
      <c r="F388" s="70"/>
      <c r="G388" s="70"/>
      <c r="H388" s="70"/>
      <c r="I388" s="70"/>
      <c r="J388" s="70"/>
      <c r="K388" s="70"/>
      <c r="L388" s="70"/>
      <c r="M388" s="70"/>
      <c r="N388" s="70"/>
      <c r="O388" s="70"/>
      <c r="P388" s="70"/>
      <c r="Q388" s="70"/>
      <c r="R388" s="70"/>
      <c r="S388" s="70"/>
      <c r="T388" s="91"/>
      <c r="U388" s="91"/>
      <c r="V388" s="70"/>
      <c r="W388" s="58"/>
      <c r="X388" s="58"/>
      <c r="Y388" s="70"/>
      <c r="Z388" s="83"/>
      <c r="AA388" s="70"/>
      <c r="AB388" s="70"/>
      <c r="AC388" s="70"/>
      <c r="AD388" s="70"/>
      <c r="AE388" s="70"/>
      <c r="AF388" s="70"/>
      <c r="AG388" s="70"/>
      <c r="AH388" s="70"/>
      <c r="AI388" s="70"/>
      <c r="AJ388" s="70"/>
      <c r="AK388" s="70"/>
      <c r="AL388" s="70"/>
      <c r="AM388" s="70"/>
      <c r="AN388" s="70"/>
      <c r="AO388" s="70"/>
      <c r="AP388" s="70"/>
      <c r="AQ388" s="70"/>
      <c r="AR388" s="70"/>
      <c r="AS388" s="70"/>
      <c r="AT388" s="70"/>
    </row>
    <row r="389" ht="15.75" customHeight="1">
      <c r="A389" s="70"/>
      <c r="B389" s="70"/>
      <c r="C389" s="70"/>
      <c r="D389" s="80"/>
      <c r="E389" s="70"/>
      <c r="F389" s="70"/>
      <c r="G389" s="70"/>
      <c r="H389" s="70"/>
      <c r="I389" s="70"/>
      <c r="J389" s="70"/>
      <c r="K389" s="70"/>
      <c r="L389" s="70"/>
      <c r="M389" s="70"/>
      <c r="N389" s="70"/>
      <c r="O389" s="70"/>
      <c r="P389" s="70"/>
      <c r="Q389" s="70"/>
      <c r="R389" s="70"/>
      <c r="S389" s="70"/>
      <c r="T389" s="91"/>
      <c r="U389" s="91"/>
      <c r="V389" s="70"/>
      <c r="W389" s="58"/>
      <c r="X389" s="58"/>
      <c r="Y389" s="70"/>
      <c r="Z389" s="83"/>
      <c r="AA389" s="70"/>
      <c r="AB389" s="70"/>
      <c r="AC389" s="70"/>
      <c r="AD389" s="70"/>
      <c r="AE389" s="70"/>
      <c r="AF389" s="70"/>
      <c r="AG389" s="70"/>
      <c r="AH389" s="70"/>
      <c r="AI389" s="70"/>
      <c r="AJ389" s="70"/>
      <c r="AK389" s="70"/>
      <c r="AL389" s="70"/>
      <c r="AM389" s="70"/>
      <c r="AN389" s="70"/>
      <c r="AO389" s="70"/>
      <c r="AP389" s="70"/>
      <c r="AQ389" s="70"/>
      <c r="AR389" s="70"/>
      <c r="AS389" s="70"/>
      <c r="AT389" s="70"/>
    </row>
    <row r="390" ht="15.75" customHeight="1">
      <c r="A390" s="70"/>
      <c r="B390" s="70"/>
      <c r="C390" s="70"/>
      <c r="D390" s="80"/>
      <c r="E390" s="70"/>
      <c r="F390" s="70"/>
      <c r="G390" s="70"/>
      <c r="H390" s="70"/>
      <c r="I390" s="70"/>
      <c r="J390" s="70"/>
      <c r="K390" s="70"/>
      <c r="L390" s="70"/>
      <c r="M390" s="70"/>
      <c r="N390" s="70"/>
      <c r="O390" s="70"/>
      <c r="P390" s="70"/>
      <c r="Q390" s="70"/>
      <c r="R390" s="70"/>
      <c r="S390" s="70"/>
      <c r="T390" s="91"/>
      <c r="U390" s="91"/>
      <c r="V390" s="70"/>
      <c r="W390" s="58"/>
      <c r="X390" s="58"/>
      <c r="Y390" s="70"/>
      <c r="Z390" s="83"/>
      <c r="AA390" s="70"/>
      <c r="AB390" s="70"/>
      <c r="AC390" s="70"/>
      <c r="AD390" s="70"/>
      <c r="AE390" s="70"/>
      <c r="AF390" s="70"/>
      <c r="AG390" s="70"/>
      <c r="AH390" s="70"/>
      <c r="AI390" s="70"/>
      <c r="AJ390" s="70"/>
      <c r="AK390" s="70"/>
      <c r="AL390" s="70"/>
      <c r="AM390" s="70"/>
      <c r="AN390" s="70"/>
      <c r="AO390" s="70"/>
      <c r="AP390" s="70"/>
      <c r="AQ390" s="70"/>
      <c r="AR390" s="70"/>
      <c r="AS390" s="70"/>
      <c r="AT390" s="70"/>
    </row>
    <row r="391" ht="15.75" customHeight="1">
      <c r="A391" s="70"/>
      <c r="B391" s="70"/>
      <c r="C391" s="70"/>
      <c r="D391" s="80"/>
      <c r="E391" s="70"/>
      <c r="F391" s="70"/>
      <c r="G391" s="70"/>
      <c r="H391" s="70"/>
      <c r="I391" s="70"/>
      <c r="J391" s="70"/>
      <c r="K391" s="70"/>
      <c r="L391" s="70"/>
      <c r="M391" s="70"/>
      <c r="N391" s="70"/>
      <c r="O391" s="70"/>
      <c r="P391" s="70"/>
      <c r="Q391" s="70"/>
      <c r="R391" s="70"/>
      <c r="S391" s="70"/>
      <c r="T391" s="91"/>
      <c r="U391" s="91"/>
      <c r="V391" s="70"/>
      <c r="W391" s="58"/>
      <c r="X391" s="58"/>
      <c r="Y391" s="70"/>
      <c r="Z391" s="83"/>
      <c r="AA391" s="70"/>
      <c r="AB391" s="70"/>
      <c r="AC391" s="70"/>
      <c r="AD391" s="70"/>
      <c r="AE391" s="70"/>
      <c r="AF391" s="70"/>
      <c r="AG391" s="70"/>
      <c r="AH391" s="70"/>
      <c r="AI391" s="70"/>
      <c r="AJ391" s="70"/>
      <c r="AK391" s="70"/>
      <c r="AL391" s="70"/>
      <c r="AM391" s="70"/>
      <c r="AN391" s="70"/>
      <c r="AO391" s="70"/>
      <c r="AP391" s="70"/>
      <c r="AQ391" s="70"/>
      <c r="AR391" s="70"/>
      <c r="AS391" s="70"/>
      <c r="AT391" s="70"/>
    </row>
    <row r="392" ht="15.75" customHeight="1">
      <c r="A392" s="70"/>
      <c r="B392" s="70"/>
      <c r="C392" s="70"/>
      <c r="D392" s="80"/>
      <c r="E392" s="70"/>
      <c r="F392" s="70"/>
      <c r="G392" s="70"/>
      <c r="H392" s="70"/>
      <c r="I392" s="70"/>
      <c r="J392" s="70"/>
      <c r="K392" s="70"/>
      <c r="L392" s="70"/>
      <c r="M392" s="70"/>
      <c r="N392" s="70"/>
      <c r="O392" s="70"/>
      <c r="P392" s="70"/>
      <c r="Q392" s="70"/>
      <c r="R392" s="70"/>
      <c r="S392" s="70"/>
      <c r="T392" s="91"/>
      <c r="U392" s="91"/>
      <c r="V392" s="70"/>
      <c r="W392" s="58"/>
      <c r="X392" s="58"/>
      <c r="Y392" s="70"/>
      <c r="Z392" s="83"/>
      <c r="AA392" s="70"/>
      <c r="AB392" s="70"/>
      <c r="AC392" s="70"/>
      <c r="AD392" s="70"/>
      <c r="AE392" s="70"/>
      <c r="AF392" s="70"/>
      <c r="AG392" s="70"/>
      <c r="AH392" s="70"/>
      <c r="AI392" s="70"/>
      <c r="AJ392" s="70"/>
      <c r="AK392" s="70"/>
      <c r="AL392" s="70"/>
      <c r="AM392" s="70"/>
      <c r="AN392" s="70"/>
      <c r="AO392" s="70"/>
      <c r="AP392" s="70"/>
      <c r="AQ392" s="70"/>
      <c r="AR392" s="70"/>
      <c r="AS392" s="70"/>
      <c r="AT392" s="70"/>
    </row>
    <row r="393" ht="15.75" customHeight="1">
      <c r="A393" s="70"/>
      <c r="B393" s="70"/>
      <c r="C393" s="70"/>
      <c r="D393" s="80"/>
      <c r="E393" s="70"/>
      <c r="F393" s="70"/>
      <c r="G393" s="70"/>
      <c r="H393" s="70"/>
      <c r="I393" s="70"/>
      <c r="J393" s="70"/>
      <c r="K393" s="70"/>
      <c r="L393" s="70"/>
      <c r="M393" s="70"/>
      <c r="N393" s="70"/>
      <c r="O393" s="70"/>
      <c r="P393" s="70"/>
      <c r="Q393" s="70"/>
      <c r="R393" s="70"/>
      <c r="S393" s="70"/>
      <c r="T393" s="91"/>
      <c r="U393" s="91"/>
      <c r="V393" s="70"/>
      <c r="W393" s="58"/>
      <c r="X393" s="58"/>
      <c r="Y393" s="70"/>
      <c r="Z393" s="83"/>
      <c r="AA393" s="70"/>
      <c r="AB393" s="70"/>
      <c r="AC393" s="70"/>
      <c r="AD393" s="70"/>
      <c r="AE393" s="70"/>
      <c r="AF393" s="70"/>
      <c r="AG393" s="70"/>
      <c r="AH393" s="70"/>
      <c r="AI393" s="70"/>
      <c r="AJ393" s="70"/>
      <c r="AK393" s="70"/>
      <c r="AL393" s="70"/>
      <c r="AM393" s="70"/>
      <c r="AN393" s="70"/>
      <c r="AO393" s="70"/>
      <c r="AP393" s="70"/>
      <c r="AQ393" s="70"/>
      <c r="AR393" s="70"/>
      <c r="AS393" s="70"/>
      <c r="AT393" s="70"/>
    </row>
    <row r="394" ht="15.75" customHeight="1">
      <c r="A394" s="70"/>
      <c r="B394" s="70"/>
      <c r="C394" s="70"/>
      <c r="D394" s="80"/>
      <c r="E394" s="70"/>
      <c r="F394" s="70"/>
      <c r="G394" s="70"/>
      <c r="H394" s="70"/>
      <c r="I394" s="70"/>
      <c r="J394" s="70"/>
      <c r="K394" s="70"/>
      <c r="L394" s="70"/>
      <c r="M394" s="70"/>
      <c r="N394" s="70"/>
      <c r="O394" s="70"/>
      <c r="P394" s="70"/>
      <c r="Q394" s="70"/>
      <c r="R394" s="70"/>
      <c r="S394" s="70"/>
      <c r="T394" s="91"/>
      <c r="U394" s="91"/>
      <c r="V394" s="70"/>
      <c r="W394" s="58"/>
      <c r="X394" s="58"/>
      <c r="Y394" s="70"/>
      <c r="Z394" s="83"/>
      <c r="AA394" s="70"/>
      <c r="AB394" s="70"/>
      <c r="AC394" s="70"/>
      <c r="AD394" s="70"/>
      <c r="AE394" s="70"/>
      <c r="AF394" s="70"/>
      <c r="AG394" s="70"/>
      <c r="AH394" s="70"/>
      <c r="AI394" s="70"/>
      <c r="AJ394" s="70"/>
      <c r="AK394" s="70"/>
      <c r="AL394" s="70"/>
      <c r="AM394" s="70"/>
      <c r="AN394" s="70"/>
      <c r="AO394" s="70"/>
      <c r="AP394" s="70"/>
      <c r="AQ394" s="70"/>
      <c r="AR394" s="70"/>
      <c r="AS394" s="70"/>
      <c r="AT394" s="70"/>
    </row>
    <row r="395" ht="15.75" customHeight="1">
      <c r="A395" s="70"/>
      <c r="B395" s="70"/>
      <c r="C395" s="70"/>
      <c r="D395" s="80"/>
      <c r="E395" s="70"/>
      <c r="F395" s="70"/>
      <c r="G395" s="70"/>
      <c r="H395" s="70"/>
      <c r="I395" s="70"/>
      <c r="J395" s="70"/>
      <c r="K395" s="70"/>
      <c r="L395" s="70"/>
      <c r="M395" s="70"/>
      <c r="N395" s="70"/>
      <c r="O395" s="70"/>
      <c r="P395" s="70"/>
      <c r="Q395" s="70"/>
      <c r="R395" s="70"/>
      <c r="S395" s="70"/>
      <c r="T395" s="91"/>
      <c r="U395" s="91"/>
      <c r="V395" s="70"/>
      <c r="W395" s="58"/>
      <c r="X395" s="58"/>
      <c r="Y395" s="70"/>
      <c r="Z395" s="83"/>
      <c r="AA395" s="70"/>
      <c r="AB395" s="70"/>
      <c r="AC395" s="70"/>
      <c r="AD395" s="70"/>
      <c r="AE395" s="70"/>
      <c r="AF395" s="70"/>
      <c r="AG395" s="70"/>
      <c r="AH395" s="70"/>
      <c r="AI395" s="70"/>
      <c r="AJ395" s="70"/>
      <c r="AK395" s="70"/>
      <c r="AL395" s="70"/>
      <c r="AM395" s="70"/>
      <c r="AN395" s="70"/>
      <c r="AO395" s="70"/>
      <c r="AP395" s="70"/>
      <c r="AQ395" s="70"/>
      <c r="AR395" s="70"/>
      <c r="AS395" s="70"/>
      <c r="AT395" s="70"/>
    </row>
    <row r="396" ht="15.75" customHeight="1">
      <c r="A396" s="70"/>
      <c r="B396" s="70"/>
      <c r="C396" s="70"/>
      <c r="D396" s="80"/>
      <c r="E396" s="70"/>
      <c r="F396" s="70"/>
      <c r="G396" s="70"/>
      <c r="H396" s="70"/>
      <c r="I396" s="70"/>
      <c r="J396" s="70"/>
      <c r="K396" s="70"/>
      <c r="L396" s="70"/>
      <c r="M396" s="70"/>
      <c r="N396" s="70"/>
      <c r="O396" s="70"/>
      <c r="P396" s="70"/>
      <c r="Q396" s="70"/>
      <c r="R396" s="70"/>
      <c r="S396" s="70"/>
      <c r="T396" s="91"/>
      <c r="U396" s="91"/>
      <c r="V396" s="70"/>
      <c r="W396" s="58"/>
      <c r="X396" s="58"/>
      <c r="Y396" s="70"/>
      <c r="Z396" s="83"/>
      <c r="AA396" s="70"/>
      <c r="AB396" s="70"/>
      <c r="AC396" s="70"/>
      <c r="AD396" s="70"/>
      <c r="AE396" s="70"/>
      <c r="AF396" s="70"/>
      <c r="AG396" s="70"/>
      <c r="AH396" s="70"/>
      <c r="AI396" s="70"/>
      <c r="AJ396" s="70"/>
      <c r="AK396" s="70"/>
      <c r="AL396" s="70"/>
      <c r="AM396" s="70"/>
      <c r="AN396" s="70"/>
      <c r="AO396" s="70"/>
      <c r="AP396" s="70"/>
      <c r="AQ396" s="70"/>
      <c r="AR396" s="70"/>
      <c r="AS396" s="70"/>
      <c r="AT396" s="70"/>
    </row>
    <row r="397" ht="15.75" customHeight="1">
      <c r="A397" s="70"/>
      <c r="B397" s="70"/>
      <c r="C397" s="70"/>
      <c r="D397" s="80"/>
      <c r="E397" s="70"/>
      <c r="F397" s="70"/>
      <c r="G397" s="70"/>
      <c r="H397" s="70"/>
      <c r="I397" s="70"/>
      <c r="J397" s="70"/>
      <c r="K397" s="70"/>
      <c r="L397" s="70"/>
      <c r="M397" s="70"/>
      <c r="N397" s="70"/>
      <c r="O397" s="70"/>
      <c r="P397" s="70"/>
      <c r="Q397" s="70"/>
      <c r="R397" s="70"/>
      <c r="S397" s="70"/>
      <c r="T397" s="91"/>
      <c r="U397" s="91"/>
      <c r="V397" s="70"/>
      <c r="W397" s="58"/>
      <c r="X397" s="58"/>
      <c r="Y397" s="70"/>
      <c r="Z397" s="83"/>
      <c r="AA397" s="70"/>
      <c r="AB397" s="70"/>
      <c r="AC397" s="70"/>
      <c r="AD397" s="70"/>
      <c r="AE397" s="70"/>
      <c r="AF397" s="70"/>
      <c r="AG397" s="70"/>
      <c r="AH397" s="70"/>
      <c r="AI397" s="70"/>
      <c r="AJ397" s="70"/>
      <c r="AK397" s="70"/>
      <c r="AL397" s="70"/>
      <c r="AM397" s="70"/>
      <c r="AN397" s="70"/>
      <c r="AO397" s="70"/>
      <c r="AP397" s="70"/>
      <c r="AQ397" s="70"/>
      <c r="AR397" s="70"/>
      <c r="AS397" s="70"/>
      <c r="AT397" s="70"/>
    </row>
    <row r="398" ht="15.75" customHeight="1">
      <c r="A398" s="70"/>
      <c r="B398" s="70"/>
      <c r="C398" s="70"/>
      <c r="D398" s="80"/>
      <c r="E398" s="70"/>
      <c r="F398" s="70"/>
      <c r="G398" s="70"/>
      <c r="H398" s="70"/>
      <c r="I398" s="70"/>
      <c r="J398" s="70"/>
      <c r="K398" s="70"/>
      <c r="L398" s="70"/>
      <c r="M398" s="70"/>
      <c r="N398" s="70"/>
      <c r="O398" s="70"/>
      <c r="P398" s="70"/>
      <c r="Q398" s="70"/>
      <c r="R398" s="70"/>
      <c r="S398" s="70"/>
      <c r="T398" s="91"/>
      <c r="U398" s="91"/>
      <c r="V398" s="70"/>
      <c r="W398" s="58"/>
      <c r="X398" s="58"/>
      <c r="Y398" s="70"/>
      <c r="Z398" s="83"/>
      <c r="AA398" s="70"/>
      <c r="AB398" s="70"/>
      <c r="AC398" s="70"/>
      <c r="AD398" s="70"/>
      <c r="AE398" s="70"/>
      <c r="AF398" s="70"/>
      <c r="AG398" s="70"/>
      <c r="AH398" s="70"/>
      <c r="AI398" s="70"/>
      <c r="AJ398" s="70"/>
      <c r="AK398" s="70"/>
      <c r="AL398" s="70"/>
      <c r="AM398" s="70"/>
      <c r="AN398" s="70"/>
      <c r="AO398" s="70"/>
      <c r="AP398" s="70"/>
      <c r="AQ398" s="70"/>
      <c r="AR398" s="70"/>
      <c r="AS398" s="70"/>
      <c r="AT398" s="70"/>
    </row>
    <row r="399" ht="15.75" customHeight="1">
      <c r="A399" s="70"/>
      <c r="B399" s="70"/>
      <c r="C399" s="70"/>
      <c r="D399" s="80"/>
      <c r="E399" s="70"/>
      <c r="F399" s="70"/>
      <c r="G399" s="70"/>
      <c r="H399" s="70"/>
      <c r="I399" s="70"/>
      <c r="J399" s="70"/>
      <c r="K399" s="70"/>
      <c r="L399" s="70"/>
      <c r="M399" s="70"/>
      <c r="N399" s="70"/>
      <c r="O399" s="70"/>
      <c r="P399" s="70"/>
      <c r="Q399" s="70"/>
      <c r="R399" s="70"/>
      <c r="S399" s="70"/>
      <c r="T399" s="91"/>
      <c r="U399" s="91"/>
      <c r="V399" s="70"/>
      <c r="W399" s="58"/>
      <c r="X399" s="58"/>
      <c r="Y399" s="70"/>
      <c r="Z399" s="83"/>
      <c r="AA399" s="70"/>
      <c r="AB399" s="70"/>
      <c r="AC399" s="70"/>
      <c r="AD399" s="70"/>
      <c r="AE399" s="70"/>
      <c r="AF399" s="70"/>
      <c r="AG399" s="70"/>
      <c r="AH399" s="70"/>
      <c r="AI399" s="70"/>
      <c r="AJ399" s="70"/>
      <c r="AK399" s="70"/>
      <c r="AL399" s="70"/>
      <c r="AM399" s="70"/>
      <c r="AN399" s="70"/>
      <c r="AO399" s="70"/>
      <c r="AP399" s="70"/>
      <c r="AQ399" s="70"/>
      <c r="AR399" s="70"/>
      <c r="AS399" s="70"/>
      <c r="AT399" s="70"/>
    </row>
    <row r="400" ht="15.75" customHeight="1">
      <c r="A400" s="70"/>
      <c r="B400" s="70"/>
      <c r="C400" s="70"/>
      <c r="D400" s="80"/>
      <c r="E400" s="70"/>
      <c r="F400" s="70"/>
      <c r="G400" s="70"/>
      <c r="H400" s="70"/>
      <c r="I400" s="70"/>
      <c r="J400" s="70"/>
      <c r="K400" s="70"/>
      <c r="L400" s="70"/>
      <c r="M400" s="70"/>
      <c r="N400" s="70"/>
      <c r="O400" s="70"/>
      <c r="P400" s="70"/>
      <c r="Q400" s="70"/>
      <c r="R400" s="70"/>
      <c r="S400" s="70"/>
      <c r="T400" s="91"/>
      <c r="U400" s="91"/>
      <c r="V400" s="70"/>
      <c r="W400" s="58"/>
      <c r="X400" s="58"/>
      <c r="Y400" s="70"/>
      <c r="Z400" s="83"/>
      <c r="AA400" s="70"/>
      <c r="AB400" s="70"/>
      <c r="AC400" s="70"/>
      <c r="AD400" s="70"/>
      <c r="AE400" s="70"/>
      <c r="AF400" s="70"/>
      <c r="AG400" s="70"/>
      <c r="AH400" s="70"/>
      <c r="AI400" s="70"/>
      <c r="AJ400" s="70"/>
      <c r="AK400" s="70"/>
      <c r="AL400" s="70"/>
      <c r="AM400" s="70"/>
      <c r="AN400" s="70"/>
      <c r="AO400" s="70"/>
      <c r="AP400" s="70"/>
      <c r="AQ400" s="70"/>
      <c r="AR400" s="70"/>
      <c r="AS400" s="70"/>
      <c r="AT400" s="70"/>
    </row>
    <row r="401" ht="15.75" customHeight="1">
      <c r="A401" s="70"/>
      <c r="B401" s="70"/>
      <c r="C401" s="70"/>
      <c r="D401" s="80"/>
      <c r="E401" s="70"/>
      <c r="F401" s="70"/>
      <c r="G401" s="70"/>
      <c r="H401" s="70"/>
      <c r="I401" s="70"/>
      <c r="J401" s="70"/>
      <c r="K401" s="70"/>
      <c r="L401" s="70"/>
      <c r="M401" s="70"/>
      <c r="N401" s="70"/>
      <c r="O401" s="70"/>
      <c r="P401" s="70"/>
      <c r="Q401" s="70"/>
      <c r="R401" s="70"/>
      <c r="S401" s="70"/>
      <c r="T401" s="91"/>
      <c r="U401" s="91"/>
      <c r="V401" s="70"/>
      <c r="W401" s="58"/>
      <c r="X401" s="58"/>
      <c r="Y401" s="70"/>
      <c r="Z401" s="83"/>
      <c r="AA401" s="70"/>
      <c r="AB401" s="70"/>
      <c r="AC401" s="70"/>
      <c r="AD401" s="70"/>
      <c r="AE401" s="70"/>
      <c r="AF401" s="70"/>
      <c r="AG401" s="70"/>
      <c r="AH401" s="70"/>
      <c r="AI401" s="70"/>
      <c r="AJ401" s="70"/>
      <c r="AK401" s="70"/>
      <c r="AL401" s="70"/>
      <c r="AM401" s="70"/>
      <c r="AN401" s="70"/>
      <c r="AO401" s="70"/>
      <c r="AP401" s="70"/>
      <c r="AQ401" s="70"/>
      <c r="AR401" s="70"/>
      <c r="AS401" s="70"/>
      <c r="AT401" s="70"/>
    </row>
    <row r="402" ht="15.75" customHeight="1">
      <c r="A402" s="70"/>
      <c r="B402" s="70"/>
      <c r="C402" s="70"/>
      <c r="D402" s="80"/>
      <c r="E402" s="70"/>
      <c r="F402" s="70"/>
      <c r="G402" s="70"/>
      <c r="H402" s="70"/>
      <c r="I402" s="70"/>
      <c r="J402" s="70"/>
      <c r="K402" s="70"/>
      <c r="L402" s="70"/>
      <c r="M402" s="70"/>
      <c r="N402" s="70"/>
      <c r="O402" s="70"/>
      <c r="P402" s="70"/>
      <c r="Q402" s="70"/>
      <c r="R402" s="70"/>
      <c r="S402" s="70"/>
      <c r="T402" s="91"/>
      <c r="U402" s="91"/>
      <c r="V402" s="70"/>
      <c r="W402" s="58"/>
      <c r="X402" s="58"/>
      <c r="Y402" s="70"/>
      <c r="Z402" s="83"/>
      <c r="AA402" s="70"/>
      <c r="AB402" s="70"/>
      <c r="AC402" s="70"/>
      <c r="AD402" s="70"/>
      <c r="AE402" s="70"/>
      <c r="AF402" s="70"/>
      <c r="AG402" s="70"/>
      <c r="AH402" s="70"/>
      <c r="AI402" s="70"/>
      <c r="AJ402" s="70"/>
      <c r="AK402" s="70"/>
      <c r="AL402" s="70"/>
      <c r="AM402" s="70"/>
      <c r="AN402" s="70"/>
      <c r="AO402" s="70"/>
      <c r="AP402" s="70"/>
      <c r="AQ402" s="70"/>
      <c r="AR402" s="70"/>
      <c r="AS402" s="70"/>
      <c r="AT402" s="70"/>
    </row>
    <row r="403" ht="15.75" customHeight="1">
      <c r="A403" s="70"/>
      <c r="B403" s="70"/>
      <c r="C403" s="70"/>
      <c r="D403" s="80"/>
      <c r="E403" s="70"/>
      <c r="F403" s="70"/>
      <c r="G403" s="70"/>
      <c r="H403" s="70"/>
      <c r="I403" s="70"/>
      <c r="J403" s="70"/>
      <c r="K403" s="70"/>
      <c r="L403" s="70"/>
      <c r="M403" s="70"/>
      <c r="N403" s="70"/>
      <c r="O403" s="70"/>
      <c r="P403" s="70"/>
      <c r="Q403" s="70"/>
      <c r="R403" s="70"/>
      <c r="S403" s="70"/>
      <c r="T403" s="91"/>
      <c r="U403" s="91"/>
      <c r="V403" s="70"/>
      <c r="W403" s="58"/>
      <c r="X403" s="58"/>
      <c r="Y403" s="70"/>
      <c r="Z403" s="83"/>
      <c r="AA403" s="70"/>
      <c r="AB403" s="70"/>
      <c r="AC403" s="70"/>
      <c r="AD403" s="70"/>
      <c r="AE403" s="70"/>
      <c r="AF403" s="70"/>
      <c r="AG403" s="70"/>
      <c r="AH403" s="70"/>
      <c r="AI403" s="70"/>
      <c r="AJ403" s="70"/>
      <c r="AK403" s="70"/>
      <c r="AL403" s="70"/>
      <c r="AM403" s="70"/>
      <c r="AN403" s="70"/>
      <c r="AO403" s="70"/>
      <c r="AP403" s="70"/>
      <c r="AQ403" s="70"/>
      <c r="AR403" s="70"/>
      <c r="AS403" s="70"/>
      <c r="AT403" s="70"/>
    </row>
    <row r="404" ht="15.75" customHeight="1">
      <c r="A404" s="70"/>
      <c r="B404" s="70"/>
      <c r="C404" s="70"/>
      <c r="D404" s="80"/>
      <c r="E404" s="70"/>
      <c r="F404" s="70"/>
      <c r="G404" s="70"/>
      <c r="H404" s="70"/>
      <c r="I404" s="70"/>
      <c r="J404" s="70"/>
      <c r="K404" s="70"/>
      <c r="L404" s="70"/>
      <c r="M404" s="70"/>
      <c r="N404" s="70"/>
      <c r="O404" s="70"/>
      <c r="P404" s="70"/>
      <c r="Q404" s="70"/>
      <c r="R404" s="70"/>
      <c r="S404" s="70"/>
      <c r="T404" s="91"/>
      <c r="U404" s="91"/>
      <c r="V404" s="70"/>
      <c r="W404" s="58"/>
      <c r="X404" s="58"/>
      <c r="Y404" s="70"/>
      <c r="Z404" s="83"/>
      <c r="AA404" s="70"/>
      <c r="AB404" s="70"/>
      <c r="AC404" s="70"/>
      <c r="AD404" s="70"/>
      <c r="AE404" s="70"/>
      <c r="AF404" s="70"/>
      <c r="AG404" s="70"/>
      <c r="AH404" s="70"/>
      <c r="AI404" s="70"/>
      <c r="AJ404" s="70"/>
      <c r="AK404" s="70"/>
      <c r="AL404" s="70"/>
      <c r="AM404" s="70"/>
      <c r="AN404" s="70"/>
      <c r="AO404" s="70"/>
      <c r="AP404" s="70"/>
      <c r="AQ404" s="70"/>
      <c r="AR404" s="70"/>
      <c r="AS404" s="70"/>
      <c r="AT404" s="70"/>
    </row>
    <row r="405" ht="15.75" customHeight="1">
      <c r="A405" s="70"/>
      <c r="B405" s="70"/>
      <c r="C405" s="70"/>
      <c r="D405" s="80"/>
      <c r="E405" s="70"/>
      <c r="F405" s="70"/>
      <c r="G405" s="70"/>
      <c r="H405" s="70"/>
      <c r="I405" s="70"/>
      <c r="J405" s="70"/>
      <c r="K405" s="70"/>
      <c r="L405" s="70"/>
      <c r="M405" s="70"/>
      <c r="N405" s="70"/>
      <c r="O405" s="70"/>
      <c r="P405" s="70"/>
      <c r="Q405" s="70"/>
      <c r="R405" s="70"/>
      <c r="S405" s="70"/>
      <c r="T405" s="91"/>
      <c r="U405" s="91"/>
      <c r="V405" s="70"/>
      <c r="W405" s="58"/>
      <c r="X405" s="58"/>
      <c r="Y405" s="70"/>
      <c r="Z405" s="83"/>
      <c r="AA405" s="70"/>
      <c r="AB405" s="70"/>
      <c r="AC405" s="70"/>
      <c r="AD405" s="70"/>
      <c r="AE405" s="70"/>
      <c r="AF405" s="70"/>
      <c r="AG405" s="70"/>
      <c r="AH405" s="70"/>
      <c r="AI405" s="70"/>
      <c r="AJ405" s="70"/>
      <c r="AK405" s="70"/>
      <c r="AL405" s="70"/>
      <c r="AM405" s="70"/>
      <c r="AN405" s="70"/>
      <c r="AO405" s="70"/>
      <c r="AP405" s="70"/>
      <c r="AQ405" s="70"/>
      <c r="AR405" s="70"/>
      <c r="AS405" s="70"/>
      <c r="AT405" s="70"/>
    </row>
    <row r="406" ht="15.75" customHeight="1">
      <c r="A406" s="70"/>
      <c r="B406" s="70"/>
      <c r="C406" s="70"/>
      <c r="D406" s="80"/>
      <c r="E406" s="70"/>
      <c r="F406" s="70"/>
      <c r="G406" s="70"/>
      <c r="H406" s="70"/>
      <c r="I406" s="70"/>
      <c r="J406" s="70"/>
      <c r="K406" s="70"/>
      <c r="L406" s="70"/>
      <c r="M406" s="70"/>
      <c r="N406" s="70"/>
      <c r="O406" s="70"/>
      <c r="P406" s="70"/>
      <c r="Q406" s="70"/>
      <c r="R406" s="70"/>
      <c r="S406" s="70"/>
      <c r="T406" s="91"/>
      <c r="U406" s="91"/>
      <c r="V406" s="70"/>
      <c r="W406" s="58"/>
      <c r="X406" s="58"/>
      <c r="Y406" s="70"/>
      <c r="Z406" s="83"/>
      <c r="AA406" s="70"/>
      <c r="AB406" s="70"/>
      <c r="AC406" s="70"/>
      <c r="AD406" s="70"/>
      <c r="AE406" s="70"/>
      <c r="AF406" s="70"/>
      <c r="AG406" s="70"/>
      <c r="AH406" s="70"/>
      <c r="AI406" s="70"/>
      <c r="AJ406" s="70"/>
      <c r="AK406" s="70"/>
      <c r="AL406" s="70"/>
      <c r="AM406" s="70"/>
      <c r="AN406" s="70"/>
      <c r="AO406" s="70"/>
      <c r="AP406" s="70"/>
      <c r="AQ406" s="70"/>
      <c r="AR406" s="70"/>
      <c r="AS406" s="70"/>
      <c r="AT406" s="70"/>
    </row>
    <row r="407" ht="15.75" customHeight="1">
      <c r="A407" s="70"/>
      <c r="B407" s="70"/>
      <c r="C407" s="70"/>
      <c r="D407" s="80"/>
      <c r="E407" s="70"/>
      <c r="F407" s="70"/>
      <c r="G407" s="70"/>
      <c r="H407" s="70"/>
      <c r="I407" s="70"/>
      <c r="J407" s="70"/>
      <c r="K407" s="70"/>
      <c r="L407" s="70"/>
      <c r="M407" s="70"/>
      <c r="N407" s="70"/>
      <c r="O407" s="70"/>
      <c r="P407" s="70"/>
      <c r="Q407" s="70"/>
      <c r="R407" s="70"/>
      <c r="S407" s="70"/>
      <c r="T407" s="91"/>
      <c r="U407" s="91"/>
      <c r="V407" s="70"/>
      <c r="W407" s="58"/>
      <c r="X407" s="58"/>
      <c r="Y407" s="70"/>
      <c r="Z407" s="83"/>
      <c r="AA407" s="70"/>
      <c r="AB407" s="70"/>
      <c r="AC407" s="70"/>
      <c r="AD407" s="70"/>
      <c r="AE407" s="70"/>
      <c r="AF407" s="70"/>
      <c r="AG407" s="70"/>
      <c r="AH407" s="70"/>
      <c r="AI407" s="70"/>
      <c r="AJ407" s="70"/>
      <c r="AK407" s="70"/>
      <c r="AL407" s="70"/>
      <c r="AM407" s="70"/>
      <c r="AN407" s="70"/>
      <c r="AO407" s="70"/>
      <c r="AP407" s="70"/>
      <c r="AQ407" s="70"/>
      <c r="AR407" s="70"/>
      <c r="AS407" s="70"/>
      <c r="AT407" s="70"/>
    </row>
    <row r="408" ht="15.75" customHeight="1">
      <c r="A408" s="70"/>
      <c r="B408" s="70"/>
      <c r="C408" s="70"/>
      <c r="D408" s="80"/>
      <c r="E408" s="70"/>
      <c r="F408" s="70"/>
      <c r="G408" s="70"/>
      <c r="H408" s="70"/>
      <c r="I408" s="70"/>
      <c r="J408" s="70"/>
      <c r="K408" s="70"/>
      <c r="L408" s="70"/>
      <c r="M408" s="70"/>
      <c r="N408" s="70"/>
      <c r="O408" s="70"/>
      <c r="P408" s="70"/>
      <c r="Q408" s="70"/>
      <c r="R408" s="70"/>
      <c r="S408" s="70"/>
      <c r="T408" s="91"/>
      <c r="U408" s="91"/>
      <c r="V408" s="70"/>
      <c r="W408" s="58"/>
      <c r="X408" s="58"/>
      <c r="Y408" s="70"/>
      <c r="Z408" s="83"/>
      <c r="AA408" s="70"/>
      <c r="AB408" s="70"/>
      <c r="AC408" s="70"/>
      <c r="AD408" s="70"/>
      <c r="AE408" s="70"/>
      <c r="AF408" s="70"/>
      <c r="AG408" s="70"/>
      <c r="AH408" s="70"/>
      <c r="AI408" s="70"/>
      <c r="AJ408" s="70"/>
      <c r="AK408" s="70"/>
      <c r="AL408" s="70"/>
      <c r="AM408" s="70"/>
      <c r="AN408" s="70"/>
      <c r="AO408" s="70"/>
      <c r="AP408" s="70"/>
      <c r="AQ408" s="70"/>
      <c r="AR408" s="70"/>
      <c r="AS408" s="70"/>
      <c r="AT408" s="70"/>
    </row>
    <row r="409" ht="15.75" customHeight="1">
      <c r="A409" s="70"/>
      <c r="B409" s="70"/>
      <c r="C409" s="70"/>
      <c r="D409" s="80"/>
      <c r="E409" s="70"/>
      <c r="F409" s="70"/>
      <c r="G409" s="70"/>
      <c r="H409" s="70"/>
      <c r="I409" s="70"/>
      <c r="J409" s="70"/>
      <c r="K409" s="70"/>
      <c r="L409" s="70"/>
      <c r="M409" s="70"/>
      <c r="N409" s="70"/>
      <c r="O409" s="70"/>
      <c r="P409" s="70"/>
      <c r="Q409" s="70"/>
      <c r="R409" s="70"/>
      <c r="S409" s="70"/>
      <c r="T409" s="91"/>
      <c r="U409" s="91"/>
      <c r="V409" s="70"/>
      <c r="W409" s="58"/>
      <c r="X409" s="58"/>
      <c r="Y409" s="70"/>
      <c r="Z409" s="83"/>
      <c r="AA409" s="70"/>
      <c r="AB409" s="70"/>
      <c r="AC409" s="70"/>
      <c r="AD409" s="70"/>
      <c r="AE409" s="70"/>
      <c r="AF409" s="70"/>
      <c r="AG409" s="70"/>
      <c r="AH409" s="70"/>
      <c r="AI409" s="70"/>
      <c r="AJ409" s="70"/>
      <c r="AK409" s="70"/>
      <c r="AL409" s="70"/>
      <c r="AM409" s="70"/>
      <c r="AN409" s="70"/>
      <c r="AO409" s="70"/>
      <c r="AP409" s="70"/>
      <c r="AQ409" s="70"/>
      <c r="AR409" s="70"/>
      <c r="AS409" s="70"/>
      <c r="AT409" s="70"/>
    </row>
    <row r="410" ht="15.75" customHeight="1">
      <c r="A410" s="70"/>
      <c r="B410" s="70"/>
      <c r="C410" s="70"/>
      <c r="D410" s="80"/>
      <c r="E410" s="70"/>
      <c r="F410" s="70"/>
      <c r="G410" s="70"/>
      <c r="H410" s="70"/>
      <c r="I410" s="70"/>
      <c r="J410" s="70"/>
      <c r="K410" s="70"/>
      <c r="L410" s="70"/>
      <c r="M410" s="70"/>
      <c r="N410" s="70"/>
      <c r="O410" s="70"/>
      <c r="P410" s="70"/>
      <c r="Q410" s="70"/>
      <c r="R410" s="70"/>
      <c r="S410" s="70"/>
      <c r="T410" s="91"/>
      <c r="U410" s="91"/>
      <c r="V410" s="70"/>
      <c r="W410" s="58"/>
      <c r="X410" s="58"/>
      <c r="Y410" s="70"/>
      <c r="Z410" s="83"/>
      <c r="AA410" s="70"/>
      <c r="AB410" s="70"/>
      <c r="AC410" s="70"/>
      <c r="AD410" s="70"/>
      <c r="AE410" s="70"/>
      <c r="AF410" s="70"/>
      <c r="AG410" s="70"/>
      <c r="AH410" s="70"/>
      <c r="AI410" s="70"/>
      <c r="AJ410" s="70"/>
      <c r="AK410" s="70"/>
      <c r="AL410" s="70"/>
      <c r="AM410" s="70"/>
      <c r="AN410" s="70"/>
      <c r="AO410" s="70"/>
      <c r="AP410" s="70"/>
      <c r="AQ410" s="70"/>
      <c r="AR410" s="70"/>
      <c r="AS410" s="70"/>
      <c r="AT410" s="70"/>
    </row>
    <row r="411" ht="15.75" customHeight="1">
      <c r="A411" s="70"/>
      <c r="B411" s="70"/>
      <c r="C411" s="70"/>
      <c r="D411" s="80"/>
      <c r="E411" s="70"/>
      <c r="F411" s="70"/>
      <c r="G411" s="70"/>
      <c r="H411" s="70"/>
      <c r="I411" s="70"/>
      <c r="J411" s="70"/>
      <c r="K411" s="70"/>
      <c r="L411" s="70"/>
      <c r="M411" s="70"/>
      <c r="N411" s="70"/>
      <c r="O411" s="70"/>
      <c r="P411" s="70"/>
      <c r="Q411" s="70"/>
      <c r="R411" s="70"/>
      <c r="S411" s="70"/>
      <c r="T411" s="91"/>
      <c r="U411" s="91"/>
      <c r="V411" s="70"/>
      <c r="W411" s="58"/>
      <c r="X411" s="58"/>
      <c r="Y411" s="70"/>
      <c r="Z411" s="83"/>
      <c r="AA411" s="70"/>
      <c r="AB411" s="70"/>
      <c r="AC411" s="70"/>
      <c r="AD411" s="70"/>
      <c r="AE411" s="70"/>
      <c r="AF411" s="70"/>
      <c r="AG411" s="70"/>
      <c r="AH411" s="70"/>
      <c r="AI411" s="70"/>
      <c r="AJ411" s="70"/>
      <c r="AK411" s="70"/>
      <c r="AL411" s="70"/>
      <c r="AM411" s="70"/>
      <c r="AN411" s="70"/>
      <c r="AO411" s="70"/>
      <c r="AP411" s="70"/>
      <c r="AQ411" s="70"/>
      <c r="AR411" s="70"/>
      <c r="AS411" s="70"/>
      <c r="AT411" s="70"/>
    </row>
    <row r="412" ht="15.75" customHeight="1">
      <c r="A412" s="70"/>
      <c r="B412" s="70"/>
      <c r="C412" s="70"/>
      <c r="D412" s="80"/>
      <c r="E412" s="70"/>
      <c r="F412" s="70"/>
      <c r="G412" s="70"/>
      <c r="H412" s="70"/>
      <c r="I412" s="70"/>
      <c r="J412" s="70"/>
      <c r="K412" s="70"/>
      <c r="L412" s="70"/>
      <c r="M412" s="70"/>
      <c r="N412" s="70"/>
      <c r="O412" s="70"/>
      <c r="P412" s="70"/>
      <c r="Q412" s="70"/>
      <c r="R412" s="70"/>
      <c r="S412" s="70"/>
      <c r="T412" s="91"/>
      <c r="U412" s="91"/>
      <c r="V412" s="70"/>
      <c r="W412" s="58"/>
      <c r="X412" s="58"/>
      <c r="Y412" s="70"/>
      <c r="Z412" s="83"/>
      <c r="AA412" s="70"/>
      <c r="AB412" s="70"/>
      <c r="AC412" s="70"/>
      <c r="AD412" s="70"/>
      <c r="AE412" s="70"/>
      <c r="AF412" s="70"/>
      <c r="AG412" s="70"/>
      <c r="AH412" s="70"/>
      <c r="AI412" s="70"/>
      <c r="AJ412" s="70"/>
      <c r="AK412" s="70"/>
      <c r="AL412" s="70"/>
      <c r="AM412" s="70"/>
      <c r="AN412" s="70"/>
      <c r="AO412" s="70"/>
      <c r="AP412" s="70"/>
      <c r="AQ412" s="70"/>
      <c r="AR412" s="70"/>
      <c r="AS412" s="70"/>
      <c r="AT412" s="70"/>
    </row>
    <row r="413" ht="15.75" customHeight="1">
      <c r="A413" s="70"/>
      <c r="B413" s="70"/>
      <c r="C413" s="70"/>
      <c r="D413" s="80"/>
      <c r="E413" s="70"/>
      <c r="F413" s="70"/>
      <c r="G413" s="70"/>
      <c r="H413" s="70"/>
      <c r="I413" s="70"/>
      <c r="J413" s="70"/>
      <c r="K413" s="70"/>
      <c r="L413" s="70"/>
      <c r="M413" s="70"/>
      <c r="N413" s="70"/>
      <c r="O413" s="70"/>
      <c r="P413" s="70"/>
      <c r="Q413" s="70"/>
      <c r="R413" s="70"/>
      <c r="S413" s="70"/>
      <c r="T413" s="91"/>
      <c r="U413" s="91"/>
      <c r="V413" s="70"/>
      <c r="W413" s="58"/>
      <c r="X413" s="58"/>
      <c r="Y413" s="70"/>
      <c r="Z413" s="83"/>
      <c r="AA413" s="70"/>
      <c r="AB413" s="70"/>
      <c r="AC413" s="70"/>
      <c r="AD413" s="70"/>
      <c r="AE413" s="70"/>
      <c r="AF413" s="70"/>
      <c r="AG413" s="70"/>
      <c r="AH413" s="70"/>
      <c r="AI413" s="70"/>
      <c r="AJ413" s="70"/>
      <c r="AK413" s="70"/>
      <c r="AL413" s="70"/>
      <c r="AM413" s="70"/>
      <c r="AN413" s="70"/>
      <c r="AO413" s="70"/>
      <c r="AP413" s="70"/>
      <c r="AQ413" s="70"/>
      <c r="AR413" s="70"/>
      <c r="AS413" s="70"/>
      <c r="AT413" s="70"/>
    </row>
    <row r="414" ht="15.75" customHeight="1">
      <c r="A414" s="70"/>
      <c r="B414" s="70"/>
      <c r="C414" s="70"/>
      <c r="D414" s="80"/>
      <c r="E414" s="70"/>
      <c r="F414" s="70"/>
      <c r="G414" s="70"/>
      <c r="H414" s="70"/>
      <c r="I414" s="70"/>
      <c r="J414" s="70"/>
      <c r="K414" s="70"/>
      <c r="L414" s="70"/>
      <c r="M414" s="70"/>
      <c r="N414" s="70"/>
      <c r="O414" s="70"/>
      <c r="P414" s="70"/>
      <c r="Q414" s="70"/>
      <c r="R414" s="70"/>
      <c r="S414" s="70"/>
      <c r="T414" s="91"/>
      <c r="U414" s="91"/>
      <c r="V414" s="70"/>
      <c r="W414" s="58"/>
      <c r="X414" s="58"/>
      <c r="Y414" s="70"/>
      <c r="Z414" s="83"/>
      <c r="AA414" s="70"/>
      <c r="AB414" s="70"/>
      <c r="AC414" s="70"/>
      <c r="AD414" s="70"/>
      <c r="AE414" s="70"/>
      <c r="AF414" s="70"/>
      <c r="AG414" s="70"/>
      <c r="AH414" s="70"/>
      <c r="AI414" s="70"/>
      <c r="AJ414" s="70"/>
      <c r="AK414" s="70"/>
      <c r="AL414" s="70"/>
      <c r="AM414" s="70"/>
      <c r="AN414" s="70"/>
      <c r="AO414" s="70"/>
      <c r="AP414" s="70"/>
      <c r="AQ414" s="70"/>
      <c r="AR414" s="70"/>
      <c r="AS414" s="70"/>
      <c r="AT414" s="70"/>
    </row>
    <row r="415" ht="15.75" customHeight="1">
      <c r="A415" s="70"/>
      <c r="B415" s="70"/>
      <c r="C415" s="70"/>
      <c r="D415" s="80"/>
      <c r="E415" s="70"/>
      <c r="F415" s="70"/>
      <c r="G415" s="70"/>
      <c r="H415" s="70"/>
      <c r="I415" s="70"/>
      <c r="J415" s="70"/>
      <c r="K415" s="70"/>
      <c r="L415" s="70"/>
      <c r="M415" s="70"/>
      <c r="N415" s="70"/>
      <c r="O415" s="70"/>
      <c r="P415" s="70"/>
      <c r="Q415" s="70"/>
      <c r="R415" s="70"/>
      <c r="S415" s="70"/>
      <c r="T415" s="91"/>
      <c r="U415" s="91"/>
      <c r="V415" s="70"/>
      <c r="W415" s="58"/>
      <c r="X415" s="58"/>
      <c r="Y415" s="70"/>
      <c r="Z415" s="83"/>
      <c r="AA415" s="70"/>
      <c r="AB415" s="70"/>
      <c r="AC415" s="70"/>
      <c r="AD415" s="70"/>
      <c r="AE415" s="70"/>
      <c r="AF415" s="70"/>
      <c r="AG415" s="70"/>
      <c r="AH415" s="70"/>
      <c r="AI415" s="70"/>
      <c r="AJ415" s="70"/>
      <c r="AK415" s="70"/>
      <c r="AL415" s="70"/>
      <c r="AM415" s="70"/>
      <c r="AN415" s="70"/>
      <c r="AO415" s="70"/>
      <c r="AP415" s="70"/>
      <c r="AQ415" s="70"/>
      <c r="AR415" s="70"/>
      <c r="AS415" s="70"/>
      <c r="AT415" s="70"/>
    </row>
    <row r="416" ht="15.75" customHeight="1">
      <c r="A416" s="70"/>
      <c r="B416" s="70"/>
      <c r="C416" s="70"/>
      <c r="D416" s="80"/>
      <c r="E416" s="70"/>
      <c r="F416" s="70"/>
      <c r="G416" s="70"/>
      <c r="H416" s="70"/>
      <c r="I416" s="70"/>
      <c r="J416" s="70"/>
      <c r="K416" s="70"/>
      <c r="L416" s="70"/>
      <c r="M416" s="70"/>
      <c r="N416" s="70"/>
      <c r="O416" s="70"/>
      <c r="P416" s="70"/>
      <c r="Q416" s="70"/>
      <c r="R416" s="70"/>
      <c r="S416" s="70"/>
      <c r="T416" s="91"/>
      <c r="U416" s="91"/>
      <c r="V416" s="70"/>
      <c r="W416" s="58"/>
      <c r="X416" s="58"/>
      <c r="Y416" s="70"/>
      <c r="Z416" s="83"/>
      <c r="AA416" s="70"/>
      <c r="AB416" s="70"/>
      <c r="AC416" s="70"/>
      <c r="AD416" s="70"/>
      <c r="AE416" s="70"/>
      <c r="AF416" s="70"/>
      <c r="AG416" s="70"/>
      <c r="AH416" s="70"/>
      <c r="AI416" s="70"/>
      <c r="AJ416" s="70"/>
      <c r="AK416" s="70"/>
      <c r="AL416" s="70"/>
      <c r="AM416" s="70"/>
      <c r="AN416" s="70"/>
      <c r="AO416" s="70"/>
      <c r="AP416" s="70"/>
      <c r="AQ416" s="70"/>
      <c r="AR416" s="70"/>
      <c r="AS416" s="70"/>
      <c r="AT416" s="70"/>
    </row>
    <row r="417" ht="15.75" customHeight="1">
      <c r="A417" s="70"/>
      <c r="B417" s="70"/>
      <c r="C417" s="70"/>
      <c r="D417" s="80"/>
      <c r="E417" s="70"/>
      <c r="F417" s="70"/>
      <c r="G417" s="70"/>
      <c r="H417" s="70"/>
      <c r="I417" s="70"/>
      <c r="J417" s="70"/>
      <c r="K417" s="70"/>
      <c r="L417" s="70"/>
      <c r="M417" s="70"/>
      <c r="N417" s="70"/>
      <c r="O417" s="70"/>
      <c r="P417" s="70"/>
      <c r="Q417" s="70"/>
      <c r="R417" s="70"/>
      <c r="S417" s="70"/>
      <c r="T417" s="91"/>
      <c r="U417" s="91"/>
      <c r="V417" s="70"/>
      <c r="W417" s="58"/>
      <c r="X417" s="58"/>
      <c r="Y417" s="70"/>
      <c r="Z417" s="83"/>
      <c r="AA417" s="70"/>
      <c r="AB417" s="70"/>
      <c r="AC417" s="70"/>
      <c r="AD417" s="70"/>
      <c r="AE417" s="70"/>
      <c r="AF417" s="70"/>
      <c r="AG417" s="70"/>
      <c r="AH417" s="70"/>
      <c r="AI417" s="70"/>
      <c r="AJ417" s="70"/>
      <c r="AK417" s="70"/>
      <c r="AL417" s="70"/>
      <c r="AM417" s="70"/>
      <c r="AN417" s="70"/>
      <c r="AO417" s="70"/>
      <c r="AP417" s="70"/>
      <c r="AQ417" s="70"/>
      <c r="AR417" s="70"/>
      <c r="AS417" s="70"/>
      <c r="AT417" s="70"/>
    </row>
    <row r="418" ht="15.75" customHeight="1">
      <c r="A418" s="70"/>
      <c r="B418" s="70"/>
      <c r="C418" s="70"/>
      <c r="D418" s="80"/>
      <c r="E418" s="70"/>
      <c r="F418" s="70"/>
      <c r="G418" s="70"/>
      <c r="H418" s="70"/>
      <c r="I418" s="70"/>
      <c r="J418" s="70"/>
      <c r="K418" s="70"/>
      <c r="L418" s="70"/>
      <c r="M418" s="70"/>
      <c r="N418" s="70"/>
      <c r="O418" s="70"/>
      <c r="P418" s="70"/>
      <c r="Q418" s="70"/>
      <c r="R418" s="70"/>
      <c r="S418" s="70"/>
      <c r="T418" s="91"/>
      <c r="U418" s="91"/>
      <c r="V418" s="70"/>
      <c r="W418" s="58"/>
      <c r="X418" s="58"/>
      <c r="Y418" s="70"/>
      <c r="Z418" s="83"/>
      <c r="AA418" s="70"/>
      <c r="AB418" s="70"/>
      <c r="AC418" s="70"/>
      <c r="AD418" s="70"/>
      <c r="AE418" s="70"/>
      <c r="AF418" s="70"/>
      <c r="AG418" s="70"/>
      <c r="AH418" s="70"/>
      <c r="AI418" s="70"/>
      <c r="AJ418" s="70"/>
      <c r="AK418" s="70"/>
      <c r="AL418" s="70"/>
      <c r="AM418" s="70"/>
      <c r="AN418" s="70"/>
      <c r="AO418" s="70"/>
      <c r="AP418" s="70"/>
      <c r="AQ418" s="70"/>
      <c r="AR418" s="70"/>
      <c r="AS418" s="70"/>
      <c r="AT418" s="70"/>
    </row>
    <row r="419" ht="15.75" customHeight="1">
      <c r="A419" s="70"/>
      <c r="B419" s="70"/>
      <c r="C419" s="70"/>
      <c r="D419" s="80"/>
      <c r="E419" s="70"/>
      <c r="F419" s="70"/>
      <c r="G419" s="70"/>
      <c r="H419" s="70"/>
      <c r="I419" s="70"/>
      <c r="J419" s="70"/>
      <c r="K419" s="70"/>
      <c r="L419" s="70"/>
      <c r="M419" s="70"/>
      <c r="N419" s="70"/>
      <c r="O419" s="70"/>
      <c r="P419" s="70"/>
      <c r="Q419" s="70"/>
      <c r="R419" s="70"/>
      <c r="S419" s="70"/>
      <c r="T419" s="91"/>
      <c r="U419" s="91"/>
      <c r="V419" s="70"/>
      <c r="W419" s="58"/>
      <c r="X419" s="58"/>
      <c r="Y419" s="70"/>
      <c r="Z419" s="83"/>
      <c r="AA419" s="70"/>
      <c r="AB419" s="70"/>
      <c r="AC419" s="70"/>
      <c r="AD419" s="70"/>
      <c r="AE419" s="70"/>
      <c r="AF419" s="70"/>
      <c r="AG419" s="70"/>
      <c r="AH419" s="70"/>
      <c r="AI419" s="70"/>
      <c r="AJ419" s="70"/>
      <c r="AK419" s="70"/>
      <c r="AL419" s="70"/>
      <c r="AM419" s="70"/>
      <c r="AN419" s="70"/>
      <c r="AO419" s="70"/>
      <c r="AP419" s="70"/>
      <c r="AQ419" s="70"/>
      <c r="AR419" s="70"/>
      <c r="AS419" s="70"/>
      <c r="AT419" s="70"/>
    </row>
    <row r="420" ht="15.75" customHeight="1">
      <c r="A420" s="70"/>
      <c r="B420" s="70"/>
      <c r="C420" s="70"/>
      <c r="D420" s="80"/>
      <c r="E420" s="70"/>
      <c r="F420" s="70"/>
      <c r="G420" s="70"/>
      <c r="H420" s="70"/>
      <c r="I420" s="70"/>
      <c r="J420" s="70"/>
      <c r="K420" s="70"/>
      <c r="L420" s="70"/>
      <c r="M420" s="70"/>
      <c r="N420" s="70"/>
      <c r="O420" s="70"/>
      <c r="P420" s="70"/>
      <c r="Q420" s="70"/>
      <c r="R420" s="70"/>
      <c r="S420" s="70"/>
      <c r="T420" s="91"/>
      <c r="U420" s="91"/>
      <c r="V420" s="70"/>
      <c r="W420" s="58"/>
      <c r="X420" s="58"/>
      <c r="Y420" s="70"/>
      <c r="Z420" s="83"/>
      <c r="AA420" s="70"/>
      <c r="AB420" s="70"/>
      <c r="AC420" s="70"/>
      <c r="AD420" s="70"/>
      <c r="AE420" s="70"/>
      <c r="AF420" s="70"/>
      <c r="AG420" s="70"/>
      <c r="AH420" s="70"/>
      <c r="AI420" s="70"/>
      <c r="AJ420" s="70"/>
      <c r="AK420" s="70"/>
      <c r="AL420" s="70"/>
      <c r="AM420" s="70"/>
      <c r="AN420" s="70"/>
      <c r="AO420" s="70"/>
      <c r="AP420" s="70"/>
      <c r="AQ420" s="70"/>
      <c r="AR420" s="70"/>
      <c r="AS420" s="70"/>
      <c r="AT420" s="70"/>
    </row>
    <row r="421" ht="15.75" customHeight="1">
      <c r="A421" s="70"/>
      <c r="B421" s="70"/>
      <c r="C421" s="70"/>
      <c r="D421" s="80"/>
      <c r="E421" s="70"/>
      <c r="F421" s="70"/>
      <c r="G421" s="70"/>
      <c r="H421" s="70"/>
      <c r="I421" s="70"/>
      <c r="J421" s="70"/>
      <c r="K421" s="70"/>
      <c r="L421" s="70"/>
      <c r="M421" s="70"/>
      <c r="N421" s="70"/>
      <c r="O421" s="70"/>
      <c r="P421" s="70"/>
      <c r="Q421" s="70"/>
      <c r="R421" s="70"/>
      <c r="S421" s="70"/>
      <c r="T421" s="91"/>
      <c r="U421" s="91"/>
      <c r="V421" s="70"/>
      <c r="W421" s="58"/>
      <c r="X421" s="58"/>
      <c r="Y421" s="70"/>
      <c r="Z421" s="83"/>
      <c r="AA421" s="70"/>
      <c r="AB421" s="70"/>
      <c r="AC421" s="70"/>
      <c r="AD421" s="70"/>
      <c r="AE421" s="70"/>
      <c r="AF421" s="70"/>
      <c r="AG421" s="70"/>
      <c r="AH421" s="70"/>
      <c r="AI421" s="70"/>
      <c r="AJ421" s="70"/>
      <c r="AK421" s="70"/>
      <c r="AL421" s="70"/>
      <c r="AM421" s="70"/>
      <c r="AN421" s="70"/>
      <c r="AO421" s="70"/>
      <c r="AP421" s="70"/>
      <c r="AQ421" s="70"/>
      <c r="AR421" s="70"/>
      <c r="AS421" s="70"/>
      <c r="AT421" s="70"/>
    </row>
    <row r="422" ht="15.75" customHeight="1">
      <c r="A422" s="70"/>
      <c r="B422" s="70"/>
      <c r="C422" s="70"/>
      <c r="D422" s="80"/>
      <c r="E422" s="70"/>
      <c r="F422" s="70"/>
      <c r="G422" s="70"/>
      <c r="H422" s="70"/>
      <c r="I422" s="70"/>
      <c r="J422" s="70"/>
      <c r="K422" s="70"/>
      <c r="L422" s="70"/>
      <c r="M422" s="70"/>
      <c r="N422" s="70"/>
      <c r="O422" s="70"/>
      <c r="P422" s="70"/>
      <c r="Q422" s="70"/>
      <c r="R422" s="70"/>
      <c r="S422" s="70"/>
      <c r="T422" s="91"/>
      <c r="U422" s="91"/>
      <c r="V422" s="70"/>
      <c r="W422" s="58"/>
      <c r="X422" s="58"/>
      <c r="Y422" s="70"/>
      <c r="Z422" s="83"/>
      <c r="AA422" s="70"/>
      <c r="AB422" s="70"/>
      <c r="AC422" s="70"/>
      <c r="AD422" s="70"/>
      <c r="AE422" s="70"/>
      <c r="AF422" s="70"/>
      <c r="AG422" s="70"/>
      <c r="AH422" s="70"/>
      <c r="AI422" s="70"/>
      <c r="AJ422" s="70"/>
      <c r="AK422" s="70"/>
      <c r="AL422" s="70"/>
      <c r="AM422" s="70"/>
      <c r="AN422" s="70"/>
      <c r="AO422" s="70"/>
      <c r="AP422" s="70"/>
      <c r="AQ422" s="70"/>
      <c r="AR422" s="70"/>
      <c r="AS422" s="70"/>
      <c r="AT422" s="70"/>
    </row>
    <row r="423" ht="15.75" customHeight="1">
      <c r="A423" s="70"/>
      <c r="B423" s="70"/>
      <c r="C423" s="70"/>
      <c r="D423" s="80"/>
      <c r="E423" s="70"/>
      <c r="F423" s="70"/>
      <c r="G423" s="70"/>
      <c r="H423" s="70"/>
      <c r="I423" s="70"/>
      <c r="J423" s="70"/>
      <c r="K423" s="70"/>
      <c r="L423" s="70"/>
      <c r="M423" s="70"/>
      <c r="N423" s="70"/>
      <c r="O423" s="70"/>
      <c r="P423" s="70"/>
      <c r="Q423" s="70"/>
      <c r="R423" s="70"/>
      <c r="S423" s="70"/>
      <c r="T423" s="91"/>
      <c r="U423" s="91"/>
      <c r="V423" s="70"/>
      <c r="W423" s="58"/>
      <c r="X423" s="58"/>
      <c r="Y423" s="70"/>
      <c r="Z423" s="83"/>
      <c r="AA423" s="70"/>
      <c r="AB423" s="70"/>
      <c r="AC423" s="70"/>
      <c r="AD423" s="70"/>
      <c r="AE423" s="70"/>
      <c r="AF423" s="70"/>
      <c r="AG423" s="70"/>
      <c r="AH423" s="70"/>
      <c r="AI423" s="70"/>
      <c r="AJ423" s="70"/>
      <c r="AK423" s="70"/>
      <c r="AL423" s="70"/>
      <c r="AM423" s="70"/>
      <c r="AN423" s="70"/>
      <c r="AO423" s="70"/>
      <c r="AP423" s="70"/>
      <c r="AQ423" s="70"/>
      <c r="AR423" s="70"/>
      <c r="AS423" s="70"/>
      <c r="AT423" s="70"/>
    </row>
    <row r="424" ht="15.75" customHeight="1">
      <c r="A424" s="70"/>
      <c r="B424" s="70"/>
      <c r="C424" s="70"/>
      <c r="D424" s="80"/>
      <c r="E424" s="70"/>
      <c r="F424" s="70"/>
      <c r="G424" s="70"/>
      <c r="H424" s="70"/>
      <c r="I424" s="70"/>
      <c r="J424" s="70"/>
      <c r="K424" s="70"/>
      <c r="L424" s="70"/>
      <c r="M424" s="70"/>
      <c r="N424" s="70"/>
      <c r="O424" s="70"/>
      <c r="P424" s="70"/>
      <c r="Q424" s="70"/>
      <c r="R424" s="70"/>
      <c r="S424" s="70"/>
      <c r="T424" s="91"/>
      <c r="U424" s="91"/>
      <c r="V424" s="70"/>
      <c r="W424" s="58"/>
      <c r="X424" s="58"/>
      <c r="Y424" s="70"/>
      <c r="Z424" s="83"/>
      <c r="AA424" s="70"/>
      <c r="AB424" s="70"/>
      <c r="AC424" s="70"/>
      <c r="AD424" s="70"/>
      <c r="AE424" s="70"/>
      <c r="AF424" s="70"/>
      <c r="AG424" s="70"/>
      <c r="AH424" s="70"/>
      <c r="AI424" s="70"/>
      <c r="AJ424" s="70"/>
      <c r="AK424" s="70"/>
      <c r="AL424" s="70"/>
      <c r="AM424" s="70"/>
      <c r="AN424" s="70"/>
      <c r="AO424" s="70"/>
      <c r="AP424" s="70"/>
      <c r="AQ424" s="70"/>
      <c r="AR424" s="70"/>
      <c r="AS424" s="70"/>
      <c r="AT424" s="70"/>
    </row>
    <row r="425" ht="15.75" customHeight="1">
      <c r="A425" s="70"/>
      <c r="B425" s="70"/>
      <c r="C425" s="70"/>
      <c r="D425" s="80"/>
      <c r="E425" s="70"/>
      <c r="F425" s="70"/>
      <c r="G425" s="70"/>
      <c r="H425" s="70"/>
      <c r="I425" s="70"/>
      <c r="J425" s="70"/>
      <c r="K425" s="70"/>
      <c r="L425" s="70"/>
      <c r="M425" s="70"/>
      <c r="N425" s="70"/>
      <c r="O425" s="70"/>
      <c r="P425" s="70"/>
      <c r="Q425" s="70"/>
      <c r="R425" s="70"/>
      <c r="S425" s="70"/>
      <c r="T425" s="91"/>
      <c r="U425" s="91"/>
      <c r="V425" s="70"/>
      <c r="W425" s="58"/>
      <c r="X425" s="58"/>
      <c r="Y425" s="70"/>
      <c r="Z425" s="83"/>
      <c r="AA425" s="70"/>
      <c r="AB425" s="70"/>
      <c r="AC425" s="70"/>
      <c r="AD425" s="70"/>
      <c r="AE425" s="70"/>
      <c r="AF425" s="70"/>
      <c r="AG425" s="70"/>
      <c r="AH425" s="70"/>
      <c r="AI425" s="70"/>
      <c r="AJ425" s="70"/>
      <c r="AK425" s="70"/>
      <c r="AL425" s="70"/>
      <c r="AM425" s="70"/>
      <c r="AN425" s="70"/>
      <c r="AO425" s="70"/>
      <c r="AP425" s="70"/>
      <c r="AQ425" s="70"/>
      <c r="AR425" s="70"/>
      <c r="AS425" s="70"/>
      <c r="AT425" s="70"/>
    </row>
    <row r="426" ht="15.75" customHeight="1">
      <c r="A426" s="70"/>
      <c r="B426" s="70"/>
      <c r="C426" s="70"/>
      <c r="D426" s="80"/>
      <c r="E426" s="70"/>
      <c r="F426" s="70"/>
      <c r="G426" s="70"/>
      <c r="H426" s="70"/>
      <c r="I426" s="70"/>
      <c r="J426" s="70"/>
      <c r="K426" s="70"/>
      <c r="L426" s="70"/>
      <c r="M426" s="70"/>
      <c r="N426" s="70"/>
      <c r="O426" s="70"/>
      <c r="P426" s="70"/>
      <c r="Q426" s="70"/>
      <c r="R426" s="70"/>
      <c r="S426" s="70"/>
      <c r="T426" s="91"/>
      <c r="U426" s="91"/>
      <c r="V426" s="70"/>
      <c r="W426" s="58"/>
      <c r="X426" s="58"/>
      <c r="Y426" s="70"/>
      <c r="Z426" s="83"/>
      <c r="AA426" s="70"/>
      <c r="AB426" s="70"/>
      <c r="AC426" s="70"/>
      <c r="AD426" s="70"/>
      <c r="AE426" s="70"/>
      <c r="AF426" s="70"/>
      <c r="AG426" s="70"/>
      <c r="AH426" s="70"/>
      <c r="AI426" s="70"/>
      <c r="AJ426" s="70"/>
      <c r="AK426" s="70"/>
      <c r="AL426" s="70"/>
      <c r="AM426" s="70"/>
      <c r="AN426" s="70"/>
      <c r="AO426" s="70"/>
      <c r="AP426" s="70"/>
      <c r="AQ426" s="70"/>
      <c r="AR426" s="70"/>
      <c r="AS426" s="70"/>
      <c r="AT426" s="70"/>
    </row>
    <row r="427" ht="15.75" customHeight="1">
      <c r="A427" s="70"/>
      <c r="B427" s="70"/>
      <c r="C427" s="70"/>
      <c r="D427" s="80"/>
      <c r="E427" s="70"/>
      <c r="F427" s="70"/>
      <c r="G427" s="70"/>
      <c r="H427" s="70"/>
      <c r="I427" s="70"/>
      <c r="J427" s="70"/>
      <c r="K427" s="70"/>
      <c r="L427" s="70"/>
      <c r="M427" s="70"/>
      <c r="N427" s="70"/>
      <c r="O427" s="70"/>
      <c r="P427" s="70"/>
      <c r="Q427" s="70"/>
      <c r="R427" s="70"/>
      <c r="S427" s="70"/>
      <c r="T427" s="91"/>
      <c r="U427" s="91"/>
      <c r="V427" s="70"/>
      <c r="W427" s="58"/>
      <c r="X427" s="58"/>
      <c r="Y427" s="70"/>
      <c r="Z427" s="83"/>
      <c r="AA427" s="70"/>
      <c r="AB427" s="70"/>
      <c r="AC427" s="70"/>
      <c r="AD427" s="70"/>
      <c r="AE427" s="70"/>
      <c r="AF427" s="70"/>
      <c r="AG427" s="70"/>
      <c r="AH427" s="70"/>
      <c r="AI427" s="70"/>
      <c r="AJ427" s="70"/>
      <c r="AK427" s="70"/>
      <c r="AL427" s="70"/>
      <c r="AM427" s="70"/>
      <c r="AN427" s="70"/>
      <c r="AO427" s="70"/>
      <c r="AP427" s="70"/>
      <c r="AQ427" s="70"/>
      <c r="AR427" s="70"/>
      <c r="AS427" s="70"/>
      <c r="AT427" s="70"/>
    </row>
    <row r="428" ht="15.75" customHeight="1">
      <c r="A428" s="70"/>
      <c r="B428" s="70"/>
      <c r="C428" s="70"/>
      <c r="D428" s="80"/>
      <c r="E428" s="70"/>
      <c r="F428" s="70"/>
      <c r="G428" s="70"/>
      <c r="H428" s="70"/>
      <c r="I428" s="70"/>
      <c r="J428" s="70"/>
      <c r="K428" s="70"/>
      <c r="L428" s="70"/>
      <c r="M428" s="70"/>
      <c r="N428" s="70"/>
      <c r="O428" s="70"/>
      <c r="P428" s="70"/>
      <c r="Q428" s="70"/>
      <c r="R428" s="70"/>
      <c r="S428" s="70"/>
      <c r="T428" s="91"/>
      <c r="U428" s="91"/>
      <c r="V428" s="70"/>
      <c r="W428" s="58"/>
      <c r="X428" s="58"/>
      <c r="Y428" s="70"/>
      <c r="Z428" s="83"/>
      <c r="AA428" s="70"/>
      <c r="AB428" s="70"/>
      <c r="AC428" s="70"/>
      <c r="AD428" s="70"/>
      <c r="AE428" s="70"/>
      <c r="AF428" s="70"/>
      <c r="AG428" s="70"/>
      <c r="AH428" s="70"/>
      <c r="AI428" s="70"/>
      <c r="AJ428" s="70"/>
      <c r="AK428" s="70"/>
      <c r="AL428" s="70"/>
      <c r="AM428" s="70"/>
      <c r="AN428" s="70"/>
      <c r="AO428" s="70"/>
      <c r="AP428" s="70"/>
      <c r="AQ428" s="70"/>
      <c r="AR428" s="70"/>
      <c r="AS428" s="70"/>
      <c r="AT428" s="70"/>
    </row>
    <row r="429" ht="15.75" customHeight="1">
      <c r="A429" s="70"/>
      <c r="B429" s="70"/>
      <c r="C429" s="70"/>
      <c r="D429" s="80"/>
      <c r="E429" s="70"/>
      <c r="F429" s="70"/>
      <c r="G429" s="70"/>
      <c r="H429" s="70"/>
      <c r="I429" s="70"/>
      <c r="J429" s="70"/>
      <c r="K429" s="70"/>
      <c r="L429" s="70"/>
      <c r="M429" s="70"/>
      <c r="N429" s="70"/>
      <c r="O429" s="70"/>
      <c r="P429" s="70"/>
      <c r="Q429" s="70"/>
      <c r="R429" s="70"/>
      <c r="S429" s="70"/>
      <c r="T429" s="91"/>
      <c r="U429" s="91"/>
      <c r="V429" s="70"/>
      <c r="W429" s="58"/>
      <c r="X429" s="58"/>
      <c r="Y429" s="70"/>
      <c r="Z429" s="83"/>
      <c r="AA429" s="70"/>
      <c r="AB429" s="70"/>
      <c r="AC429" s="70"/>
      <c r="AD429" s="70"/>
      <c r="AE429" s="70"/>
      <c r="AF429" s="70"/>
      <c r="AG429" s="70"/>
      <c r="AH429" s="70"/>
      <c r="AI429" s="70"/>
      <c r="AJ429" s="70"/>
      <c r="AK429" s="70"/>
      <c r="AL429" s="70"/>
      <c r="AM429" s="70"/>
      <c r="AN429" s="70"/>
      <c r="AO429" s="70"/>
      <c r="AP429" s="70"/>
      <c r="AQ429" s="70"/>
      <c r="AR429" s="70"/>
      <c r="AS429" s="70"/>
      <c r="AT429" s="70"/>
    </row>
    <row r="430" ht="15.75" customHeight="1">
      <c r="A430" s="70"/>
      <c r="B430" s="70"/>
      <c r="C430" s="70"/>
      <c r="D430" s="80"/>
      <c r="E430" s="70"/>
      <c r="F430" s="70"/>
      <c r="G430" s="70"/>
      <c r="H430" s="70"/>
      <c r="I430" s="70"/>
      <c r="J430" s="70"/>
      <c r="K430" s="70"/>
      <c r="L430" s="70"/>
      <c r="M430" s="70"/>
      <c r="N430" s="70"/>
      <c r="O430" s="70"/>
      <c r="P430" s="70"/>
      <c r="Q430" s="70"/>
      <c r="R430" s="70"/>
      <c r="S430" s="70"/>
      <c r="T430" s="91"/>
      <c r="U430" s="91"/>
      <c r="V430" s="70"/>
      <c r="W430" s="58"/>
      <c r="X430" s="58"/>
      <c r="Y430" s="70"/>
      <c r="Z430" s="83"/>
      <c r="AA430" s="70"/>
      <c r="AB430" s="70"/>
      <c r="AC430" s="70"/>
      <c r="AD430" s="70"/>
      <c r="AE430" s="70"/>
      <c r="AF430" s="70"/>
      <c r="AG430" s="70"/>
      <c r="AH430" s="70"/>
      <c r="AI430" s="70"/>
      <c r="AJ430" s="70"/>
      <c r="AK430" s="70"/>
      <c r="AL430" s="70"/>
      <c r="AM430" s="70"/>
      <c r="AN430" s="70"/>
      <c r="AO430" s="70"/>
      <c r="AP430" s="70"/>
      <c r="AQ430" s="70"/>
      <c r="AR430" s="70"/>
      <c r="AS430" s="70"/>
      <c r="AT430" s="70"/>
    </row>
    <row r="431" ht="15.75" customHeight="1">
      <c r="A431" s="70"/>
      <c r="B431" s="70"/>
      <c r="C431" s="70"/>
      <c r="D431" s="80"/>
      <c r="E431" s="70"/>
      <c r="F431" s="70"/>
      <c r="G431" s="70"/>
      <c r="H431" s="70"/>
      <c r="I431" s="70"/>
      <c r="J431" s="70"/>
      <c r="K431" s="70"/>
      <c r="L431" s="70"/>
      <c r="M431" s="70"/>
      <c r="N431" s="70"/>
      <c r="O431" s="70"/>
      <c r="P431" s="70"/>
      <c r="Q431" s="70"/>
      <c r="R431" s="70"/>
      <c r="S431" s="70"/>
      <c r="T431" s="91"/>
      <c r="U431" s="91"/>
      <c r="V431" s="70"/>
      <c r="W431" s="58"/>
      <c r="X431" s="58"/>
      <c r="Y431" s="70"/>
      <c r="Z431" s="83"/>
      <c r="AA431" s="70"/>
      <c r="AB431" s="70"/>
      <c r="AC431" s="70"/>
      <c r="AD431" s="70"/>
      <c r="AE431" s="70"/>
      <c r="AF431" s="70"/>
      <c r="AG431" s="70"/>
      <c r="AH431" s="70"/>
      <c r="AI431" s="70"/>
      <c r="AJ431" s="70"/>
      <c r="AK431" s="70"/>
      <c r="AL431" s="70"/>
      <c r="AM431" s="70"/>
      <c r="AN431" s="70"/>
      <c r="AO431" s="70"/>
      <c r="AP431" s="70"/>
      <c r="AQ431" s="70"/>
      <c r="AR431" s="70"/>
      <c r="AS431" s="70"/>
      <c r="AT431" s="70"/>
    </row>
    <row r="432" ht="15.75" customHeight="1">
      <c r="A432" s="70"/>
      <c r="B432" s="70"/>
      <c r="C432" s="70"/>
      <c r="D432" s="80"/>
      <c r="E432" s="70"/>
      <c r="F432" s="70"/>
      <c r="G432" s="70"/>
      <c r="H432" s="70"/>
      <c r="I432" s="70"/>
      <c r="J432" s="70"/>
      <c r="K432" s="70"/>
      <c r="L432" s="70"/>
      <c r="M432" s="70"/>
      <c r="N432" s="70"/>
      <c r="O432" s="70"/>
      <c r="P432" s="70"/>
      <c r="Q432" s="70"/>
      <c r="R432" s="70"/>
      <c r="S432" s="70"/>
      <c r="T432" s="91"/>
      <c r="U432" s="91"/>
      <c r="V432" s="70"/>
      <c r="W432" s="58"/>
      <c r="X432" s="58"/>
      <c r="Y432" s="70"/>
      <c r="Z432" s="83"/>
      <c r="AA432" s="70"/>
      <c r="AB432" s="70"/>
      <c r="AC432" s="70"/>
      <c r="AD432" s="70"/>
      <c r="AE432" s="70"/>
      <c r="AF432" s="70"/>
      <c r="AG432" s="70"/>
      <c r="AH432" s="70"/>
      <c r="AI432" s="70"/>
      <c r="AJ432" s="70"/>
      <c r="AK432" s="70"/>
      <c r="AL432" s="70"/>
      <c r="AM432" s="70"/>
      <c r="AN432" s="70"/>
      <c r="AO432" s="70"/>
      <c r="AP432" s="70"/>
      <c r="AQ432" s="70"/>
      <c r="AR432" s="70"/>
      <c r="AS432" s="70"/>
      <c r="AT432" s="70"/>
    </row>
    <row r="433" ht="15.75" customHeight="1">
      <c r="A433" s="70"/>
      <c r="B433" s="70"/>
      <c r="C433" s="70"/>
      <c r="D433" s="80"/>
      <c r="E433" s="70"/>
      <c r="F433" s="70"/>
      <c r="G433" s="70"/>
      <c r="H433" s="70"/>
      <c r="I433" s="70"/>
      <c r="J433" s="70"/>
      <c r="K433" s="70"/>
      <c r="L433" s="70"/>
      <c r="M433" s="70"/>
      <c r="N433" s="70"/>
      <c r="O433" s="70"/>
      <c r="P433" s="70"/>
      <c r="Q433" s="70"/>
      <c r="R433" s="70"/>
      <c r="S433" s="70"/>
      <c r="T433" s="91"/>
      <c r="U433" s="91"/>
      <c r="V433" s="70"/>
      <c r="W433" s="58"/>
      <c r="X433" s="58"/>
      <c r="Y433" s="70"/>
      <c r="Z433" s="83"/>
      <c r="AA433" s="70"/>
      <c r="AB433" s="70"/>
      <c r="AC433" s="70"/>
      <c r="AD433" s="70"/>
      <c r="AE433" s="70"/>
      <c r="AF433" s="70"/>
      <c r="AG433" s="70"/>
      <c r="AH433" s="70"/>
      <c r="AI433" s="70"/>
      <c r="AJ433" s="70"/>
      <c r="AK433" s="70"/>
      <c r="AL433" s="70"/>
      <c r="AM433" s="70"/>
      <c r="AN433" s="70"/>
      <c r="AO433" s="70"/>
      <c r="AP433" s="70"/>
      <c r="AQ433" s="70"/>
      <c r="AR433" s="70"/>
      <c r="AS433" s="70"/>
      <c r="AT433" s="70"/>
    </row>
    <row r="434" ht="15.75" customHeight="1">
      <c r="A434" s="70"/>
      <c r="B434" s="70"/>
      <c r="C434" s="70"/>
      <c r="D434" s="80"/>
      <c r="E434" s="70"/>
      <c r="F434" s="70"/>
      <c r="G434" s="70"/>
      <c r="H434" s="70"/>
      <c r="I434" s="70"/>
      <c r="J434" s="70"/>
      <c r="K434" s="70"/>
      <c r="L434" s="70"/>
      <c r="M434" s="70"/>
      <c r="N434" s="70"/>
      <c r="O434" s="70"/>
      <c r="P434" s="70"/>
      <c r="Q434" s="70"/>
      <c r="R434" s="70"/>
      <c r="S434" s="70"/>
      <c r="T434" s="91"/>
      <c r="U434" s="91"/>
      <c r="V434" s="70"/>
      <c r="W434" s="58"/>
      <c r="X434" s="58"/>
      <c r="Y434" s="70"/>
      <c r="Z434" s="83"/>
      <c r="AA434" s="70"/>
      <c r="AB434" s="70"/>
      <c r="AC434" s="70"/>
      <c r="AD434" s="70"/>
      <c r="AE434" s="70"/>
      <c r="AF434" s="70"/>
      <c r="AG434" s="70"/>
      <c r="AH434" s="70"/>
      <c r="AI434" s="70"/>
      <c r="AJ434" s="70"/>
      <c r="AK434" s="70"/>
      <c r="AL434" s="70"/>
      <c r="AM434" s="70"/>
      <c r="AN434" s="70"/>
      <c r="AO434" s="70"/>
      <c r="AP434" s="70"/>
      <c r="AQ434" s="70"/>
      <c r="AR434" s="70"/>
      <c r="AS434" s="70"/>
      <c r="AT434" s="70"/>
    </row>
    <row r="435" ht="15.75" customHeight="1">
      <c r="A435" s="70"/>
      <c r="B435" s="70"/>
      <c r="C435" s="70"/>
      <c r="D435" s="80"/>
      <c r="E435" s="70"/>
      <c r="F435" s="70"/>
      <c r="G435" s="70"/>
      <c r="H435" s="70"/>
      <c r="I435" s="70"/>
      <c r="J435" s="70"/>
      <c r="K435" s="70"/>
      <c r="L435" s="70"/>
      <c r="M435" s="70"/>
      <c r="N435" s="70"/>
      <c r="O435" s="70"/>
      <c r="P435" s="70"/>
      <c r="Q435" s="70"/>
      <c r="R435" s="70"/>
      <c r="S435" s="70"/>
      <c r="T435" s="91"/>
      <c r="U435" s="91"/>
      <c r="V435" s="70"/>
      <c r="W435" s="58"/>
      <c r="X435" s="58"/>
      <c r="Y435" s="70"/>
      <c r="Z435" s="83"/>
      <c r="AA435" s="70"/>
      <c r="AB435" s="70"/>
      <c r="AC435" s="70"/>
      <c r="AD435" s="70"/>
      <c r="AE435" s="70"/>
      <c r="AF435" s="70"/>
      <c r="AG435" s="70"/>
      <c r="AH435" s="70"/>
      <c r="AI435" s="70"/>
      <c r="AJ435" s="70"/>
      <c r="AK435" s="70"/>
      <c r="AL435" s="70"/>
      <c r="AM435" s="70"/>
      <c r="AN435" s="70"/>
      <c r="AO435" s="70"/>
      <c r="AP435" s="70"/>
      <c r="AQ435" s="70"/>
      <c r="AR435" s="70"/>
      <c r="AS435" s="70"/>
      <c r="AT435" s="70"/>
    </row>
    <row r="436" ht="15.75" customHeight="1">
      <c r="A436" s="70"/>
      <c r="B436" s="70"/>
      <c r="C436" s="70"/>
      <c r="D436" s="80"/>
      <c r="E436" s="70"/>
      <c r="F436" s="70"/>
      <c r="G436" s="70"/>
      <c r="H436" s="70"/>
      <c r="I436" s="70"/>
      <c r="J436" s="70"/>
      <c r="K436" s="70"/>
      <c r="L436" s="70"/>
      <c r="M436" s="70"/>
      <c r="N436" s="70"/>
      <c r="O436" s="70"/>
      <c r="P436" s="70"/>
      <c r="Q436" s="70"/>
      <c r="R436" s="70"/>
      <c r="S436" s="70"/>
      <c r="T436" s="91"/>
      <c r="U436" s="91"/>
      <c r="V436" s="70"/>
      <c r="W436" s="58"/>
      <c r="X436" s="58"/>
      <c r="Y436" s="70"/>
      <c r="Z436" s="83"/>
      <c r="AA436" s="70"/>
      <c r="AB436" s="70"/>
      <c r="AC436" s="70"/>
      <c r="AD436" s="70"/>
      <c r="AE436" s="70"/>
      <c r="AF436" s="70"/>
      <c r="AG436" s="70"/>
      <c r="AH436" s="70"/>
      <c r="AI436" s="70"/>
      <c r="AJ436" s="70"/>
      <c r="AK436" s="70"/>
      <c r="AL436" s="70"/>
      <c r="AM436" s="70"/>
      <c r="AN436" s="70"/>
      <c r="AO436" s="70"/>
      <c r="AP436" s="70"/>
      <c r="AQ436" s="70"/>
      <c r="AR436" s="70"/>
      <c r="AS436" s="70"/>
      <c r="AT436" s="70"/>
    </row>
    <row r="437" ht="15.75" customHeight="1">
      <c r="A437" s="70"/>
      <c r="B437" s="70"/>
      <c r="C437" s="70"/>
      <c r="D437" s="80"/>
      <c r="E437" s="70"/>
      <c r="F437" s="70"/>
      <c r="G437" s="70"/>
      <c r="H437" s="70"/>
      <c r="I437" s="70"/>
      <c r="J437" s="70"/>
      <c r="K437" s="70"/>
      <c r="L437" s="70"/>
      <c r="M437" s="70"/>
      <c r="N437" s="70"/>
      <c r="O437" s="70"/>
      <c r="P437" s="70"/>
      <c r="Q437" s="70"/>
      <c r="R437" s="70"/>
      <c r="S437" s="70"/>
      <c r="T437" s="91"/>
      <c r="U437" s="91"/>
      <c r="V437" s="70"/>
      <c r="W437" s="58"/>
      <c r="X437" s="58"/>
      <c r="Y437" s="70"/>
      <c r="Z437" s="83"/>
      <c r="AA437" s="70"/>
      <c r="AB437" s="70"/>
      <c r="AC437" s="70"/>
      <c r="AD437" s="70"/>
      <c r="AE437" s="70"/>
      <c r="AF437" s="70"/>
      <c r="AG437" s="70"/>
      <c r="AH437" s="70"/>
      <c r="AI437" s="70"/>
      <c r="AJ437" s="70"/>
      <c r="AK437" s="70"/>
      <c r="AL437" s="70"/>
      <c r="AM437" s="70"/>
      <c r="AN437" s="70"/>
      <c r="AO437" s="70"/>
      <c r="AP437" s="70"/>
      <c r="AQ437" s="70"/>
      <c r="AR437" s="70"/>
      <c r="AS437" s="70"/>
      <c r="AT437" s="70"/>
    </row>
    <row r="438" ht="15.75" customHeight="1">
      <c r="A438" s="70"/>
      <c r="B438" s="70"/>
      <c r="C438" s="70"/>
      <c r="D438" s="80"/>
      <c r="E438" s="70"/>
      <c r="F438" s="70"/>
      <c r="G438" s="70"/>
      <c r="H438" s="70"/>
      <c r="I438" s="70"/>
      <c r="J438" s="70"/>
      <c r="K438" s="70"/>
      <c r="L438" s="70"/>
      <c r="M438" s="70"/>
      <c r="N438" s="70"/>
      <c r="O438" s="70"/>
      <c r="P438" s="70"/>
      <c r="Q438" s="70"/>
      <c r="R438" s="70"/>
      <c r="S438" s="70"/>
      <c r="T438" s="91"/>
      <c r="U438" s="91"/>
      <c r="V438" s="70"/>
      <c r="W438" s="58"/>
      <c r="X438" s="58"/>
      <c r="Y438" s="70"/>
      <c r="Z438" s="83"/>
      <c r="AA438" s="70"/>
      <c r="AB438" s="70"/>
      <c r="AC438" s="70"/>
      <c r="AD438" s="70"/>
      <c r="AE438" s="70"/>
      <c r="AF438" s="70"/>
      <c r="AG438" s="70"/>
      <c r="AH438" s="70"/>
      <c r="AI438" s="70"/>
      <c r="AJ438" s="70"/>
      <c r="AK438" s="70"/>
      <c r="AL438" s="70"/>
      <c r="AM438" s="70"/>
      <c r="AN438" s="70"/>
      <c r="AO438" s="70"/>
      <c r="AP438" s="70"/>
      <c r="AQ438" s="70"/>
      <c r="AR438" s="70"/>
      <c r="AS438" s="70"/>
      <c r="AT438" s="70"/>
    </row>
    <row r="439" ht="15.75" customHeight="1">
      <c r="A439" s="70"/>
      <c r="B439" s="70"/>
      <c r="C439" s="70"/>
      <c r="D439" s="80"/>
      <c r="E439" s="70"/>
      <c r="F439" s="70"/>
      <c r="G439" s="70"/>
      <c r="H439" s="70"/>
      <c r="I439" s="70"/>
      <c r="J439" s="70"/>
      <c r="K439" s="70"/>
      <c r="L439" s="70"/>
      <c r="M439" s="70"/>
      <c r="N439" s="70"/>
      <c r="O439" s="70"/>
      <c r="P439" s="70"/>
      <c r="Q439" s="70"/>
      <c r="R439" s="70"/>
      <c r="S439" s="70"/>
      <c r="T439" s="91"/>
      <c r="U439" s="91"/>
      <c r="V439" s="70"/>
      <c r="W439" s="58"/>
      <c r="X439" s="58"/>
      <c r="Y439" s="70"/>
      <c r="Z439" s="83"/>
      <c r="AA439" s="70"/>
      <c r="AB439" s="70"/>
      <c r="AC439" s="70"/>
      <c r="AD439" s="70"/>
      <c r="AE439" s="70"/>
      <c r="AF439" s="70"/>
      <c r="AG439" s="70"/>
      <c r="AH439" s="70"/>
      <c r="AI439" s="70"/>
      <c r="AJ439" s="70"/>
      <c r="AK439" s="70"/>
      <c r="AL439" s="70"/>
      <c r="AM439" s="70"/>
      <c r="AN439" s="70"/>
      <c r="AO439" s="70"/>
      <c r="AP439" s="70"/>
      <c r="AQ439" s="70"/>
      <c r="AR439" s="70"/>
      <c r="AS439" s="70"/>
      <c r="AT439" s="70"/>
    </row>
    <row r="440" ht="15.75" customHeight="1">
      <c r="A440" s="70"/>
      <c r="B440" s="70"/>
      <c r="C440" s="70"/>
      <c r="D440" s="80"/>
      <c r="E440" s="70"/>
      <c r="F440" s="70"/>
      <c r="G440" s="70"/>
      <c r="H440" s="70"/>
      <c r="I440" s="70"/>
      <c r="J440" s="70"/>
      <c r="K440" s="70"/>
      <c r="L440" s="70"/>
      <c r="M440" s="70"/>
      <c r="N440" s="70"/>
      <c r="O440" s="70"/>
      <c r="P440" s="70"/>
      <c r="Q440" s="70"/>
      <c r="R440" s="70"/>
      <c r="S440" s="70"/>
      <c r="T440" s="91"/>
      <c r="U440" s="91"/>
      <c r="V440" s="70"/>
      <c r="W440" s="58"/>
      <c r="X440" s="58"/>
      <c r="Y440" s="70"/>
      <c r="Z440" s="83"/>
      <c r="AA440" s="70"/>
      <c r="AB440" s="70"/>
      <c r="AC440" s="70"/>
      <c r="AD440" s="70"/>
      <c r="AE440" s="70"/>
      <c r="AF440" s="70"/>
      <c r="AG440" s="70"/>
      <c r="AH440" s="70"/>
      <c r="AI440" s="70"/>
      <c r="AJ440" s="70"/>
      <c r="AK440" s="70"/>
      <c r="AL440" s="70"/>
      <c r="AM440" s="70"/>
      <c r="AN440" s="70"/>
      <c r="AO440" s="70"/>
      <c r="AP440" s="70"/>
      <c r="AQ440" s="70"/>
      <c r="AR440" s="70"/>
      <c r="AS440" s="70"/>
      <c r="AT440" s="70"/>
    </row>
    <row r="441" ht="15.75" customHeight="1">
      <c r="A441" s="70"/>
      <c r="B441" s="70"/>
      <c r="C441" s="70"/>
      <c r="D441" s="80"/>
      <c r="E441" s="70"/>
      <c r="F441" s="70"/>
      <c r="G441" s="70"/>
      <c r="H441" s="70"/>
      <c r="I441" s="70"/>
      <c r="J441" s="70"/>
      <c r="K441" s="70"/>
      <c r="L441" s="70"/>
      <c r="M441" s="70"/>
      <c r="N441" s="70"/>
      <c r="O441" s="70"/>
      <c r="P441" s="70"/>
      <c r="Q441" s="70"/>
      <c r="R441" s="70"/>
      <c r="S441" s="70"/>
      <c r="T441" s="91"/>
      <c r="U441" s="91"/>
      <c r="V441" s="70"/>
      <c r="W441" s="58"/>
      <c r="X441" s="58"/>
      <c r="Y441" s="70"/>
      <c r="Z441" s="83"/>
      <c r="AA441" s="70"/>
      <c r="AB441" s="70"/>
      <c r="AC441" s="70"/>
      <c r="AD441" s="70"/>
      <c r="AE441" s="70"/>
      <c r="AF441" s="70"/>
      <c r="AG441" s="70"/>
      <c r="AH441" s="70"/>
      <c r="AI441" s="70"/>
      <c r="AJ441" s="70"/>
      <c r="AK441" s="70"/>
      <c r="AL441" s="70"/>
      <c r="AM441" s="70"/>
      <c r="AN441" s="70"/>
      <c r="AO441" s="70"/>
      <c r="AP441" s="70"/>
      <c r="AQ441" s="70"/>
      <c r="AR441" s="70"/>
      <c r="AS441" s="70"/>
      <c r="AT441" s="70"/>
    </row>
    <row r="442" ht="15.75" customHeight="1">
      <c r="A442" s="70"/>
      <c r="B442" s="70"/>
      <c r="C442" s="70"/>
      <c r="D442" s="80"/>
      <c r="E442" s="70"/>
      <c r="F442" s="70"/>
      <c r="G442" s="70"/>
      <c r="H442" s="70"/>
      <c r="I442" s="70"/>
      <c r="J442" s="70"/>
      <c r="K442" s="70"/>
      <c r="L442" s="70"/>
      <c r="M442" s="70"/>
      <c r="N442" s="70"/>
      <c r="O442" s="70"/>
      <c r="P442" s="70"/>
      <c r="Q442" s="70"/>
      <c r="R442" s="70"/>
      <c r="S442" s="70"/>
      <c r="T442" s="91"/>
      <c r="U442" s="91"/>
      <c r="V442" s="70"/>
      <c r="W442" s="58"/>
      <c r="X442" s="58"/>
      <c r="Y442" s="70"/>
      <c r="Z442" s="83"/>
      <c r="AA442" s="70"/>
      <c r="AB442" s="70"/>
      <c r="AC442" s="70"/>
      <c r="AD442" s="70"/>
      <c r="AE442" s="70"/>
      <c r="AF442" s="70"/>
      <c r="AG442" s="70"/>
      <c r="AH442" s="70"/>
      <c r="AI442" s="70"/>
      <c r="AJ442" s="70"/>
      <c r="AK442" s="70"/>
      <c r="AL442" s="70"/>
      <c r="AM442" s="70"/>
      <c r="AN442" s="70"/>
      <c r="AO442" s="70"/>
      <c r="AP442" s="70"/>
      <c r="AQ442" s="70"/>
      <c r="AR442" s="70"/>
      <c r="AS442" s="70"/>
      <c r="AT442" s="70"/>
    </row>
    <row r="443" ht="15.75" customHeight="1">
      <c r="A443" s="70"/>
      <c r="B443" s="70"/>
      <c r="C443" s="70"/>
      <c r="D443" s="80"/>
      <c r="E443" s="70"/>
      <c r="F443" s="70"/>
      <c r="G443" s="70"/>
      <c r="H443" s="70"/>
      <c r="I443" s="70"/>
      <c r="J443" s="70"/>
      <c r="K443" s="70"/>
      <c r="L443" s="70"/>
      <c r="M443" s="70"/>
      <c r="N443" s="70"/>
      <c r="O443" s="70"/>
      <c r="P443" s="70"/>
      <c r="Q443" s="70"/>
      <c r="R443" s="70"/>
      <c r="S443" s="70"/>
      <c r="T443" s="91"/>
      <c r="U443" s="91"/>
      <c r="V443" s="70"/>
      <c r="W443" s="58"/>
      <c r="X443" s="58"/>
      <c r="Y443" s="70"/>
      <c r="Z443" s="83"/>
      <c r="AA443" s="70"/>
      <c r="AB443" s="70"/>
      <c r="AC443" s="70"/>
      <c r="AD443" s="70"/>
      <c r="AE443" s="70"/>
      <c r="AF443" s="70"/>
      <c r="AG443" s="70"/>
      <c r="AH443" s="70"/>
      <c r="AI443" s="70"/>
      <c r="AJ443" s="70"/>
      <c r="AK443" s="70"/>
      <c r="AL443" s="70"/>
      <c r="AM443" s="70"/>
      <c r="AN443" s="70"/>
      <c r="AO443" s="70"/>
      <c r="AP443" s="70"/>
      <c r="AQ443" s="70"/>
      <c r="AR443" s="70"/>
      <c r="AS443" s="70"/>
      <c r="AT443" s="70"/>
    </row>
    <row r="444" ht="15.75" customHeight="1">
      <c r="A444" s="70"/>
      <c r="B444" s="70"/>
      <c r="C444" s="70"/>
      <c r="D444" s="80"/>
      <c r="E444" s="70"/>
      <c r="F444" s="70"/>
      <c r="G444" s="70"/>
      <c r="H444" s="70"/>
      <c r="I444" s="70"/>
      <c r="J444" s="70"/>
      <c r="K444" s="70"/>
      <c r="L444" s="70"/>
      <c r="M444" s="70"/>
      <c r="N444" s="70"/>
      <c r="O444" s="70"/>
      <c r="P444" s="70"/>
      <c r="Q444" s="70"/>
      <c r="R444" s="70"/>
      <c r="S444" s="70"/>
      <c r="T444" s="91"/>
      <c r="U444" s="91"/>
      <c r="V444" s="70"/>
      <c r="W444" s="58"/>
      <c r="X444" s="58"/>
      <c r="Y444" s="70"/>
      <c r="Z444" s="83"/>
      <c r="AA444" s="70"/>
      <c r="AB444" s="70"/>
      <c r="AC444" s="70"/>
      <c r="AD444" s="70"/>
      <c r="AE444" s="70"/>
      <c r="AF444" s="70"/>
      <c r="AG444" s="70"/>
      <c r="AH444" s="70"/>
      <c r="AI444" s="70"/>
      <c r="AJ444" s="70"/>
      <c r="AK444" s="70"/>
      <c r="AL444" s="70"/>
      <c r="AM444" s="70"/>
      <c r="AN444" s="70"/>
      <c r="AO444" s="70"/>
      <c r="AP444" s="70"/>
      <c r="AQ444" s="70"/>
      <c r="AR444" s="70"/>
      <c r="AS444" s="70"/>
      <c r="AT444" s="70"/>
    </row>
    <row r="445" ht="15.75" customHeight="1">
      <c r="A445" s="70"/>
      <c r="B445" s="70"/>
      <c r="C445" s="70"/>
      <c r="D445" s="80"/>
      <c r="E445" s="70"/>
      <c r="F445" s="70"/>
      <c r="G445" s="70"/>
      <c r="H445" s="70"/>
      <c r="I445" s="70"/>
      <c r="J445" s="70"/>
      <c r="K445" s="70"/>
      <c r="L445" s="70"/>
      <c r="M445" s="70"/>
      <c r="N445" s="70"/>
      <c r="O445" s="70"/>
      <c r="P445" s="70"/>
      <c r="Q445" s="70"/>
      <c r="R445" s="70"/>
      <c r="S445" s="70"/>
      <c r="T445" s="91"/>
      <c r="U445" s="91"/>
      <c r="V445" s="70"/>
      <c r="W445" s="58"/>
      <c r="X445" s="58"/>
      <c r="Y445" s="70"/>
      <c r="Z445" s="83"/>
      <c r="AA445" s="70"/>
      <c r="AB445" s="70"/>
      <c r="AC445" s="70"/>
      <c r="AD445" s="70"/>
      <c r="AE445" s="70"/>
      <c r="AF445" s="70"/>
      <c r="AG445" s="70"/>
      <c r="AH445" s="70"/>
      <c r="AI445" s="70"/>
      <c r="AJ445" s="70"/>
      <c r="AK445" s="70"/>
      <c r="AL445" s="70"/>
      <c r="AM445" s="70"/>
      <c r="AN445" s="70"/>
      <c r="AO445" s="70"/>
      <c r="AP445" s="70"/>
      <c r="AQ445" s="70"/>
      <c r="AR445" s="70"/>
      <c r="AS445" s="70"/>
      <c r="AT445" s="70"/>
    </row>
    <row r="446" ht="15.75" customHeight="1">
      <c r="A446" s="70"/>
      <c r="B446" s="70"/>
      <c r="C446" s="70"/>
      <c r="D446" s="80"/>
      <c r="E446" s="70"/>
      <c r="F446" s="70"/>
      <c r="G446" s="70"/>
      <c r="H446" s="70"/>
      <c r="I446" s="70"/>
      <c r="J446" s="70"/>
      <c r="K446" s="70"/>
      <c r="L446" s="70"/>
      <c r="M446" s="70"/>
      <c r="N446" s="70"/>
      <c r="O446" s="70"/>
      <c r="P446" s="70"/>
      <c r="Q446" s="70"/>
      <c r="R446" s="70"/>
      <c r="S446" s="70"/>
      <c r="T446" s="91"/>
      <c r="U446" s="91"/>
      <c r="V446" s="70"/>
      <c r="W446" s="58"/>
      <c r="X446" s="58"/>
      <c r="Y446" s="70"/>
      <c r="Z446" s="83"/>
      <c r="AA446" s="70"/>
      <c r="AB446" s="70"/>
      <c r="AC446" s="70"/>
      <c r="AD446" s="70"/>
      <c r="AE446" s="70"/>
      <c r="AF446" s="70"/>
      <c r="AG446" s="70"/>
      <c r="AH446" s="70"/>
      <c r="AI446" s="70"/>
      <c r="AJ446" s="70"/>
      <c r="AK446" s="70"/>
      <c r="AL446" s="70"/>
      <c r="AM446" s="70"/>
      <c r="AN446" s="70"/>
      <c r="AO446" s="70"/>
      <c r="AP446" s="70"/>
      <c r="AQ446" s="70"/>
      <c r="AR446" s="70"/>
      <c r="AS446" s="70"/>
      <c r="AT446" s="70"/>
    </row>
    <row r="447" ht="15.75" customHeight="1">
      <c r="A447" s="70"/>
      <c r="B447" s="70"/>
      <c r="C447" s="70"/>
      <c r="D447" s="80"/>
      <c r="E447" s="70"/>
      <c r="F447" s="70"/>
      <c r="G447" s="70"/>
      <c r="H447" s="70"/>
      <c r="I447" s="70"/>
      <c r="J447" s="70"/>
      <c r="K447" s="70"/>
      <c r="L447" s="70"/>
      <c r="M447" s="70"/>
      <c r="N447" s="70"/>
      <c r="O447" s="70"/>
      <c r="P447" s="70"/>
      <c r="Q447" s="70"/>
      <c r="R447" s="70"/>
      <c r="S447" s="70"/>
      <c r="T447" s="91"/>
      <c r="U447" s="91"/>
      <c r="V447" s="70"/>
      <c r="W447" s="58"/>
      <c r="X447" s="58"/>
      <c r="Y447" s="70"/>
      <c r="Z447" s="83"/>
      <c r="AA447" s="70"/>
      <c r="AB447" s="70"/>
      <c r="AC447" s="70"/>
      <c r="AD447" s="70"/>
      <c r="AE447" s="70"/>
      <c r="AF447" s="70"/>
      <c r="AG447" s="70"/>
      <c r="AH447" s="70"/>
      <c r="AI447" s="70"/>
      <c r="AJ447" s="70"/>
      <c r="AK447" s="70"/>
      <c r="AL447" s="70"/>
      <c r="AM447" s="70"/>
      <c r="AN447" s="70"/>
      <c r="AO447" s="70"/>
      <c r="AP447" s="70"/>
      <c r="AQ447" s="70"/>
      <c r="AR447" s="70"/>
      <c r="AS447" s="70"/>
      <c r="AT447" s="70"/>
    </row>
    <row r="448" ht="15.75" customHeight="1">
      <c r="A448" s="70"/>
      <c r="B448" s="70"/>
      <c r="C448" s="70"/>
      <c r="D448" s="80"/>
      <c r="E448" s="70"/>
      <c r="F448" s="70"/>
      <c r="G448" s="70"/>
      <c r="H448" s="70"/>
      <c r="I448" s="70"/>
      <c r="J448" s="70"/>
      <c r="K448" s="70"/>
      <c r="L448" s="70"/>
      <c r="M448" s="70"/>
      <c r="N448" s="70"/>
      <c r="O448" s="70"/>
      <c r="P448" s="70"/>
      <c r="Q448" s="70"/>
      <c r="R448" s="70"/>
      <c r="S448" s="70"/>
      <c r="T448" s="91"/>
      <c r="U448" s="91"/>
      <c r="V448" s="70"/>
      <c r="W448" s="58"/>
      <c r="X448" s="58"/>
      <c r="Y448" s="70"/>
      <c r="Z448" s="83"/>
      <c r="AA448" s="70"/>
      <c r="AB448" s="70"/>
      <c r="AC448" s="70"/>
      <c r="AD448" s="70"/>
      <c r="AE448" s="70"/>
      <c r="AF448" s="70"/>
      <c r="AG448" s="70"/>
      <c r="AH448" s="70"/>
      <c r="AI448" s="70"/>
      <c r="AJ448" s="70"/>
      <c r="AK448" s="70"/>
      <c r="AL448" s="70"/>
      <c r="AM448" s="70"/>
      <c r="AN448" s="70"/>
      <c r="AO448" s="70"/>
      <c r="AP448" s="70"/>
      <c r="AQ448" s="70"/>
      <c r="AR448" s="70"/>
      <c r="AS448" s="70"/>
      <c r="AT448" s="70"/>
    </row>
    <row r="449" ht="15.75" customHeight="1">
      <c r="A449" s="70"/>
      <c r="B449" s="70"/>
      <c r="C449" s="70"/>
      <c r="D449" s="80"/>
      <c r="E449" s="70"/>
      <c r="F449" s="70"/>
      <c r="G449" s="70"/>
      <c r="H449" s="70"/>
      <c r="I449" s="70"/>
      <c r="J449" s="70"/>
      <c r="K449" s="70"/>
      <c r="L449" s="70"/>
      <c r="M449" s="70"/>
      <c r="N449" s="70"/>
      <c r="O449" s="70"/>
      <c r="P449" s="70"/>
      <c r="Q449" s="70"/>
      <c r="R449" s="70"/>
      <c r="S449" s="70"/>
      <c r="T449" s="91"/>
      <c r="U449" s="91"/>
      <c r="V449" s="70"/>
      <c r="W449" s="58"/>
      <c r="X449" s="58"/>
      <c r="Y449" s="70"/>
      <c r="Z449" s="83"/>
      <c r="AA449" s="70"/>
      <c r="AB449" s="70"/>
      <c r="AC449" s="70"/>
      <c r="AD449" s="70"/>
      <c r="AE449" s="70"/>
      <c r="AF449" s="70"/>
      <c r="AG449" s="70"/>
      <c r="AH449" s="70"/>
      <c r="AI449" s="70"/>
      <c r="AJ449" s="70"/>
      <c r="AK449" s="70"/>
      <c r="AL449" s="70"/>
      <c r="AM449" s="70"/>
      <c r="AN449" s="70"/>
      <c r="AO449" s="70"/>
      <c r="AP449" s="70"/>
      <c r="AQ449" s="70"/>
      <c r="AR449" s="70"/>
      <c r="AS449" s="70"/>
      <c r="AT449" s="70"/>
    </row>
    <row r="450" ht="15.75" customHeight="1">
      <c r="A450" s="70"/>
      <c r="B450" s="70"/>
      <c r="C450" s="70"/>
      <c r="D450" s="80"/>
      <c r="E450" s="70"/>
      <c r="F450" s="70"/>
      <c r="G450" s="70"/>
      <c r="H450" s="70"/>
      <c r="I450" s="70"/>
      <c r="J450" s="70"/>
      <c r="K450" s="70"/>
      <c r="L450" s="70"/>
      <c r="M450" s="70"/>
      <c r="N450" s="70"/>
      <c r="O450" s="70"/>
      <c r="P450" s="70"/>
      <c r="Q450" s="70"/>
      <c r="R450" s="70"/>
      <c r="S450" s="70"/>
      <c r="T450" s="91"/>
      <c r="U450" s="91"/>
      <c r="V450" s="70"/>
      <c r="W450" s="58"/>
      <c r="X450" s="58"/>
      <c r="Y450" s="70"/>
      <c r="Z450" s="83"/>
      <c r="AA450" s="70"/>
      <c r="AB450" s="70"/>
      <c r="AC450" s="70"/>
      <c r="AD450" s="70"/>
      <c r="AE450" s="70"/>
      <c r="AF450" s="70"/>
      <c r="AG450" s="70"/>
      <c r="AH450" s="70"/>
      <c r="AI450" s="70"/>
      <c r="AJ450" s="70"/>
      <c r="AK450" s="70"/>
      <c r="AL450" s="70"/>
      <c r="AM450" s="70"/>
      <c r="AN450" s="70"/>
      <c r="AO450" s="70"/>
      <c r="AP450" s="70"/>
      <c r="AQ450" s="70"/>
      <c r="AR450" s="70"/>
      <c r="AS450" s="70"/>
      <c r="AT450" s="70"/>
    </row>
    <row r="451" ht="15.75" customHeight="1">
      <c r="A451" s="70"/>
      <c r="B451" s="70"/>
      <c r="C451" s="70"/>
      <c r="D451" s="80"/>
      <c r="E451" s="70"/>
      <c r="F451" s="70"/>
      <c r="G451" s="70"/>
      <c r="H451" s="70"/>
      <c r="I451" s="70"/>
      <c r="J451" s="70"/>
      <c r="K451" s="70"/>
      <c r="L451" s="70"/>
      <c r="M451" s="70"/>
      <c r="N451" s="70"/>
      <c r="O451" s="70"/>
      <c r="P451" s="70"/>
      <c r="Q451" s="70"/>
      <c r="R451" s="70"/>
      <c r="S451" s="70"/>
      <c r="T451" s="91"/>
      <c r="U451" s="91"/>
      <c r="V451" s="70"/>
      <c r="W451" s="58"/>
      <c r="X451" s="58"/>
      <c r="Y451" s="70"/>
      <c r="Z451" s="83"/>
      <c r="AA451" s="70"/>
      <c r="AB451" s="70"/>
      <c r="AC451" s="70"/>
      <c r="AD451" s="70"/>
      <c r="AE451" s="70"/>
      <c r="AF451" s="70"/>
      <c r="AG451" s="70"/>
      <c r="AH451" s="70"/>
      <c r="AI451" s="70"/>
      <c r="AJ451" s="70"/>
      <c r="AK451" s="70"/>
      <c r="AL451" s="70"/>
      <c r="AM451" s="70"/>
      <c r="AN451" s="70"/>
      <c r="AO451" s="70"/>
      <c r="AP451" s="70"/>
      <c r="AQ451" s="70"/>
      <c r="AR451" s="70"/>
      <c r="AS451" s="70"/>
      <c r="AT451" s="70"/>
    </row>
    <row r="452" ht="15.75" customHeight="1">
      <c r="A452" s="70"/>
      <c r="B452" s="70"/>
      <c r="C452" s="70"/>
      <c r="D452" s="80"/>
      <c r="E452" s="70"/>
      <c r="F452" s="70"/>
      <c r="G452" s="70"/>
      <c r="H452" s="70"/>
      <c r="I452" s="70"/>
      <c r="J452" s="70"/>
      <c r="K452" s="70"/>
      <c r="L452" s="70"/>
      <c r="M452" s="70"/>
      <c r="N452" s="70"/>
      <c r="O452" s="70"/>
      <c r="P452" s="70"/>
      <c r="Q452" s="70"/>
      <c r="R452" s="70"/>
      <c r="S452" s="70"/>
      <c r="T452" s="91"/>
      <c r="U452" s="91"/>
      <c r="V452" s="70"/>
      <c r="W452" s="58"/>
      <c r="X452" s="58"/>
      <c r="Y452" s="70"/>
      <c r="Z452" s="83"/>
      <c r="AA452" s="70"/>
      <c r="AB452" s="70"/>
      <c r="AC452" s="70"/>
      <c r="AD452" s="70"/>
      <c r="AE452" s="70"/>
      <c r="AF452" s="70"/>
      <c r="AG452" s="70"/>
      <c r="AH452" s="70"/>
      <c r="AI452" s="70"/>
      <c r="AJ452" s="70"/>
      <c r="AK452" s="70"/>
      <c r="AL452" s="70"/>
      <c r="AM452" s="70"/>
      <c r="AN452" s="70"/>
      <c r="AO452" s="70"/>
      <c r="AP452" s="70"/>
      <c r="AQ452" s="70"/>
      <c r="AR452" s="70"/>
      <c r="AS452" s="70"/>
      <c r="AT452" s="70"/>
    </row>
    <row r="453" ht="15.75" customHeight="1">
      <c r="A453" s="70"/>
      <c r="B453" s="70"/>
      <c r="C453" s="70"/>
      <c r="D453" s="80"/>
      <c r="E453" s="70"/>
      <c r="F453" s="70"/>
      <c r="G453" s="70"/>
      <c r="H453" s="70"/>
      <c r="I453" s="70"/>
      <c r="J453" s="70"/>
      <c r="K453" s="70"/>
      <c r="L453" s="70"/>
      <c r="M453" s="70"/>
      <c r="N453" s="70"/>
      <c r="O453" s="70"/>
      <c r="P453" s="70"/>
      <c r="Q453" s="70"/>
      <c r="R453" s="70"/>
      <c r="S453" s="70"/>
      <c r="T453" s="91"/>
      <c r="U453" s="91"/>
      <c r="V453" s="70"/>
      <c r="W453" s="58"/>
      <c r="X453" s="58"/>
      <c r="Y453" s="70"/>
      <c r="Z453" s="83"/>
      <c r="AA453" s="70"/>
      <c r="AB453" s="70"/>
      <c r="AC453" s="70"/>
      <c r="AD453" s="70"/>
      <c r="AE453" s="70"/>
      <c r="AF453" s="70"/>
      <c r="AG453" s="70"/>
      <c r="AH453" s="70"/>
      <c r="AI453" s="70"/>
      <c r="AJ453" s="70"/>
      <c r="AK453" s="70"/>
      <c r="AL453" s="70"/>
      <c r="AM453" s="70"/>
      <c r="AN453" s="70"/>
      <c r="AO453" s="70"/>
      <c r="AP453" s="70"/>
      <c r="AQ453" s="70"/>
      <c r="AR453" s="70"/>
      <c r="AS453" s="70"/>
      <c r="AT453" s="70"/>
    </row>
    <row r="454" ht="15.75" customHeight="1">
      <c r="A454" s="70"/>
      <c r="B454" s="70"/>
      <c r="C454" s="70"/>
      <c r="D454" s="80"/>
      <c r="E454" s="70"/>
      <c r="F454" s="70"/>
      <c r="G454" s="70"/>
      <c r="H454" s="70"/>
      <c r="I454" s="70"/>
      <c r="J454" s="70"/>
      <c r="K454" s="70"/>
      <c r="L454" s="70"/>
      <c r="M454" s="70"/>
      <c r="N454" s="70"/>
      <c r="O454" s="70"/>
      <c r="P454" s="70"/>
      <c r="Q454" s="70"/>
      <c r="R454" s="70"/>
      <c r="S454" s="70"/>
      <c r="T454" s="91"/>
      <c r="U454" s="91"/>
      <c r="V454" s="70"/>
      <c r="W454" s="58"/>
      <c r="X454" s="58"/>
      <c r="Y454" s="70"/>
      <c r="Z454" s="83"/>
      <c r="AA454" s="70"/>
      <c r="AB454" s="70"/>
      <c r="AC454" s="70"/>
      <c r="AD454" s="70"/>
      <c r="AE454" s="70"/>
      <c r="AF454" s="70"/>
      <c r="AG454" s="70"/>
      <c r="AH454" s="70"/>
      <c r="AI454" s="70"/>
      <c r="AJ454" s="70"/>
      <c r="AK454" s="70"/>
      <c r="AL454" s="70"/>
      <c r="AM454" s="70"/>
      <c r="AN454" s="70"/>
      <c r="AO454" s="70"/>
      <c r="AP454" s="70"/>
      <c r="AQ454" s="70"/>
      <c r="AR454" s="70"/>
      <c r="AS454" s="70"/>
      <c r="AT454" s="70"/>
    </row>
    <row r="455" ht="15.75" customHeight="1">
      <c r="A455" s="70"/>
      <c r="B455" s="70"/>
      <c r="C455" s="70"/>
      <c r="D455" s="80"/>
      <c r="E455" s="70"/>
      <c r="F455" s="70"/>
      <c r="G455" s="70"/>
      <c r="H455" s="70"/>
      <c r="I455" s="70"/>
      <c r="J455" s="70"/>
      <c r="K455" s="70"/>
      <c r="L455" s="70"/>
      <c r="M455" s="70"/>
      <c r="N455" s="70"/>
      <c r="O455" s="70"/>
      <c r="P455" s="70"/>
      <c r="Q455" s="70"/>
      <c r="R455" s="70"/>
      <c r="S455" s="70"/>
      <c r="T455" s="91"/>
      <c r="U455" s="91"/>
      <c r="V455" s="70"/>
      <c r="W455" s="58"/>
      <c r="X455" s="58"/>
      <c r="Y455" s="70"/>
      <c r="Z455" s="83"/>
      <c r="AA455" s="70"/>
      <c r="AB455" s="70"/>
      <c r="AC455" s="70"/>
      <c r="AD455" s="70"/>
      <c r="AE455" s="70"/>
      <c r="AF455" s="70"/>
      <c r="AG455" s="70"/>
      <c r="AH455" s="70"/>
      <c r="AI455" s="70"/>
      <c r="AJ455" s="70"/>
      <c r="AK455" s="70"/>
      <c r="AL455" s="70"/>
      <c r="AM455" s="70"/>
      <c r="AN455" s="70"/>
      <c r="AO455" s="70"/>
      <c r="AP455" s="70"/>
      <c r="AQ455" s="70"/>
      <c r="AR455" s="70"/>
      <c r="AS455" s="70"/>
      <c r="AT455" s="70"/>
    </row>
    <row r="456" ht="15.75" customHeight="1">
      <c r="A456" s="70"/>
      <c r="B456" s="70"/>
      <c r="C456" s="70"/>
      <c r="D456" s="80"/>
      <c r="E456" s="70"/>
      <c r="F456" s="70"/>
      <c r="G456" s="70"/>
      <c r="H456" s="70"/>
      <c r="I456" s="70"/>
      <c r="J456" s="70"/>
      <c r="K456" s="70"/>
      <c r="L456" s="70"/>
      <c r="M456" s="70"/>
      <c r="N456" s="70"/>
      <c r="O456" s="70"/>
      <c r="P456" s="70"/>
      <c r="Q456" s="70"/>
      <c r="R456" s="70"/>
      <c r="S456" s="70"/>
      <c r="T456" s="91"/>
      <c r="U456" s="91"/>
      <c r="V456" s="70"/>
      <c r="W456" s="58"/>
      <c r="X456" s="58"/>
      <c r="Y456" s="70"/>
      <c r="Z456" s="83"/>
      <c r="AA456" s="70"/>
      <c r="AB456" s="70"/>
      <c r="AC456" s="70"/>
      <c r="AD456" s="70"/>
      <c r="AE456" s="70"/>
      <c r="AF456" s="70"/>
      <c r="AG456" s="70"/>
      <c r="AH456" s="70"/>
      <c r="AI456" s="70"/>
      <c r="AJ456" s="70"/>
      <c r="AK456" s="70"/>
      <c r="AL456" s="70"/>
      <c r="AM456" s="70"/>
      <c r="AN456" s="70"/>
      <c r="AO456" s="70"/>
      <c r="AP456" s="70"/>
      <c r="AQ456" s="70"/>
      <c r="AR456" s="70"/>
      <c r="AS456" s="70"/>
      <c r="AT456" s="70"/>
    </row>
    <row r="457" ht="15.75" customHeight="1">
      <c r="A457" s="70"/>
      <c r="B457" s="70"/>
      <c r="C457" s="70"/>
      <c r="D457" s="80"/>
      <c r="E457" s="70"/>
      <c r="F457" s="70"/>
      <c r="G457" s="70"/>
      <c r="H457" s="70"/>
      <c r="I457" s="70"/>
      <c r="J457" s="70"/>
      <c r="K457" s="70"/>
      <c r="L457" s="70"/>
      <c r="M457" s="70"/>
      <c r="N457" s="70"/>
      <c r="O457" s="70"/>
      <c r="P457" s="70"/>
      <c r="Q457" s="70"/>
      <c r="R457" s="70"/>
      <c r="S457" s="70"/>
      <c r="T457" s="91"/>
      <c r="U457" s="91"/>
      <c r="V457" s="70"/>
      <c r="W457" s="58"/>
      <c r="X457" s="58"/>
      <c r="Y457" s="70"/>
      <c r="Z457" s="83"/>
      <c r="AA457" s="70"/>
      <c r="AB457" s="70"/>
      <c r="AC457" s="70"/>
      <c r="AD457" s="70"/>
      <c r="AE457" s="70"/>
      <c r="AF457" s="70"/>
      <c r="AG457" s="70"/>
      <c r="AH457" s="70"/>
      <c r="AI457" s="70"/>
      <c r="AJ457" s="70"/>
      <c r="AK457" s="70"/>
      <c r="AL457" s="70"/>
      <c r="AM457" s="70"/>
      <c r="AN457" s="70"/>
      <c r="AO457" s="70"/>
      <c r="AP457" s="70"/>
      <c r="AQ457" s="70"/>
      <c r="AR457" s="70"/>
      <c r="AS457" s="70"/>
      <c r="AT457" s="70"/>
    </row>
    <row r="458" ht="15.75" customHeight="1">
      <c r="A458" s="70"/>
      <c r="B458" s="70"/>
      <c r="C458" s="70"/>
      <c r="D458" s="80"/>
      <c r="E458" s="70"/>
      <c r="F458" s="70"/>
      <c r="G458" s="70"/>
      <c r="H458" s="70"/>
      <c r="I458" s="70"/>
      <c r="J458" s="70"/>
      <c r="K458" s="70"/>
      <c r="L458" s="70"/>
      <c r="M458" s="70"/>
      <c r="N458" s="70"/>
      <c r="O458" s="70"/>
      <c r="P458" s="70"/>
      <c r="Q458" s="70"/>
      <c r="R458" s="70"/>
      <c r="S458" s="70"/>
      <c r="T458" s="91"/>
      <c r="U458" s="91"/>
      <c r="V458" s="70"/>
      <c r="W458" s="58"/>
      <c r="X458" s="58"/>
      <c r="Y458" s="70"/>
      <c r="Z458" s="83"/>
      <c r="AA458" s="70"/>
      <c r="AB458" s="70"/>
      <c r="AC458" s="70"/>
      <c r="AD458" s="70"/>
      <c r="AE458" s="70"/>
      <c r="AF458" s="70"/>
      <c r="AG458" s="70"/>
      <c r="AH458" s="70"/>
      <c r="AI458" s="70"/>
      <c r="AJ458" s="70"/>
      <c r="AK458" s="70"/>
      <c r="AL458" s="70"/>
      <c r="AM458" s="70"/>
      <c r="AN458" s="70"/>
      <c r="AO458" s="70"/>
      <c r="AP458" s="70"/>
      <c r="AQ458" s="70"/>
      <c r="AR458" s="70"/>
      <c r="AS458" s="70"/>
      <c r="AT458" s="70"/>
    </row>
    <row r="459" ht="15.75" customHeight="1">
      <c r="A459" s="70"/>
      <c r="B459" s="70"/>
      <c r="C459" s="70"/>
      <c r="D459" s="80"/>
      <c r="E459" s="70"/>
      <c r="F459" s="70"/>
      <c r="G459" s="70"/>
      <c r="H459" s="70"/>
      <c r="I459" s="70"/>
      <c r="J459" s="70"/>
      <c r="K459" s="70"/>
      <c r="L459" s="70"/>
      <c r="M459" s="70"/>
      <c r="N459" s="70"/>
      <c r="O459" s="70"/>
      <c r="P459" s="70"/>
      <c r="Q459" s="70"/>
      <c r="R459" s="70"/>
      <c r="S459" s="70"/>
      <c r="T459" s="91"/>
      <c r="U459" s="91"/>
      <c r="V459" s="70"/>
      <c r="W459" s="58"/>
      <c r="X459" s="58"/>
      <c r="Y459" s="70"/>
      <c r="Z459" s="83"/>
      <c r="AA459" s="70"/>
      <c r="AB459" s="70"/>
      <c r="AC459" s="70"/>
      <c r="AD459" s="70"/>
      <c r="AE459" s="70"/>
      <c r="AF459" s="70"/>
      <c r="AG459" s="70"/>
      <c r="AH459" s="70"/>
      <c r="AI459" s="70"/>
      <c r="AJ459" s="70"/>
      <c r="AK459" s="70"/>
      <c r="AL459" s="70"/>
      <c r="AM459" s="70"/>
      <c r="AN459" s="70"/>
      <c r="AO459" s="70"/>
      <c r="AP459" s="70"/>
      <c r="AQ459" s="70"/>
      <c r="AR459" s="70"/>
      <c r="AS459" s="70"/>
      <c r="AT459" s="70"/>
    </row>
    <row r="460" ht="15.75" customHeight="1">
      <c r="A460" s="70"/>
      <c r="B460" s="70"/>
      <c r="C460" s="70"/>
      <c r="D460" s="80"/>
      <c r="E460" s="70"/>
      <c r="F460" s="70"/>
      <c r="G460" s="70"/>
      <c r="H460" s="70"/>
      <c r="I460" s="70"/>
      <c r="J460" s="70"/>
      <c r="K460" s="70"/>
      <c r="L460" s="70"/>
      <c r="M460" s="70"/>
      <c r="N460" s="70"/>
      <c r="O460" s="70"/>
      <c r="P460" s="70"/>
      <c r="Q460" s="70"/>
      <c r="R460" s="70"/>
      <c r="S460" s="70"/>
      <c r="T460" s="91"/>
      <c r="U460" s="91"/>
      <c r="V460" s="70"/>
      <c r="W460" s="58"/>
      <c r="X460" s="58"/>
      <c r="Y460" s="70"/>
      <c r="Z460" s="83"/>
      <c r="AA460" s="70"/>
      <c r="AB460" s="70"/>
      <c r="AC460" s="70"/>
      <c r="AD460" s="70"/>
      <c r="AE460" s="70"/>
      <c r="AF460" s="70"/>
      <c r="AG460" s="70"/>
      <c r="AH460" s="70"/>
      <c r="AI460" s="70"/>
      <c r="AJ460" s="70"/>
      <c r="AK460" s="70"/>
      <c r="AL460" s="70"/>
      <c r="AM460" s="70"/>
      <c r="AN460" s="70"/>
      <c r="AO460" s="70"/>
      <c r="AP460" s="70"/>
      <c r="AQ460" s="70"/>
      <c r="AR460" s="70"/>
      <c r="AS460" s="70"/>
      <c r="AT460" s="70"/>
    </row>
    <row r="461" ht="15.75" customHeight="1">
      <c r="A461" s="70"/>
      <c r="B461" s="70"/>
      <c r="C461" s="70"/>
      <c r="D461" s="80"/>
      <c r="E461" s="70"/>
      <c r="F461" s="70"/>
      <c r="G461" s="70"/>
      <c r="H461" s="70"/>
      <c r="I461" s="70"/>
      <c r="J461" s="70"/>
      <c r="K461" s="70"/>
      <c r="L461" s="70"/>
      <c r="M461" s="70"/>
      <c r="N461" s="70"/>
      <c r="O461" s="70"/>
      <c r="P461" s="70"/>
      <c r="Q461" s="70"/>
      <c r="R461" s="70"/>
      <c r="S461" s="70"/>
      <c r="T461" s="91"/>
      <c r="U461" s="91"/>
      <c r="V461" s="70"/>
      <c r="W461" s="58"/>
      <c r="X461" s="58"/>
      <c r="Y461" s="70"/>
      <c r="Z461" s="83"/>
      <c r="AA461" s="70"/>
      <c r="AB461" s="70"/>
      <c r="AC461" s="70"/>
      <c r="AD461" s="70"/>
      <c r="AE461" s="70"/>
      <c r="AF461" s="70"/>
      <c r="AG461" s="70"/>
      <c r="AH461" s="70"/>
      <c r="AI461" s="70"/>
      <c r="AJ461" s="70"/>
      <c r="AK461" s="70"/>
      <c r="AL461" s="70"/>
      <c r="AM461" s="70"/>
      <c r="AN461" s="70"/>
      <c r="AO461" s="70"/>
      <c r="AP461" s="70"/>
      <c r="AQ461" s="70"/>
      <c r="AR461" s="70"/>
      <c r="AS461" s="70"/>
      <c r="AT461" s="70"/>
    </row>
    <row r="462" ht="15.75" customHeight="1">
      <c r="A462" s="70"/>
      <c r="B462" s="70"/>
      <c r="C462" s="70"/>
      <c r="D462" s="80"/>
      <c r="E462" s="70"/>
      <c r="F462" s="70"/>
      <c r="G462" s="70"/>
      <c r="H462" s="70"/>
      <c r="I462" s="70"/>
      <c r="J462" s="70"/>
      <c r="K462" s="70"/>
      <c r="L462" s="70"/>
      <c r="M462" s="70"/>
      <c r="N462" s="70"/>
      <c r="O462" s="70"/>
      <c r="P462" s="70"/>
      <c r="Q462" s="70"/>
      <c r="R462" s="70"/>
      <c r="S462" s="70"/>
      <c r="T462" s="91"/>
      <c r="U462" s="91"/>
      <c r="V462" s="70"/>
      <c r="W462" s="58"/>
      <c r="X462" s="58"/>
      <c r="Y462" s="70"/>
      <c r="Z462" s="83"/>
      <c r="AA462" s="70"/>
      <c r="AB462" s="70"/>
      <c r="AC462" s="70"/>
      <c r="AD462" s="70"/>
      <c r="AE462" s="70"/>
      <c r="AF462" s="70"/>
      <c r="AG462" s="70"/>
      <c r="AH462" s="70"/>
      <c r="AI462" s="70"/>
      <c r="AJ462" s="70"/>
      <c r="AK462" s="70"/>
      <c r="AL462" s="70"/>
      <c r="AM462" s="70"/>
      <c r="AN462" s="70"/>
      <c r="AO462" s="70"/>
      <c r="AP462" s="70"/>
      <c r="AQ462" s="70"/>
      <c r="AR462" s="70"/>
      <c r="AS462" s="70"/>
      <c r="AT462" s="70"/>
    </row>
    <row r="463" ht="15.75" customHeight="1">
      <c r="A463" s="70"/>
      <c r="B463" s="70"/>
      <c r="C463" s="70"/>
      <c r="D463" s="80"/>
      <c r="E463" s="70"/>
      <c r="F463" s="70"/>
      <c r="G463" s="70"/>
      <c r="H463" s="70"/>
      <c r="I463" s="70"/>
      <c r="J463" s="70"/>
      <c r="K463" s="70"/>
      <c r="L463" s="70"/>
      <c r="M463" s="70"/>
      <c r="N463" s="70"/>
      <c r="O463" s="70"/>
      <c r="P463" s="70"/>
      <c r="Q463" s="70"/>
      <c r="R463" s="70"/>
      <c r="S463" s="70"/>
      <c r="T463" s="91"/>
      <c r="U463" s="91"/>
      <c r="V463" s="70"/>
      <c r="W463" s="58"/>
      <c r="X463" s="58"/>
      <c r="Y463" s="70"/>
      <c r="Z463" s="83"/>
      <c r="AA463" s="70"/>
      <c r="AB463" s="70"/>
      <c r="AC463" s="70"/>
      <c r="AD463" s="70"/>
      <c r="AE463" s="70"/>
      <c r="AF463" s="70"/>
      <c r="AG463" s="70"/>
      <c r="AH463" s="70"/>
      <c r="AI463" s="70"/>
      <c r="AJ463" s="70"/>
      <c r="AK463" s="70"/>
      <c r="AL463" s="70"/>
      <c r="AM463" s="70"/>
      <c r="AN463" s="70"/>
      <c r="AO463" s="70"/>
      <c r="AP463" s="70"/>
      <c r="AQ463" s="70"/>
      <c r="AR463" s="70"/>
      <c r="AS463" s="70"/>
      <c r="AT463" s="70"/>
    </row>
    <row r="464" ht="15.75" customHeight="1">
      <c r="A464" s="70"/>
      <c r="B464" s="70"/>
      <c r="C464" s="70"/>
      <c r="D464" s="80"/>
      <c r="E464" s="70"/>
      <c r="F464" s="70"/>
      <c r="G464" s="70"/>
      <c r="H464" s="70"/>
      <c r="I464" s="70"/>
      <c r="J464" s="70"/>
      <c r="K464" s="70"/>
      <c r="L464" s="70"/>
      <c r="M464" s="70"/>
      <c r="N464" s="70"/>
      <c r="O464" s="70"/>
      <c r="P464" s="70"/>
      <c r="Q464" s="70"/>
      <c r="R464" s="70"/>
      <c r="S464" s="70"/>
      <c r="T464" s="91"/>
      <c r="U464" s="91"/>
      <c r="V464" s="70"/>
      <c r="W464" s="58"/>
      <c r="X464" s="58"/>
      <c r="Y464" s="70"/>
      <c r="Z464" s="83"/>
      <c r="AA464" s="70"/>
      <c r="AB464" s="70"/>
      <c r="AC464" s="70"/>
      <c r="AD464" s="70"/>
      <c r="AE464" s="70"/>
      <c r="AF464" s="70"/>
      <c r="AG464" s="70"/>
      <c r="AH464" s="70"/>
      <c r="AI464" s="70"/>
      <c r="AJ464" s="70"/>
      <c r="AK464" s="70"/>
      <c r="AL464" s="70"/>
      <c r="AM464" s="70"/>
      <c r="AN464" s="70"/>
      <c r="AO464" s="70"/>
      <c r="AP464" s="70"/>
      <c r="AQ464" s="70"/>
      <c r="AR464" s="70"/>
      <c r="AS464" s="70"/>
      <c r="AT464" s="70"/>
    </row>
    <row r="465" ht="15.75" customHeight="1">
      <c r="A465" s="70"/>
      <c r="B465" s="70"/>
      <c r="C465" s="70"/>
      <c r="D465" s="80"/>
      <c r="E465" s="70"/>
      <c r="F465" s="70"/>
      <c r="G465" s="70"/>
      <c r="H465" s="70"/>
      <c r="I465" s="70"/>
      <c r="J465" s="70"/>
      <c r="K465" s="70"/>
      <c r="L465" s="70"/>
      <c r="M465" s="70"/>
      <c r="N465" s="70"/>
      <c r="O465" s="70"/>
      <c r="P465" s="70"/>
      <c r="Q465" s="70"/>
      <c r="R465" s="70"/>
      <c r="S465" s="70"/>
      <c r="T465" s="91"/>
      <c r="U465" s="91"/>
      <c r="V465" s="70"/>
      <c r="W465" s="58"/>
      <c r="X465" s="58"/>
      <c r="Y465" s="70"/>
      <c r="Z465" s="83"/>
      <c r="AA465" s="70"/>
      <c r="AB465" s="70"/>
      <c r="AC465" s="70"/>
      <c r="AD465" s="70"/>
      <c r="AE465" s="70"/>
      <c r="AF465" s="70"/>
      <c r="AG465" s="70"/>
      <c r="AH465" s="70"/>
      <c r="AI465" s="70"/>
      <c r="AJ465" s="70"/>
      <c r="AK465" s="70"/>
      <c r="AL465" s="70"/>
      <c r="AM465" s="70"/>
      <c r="AN465" s="70"/>
      <c r="AO465" s="70"/>
      <c r="AP465" s="70"/>
      <c r="AQ465" s="70"/>
      <c r="AR465" s="70"/>
      <c r="AS465" s="70"/>
      <c r="AT465" s="70"/>
    </row>
    <row r="466" ht="15.75" customHeight="1">
      <c r="A466" s="70"/>
      <c r="B466" s="70"/>
      <c r="C466" s="70"/>
      <c r="D466" s="80"/>
      <c r="E466" s="70"/>
      <c r="F466" s="70"/>
      <c r="G466" s="70"/>
      <c r="H466" s="70"/>
      <c r="I466" s="70"/>
      <c r="J466" s="70"/>
      <c r="K466" s="70"/>
      <c r="L466" s="70"/>
      <c r="M466" s="70"/>
      <c r="N466" s="70"/>
      <c r="O466" s="70"/>
      <c r="P466" s="70"/>
      <c r="Q466" s="70"/>
      <c r="R466" s="70"/>
      <c r="S466" s="70"/>
      <c r="T466" s="91"/>
      <c r="U466" s="91"/>
      <c r="V466" s="70"/>
      <c r="W466" s="58"/>
      <c r="X466" s="58"/>
      <c r="Y466" s="70"/>
      <c r="Z466" s="83"/>
      <c r="AA466" s="70"/>
      <c r="AB466" s="70"/>
      <c r="AC466" s="70"/>
      <c r="AD466" s="70"/>
      <c r="AE466" s="70"/>
      <c r="AF466" s="70"/>
      <c r="AG466" s="70"/>
      <c r="AH466" s="70"/>
      <c r="AI466" s="70"/>
      <c r="AJ466" s="70"/>
      <c r="AK466" s="70"/>
      <c r="AL466" s="70"/>
      <c r="AM466" s="70"/>
      <c r="AN466" s="70"/>
      <c r="AO466" s="70"/>
      <c r="AP466" s="70"/>
      <c r="AQ466" s="70"/>
      <c r="AR466" s="70"/>
      <c r="AS466" s="70"/>
      <c r="AT466" s="70"/>
    </row>
    <row r="467" ht="15.75" customHeight="1">
      <c r="A467" s="70"/>
      <c r="B467" s="70"/>
      <c r="C467" s="70"/>
      <c r="D467" s="80"/>
      <c r="E467" s="70"/>
      <c r="F467" s="70"/>
      <c r="G467" s="70"/>
      <c r="H467" s="70"/>
      <c r="I467" s="70"/>
      <c r="J467" s="70"/>
      <c r="K467" s="70"/>
      <c r="L467" s="70"/>
      <c r="M467" s="70"/>
      <c r="N467" s="70"/>
      <c r="O467" s="70"/>
      <c r="P467" s="70"/>
      <c r="Q467" s="70"/>
      <c r="R467" s="70"/>
      <c r="S467" s="70"/>
      <c r="T467" s="91"/>
      <c r="U467" s="91"/>
      <c r="V467" s="70"/>
      <c r="W467" s="58"/>
      <c r="X467" s="58"/>
      <c r="Y467" s="70"/>
      <c r="Z467" s="83"/>
      <c r="AA467" s="70"/>
      <c r="AB467" s="70"/>
      <c r="AC467" s="70"/>
      <c r="AD467" s="70"/>
      <c r="AE467" s="70"/>
      <c r="AF467" s="70"/>
      <c r="AG467" s="70"/>
      <c r="AH467" s="70"/>
      <c r="AI467" s="70"/>
      <c r="AJ467" s="70"/>
      <c r="AK467" s="70"/>
      <c r="AL467" s="70"/>
      <c r="AM467" s="70"/>
      <c r="AN467" s="70"/>
      <c r="AO467" s="70"/>
      <c r="AP467" s="70"/>
      <c r="AQ467" s="70"/>
      <c r="AR467" s="70"/>
      <c r="AS467" s="70"/>
      <c r="AT467" s="70"/>
    </row>
    <row r="468" ht="15.75" customHeight="1">
      <c r="A468" s="70"/>
      <c r="B468" s="70"/>
      <c r="C468" s="70"/>
      <c r="D468" s="80"/>
      <c r="E468" s="70"/>
      <c r="F468" s="70"/>
      <c r="G468" s="70"/>
      <c r="H468" s="70"/>
      <c r="I468" s="70"/>
      <c r="J468" s="70"/>
      <c r="K468" s="70"/>
      <c r="L468" s="70"/>
      <c r="M468" s="70"/>
      <c r="N468" s="70"/>
      <c r="O468" s="70"/>
      <c r="P468" s="70"/>
      <c r="Q468" s="70"/>
      <c r="R468" s="70"/>
      <c r="S468" s="70"/>
      <c r="T468" s="91"/>
      <c r="U468" s="91"/>
      <c r="V468" s="70"/>
      <c r="W468" s="58"/>
      <c r="X468" s="58"/>
      <c r="Y468" s="70"/>
      <c r="Z468" s="83"/>
      <c r="AA468" s="70"/>
      <c r="AB468" s="70"/>
      <c r="AC468" s="70"/>
      <c r="AD468" s="70"/>
      <c r="AE468" s="70"/>
      <c r="AF468" s="70"/>
      <c r="AG468" s="70"/>
      <c r="AH468" s="70"/>
      <c r="AI468" s="70"/>
      <c r="AJ468" s="70"/>
      <c r="AK468" s="70"/>
      <c r="AL468" s="70"/>
      <c r="AM468" s="70"/>
      <c r="AN468" s="70"/>
      <c r="AO468" s="70"/>
      <c r="AP468" s="70"/>
      <c r="AQ468" s="70"/>
      <c r="AR468" s="70"/>
      <c r="AS468" s="70"/>
      <c r="AT468" s="70"/>
    </row>
    <row r="469" ht="15.75" customHeight="1">
      <c r="A469" s="70"/>
      <c r="B469" s="70"/>
      <c r="C469" s="70"/>
      <c r="D469" s="80"/>
      <c r="E469" s="70"/>
      <c r="F469" s="70"/>
      <c r="G469" s="70"/>
      <c r="H469" s="70"/>
      <c r="I469" s="70"/>
      <c r="J469" s="70"/>
      <c r="K469" s="70"/>
      <c r="L469" s="70"/>
      <c r="M469" s="70"/>
      <c r="N469" s="70"/>
      <c r="O469" s="70"/>
      <c r="P469" s="70"/>
      <c r="Q469" s="70"/>
      <c r="R469" s="70"/>
      <c r="S469" s="70"/>
      <c r="T469" s="91"/>
      <c r="U469" s="91"/>
      <c r="V469" s="70"/>
      <c r="W469" s="58"/>
      <c r="X469" s="58"/>
      <c r="Y469" s="70"/>
      <c r="Z469" s="83"/>
      <c r="AA469" s="70"/>
      <c r="AB469" s="70"/>
      <c r="AC469" s="70"/>
      <c r="AD469" s="70"/>
      <c r="AE469" s="70"/>
      <c r="AF469" s="70"/>
      <c r="AG469" s="70"/>
      <c r="AH469" s="70"/>
      <c r="AI469" s="70"/>
      <c r="AJ469" s="70"/>
      <c r="AK469" s="70"/>
      <c r="AL469" s="70"/>
      <c r="AM469" s="70"/>
      <c r="AN469" s="70"/>
      <c r="AO469" s="70"/>
      <c r="AP469" s="70"/>
      <c r="AQ469" s="70"/>
      <c r="AR469" s="70"/>
      <c r="AS469" s="70"/>
      <c r="AT469" s="70"/>
    </row>
    <row r="470" ht="15.75" customHeight="1">
      <c r="A470" s="70"/>
      <c r="B470" s="70"/>
      <c r="C470" s="70"/>
      <c r="D470" s="80"/>
      <c r="E470" s="70"/>
      <c r="F470" s="70"/>
      <c r="G470" s="70"/>
      <c r="H470" s="70"/>
      <c r="I470" s="70"/>
      <c r="J470" s="70"/>
      <c r="K470" s="70"/>
      <c r="L470" s="70"/>
      <c r="M470" s="70"/>
      <c r="N470" s="70"/>
      <c r="O470" s="70"/>
      <c r="P470" s="70"/>
      <c r="Q470" s="70"/>
      <c r="R470" s="70"/>
      <c r="S470" s="70"/>
      <c r="T470" s="91"/>
      <c r="U470" s="91"/>
      <c r="V470" s="70"/>
      <c r="W470" s="58"/>
      <c r="X470" s="58"/>
      <c r="Y470" s="70"/>
      <c r="Z470" s="83"/>
      <c r="AA470" s="70"/>
      <c r="AB470" s="70"/>
      <c r="AC470" s="70"/>
      <c r="AD470" s="70"/>
      <c r="AE470" s="70"/>
      <c r="AF470" s="70"/>
      <c r="AG470" s="70"/>
      <c r="AH470" s="70"/>
      <c r="AI470" s="70"/>
      <c r="AJ470" s="70"/>
      <c r="AK470" s="70"/>
      <c r="AL470" s="70"/>
      <c r="AM470" s="70"/>
      <c r="AN470" s="70"/>
      <c r="AO470" s="70"/>
      <c r="AP470" s="70"/>
      <c r="AQ470" s="70"/>
      <c r="AR470" s="70"/>
      <c r="AS470" s="70"/>
      <c r="AT470" s="70"/>
    </row>
    <row r="471" ht="15.75" customHeight="1">
      <c r="A471" s="70"/>
      <c r="B471" s="70"/>
      <c r="C471" s="70"/>
      <c r="D471" s="80"/>
      <c r="E471" s="70"/>
      <c r="F471" s="70"/>
      <c r="G471" s="70"/>
      <c r="H471" s="70"/>
      <c r="I471" s="70"/>
      <c r="J471" s="70"/>
      <c r="K471" s="70"/>
      <c r="L471" s="70"/>
      <c r="M471" s="70"/>
      <c r="N471" s="70"/>
      <c r="O471" s="70"/>
      <c r="P471" s="70"/>
      <c r="Q471" s="70"/>
      <c r="R471" s="70"/>
      <c r="S471" s="70"/>
      <c r="T471" s="91"/>
      <c r="U471" s="91"/>
      <c r="V471" s="70"/>
      <c r="W471" s="58"/>
      <c r="X471" s="58"/>
      <c r="Y471" s="70"/>
      <c r="Z471" s="83"/>
      <c r="AA471" s="70"/>
      <c r="AB471" s="70"/>
      <c r="AC471" s="70"/>
      <c r="AD471" s="70"/>
      <c r="AE471" s="70"/>
      <c r="AF471" s="70"/>
      <c r="AG471" s="70"/>
      <c r="AH471" s="70"/>
      <c r="AI471" s="70"/>
      <c r="AJ471" s="70"/>
      <c r="AK471" s="70"/>
      <c r="AL471" s="70"/>
      <c r="AM471" s="70"/>
      <c r="AN471" s="70"/>
      <c r="AO471" s="70"/>
      <c r="AP471" s="70"/>
      <c r="AQ471" s="70"/>
      <c r="AR471" s="70"/>
      <c r="AS471" s="70"/>
      <c r="AT471" s="70"/>
    </row>
    <row r="472" ht="15.75" customHeight="1">
      <c r="A472" s="70"/>
      <c r="B472" s="70"/>
      <c r="C472" s="70"/>
      <c r="D472" s="80"/>
      <c r="E472" s="70"/>
      <c r="F472" s="70"/>
      <c r="G472" s="70"/>
      <c r="H472" s="70"/>
      <c r="I472" s="70"/>
      <c r="J472" s="70"/>
      <c r="K472" s="70"/>
      <c r="L472" s="70"/>
      <c r="M472" s="70"/>
      <c r="N472" s="70"/>
      <c r="O472" s="70"/>
      <c r="P472" s="70"/>
      <c r="Q472" s="70"/>
      <c r="R472" s="70"/>
      <c r="S472" s="70"/>
      <c r="T472" s="91"/>
      <c r="U472" s="91"/>
      <c r="V472" s="70"/>
      <c r="W472" s="58"/>
      <c r="X472" s="58"/>
      <c r="Y472" s="70"/>
      <c r="Z472" s="83"/>
      <c r="AA472" s="70"/>
      <c r="AB472" s="70"/>
      <c r="AC472" s="70"/>
      <c r="AD472" s="70"/>
      <c r="AE472" s="70"/>
      <c r="AF472" s="70"/>
      <c r="AG472" s="70"/>
      <c r="AH472" s="70"/>
      <c r="AI472" s="70"/>
      <c r="AJ472" s="70"/>
      <c r="AK472" s="70"/>
      <c r="AL472" s="70"/>
      <c r="AM472" s="70"/>
      <c r="AN472" s="70"/>
      <c r="AO472" s="70"/>
      <c r="AP472" s="70"/>
      <c r="AQ472" s="70"/>
      <c r="AR472" s="70"/>
      <c r="AS472" s="70"/>
      <c r="AT472" s="70"/>
    </row>
    <row r="473" ht="15.75" customHeight="1">
      <c r="A473" s="70"/>
      <c r="B473" s="70"/>
      <c r="C473" s="70"/>
      <c r="D473" s="80"/>
      <c r="E473" s="70"/>
      <c r="F473" s="70"/>
      <c r="G473" s="70"/>
      <c r="H473" s="70"/>
      <c r="I473" s="70"/>
      <c r="J473" s="70"/>
      <c r="K473" s="70"/>
      <c r="L473" s="70"/>
      <c r="M473" s="70"/>
      <c r="N473" s="70"/>
      <c r="O473" s="70"/>
      <c r="P473" s="70"/>
      <c r="Q473" s="70"/>
      <c r="R473" s="70"/>
      <c r="S473" s="70"/>
      <c r="T473" s="91"/>
      <c r="U473" s="91"/>
      <c r="V473" s="70"/>
      <c r="W473" s="58"/>
      <c r="X473" s="58"/>
      <c r="Y473" s="70"/>
      <c r="Z473" s="83"/>
      <c r="AA473" s="70"/>
      <c r="AB473" s="70"/>
      <c r="AC473" s="70"/>
      <c r="AD473" s="70"/>
      <c r="AE473" s="70"/>
      <c r="AF473" s="70"/>
      <c r="AG473" s="70"/>
      <c r="AH473" s="70"/>
      <c r="AI473" s="70"/>
      <c r="AJ473" s="70"/>
      <c r="AK473" s="70"/>
      <c r="AL473" s="70"/>
      <c r="AM473" s="70"/>
      <c r="AN473" s="70"/>
      <c r="AO473" s="70"/>
      <c r="AP473" s="70"/>
      <c r="AQ473" s="70"/>
      <c r="AR473" s="70"/>
      <c r="AS473" s="70"/>
      <c r="AT473" s="70"/>
    </row>
    <row r="474" ht="15.75" customHeight="1">
      <c r="A474" s="70"/>
      <c r="B474" s="70"/>
      <c r="C474" s="70"/>
      <c r="D474" s="80"/>
      <c r="E474" s="70"/>
      <c r="F474" s="70"/>
      <c r="G474" s="70"/>
      <c r="H474" s="70"/>
      <c r="I474" s="70"/>
      <c r="J474" s="70"/>
      <c r="K474" s="70"/>
      <c r="L474" s="70"/>
      <c r="M474" s="70"/>
      <c r="N474" s="70"/>
      <c r="O474" s="70"/>
      <c r="P474" s="70"/>
      <c r="Q474" s="70"/>
      <c r="R474" s="70"/>
      <c r="S474" s="70"/>
      <c r="T474" s="91"/>
      <c r="U474" s="91"/>
      <c r="V474" s="70"/>
      <c r="W474" s="58"/>
      <c r="X474" s="58"/>
      <c r="Y474" s="70"/>
      <c r="Z474" s="83"/>
      <c r="AA474" s="70"/>
      <c r="AB474" s="70"/>
      <c r="AC474" s="70"/>
      <c r="AD474" s="70"/>
      <c r="AE474" s="70"/>
      <c r="AF474" s="70"/>
      <c r="AG474" s="70"/>
      <c r="AH474" s="70"/>
      <c r="AI474" s="70"/>
      <c r="AJ474" s="70"/>
      <c r="AK474" s="70"/>
      <c r="AL474" s="70"/>
      <c r="AM474" s="70"/>
      <c r="AN474" s="70"/>
      <c r="AO474" s="70"/>
      <c r="AP474" s="70"/>
      <c r="AQ474" s="70"/>
      <c r="AR474" s="70"/>
      <c r="AS474" s="70"/>
      <c r="AT474" s="70"/>
    </row>
    <row r="475" ht="15.75" customHeight="1">
      <c r="A475" s="70"/>
      <c r="B475" s="70"/>
      <c r="C475" s="70"/>
      <c r="D475" s="80"/>
      <c r="E475" s="70"/>
      <c r="F475" s="70"/>
      <c r="G475" s="70"/>
      <c r="H475" s="70"/>
      <c r="I475" s="70"/>
      <c r="J475" s="70"/>
      <c r="K475" s="70"/>
      <c r="L475" s="70"/>
      <c r="M475" s="70"/>
      <c r="N475" s="70"/>
      <c r="O475" s="70"/>
      <c r="P475" s="70"/>
      <c r="Q475" s="70"/>
      <c r="R475" s="70"/>
      <c r="S475" s="70"/>
      <c r="T475" s="91"/>
      <c r="U475" s="91"/>
      <c r="V475" s="70"/>
      <c r="W475" s="58"/>
      <c r="X475" s="58"/>
      <c r="Y475" s="70"/>
      <c r="Z475" s="83"/>
      <c r="AA475" s="70"/>
      <c r="AB475" s="70"/>
      <c r="AC475" s="70"/>
      <c r="AD475" s="70"/>
      <c r="AE475" s="70"/>
      <c r="AF475" s="70"/>
      <c r="AG475" s="70"/>
      <c r="AH475" s="70"/>
      <c r="AI475" s="70"/>
      <c r="AJ475" s="70"/>
      <c r="AK475" s="70"/>
      <c r="AL475" s="70"/>
      <c r="AM475" s="70"/>
      <c r="AN475" s="70"/>
      <c r="AO475" s="70"/>
      <c r="AP475" s="70"/>
      <c r="AQ475" s="70"/>
      <c r="AR475" s="70"/>
      <c r="AS475" s="70"/>
      <c r="AT475" s="70"/>
    </row>
    <row r="476" ht="15.75" customHeight="1">
      <c r="A476" s="70"/>
      <c r="B476" s="70"/>
      <c r="C476" s="70"/>
      <c r="D476" s="80"/>
      <c r="E476" s="70"/>
      <c r="F476" s="70"/>
      <c r="G476" s="70"/>
      <c r="H476" s="70"/>
      <c r="I476" s="70"/>
      <c r="J476" s="70"/>
      <c r="K476" s="70"/>
      <c r="L476" s="70"/>
      <c r="M476" s="70"/>
      <c r="N476" s="70"/>
      <c r="O476" s="70"/>
      <c r="P476" s="70"/>
      <c r="Q476" s="70"/>
      <c r="R476" s="70"/>
      <c r="S476" s="70"/>
      <c r="T476" s="91"/>
      <c r="U476" s="91"/>
      <c r="V476" s="70"/>
      <c r="W476" s="58"/>
      <c r="X476" s="58"/>
      <c r="Y476" s="70"/>
      <c r="Z476" s="83"/>
      <c r="AA476" s="70"/>
      <c r="AB476" s="70"/>
      <c r="AC476" s="70"/>
      <c r="AD476" s="70"/>
      <c r="AE476" s="70"/>
      <c r="AF476" s="70"/>
      <c r="AG476" s="70"/>
      <c r="AH476" s="70"/>
      <c r="AI476" s="70"/>
      <c r="AJ476" s="70"/>
      <c r="AK476" s="70"/>
      <c r="AL476" s="70"/>
      <c r="AM476" s="70"/>
      <c r="AN476" s="70"/>
      <c r="AO476" s="70"/>
      <c r="AP476" s="70"/>
      <c r="AQ476" s="70"/>
      <c r="AR476" s="70"/>
      <c r="AS476" s="70"/>
      <c r="AT476" s="70"/>
    </row>
    <row r="477" ht="15.75" customHeight="1">
      <c r="A477" s="70"/>
      <c r="B477" s="70"/>
      <c r="C477" s="70"/>
      <c r="D477" s="80"/>
      <c r="E477" s="70"/>
      <c r="F477" s="70"/>
      <c r="G477" s="70"/>
      <c r="H477" s="70"/>
      <c r="I477" s="70"/>
      <c r="J477" s="70"/>
      <c r="K477" s="70"/>
      <c r="L477" s="70"/>
      <c r="M477" s="70"/>
      <c r="N477" s="70"/>
      <c r="O477" s="70"/>
      <c r="P477" s="70"/>
      <c r="Q477" s="70"/>
      <c r="R477" s="70"/>
      <c r="S477" s="70"/>
      <c r="T477" s="91"/>
      <c r="U477" s="91"/>
      <c r="V477" s="70"/>
      <c r="W477" s="58"/>
      <c r="X477" s="58"/>
      <c r="Y477" s="70"/>
      <c r="Z477" s="83"/>
      <c r="AA477" s="70"/>
      <c r="AB477" s="70"/>
      <c r="AC477" s="70"/>
      <c r="AD477" s="70"/>
      <c r="AE477" s="70"/>
      <c r="AF477" s="70"/>
      <c r="AG477" s="70"/>
      <c r="AH477" s="70"/>
      <c r="AI477" s="70"/>
      <c r="AJ477" s="70"/>
      <c r="AK477" s="70"/>
      <c r="AL477" s="70"/>
      <c r="AM477" s="70"/>
      <c r="AN477" s="70"/>
      <c r="AO477" s="70"/>
      <c r="AP477" s="70"/>
      <c r="AQ477" s="70"/>
      <c r="AR477" s="70"/>
      <c r="AS477" s="70"/>
      <c r="AT477" s="70"/>
    </row>
    <row r="478" ht="15.75" customHeight="1">
      <c r="A478" s="70"/>
      <c r="B478" s="70"/>
      <c r="C478" s="70"/>
      <c r="D478" s="80"/>
      <c r="E478" s="70"/>
      <c r="F478" s="70"/>
      <c r="G478" s="70"/>
      <c r="H478" s="70"/>
      <c r="I478" s="70"/>
      <c r="J478" s="70"/>
      <c r="K478" s="70"/>
      <c r="L478" s="70"/>
      <c r="M478" s="70"/>
      <c r="N478" s="70"/>
      <c r="O478" s="70"/>
      <c r="P478" s="70"/>
      <c r="Q478" s="70"/>
      <c r="R478" s="70"/>
      <c r="S478" s="70"/>
      <c r="T478" s="91"/>
      <c r="U478" s="91"/>
      <c r="V478" s="70"/>
      <c r="W478" s="58"/>
      <c r="X478" s="58"/>
      <c r="Y478" s="70"/>
      <c r="Z478" s="83"/>
      <c r="AA478" s="70"/>
      <c r="AB478" s="70"/>
      <c r="AC478" s="70"/>
      <c r="AD478" s="70"/>
      <c r="AE478" s="70"/>
      <c r="AF478" s="70"/>
      <c r="AG478" s="70"/>
      <c r="AH478" s="70"/>
      <c r="AI478" s="70"/>
      <c r="AJ478" s="70"/>
      <c r="AK478" s="70"/>
      <c r="AL478" s="70"/>
      <c r="AM478" s="70"/>
      <c r="AN478" s="70"/>
      <c r="AO478" s="70"/>
      <c r="AP478" s="70"/>
      <c r="AQ478" s="70"/>
      <c r="AR478" s="70"/>
      <c r="AS478" s="70"/>
      <c r="AT478" s="70"/>
    </row>
    <row r="479" ht="15.75" customHeight="1">
      <c r="A479" s="70"/>
      <c r="B479" s="70"/>
      <c r="C479" s="70"/>
      <c r="D479" s="80"/>
      <c r="E479" s="70"/>
      <c r="F479" s="70"/>
      <c r="G479" s="70"/>
      <c r="H479" s="70"/>
      <c r="I479" s="70"/>
      <c r="J479" s="70"/>
      <c r="K479" s="70"/>
      <c r="L479" s="70"/>
      <c r="M479" s="70"/>
      <c r="N479" s="70"/>
      <c r="O479" s="70"/>
      <c r="P479" s="70"/>
      <c r="Q479" s="70"/>
      <c r="R479" s="70"/>
      <c r="S479" s="70"/>
      <c r="T479" s="91"/>
      <c r="U479" s="91"/>
      <c r="V479" s="70"/>
      <c r="W479" s="58"/>
      <c r="X479" s="58"/>
      <c r="Y479" s="70"/>
      <c r="Z479" s="83"/>
      <c r="AA479" s="70"/>
      <c r="AB479" s="70"/>
      <c r="AC479" s="70"/>
      <c r="AD479" s="70"/>
      <c r="AE479" s="70"/>
      <c r="AF479" s="70"/>
      <c r="AG479" s="70"/>
      <c r="AH479" s="70"/>
      <c r="AI479" s="70"/>
      <c r="AJ479" s="70"/>
      <c r="AK479" s="70"/>
      <c r="AL479" s="70"/>
      <c r="AM479" s="70"/>
      <c r="AN479" s="70"/>
      <c r="AO479" s="70"/>
      <c r="AP479" s="70"/>
      <c r="AQ479" s="70"/>
      <c r="AR479" s="70"/>
      <c r="AS479" s="70"/>
      <c r="AT479" s="70"/>
    </row>
    <row r="480" ht="15.75" customHeight="1">
      <c r="A480" s="70"/>
      <c r="B480" s="70"/>
      <c r="C480" s="70"/>
      <c r="D480" s="80"/>
      <c r="E480" s="70"/>
      <c r="F480" s="70"/>
      <c r="G480" s="70"/>
      <c r="H480" s="70"/>
      <c r="I480" s="70"/>
      <c r="J480" s="70"/>
      <c r="K480" s="70"/>
      <c r="L480" s="70"/>
      <c r="M480" s="70"/>
      <c r="N480" s="70"/>
      <c r="O480" s="70"/>
      <c r="P480" s="70"/>
      <c r="Q480" s="70"/>
      <c r="R480" s="70"/>
      <c r="S480" s="70"/>
      <c r="T480" s="91"/>
      <c r="U480" s="91"/>
      <c r="V480" s="70"/>
      <c r="W480" s="58"/>
      <c r="X480" s="58"/>
      <c r="Y480" s="70"/>
      <c r="Z480" s="83"/>
      <c r="AA480" s="70"/>
      <c r="AB480" s="70"/>
      <c r="AC480" s="70"/>
      <c r="AD480" s="70"/>
      <c r="AE480" s="70"/>
      <c r="AF480" s="70"/>
      <c r="AG480" s="70"/>
      <c r="AH480" s="70"/>
      <c r="AI480" s="70"/>
      <c r="AJ480" s="70"/>
      <c r="AK480" s="70"/>
      <c r="AL480" s="70"/>
      <c r="AM480" s="70"/>
      <c r="AN480" s="70"/>
      <c r="AO480" s="70"/>
      <c r="AP480" s="70"/>
      <c r="AQ480" s="70"/>
      <c r="AR480" s="70"/>
      <c r="AS480" s="70"/>
      <c r="AT480" s="70"/>
    </row>
    <row r="481" ht="15.75" customHeight="1">
      <c r="A481" s="70"/>
      <c r="B481" s="70"/>
      <c r="C481" s="70"/>
      <c r="D481" s="80"/>
      <c r="E481" s="70"/>
      <c r="F481" s="70"/>
      <c r="G481" s="70"/>
      <c r="H481" s="70"/>
      <c r="I481" s="70"/>
      <c r="J481" s="70"/>
      <c r="K481" s="70"/>
      <c r="L481" s="70"/>
      <c r="M481" s="70"/>
      <c r="N481" s="70"/>
      <c r="O481" s="70"/>
      <c r="P481" s="70"/>
      <c r="Q481" s="70"/>
      <c r="R481" s="70"/>
      <c r="S481" s="70"/>
      <c r="T481" s="91"/>
      <c r="U481" s="91"/>
      <c r="V481" s="70"/>
      <c r="W481" s="58"/>
      <c r="X481" s="58"/>
      <c r="Y481" s="70"/>
      <c r="Z481" s="83"/>
      <c r="AA481" s="70"/>
      <c r="AB481" s="70"/>
      <c r="AC481" s="70"/>
      <c r="AD481" s="70"/>
      <c r="AE481" s="70"/>
      <c r="AF481" s="70"/>
      <c r="AG481" s="70"/>
      <c r="AH481" s="70"/>
      <c r="AI481" s="70"/>
      <c r="AJ481" s="70"/>
      <c r="AK481" s="70"/>
      <c r="AL481" s="70"/>
      <c r="AM481" s="70"/>
      <c r="AN481" s="70"/>
      <c r="AO481" s="70"/>
      <c r="AP481" s="70"/>
      <c r="AQ481" s="70"/>
      <c r="AR481" s="70"/>
      <c r="AS481" s="70"/>
      <c r="AT481" s="70"/>
    </row>
    <row r="482" ht="15.75" customHeight="1">
      <c r="A482" s="70"/>
      <c r="B482" s="70"/>
      <c r="C482" s="70"/>
      <c r="D482" s="80"/>
      <c r="E482" s="70"/>
      <c r="F482" s="70"/>
      <c r="G482" s="70"/>
      <c r="H482" s="70"/>
      <c r="I482" s="70"/>
      <c r="J482" s="70"/>
      <c r="K482" s="70"/>
      <c r="L482" s="70"/>
      <c r="M482" s="70"/>
      <c r="N482" s="70"/>
      <c r="O482" s="70"/>
      <c r="P482" s="70"/>
      <c r="Q482" s="70"/>
      <c r="R482" s="70"/>
      <c r="S482" s="70"/>
      <c r="T482" s="91"/>
      <c r="U482" s="91"/>
      <c r="V482" s="70"/>
      <c r="W482" s="58"/>
      <c r="X482" s="58"/>
      <c r="Y482" s="70"/>
      <c r="Z482" s="83"/>
      <c r="AA482" s="70"/>
      <c r="AB482" s="70"/>
      <c r="AC482" s="70"/>
      <c r="AD482" s="70"/>
      <c r="AE482" s="70"/>
      <c r="AF482" s="70"/>
      <c r="AG482" s="70"/>
      <c r="AH482" s="70"/>
      <c r="AI482" s="70"/>
      <c r="AJ482" s="70"/>
      <c r="AK482" s="70"/>
      <c r="AL482" s="70"/>
      <c r="AM482" s="70"/>
      <c r="AN482" s="70"/>
      <c r="AO482" s="70"/>
      <c r="AP482" s="70"/>
      <c r="AQ482" s="70"/>
      <c r="AR482" s="70"/>
      <c r="AS482" s="70"/>
      <c r="AT482" s="70"/>
    </row>
    <row r="483" ht="15.75" customHeight="1">
      <c r="A483" s="70"/>
      <c r="B483" s="70"/>
      <c r="C483" s="70"/>
      <c r="D483" s="80"/>
      <c r="E483" s="70"/>
      <c r="F483" s="70"/>
      <c r="G483" s="70"/>
      <c r="H483" s="70"/>
      <c r="I483" s="70"/>
      <c r="J483" s="70"/>
      <c r="K483" s="70"/>
      <c r="L483" s="70"/>
      <c r="M483" s="70"/>
      <c r="N483" s="70"/>
      <c r="O483" s="70"/>
      <c r="P483" s="70"/>
      <c r="Q483" s="70"/>
      <c r="R483" s="70"/>
      <c r="S483" s="70"/>
      <c r="T483" s="91"/>
      <c r="U483" s="91"/>
      <c r="V483" s="70"/>
      <c r="W483" s="58"/>
      <c r="X483" s="58"/>
      <c r="Y483" s="70"/>
      <c r="Z483" s="83"/>
      <c r="AA483" s="70"/>
      <c r="AB483" s="70"/>
      <c r="AC483" s="70"/>
      <c r="AD483" s="70"/>
      <c r="AE483" s="70"/>
      <c r="AF483" s="70"/>
      <c r="AG483" s="70"/>
      <c r="AH483" s="70"/>
      <c r="AI483" s="70"/>
      <c r="AJ483" s="70"/>
      <c r="AK483" s="70"/>
      <c r="AL483" s="70"/>
      <c r="AM483" s="70"/>
      <c r="AN483" s="70"/>
      <c r="AO483" s="70"/>
      <c r="AP483" s="70"/>
      <c r="AQ483" s="70"/>
      <c r="AR483" s="70"/>
      <c r="AS483" s="70"/>
      <c r="AT483" s="70"/>
    </row>
    <row r="484" ht="15.75" customHeight="1">
      <c r="A484" s="70"/>
      <c r="B484" s="70"/>
      <c r="C484" s="70"/>
      <c r="D484" s="80"/>
      <c r="E484" s="70"/>
      <c r="F484" s="70"/>
      <c r="G484" s="70"/>
      <c r="H484" s="70"/>
      <c r="I484" s="70"/>
      <c r="J484" s="70"/>
      <c r="K484" s="70"/>
      <c r="L484" s="70"/>
      <c r="M484" s="70"/>
      <c r="N484" s="70"/>
      <c r="O484" s="70"/>
      <c r="P484" s="70"/>
      <c r="Q484" s="70"/>
      <c r="R484" s="70"/>
      <c r="S484" s="70"/>
      <c r="T484" s="91"/>
      <c r="U484" s="91"/>
      <c r="V484" s="70"/>
      <c r="W484" s="58"/>
      <c r="X484" s="58"/>
      <c r="Y484" s="70"/>
      <c r="Z484" s="83"/>
      <c r="AA484" s="70"/>
      <c r="AB484" s="70"/>
      <c r="AC484" s="70"/>
      <c r="AD484" s="70"/>
      <c r="AE484" s="70"/>
      <c r="AF484" s="70"/>
      <c r="AG484" s="70"/>
      <c r="AH484" s="70"/>
      <c r="AI484" s="70"/>
      <c r="AJ484" s="70"/>
      <c r="AK484" s="70"/>
      <c r="AL484" s="70"/>
      <c r="AM484" s="70"/>
      <c r="AN484" s="70"/>
      <c r="AO484" s="70"/>
      <c r="AP484" s="70"/>
      <c r="AQ484" s="70"/>
      <c r="AR484" s="70"/>
      <c r="AS484" s="70"/>
      <c r="AT484" s="70"/>
    </row>
    <row r="485" ht="15.75" customHeight="1">
      <c r="A485" s="70"/>
      <c r="B485" s="70"/>
      <c r="C485" s="70"/>
      <c r="D485" s="80"/>
      <c r="E485" s="70"/>
      <c r="F485" s="70"/>
      <c r="G485" s="70"/>
      <c r="H485" s="70"/>
      <c r="I485" s="70"/>
      <c r="J485" s="70"/>
      <c r="K485" s="70"/>
      <c r="L485" s="70"/>
      <c r="M485" s="70"/>
      <c r="N485" s="70"/>
      <c r="O485" s="70"/>
      <c r="P485" s="70"/>
      <c r="Q485" s="70"/>
      <c r="R485" s="70"/>
      <c r="S485" s="70"/>
      <c r="T485" s="91"/>
      <c r="U485" s="91"/>
      <c r="V485" s="70"/>
      <c r="W485" s="58"/>
      <c r="X485" s="58"/>
      <c r="Y485" s="70"/>
      <c r="Z485" s="83"/>
      <c r="AA485" s="70"/>
      <c r="AB485" s="70"/>
      <c r="AC485" s="70"/>
      <c r="AD485" s="70"/>
      <c r="AE485" s="70"/>
      <c r="AF485" s="70"/>
      <c r="AG485" s="70"/>
      <c r="AH485" s="70"/>
      <c r="AI485" s="70"/>
      <c r="AJ485" s="70"/>
      <c r="AK485" s="70"/>
      <c r="AL485" s="70"/>
      <c r="AM485" s="70"/>
      <c r="AN485" s="70"/>
      <c r="AO485" s="70"/>
      <c r="AP485" s="70"/>
      <c r="AQ485" s="70"/>
      <c r="AR485" s="70"/>
      <c r="AS485" s="70"/>
      <c r="AT485" s="70"/>
    </row>
    <row r="486" ht="15.75" customHeight="1">
      <c r="A486" s="70"/>
      <c r="B486" s="70"/>
      <c r="C486" s="70"/>
      <c r="D486" s="80"/>
      <c r="E486" s="70"/>
      <c r="F486" s="70"/>
      <c r="G486" s="70"/>
      <c r="H486" s="70"/>
      <c r="I486" s="70"/>
      <c r="J486" s="70"/>
      <c r="K486" s="70"/>
      <c r="L486" s="70"/>
      <c r="M486" s="70"/>
      <c r="N486" s="70"/>
      <c r="O486" s="70"/>
      <c r="P486" s="70"/>
      <c r="Q486" s="70"/>
      <c r="R486" s="70"/>
      <c r="S486" s="70"/>
      <c r="T486" s="91"/>
      <c r="U486" s="91"/>
      <c r="V486" s="70"/>
      <c r="W486" s="58"/>
      <c r="X486" s="58"/>
      <c r="Y486" s="70"/>
      <c r="Z486" s="83"/>
      <c r="AA486" s="70"/>
      <c r="AB486" s="70"/>
      <c r="AC486" s="70"/>
      <c r="AD486" s="70"/>
      <c r="AE486" s="70"/>
      <c r="AF486" s="70"/>
      <c r="AG486" s="70"/>
      <c r="AH486" s="70"/>
      <c r="AI486" s="70"/>
      <c r="AJ486" s="70"/>
      <c r="AK486" s="70"/>
      <c r="AL486" s="70"/>
      <c r="AM486" s="70"/>
      <c r="AN486" s="70"/>
      <c r="AO486" s="70"/>
      <c r="AP486" s="70"/>
      <c r="AQ486" s="70"/>
      <c r="AR486" s="70"/>
      <c r="AS486" s="70"/>
      <c r="AT486" s="70"/>
    </row>
    <row r="487" ht="15.75" customHeight="1">
      <c r="A487" s="70"/>
      <c r="B487" s="70"/>
      <c r="C487" s="70"/>
      <c r="D487" s="80"/>
      <c r="E487" s="70"/>
      <c r="F487" s="70"/>
      <c r="G487" s="70"/>
      <c r="H487" s="70"/>
      <c r="I487" s="70"/>
      <c r="J487" s="70"/>
      <c r="K487" s="70"/>
      <c r="L487" s="70"/>
      <c r="M487" s="70"/>
      <c r="N487" s="70"/>
      <c r="O487" s="70"/>
      <c r="P487" s="70"/>
      <c r="Q487" s="70"/>
      <c r="R487" s="70"/>
      <c r="S487" s="70"/>
      <c r="T487" s="91"/>
      <c r="U487" s="91"/>
      <c r="V487" s="70"/>
      <c r="W487" s="58"/>
      <c r="X487" s="58"/>
      <c r="Y487" s="70"/>
      <c r="Z487" s="83"/>
      <c r="AA487" s="70"/>
      <c r="AB487" s="70"/>
      <c r="AC487" s="70"/>
      <c r="AD487" s="70"/>
      <c r="AE487" s="70"/>
      <c r="AF487" s="70"/>
      <c r="AG487" s="70"/>
      <c r="AH487" s="70"/>
      <c r="AI487" s="70"/>
      <c r="AJ487" s="70"/>
      <c r="AK487" s="70"/>
      <c r="AL487" s="70"/>
      <c r="AM487" s="70"/>
      <c r="AN487" s="70"/>
      <c r="AO487" s="70"/>
      <c r="AP487" s="70"/>
      <c r="AQ487" s="70"/>
      <c r="AR487" s="70"/>
      <c r="AS487" s="70"/>
      <c r="AT487" s="70"/>
    </row>
    <row r="488" ht="15.75" customHeight="1">
      <c r="A488" s="70"/>
      <c r="B488" s="70"/>
      <c r="C488" s="70"/>
      <c r="D488" s="80"/>
      <c r="E488" s="70"/>
      <c r="F488" s="70"/>
      <c r="G488" s="70"/>
      <c r="H488" s="70"/>
      <c r="I488" s="70"/>
      <c r="J488" s="70"/>
      <c r="K488" s="70"/>
      <c r="L488" s="70"/>
      <c r="M488" s="70"/>
      <c r="N488" s="70"/>
      <c r="O488" s="70"/>
      <c r="P488" s="70"/>
      <c r="Q488" s="70"/>
      <c r="R488" s="70"/>
      <c r="S488" s="70"/>
      <c r="T488" s="91"/>
      <c r="U488" s="91"/>
      <c r="V488" s="70"/>
      <c r="W488" s="58"/>
      <c r="X488" s="58"/>
      <c r="Y488" s="70"/>
      <c r="Z488" s="83"/>
      <c r="AA488" s="70"/>
      <c r="AB488" s="70"/>
      <c r="AC488" s="70"/>
      <c r="AD488" s="70"/>
      <c r="AE488" s="70"/>
      <c r="AF488" s="70"/>
      <c r="AG488" s="70"/>
      <c r="AH488" s="70"/>
      <c r="AI488" s="70"/>
      <c r="AJ488" s="70"/>
      <c r="AK488" s="70"/>
      <c r="AL488" s="70"/>
      <c r="AM488" s="70"/>
      <c r="AN488" s="70"/>
      <c r="AO488" s="70"/>
      <c r="AP488" s="70"/>
      <c r="AQ488" s="70"/>
      <c r="AR488" s="70"/>
      <c r="AS488" s="70"/>
      <c r="AT488" s="70"/>
    </row>
    <row r="489" ht="15.75" customHeight="1">
      <c r="A489" s="70"/>
      <c r="B489" s="70"/>
      <c r="C489" s="70"/>
      <c r="D489" s="80"/>
      <c r="E489" s="70"/>
      <c r="F489" s="70"/>
      <c r="G489" s="70"/>
      <c r="H489" s="70"/>
      <c r="I489" s="70"/>
      <c r="J489" s="70"/>
      <c r="K489" s="70"/>
      <c r="L489" s="70"/>
      <c r="M489" s="70"/>
      <c r="N489" s="70"/>
      <c r="O489" s="70"/>
      <c r="P489" s="70"/>
      <c r="Q489" s="70"/>
      <c r="R489" s="70"/>
      <c r="S489" s="70"/>
      <c r="T489" s="91"/>
      <c r="U489" s="91"/>
      <c r="V489" s="70"/>
      <c r="W489" s="58"/>
      <c r="X489" s="58"/>
      <c r="Y489" s="70"/>
      <c r="Z489" s="83"/>
      <c r="AA489" s="70"/>
      <c r="AB489" s="70"/>
      <c r="AC489" s="70"/>
      <c r="AD489" s="70"/>
      <c r="AE489" s="70"/>
      <c r="AF489" s="70"/>
      <c r="AG489" s="70"/>
      <c r="AH489" s="70"/>
      <c r="AI489" s="70"/>
      <c r="AJ489" s="70"/>
      <c r="AK489" s="70"/>
      <c r="AL489" s="70"/>
      <c r="AM489" s="70"/>
      <c r="AN489" s="70"/>
      <c r="AO489" s="70"/>
      <c r="AP489" s="70"/>
      <c r="AQ489" s="70"/>
      <c r="AR489" s="70"/>
      <c r="AS489" s="70"/>
      <c r="AT489" s="70"/>
    </row>
    <row r="490" ht="15.75" customHeight="1">
      <c r="A490" s="70"/>
      <c r="B490" s="70"/>
      <c r="C490" s="70"/>
      <c r="D490" s="80"/>
      <c r="E490" s="70"/>
      <c r="F490" s="70"/>
      <c r="G490" s="70"/>
      <c r="H490" s="70"/>
      <c r="I490" s="70"/>
      <c r="J490" s="70"/>
      <c r="K490" s="70"/>
      <c r="L490" s="70"/>
      <c r="M490" s="70"/>
      <c r="N490" s="70"/>
      <c r="O490" s="70"/>
      <c r="P490" s="70"/>
      <c r="Q490" s="70"/>
      <c r="R490" s="70"/>
      <c r="S490" s="70"/>
      <c r="T490" s="91"/>
      <c r="U490" s="91"/>
      <c r="V490" s="70"/>
      <c r="W490" s="58"/>
      <c r="X490" s="58"/>
      <c r="Y490" s="70"/>
      <c r="Z490" s="83"/>
      <c r="AA490" s="70"/>
      <c r="AB490" s="70"/>
      <c r="AC490" s="70"/>
      <c r="AD490" s="70"/>
      <c r="AE490" s="70"/>
      <c r="AF490" s="70"/>
      <c r="AG490" s="70"/>
      <c r="AH490" s="70"/>
      <c r="AI490" s="70"/>
      <c r="AJ490" s="70"/>
      <c r="AK490" s="70"/>
      <c r="AL490" s="70"/>
      <c r="AM490" s="70"/>
      <c r="AN490" s="70"/>
      <c r="AO490" s="70"/>
      <c r="AP490" s="70"/>
      <c r="AQ490" s="70"/>
      <c r="AR490" s="70"/>
      <c r="AS490" s="70"/>
      <c r="AT490" s="70"/>
    </row>
    <row r="491" ht="15.75" customHeight="1">
      <c r="A491" s="70"/>
      <c r="B491" s="70"/>
      <c r="C491" s="70"/>
      <c r="D491" s="80"/>
      <c r="E491" s="70"/>
      <c r="F491" s="70"/>
      <c r="G491" s="70"/>
      <c r="H491" s="70"/>
      <c r="I491" s="70"/>
      <c r="J491" s="70"/>
      <c r="K491" s="70"/>
      <c r="L491" s="70"/>
      <c r="M491" s="70"/>
      <c r="N491" s="70"/>
      <c r="O491" s="70"/>
      <c r="P491" s="70"/>
      <c r="Q491" s="70"/>
      <c r="R491" s="70"/>
      <c r="S491" s="70"/>
      <c r="T491" s="91"/>
      <c r="U491" s="91"/>
      <c r="V491" s="70"/>
      <c r="W491" s="58"/>
      <c r="X491" s="58"/>
      <c r="Y491" s="70"/>
      <c r="Z491" s="83"/>
      <c r="AA491" s="70"/>
      <c r="AB491" s="70"/>
      <c r="AC491" s="70"/>
      <c r="AD491" s="70"/>
      <c r="AE491" s="70"/>
      <c r="AF491" s="70"/>
      <c r="AG491" s="70"/>
      <c r="AH491" s="70"/>
      <c r="AI491" s="70"/>
      <c r="AJ491" s="70"/>
      <c r="AK491" s="70"/>
      <c r="AL491" s="70"/>
      <c r="AM491" s="70"/>
      <c r="AN491" s="70"/>
      <c r="AO491" s="70"/>
      <c r="AP491" s="70"/>
      <c r="AQ491" s="70"/>
      <c r="AR491" s="70"/>
      <c r="AS491" s="70"/>
      <c r="AT491" s="70"/>
    </row>
    <row r="492" ht="15.75" customHeight="1">
      <c r="A492" s="70"/>
      <c r="B492" s="70"/>
      <c r="C492" s="70"/>
      <c r="D492" s="80"/>
      <c r="E492" s="70"/>
      <c r="F492" s="70"/>
      <c r="G492" s="70"/>
      <c r="H492" s="70"/>
      <c r="I492" s="70"/>
      <c r="J492" s="70"/>
      <c r="K492" s="70"/>
      <c r="L492" s="70"/>
      <c r="M492" s="70"/>
      <c r="N492" s="70"/>
      <c r="O492" s="70"/>
      <c r="P492" s="70"/>
      <c r="Q492" s="70"/>
      <c r="R492" s="70"/>
      <c r="S492" s="70"/>
      <c r="T492" s="91"/>
      <c r="U492" s="91"/>
      <c r="V492" s="70"/>
      <c r="W492" s="58"/>
      <c r="X492" s="58"/>
      <c r="Y492" s="70"/>
      <c r="Z492" s="83"/>
      <c r="AA492" s="70"/>
      <c r="AB492" s="70"/>
      <c r="AC492" s="70"/>
      <c r="AD492" s="70"/>
      <c r="AE492" s="70"/>
      <c r="AF492" s="70"/>
      <c r="AG492" s="70"/>
      <c r="AH492" s="70"/>
      <c r="AI492" s="70"/>
      <c r="AJ492" s="70"/>
      <c r="AK492" s="70"/>
      <c r="AL492" s="70"/>
      <c r="AM492" s="70"/>
      <c r="AN492" s="70"/>
      <c r="AO492" s="70"/>
      <c r="AP492" s="70"/>
      <c r="AQ492" s="70"/>
      <c r="AR492" s="70"/>
      <c r="AS492" s="70"/>
      <c r="AT492" s="70"/>
    </row>
    <row r="493" ht="15.75" customHeight="1">
      <c r="A493" s="70"/>
      <c r="B493" s="70"/>
      <c r="C493" s="70"/>
      <c r="D493" s="80"/>
      <c r="E493" s="70"/>
      <c r="F493" s="70"/>
      <c r="G493" s="70"/>
      <c r="H493" s="70"/>
      <c r="I493" s="70"/>
      <c r="J493" s="70"/>
      <c r="K493" s="70"/>
      <c r="L493" s="70"/>
      <c r="M493" s="70"/>
      <c r="N493" s="70"/>
      <c r="O493" s="70"/>
      <c r="P493" s="70"/>
      <c r="Q493" s="70"/>
      <c r="R493" s="70"/>
      <c r="S493" s="70"/>
      <c r="T493" s="91"/>
      <c r="U493" s="91"/>
      <c r="V493" s="70"/>
      <c r="W493" s="58"/>
      <c r="X493" s="58"/>
      <c r="Y493" s="70"/>
      <c r="Z493" s="83"/>
      <c r="AA493" s="70"/>
      <c r="AB493" s="70"/>
      <c r="AC493" s="70"/>
      <c r="AD493" s="70"/>
      <c r="AE493" s="70"/>
      <c r="AF493" s="70"/>
      <c r="AG493" s="70"/>
      <c r="AH493" s="70"/>
      <c r="AI493" s="70"/>
      <c r="AJ493" s="70"/>
      <c r="AK493" s="70"/>
      <c r="AL493" s="70"/>
      <c r="AM493" s="70"/>
      <c r="AN493" s="70"/>
      <c r="AO493" s="70"/>
      <c r="AP493" s="70"/>
      <c r="AQ493" s="70"/>
      <c r="AR493" s="70"/>
      <c r="AS493" s="70"/>
      <c r="AT493" s="70"/>
    </row>
    <row r="494" ht="15.75" customHeight="1">
      <c r="A494" s="70"/>
      <c r="B494" s="70"/>
      <c r="C494" s="70"/>
      <c r="D494" s="80"/>
      <c r="E494" s="70"/>
      <c r="F494" s="70"/>
      <c r="G494" s="70"/>
      <c r="H494" s="70"/>
      <c r="I494" s="70"/>
      <c r="J494" s="70"/>
      <c r="K494" s="70"/>
      <c r="L494" s="70"/>
      <c r="M494" s="70"/>
      <c r="N494" s="70"/>
      <c r="O494" s="70"/>
      <c r="P494" s="70"/>
      <c r="Q494" s="70"/>
      <c r="R494" s="70"/>
      <c r="S494" s="70"/>
      <c r="T494" s="91"/>
      <c r="U494" s="91"/>
      <c r="V494" s="70"/>
      <c r="W494" s="58"/>
      <c r="X494" s="58"/>
      <c r="Y494" s="70"/>
      <c r="Z494" s="83"/>
      <c r="AA494" s="70"/>
      <c r="AB494" s="70"/>
      <c r="AC494" s="70"/>
      <c r="AD494" s="70"/>
      <c r="AE494" s="70"/>
      <c r="AF494" s="70"/>
      <c r="AG494" s="70"/>
      <c r="AH494" s="70"/>
      <c r="AI494" s="70"/>
      <c r="AJ494" s="70"/>
      <c r="AK494" s="70"/>
      <c r="AL494" s="70"/>
      <c r="AM494" s="70"/>
      <c r="AN494" s="70"/>
      <c r="AO494" s="70"/>
      <c r="AP494" s="70"/>
      <c r="AQ494" s="70"/>
      <c r="AR494" s="70"/>
      <c r="AS494" s="70"/>
      <c r="AT494" s="70"/>
    </row>
    <row r="495" ht="15.75" customHeight="1">
      <c r="A495" s="70"/>
      <c r="B495" s="70"/>
      <c r="C495" s="70"/>
      <c r="D495" s="80"/>
      <c r="E495" s="70"/>
      <c r="F495" s="70"/>
      <c r="G495" s="70"/>
      <c r="H495" s="70"/>
      <c r="I495" s="70"/>
      <c r="J495" s="70"/>
      <c r="K495" s="70"/>
      <c r="L495" s="70"/>
      <c r="M495" s="70"/>
      <c r="N495" s="70"/>
      <c r="O495" s="70"/>
      <c r="P495" s="70"/>
      <c r="Q495" s="70"/>
      <c r="R495" s="70"/>
      <c r="S495" s="70"/>
      <c r="T495" s="91"/>
      <c r="U495" s="91"/>
      <c r="V495" s="70"/>
      <c r="W495" s="58"/>
      <c r="X495" s="58"/>
      <c r="Y495" s="70"/>
      <c r="Z495" s="83"/>
      <c r="AA495" s="70"/>
      <c r="AB495" s="70"/>
      <c r="AC495" s="70"/>
      <c r="AD495" s="70"/>
      <c r="AE495" s="70"/>
      <c r="AF495" s="70"/>
      <c r="AG495" s="70"/>
      <c r="AH495" s="70"/>
      <c r="AI495" s="70"/>
      <c r="AJ495" s="70"/>
      <c r="AK495" s="70"/>
      <c r="AL495" s="70"/>
      <c r="AM495" s="70"/>
      <c r="AN495" s="70"/>
      <c r="AO495" s="70"/>
      <c r="AP495" s="70"/>
      <c r="AQ495" s="70"/>
      <c r="AR495" s="70"/>
      <c r="AS495" s="70"/>
      <c r="AT495" s="70"/>
    </row>
    <row r="496" ht="15.75" customHeight="1">
      <c r="A496" s="70"/>
      <c r="B496" s="70"/>
      <c r="C496" s="70"/>
      <c r="D496" s="80"/>
      <c r="E496" s="70"/>
      <c r="F496" s="70"/>
      <c r="G496" s="70"/>
      <c r="H496" s="70"/>
      <c r="I496" s="70"/>
      <c r="J496" s="70"/>
      <c r="K496" s="70"/>
      <c r="L496" s="70"/>
      <c r="M496" s="70"/>
      <c r="N496" s="70"/>
      <c r="O496" s="70"/>
      <c r="P496" s="70"/>
      <c r="Q496" s="70"/>
      <c r="R496" s="70"/>
      <c r="S496" s="70"/>
      <c r="T496" s="91"/>
      <c r="U496" s="91"/>
      <c r="V496" s="70"/>
      <c r="W496" s="58"/>
      <c r="X496" s="58"/>
      <c r="Y496" s="70"/>
      <c r="Z496" s="83"/>
      <c r="AA496" s="70"/>
      <c r="AB496" s="70"/>
      <c r="AC496" s="70"/>
      <c r="AD496" s="70"/>
      <c r="AE496" s="70"/>
      <c r="AF496" s="70"/>
      <c r="AG496" s="70"/>
      <c r="AH496" s="70"/>
      <c r="AI496" s="70"/>
      <c r="AJ496" s="70"/>
      <c r="AK496" s="70"/>
      <c r="AL496" s="70"/>
      <c r="AM496" s="70"/>
      <c r="AN496" s="70"/>
      <c r="AO496" s="70"/>
      <c r="AP496" s="70"/>
      <c r="AQ496" s="70"/>
      <c r="AR496" s="70"/>
      <c r="AS496" s="70"/>
      <c r="AT496" s="70"/>
    </row>
    <row r="497" ht="15.75" customHeight="1">
      <c r="A497" s="70"/>
      <c r="B497" s="70"/>
      <c r="C497" s="70"/>
      <c r="D497" s="80"/>
      <c r="E497" s="70"/>
      <c r="F497" s="70"/>
      <c r="G497" s="70"/>
      <c r="H497" s="70"/>
      <c r="I497" s="70"/>
      <c r="J497" s="70"/>
      <c r="K497" s="70"/>
      <c r="L497" s="70"/>
      <c r="M497" s="70"/>
      <c r="N497" s="70"/>
      <c r="O497" s="70"/>
      <c r="P497" s="70"/>
      <c r="Q497" s="70"/>
      <c r="R497" s="70"/>
      <c r="S497" s="70"/>
      <c r="T497" s="91"/>
      <c r="U497" s="91"/>
      <c r="V497" s="70"/>
      <c r="W497" s="58"/>
      <c r="X497" s="58"/>
      <c r="Y497" s="70"/>
      <c r="Z497" s="83"/>
      <c r="AA497" s="70"/>
      <c r="AB497" s="70"/>
      <c r="AC497" s="70"/>
      <c r="AD497" s="70"/>
      <c r="AE497" s="70"/>
      <c r="AF497" s="70"/>
      <c r="AG497" s="70"/>
      <c r="AH497" s="70"/>
      <c r="AI497" s="70"/>
      <c r="AJ497" s="70"/>
      <c r="AK497" s="70"/>
      <c r="AL497" s="70"/>
      <c r="AM497" s="70"/>
      <c r="AN497" s="70"/>
      <c r="AO497" s="70"/>
      <c r="AP497" s="70"/>
      <c r="AQ497" s="70"/>
      <c r="AR497" s="70"/>
      <c r="AS497" s="70"/>
      <c r="AT497" s="70"/>
    </row>
    <row r="498" ht="15.75" customHeight="1">
      <c r="A498" s="70"/>
      <c r="B498" s="70"/>
      <c r="C498" s="70"/>
      <c r="D498" s="80"/>
      <c r="E498" s="70"/>
      <c r="F498" s="70"/>
      <c r="G498" s="70"/>
      <c r="H498" s="70"/>
      <c r="I498" s="70"/>
      <c r="J498" s="70"/>
      <c r="K498" s="70"/>
      <c r="L498" s="70"/>
      <c r="M498" s="70"/>
      <c r="N498" s="70"/>
      <c r="O498" s="70"/>
      <c r="P498" s="70"/>
      <c r="Q498" s="70"/>
      <c r="R498" s="70"/>
      <c r="S498" s="70"/>
      <c r="T498" s="91"/>
      <c r="U498" s="91"/>
      <c r="V498" s="70"/>
      <c r="W498" s="58"/>
      <c r="X498" s="58"/>
      <c r="Y498" s="70"/>
      <c r="Z498" s="83"/>
      <c r="AA498" s="70"/>
      <c r="AB498" s="70"/>
      <c r="AC498" s="70"/>
      <c r="AD498" s="70"/>
      <c r="AE498" s="70"/>
      <c r="AF498" s="70"/>
      <c r="AG498" s="70"/>
      <c r="AH498" s="70"/>
      <c r="AI498" s="70"/>
      <c r="AJ498" s="70"/>
      <c r="AK498" s="70"/>
      <c r="AL498" s="70"/>
      <c r="AM498" s="70"/>
      <c r="AN498" s="70"/>
      <c r="AO498" s="70"/>
      <c r="AP498" s="70"/>
      <c r="AQ498" s="70"/>
      <c r="AR498" s="70"/>
      <c r="AS498" s="70"/>
      <c r="AT498" s="70"/>
    </row>
    <row r="499" ht="15.75" customHeight="1">
      <c r="A499" s="70"/>
      <c r="B499" s="70"/>
      <c r="C499" s="70"/>
      <c r="D499" s="80"/>
      <c r="E499" s="70"/>
      <c r="F499" s="70"/>
      <c r="G499" s="70"/>
      <c r="H499" s="70"/>
      <c r="I499" s="70"/>
      <c r="J499" s="70"/>
      <c r="K499" s="70"/>
      <c r="L499" s="70"/>
      <c r="M499" s="70"/>
      <c r="N499" s="70"/>
      <c r="O499" s="70"/>
      <c r="P499" s="70"/>
      <c r="Q499" s="70"/>
      <c r="R499" s="70"/>
      <c r="S499" s="70"/>
      <c r="T499" s="91"/>
      <c r="U499" s="91"/>
      <c r="V499" s="70"/>
      <c r="W499" s="58"/>
      <c r="X499" s="58"/>
      <c r="Y499" s="70"/>
      <c r="Z499" s="83"/>
      <c r="AA499" s="70"/>
      <c r="AB499" s="70"/>
      <c r="AC499" s="70"/>
      <c r="AD499" s="70"/>
      <c r="AE499" s="70"/>
      <c r="AF499" s="70"/>
      <c r="AG499" s="70"/>
      <c r="AH499" s="70"/>
      <c r="AI499" s="70"/>
      <c r="AJ499" s="70"/>
      <c r="AK499" s="70"/>
      <c r="AL499" s="70"/>
      <c r="AM499" s="70"/>
      <c r="AN499" s="70"/>
      <c r="AO499" s="70"/>
      <c r="AP499" s="70"/>
      <c r="AQ499" s="70"/>
      <c r="AR499" s="70"/>
      <c r="AS499" s="70"/>
      <c r="AT499" s="70"/>
    </row>
    <row r="500" ht="15.75" customHeight="1">
      <c r="A500" s="70"/>
      <c r="B500" s="70"/>
      <c r="C500" s="70"/>
      <c r="D500" s="80"/>
      <c r="E500" s="70"/>
      <c r="F500" s="70"/>
      <c r="G500" s="70"/>
      <c r="H500" s="70"/>
      <c r="I500" s="70"/>
      <c r="J500" s="70"/>
      <c r="K500" s="70"/>
      <c r="L500" s="70"/>
      <c r="M500" s="70"/>
      <c r="N500" s="70"/>
      <c r="O500" s="70"/>
      <c r="P500" s="70"/>
      <c r="Q500" s="70"/>
      <c r="R500" s="70"/>
      <c r="S500" s="70"/>
      <c r="T500" s="91"/>
      <c r="U500" s="91"/>
      <c r="V500" s="70"/>
      <c r="W500" s="58"/>
      <c r="X500" s="58"/>
      <c r="Y500" s="70"/>
      <c r="Z500" s="83"/>
      <c r="AA500" s="70"/>
      <c r="AB500" s="70"/>
      <c r="AC500" s="70"/>
      <c r="AD500" s="70"/>
      <c r="AE500" s="70"/>
      <c r="AF500" s="70"/>
      <c r="AG500" s="70"/>
      <c r="AH500" s="70"/>
      <c r="AI500" s="70"/>
      <c r="AJ500" s="70"/>
      <c r="AK500" s="70"/>
      <c r="AL500" s="70"/>
      <c r="AM500" s="70"/>
      <c r="AN500" s="70"/>
      <c r="AO500" s="70"/>
      <c r="AP500" s="70"/>
      <c r="AQ500" s="70"/>
      <c r="AR500" s="70"/>
      <c r="AS500" s="70"/>
      <c r="AT500" s="70"/>
    </row>
    <row r="501" ht="15.75" customHeight="1">
      <c r="A501" s="70"/>
      <c r="B501" s="70"/>
      <c r="C501" s="70"/>
      <c r="D501" s="80"/>
      <c r="E501" s="70"/>
      <c r="F501" s="70"/>
      <c r="G501" s="70"/>
      <c r="H501" s="70"/>
      <c r="I501" s="70"/>
      <c r="J501" s="70"/>
      <c r="K501" s="70"/>
      <c r="L501" s="70"/>
      <c r="M501" s="70"/>
      <c r="N501" s="70"/>
      <c r="O501" s="70"/>
      <c r="P501" s="70"/>
      <c r="Q501" s="70"/>
      <c r="R501" s="70"/>
      <c r="S501" s="70"/>
      <c r="T501" s="91"/>
      <c r="U501" s="91"/>
      <c r="V501" s="70"/>
      <c r="W501" s="58"/>
      <c r="X501" s="58"/>
      <c r="Y501" s="70"/>
      <c r="Z501" s="83"/>
      <c r="AA501" s="70"/>
      <c r="AB501" s="70"/>
      <c r="AC501" s="70"/>
      <c r="AD501" s="70"/>
      <c r="AE501" s="70"/>
      <c r="AF501" s="70"/>
      <c r="AG501" s="70"/>
      <c r="AH501" s="70"/>
      <c r="AI501" s="70"/>
      <c r="AJ501" s="70"/>
      <c r="AK501" s="70"/>
      <c r="AL501" s="70"/>
      <c r="AM501" s="70"/>
      <c r="AN501" s="70"/>
      <c r="AO501" s="70"/>
      <c r="AP501" s="70"/>
      <c r="AQ501" s="70"/>
      <c r="AR501" s="70"/>
      <c r="AS501" s="70"/>
      <c r="AT501" s="70"/>
    </row>
    <row r="502" ht="15.75" customHeight="1">
      <c r="A502" s="70"/>
      <c r="B502" s="70"/>
      <c r="C502" s="70"/>
      <c r="D502" s="80"/>
      <c r="E502" s="70"/>
      <c r="F502" s="70"/>
      <c r="G502" s="70"/>
      <c r="H502" s="70"/>
      <c r="I502" s="70"/>
      <c r="J502" s="70"/>
      <c r="K502" s="70"/>
      <c r="L502" s="70"/>
      <c r="M502" s="70"/>
      <c r="N502" s="70"/>
      <c r="O502" s="70"/>
      <c r="P502" s="70"/>
      <c r="Q502" s="70"/>
      <c r="R502" s="70"/>
      <c r="S502" s="70"/>
      <c r="T502" s="91"/>
      <c r="U502" s="91"/>
      <c r="V502" s="70"/>
      <c r="W502" s="58"/>
      <c r="X502" s="58"/>
      <c r="Y502" s="70"/>
      <c r="Z502" s="83"/>
      <c r="AA502" s="70"/>
      <c r="AB502" s="70"/>
      <c r="AC502" s="70"/>
      <c r="AD502" s="70"/>
      <c r="AE502" s="70"/>
      <c r="AF502" s="70"/>
      <c r="AG502" s="70"/>
      <c r="AH502" s="70"/>
      <c r="AI502" s="70"/>
      <c r="AJ502" s="70"/>
      <c r="AK502" s="70"/>
      <c r="AL502" s="70"/>
      <c r="AM502" s="70"/>
      <c r="AN502" s="70"/>
      <c r="AO502" s="70"/>
      <c r="AP502" s="70"/>
      <c r="AQ502" s="70"/>
      <c r="AR502" s="70"/>
      <c r="AS502" s="70"/>
      <c r="AT502" s="70"/>
    </row>
    <row r="503" ht="15.75" customHeight="1">
      <c r="A503" s="70"/>
      <c r="B503" s="70"/>
      <c r="C503" s="70"/>
      <c r="D503" s="80"/>
      <c r="E503" s="70"/>
      <c r="F503" s="70"/>
      <c r="G503" s="70"/>
      <c r="H503" s="70"/>
      <c r="I503" s="70"/>
      <c r="J503" s="70"/>
      <c r="K503" s="70"/>
      <c r="L503" s="70"/>
      <c r="M503" s="70"/>
      <c r="N503" s="70"/>
      <c r="O503" s="70"/>
      <c r="P503" s="70"/>
      <c r="Q503" s="70"/>
      <c r="R503" s="70"/>
      <c r="S503" s="70"/>
      <c r="T503" s="91"/>
      <c r="U503" s="91"/>
      <c r="V503" s="70"/>
      <c r="W503" s="58"/>
      <c r="X503" s="58"/>
      <c r="Y503" s="70"/>
      <c r="Z503" s="83"/>
      <c r="AA503" s="70"/>
      <c r="AB503" s="70"/>
      <c r="AC503" s="70"/>
      <c r="AD503" s="70"/>
      <c r="AE503" s="70"/>
      <c r="AF503" s="70"/>
      <c r="AG503" s="70"/>
      <c r="AH503" s="70"/>
      <c r="AI503" s="70"/>
      <c r="AJ503" s="70"/>
      <c r="AK503" s="70"/>
      <c r="AL503" s="70"/>
      <c r="AM503" s="70"/>
      <c r="AN503" s="70"/>
      <c r="AO503" s="70"/>
      <c r="AP503" s="70"/>
      <c r="AQ503" s="70"/>
      <c r="AR503" s="70"/>
      <c r="AS503" s="70"/>
      <c r="AT503" s="70"/>
    </row>
    <row r="504" ht="15.75" customHeight="1">
      <c r="A504" s="70"/>
      <c r="B504" s="70"/>
      <c r="C504" s="70"/>
      <c r="D504" s="80"/>
      <c r="E504" s="70"/>
      <c r="F504" s="70"/>
      <c r="G504" s="70"/>
      <c r="H504" s="70"/>
      <c r="I504" s="70"/>
      <c r="J504" s="70"/>
      <c r="K504" s="70"/>
      <c r="L504" s="70"/>
      <c r="M504" s="70"/>
      <c r="N504" s="70"/>
      <c r="O504" s="70"/>
      <c r="P504" s="70"/>
      <c r="Q504" s="70"/>
      <c r="R504" s="70"/>
      <c r="S504" s="70"/>
      <c r="T504" s="91"/>
      <c r="U504" s="91"/>
      <c r="V504" s="70"/>
      <c r="W504" s="58"/>
      <c r="X504" s="58"/>
      <c r="Y504" s="70"/>
      <c r="Z504" s="83"/>
      <c r="AA504" s="70"/>
      <c r="AB504" s="70"/>
      <c r="AC504" s="70"/>
      <c r="AD504" s="70"/>
      <c r="AE504" s="70"/>
      <c r="AF504" s="70"/>
      <c r="AG504" s="70"/>
      <c r="AH504" s="70"/>
      <c r="AI504" s="70"/>
      <c r="AJ504" s="70"/>
      <c r="AK504" s="70"/>
      <c r="AL504" s="70"/>
      <c r="AM504" s="70"/>
      <c r="AN504" s="70"/>
      <c r="AO504" s="70"/>
      <c r="AP504" s="70"/>
      <c r="AQ504" s="70"/>
      <c r="AR504" s="70"/>
      <c r="AS504" s="70"/>
      <c r="AT504" s="70"/>
    </row>
    <row r="505" ht="15.75" customHeight="1">
      <c r="A505" s="70"/>
      <c r="B505" s="70"/>
      <c r="C505" s="70"/>
      <c r="D505" s="80"/>
      <c r="E505" s="70"/>
      <c r="F505" s="70"/>
      <c r="G505" s="70"/>
      <c r="H505" s="70"/>
      <c r="I505" s="70"/>
      <c r="J505" s="70"/>
      <c r="K505" s="70"/>
      <c r="L505" s="70"/>
      <c r="M505" s="70"/>
      <c r="N505" s="70"/>
      <c r="O505" s="70"/>
      <c r="P505" s="70"/>
      <c r="Q505" s="70"/>
      <c r="R505" s="70"/>
      <c r="S505" s="70"/>
      <c r="T505" s="91"/>
      <c r="U505" s="91"/>
      <c r="V505" s="70"/>
      <c r="W505" s="58"/>
      <c r="X505" s="58"/>
      <c r="Y505" s="70"/>
      <c r="Z505" s="83"/>
      <c r="AA505" s="70"/>
      <c r="AB505" s="70"/>
      <c r="AC505" s="70"/>
      <c r="AD505" s="70"/>
      <c r="AE505" s="70"/>
      <c r="AF505" s="70"/>
      <c r="AG505" s="70"/>
      <c r="AH505" s="70"/>
      <c r="AI505" s="70"/>
      <c r="AJ505" s="70"/>
      <c r="AK505" s="70"/>
      <c r="AL505" s="70"/>
      <c r="AM505" s="70"/>
      <c r="AN505" s="70"/>
      <c r="AO505" s="70"/>
      <c r="AP505" s="70"/>
      <c r="AQ505" s="70"/>
      <c r="AR505" s="70"/>
      <c r="AS505" s="70"/>
      <c r="AT505" s="70"/>
    </row>
    <row r="506" ht="15.75" customHeight="1">
      <c r="A506" s="70"/>
      <c r="B506" s="70"/>
      <c r="C506" s="70"/>
      <c r="D506" s="80"/>
      <c r="E506" s="70"/>
      <c r="F506" s="70"/>
      <c r="G506" s="70"/>
      <c r="H506" s="70"/>
      <c r="I506" s="70"/>
      <c r="J506" s="70"/>
      <c r="K506" s="70"/>
      <c r="L506" s="70"/>
      <c r="M506" s="70"/>
      <c r="N506" s="70"/>
      <c r="O506" s="70"/>
      <c r="P506" s="70"/>
      <c r="Q506" s="70"/>
      <c r="R506" s="70"/>
      <c r="S506" s="70"/>
      <c r="T506" s="91"/>
      <c r="U506" s="91"/>
      <c r="V506" s="70"/>
      <c r="W506" s="58"/>
      <c r="X506" s="58"/>
      <c r="Y506" s="70"/>
      <c r="Z506" s="83"/>
      <c r="AA506" s="70"/>
      <c r="AB506" s="70"/>
      <c r="AC506" s="70"/>
      <c r="AD506" s="70"/>
      <c r="AE506" s="70"/>
      <c r="AF506" s="70"/>
      <c r="AG506" s="70"/>
      <c r="AH506" s="70"/>
      <c r="AI506" s="70"/>
      <c r="AJ506" s="70"/>
      <c r="AK506" s="70"/>
      <c r="AL506" s="70"/>
      <c r="AM506" s="70"/>
      <c r="AN506" s="70"/>
      <c r="AO506" s="70"/>
      <c r="AP506" s="70"/>
      <c r="AQ506" s="70"/>
      <c r="AR506" s="70"/>
      <c r="AS506" s="70"/>
      <c r="AT506" s="70"/>
    </row>
    <row r="507" ht="15.75" customHeight="1">
      <c r="A507" s="70"/>
      <c r="B507" s="70"/>
      <c r="C507" s="70"/>
      <c r="D507" s="80"/>
      <c r="E507" s="70"/>
      <c r="F507" s="70"/>
      <c r="G507" s="70"/>
      <c r="H507" s="70"/>
      <c r="I507" s="70"/>
      <c r="J507" s="70"/>
      <c r="K507" s="70"/>
      <c r="L507" s="70"/>
      <c r="M507" s="70"/>
      <c r="N507" s="70"/>
      <c r="O507" s="70"/>
      <c r="P507" s="70"/>
      <c r="Q507" s="70"/>
      <c r="R507" s="70"/>
      <c r="S507" s="70"/>
      <c r="T507" s="91"/>
      <c r="U507" s="91"/>
      <c r="V507" s="70"/>
      <c r="W507" s="58"/>
      <c r="X507" s="58"/>
      <c r="Y507" s="70"/>
      <c r="Z507" s="83"/>
      <c r="AA507" s="70"/>
      <c r="AB507" s="70"/>
      <c r="AC507" s="70"/>
      <c r="AD507" s="70"/>
      <c r="AE507" s="70"/>
      <c r="AF507" s="70"/>
      <c r="AG507" s="70"/>
      <c r="AH507" s="70"/>
      <c r="AI507" s="70"/>
      <c r="AJ507" s="70"/>
      <c r="AK507" s="70"/>
      <c r="AL507" s="70"/>
      <c r="AM507" s="70"/>
      <c r="AN507" s="70"/>
      <c r="AO507" s="70"/>
      <c r="AP507" s="70"/>
      <c r="AQ507" s="70"/>
      <c r="AR507" s="70"/>
      <c r="AS507" s="70"/>
      <c r="AT507" s="70"/>
    </row>
    <row r="508" ht="15.75" customHeight="1">
      <c r="A508" s="70"/>
      <c r="B508" s="70"/>
      <c r="C508" s="70"/>
      <c r="D508" s="80"/>
      <c r="E508" s="70"/>
      <c r="F508" s="70"/>
      <c r="G508" s="70"/>
      <c r="H508" s="70"/>
      <c r="I508" s="70"/>
      <c r="J508" s="70"/>
      <c r="K508" s="70"/>
      <c r="L508" s="70"/>
      <c r="M508" s="70"/>
      <c r="N508" s="70"/>
      <c r="O508" s="70"/>
      <c r="P508" s="70"/>
      <c r="Q508" s="70"/>
      <c r="R508" s="70"/>
      <c r="S508" s="70"/>
      <c r="T508" s="91"/>
      <c r="U508" s="91"/>
      <c r="V508" s="70"/>
      <c r="W508" s="58"/>
      <c r="X508" s="58"/>
      <c r="Y508" s="70"/>
      <c r="Z508" s="83"/>
      <c r="AA508" s="70"/>
      <c r="AB508" s="70"/>
      <c r="AC508" s="70"/>
      <c r="AD508" s="70"/>
      <c r="AE508" s="70"/>
      <c r="AF508" s="70"/>
      <c r="AG508" s="70"/>
      <c r="AH508" s="70"/>
      <c r="AI508" s="70"/>
      <c r="AJ508" s="70"/>
      <c r="AK508" s="70"/>
      <c r="AL508" s="70"/>
      <c r="AM508" s="70"/>
      <c r="AN508" s="70"/>
      <c r="AO508" s="70"/>
      <c r="AP508" s="70"/>
      <c r="AQ508" s="70"/>
      <c r="AR508" s="70"/>
      <c r="AS508" s="70"/>
      <c r="AT508" s="70"/>
    </row>
    <row r="509" ht="15.75" customHeight="1">
      <c r="A509" s="70"/>
      <c r="B509" s="70"/>
      <c r="C509" s="70"/>
      <c r="D509" s="80"/>
      <c r="E509" s="70"/>
      <c r="F509" s="70"/>
      <c r="G509" s="70"/>
      <c r="H509" s="70"/>
      <c r="I509" s="70"/>
      <c r="J509" s="70"/>
      <c r="K509" s="70"/>
      <c r="L509" s="70"/>
      <c r="M509" s="70"/>
      <c r="N509" s="70"/>
      <c r="O509" s="70"/>
      <c r="P509" s="70"/>
      <c r="Q509" s="70"/>
      <c r="R509" s="70"/>
      <c r="S509" s="70"/>
      <c r="T509" s="91"/>
      <c r="U509" s="91"/>
      <c r="V509" s="70"/>
      <c r="W509" s="58"/>
      <c r="X509" s="58"/>
      <c r="Y509" s="70"/>
      <c r="Z509" s="83"/>
      <c r="AA509" s="70"/>
      <c r="AB509" s="70"/>
      <c r="AC509" s="70"/>
      <c r="AD509" s="70"/>
      <c r="AE509" s="70"/>
      <c r="AF509" s="70"/>
      <c r="AG509" s="70"/>
      <c r="AH509" s="70"/>
      <c r="AI509" s="70"/>
      <c r="AJ509" s="70"/>
      <c r="AK509" s="70"/>
      <c r="AL509" s="70"/>
      <c r="AM509" s="70"/>
      <c r="AN509" s="70"/>
      <c r="AO509" s="70"/>
      <c r="AP509" s="70"/>
      <c r="AQ509" s="70"/>
      <c r="AR509" s="70"/>
      <c r="AS509" s="70"/>
      <c r="AT509" s="70"/>
    </row>
    <row r="510" ht="15.75" customHeight="1">
      <c r="A510" s="70"/>
      <c r="B510" s="70"/>
      <c r="C510" s="70"/>
      <c r="D510" s="80"/>
      <c r="E510" s="70"/>
      <c r="F510" s="70"/>
      <c r="G510" s="70"/>
      <c r="H510" s="70"/>
      <c r="I510" s="70"/>
      <c r="J510" s="70"/>
      <c r="K510" s="70"/>
      <c r="L510" s="70"/>
      <c r="M510" s="70"/>
      <c r="N510" s="70"/>
      <c r="O510" s="70"/>
      <c r="P510" s="70"/>
      <c r="Q510" s="70"/>
      <c r="R510" s="70"/>
      <c r="S510" s="70"/>
      <c r="T510" s="91"/>
      <c r="U510" s="91"/>
      <c r="V510" s="70"/>
      <c r="W510" s="58"/>
      <c r="X510" s="58"/>
      <c r="Y510" s="70"/>
      <c r="Z510" s="83"/>
      <c r="AA510" s="70"/>
      <c r="AB510" s="70"/>
      <c r="AC510" s="70"/>
      <c r="AD510" s="70"/>
      <c r="AE510" s="70"/>
      <c r="AF510" s="70"/>
      <c r="AG510" s="70"/>
      <c r="AH510" s="70"/>
      <c r="AI510" s="70"/>
      <c r="AJ510" s="70"/>
      <c r="AK510" s="70"/>
      <c r="AL510" s="70"/>
      <c r="AM510" s="70"/>
      <c r="AN510" s="70"/>
      <c r="AO510" s="70"/>
      <c r="AP510" s="70"/>
      <c r="AQ510" s="70"/>
      <c r="AR510" s="70"/>
      <c r="AS510" s="70"/>
      <c r="AT510" s="70"/>
    </row>
    <row r="511" ht="15.75" customHeight="1">
      <c r="A511" s="70"/>
      <c r="B511" s="70"/>
      <c r="C511" s="70"/>
      <c r="D511" s="80"/>
      <c r="E511" s="70"/>
      <c r="F511" s="70"/>
      <c r="G511" s="70"/>
      <c r="H511" s="70"/>
      <c r="I511" s="70"/>
      <c r="J511" s="70"/>
      <c r="K511" s="70"/>
      <c r="L511" s="70"/>
      <c r="M511" s="70"/>
      <c r="N511" s="70"/>
      <c r="O511" s="70"/>
      <c r="P511" s="70"/>
      <c r="Q511" s="70"/>
      <c r="R511" s="70"/>
      <c r="S511" s="70"/>
      <c r="T511" s="91"/>
      <c r="U511" s="91"/>
      <c r="V511" s="70"/>
      <c r="W511" s="58"/>
      <c r="X511" s="58"/>
      <c r="Y511" s="70"/>
      <c r="Z511" s="83"/>
      <c r="AA511" s="70"/>
      <c r="AB511" s="70"/>
      <c r="AC511" s="70"/>
      <c r="AD511" s="70"/>
      <c r="AE511" s="70"/>
      <c r="AF511" s="70"/>
      <c r="AG511" s="70"/>
      <c r="AH511" s="70"/>
      <c r="AI511" s="70"/>
      <c r="AJ511" s="70"/>
      <c r="AK511" s="70"/>
      <c r="AL511" s="70"/>
      <c r="AM511" s="70"/>
      <c r="AN511" s="70"/>
      <c r="AO511" s="70"/>
      <c r="AP511" s="70"/>
      <c r="AQ511" s="70"/>
      <c r="AR511" s="70"/>
      <c r="AS511" s="70"/>
      <c r="AT511" s="70"/>
    </row>
    <row r="512" ht="15.75" customHeight="1">
      <c r="A512" s="70"/>
      <c r="B512" s="70"/>
      <c r="C512" s="70"/>
      <c r="D512" s="80"/>
      <c r="E512" s="70"/>
      <c r="F512" s="70"/>
      <c r="G512" s="70"/>
      <c r="H512" s="70"/>
      <c r="I512" s="70"/>
      <c r="J512" s="70"/>
      <c r="K512" s="70"/>
      <c r="L512" s="70"/>
      <c r="M512" s="70"/>
      <c r="N512" s="70"/>
      <c r="O512" s="70"/>
      <c r="P512" s="70"/>
      <c r="Q512" s="70"/>
      <c r="R512" s="70"/>
      <c r="S512" s="70"/>
      <c r="T512" s="91"/>
      <c r="U512" s="91"/>
      <c r="V512" s="70"/>
      <c r="W512" s="58"/>
      <c r="X512" s="58"/>
      <c r="Y512" s="70"/>
      <c r="Z512" s="83"/>
      <c r="AA512" s="70"/>
      <c r="AB512" s="70"/>
      <c r="AC512" s="70"/>
      <c r="AD512" s="70"/>
      <c r="AE512" s="70"/>
      <c r="AF512" s="70"/>
      <c r="AG512" s="70"/>
      <c r="AH512" s="70"/>
      <c r="AI512" s="70"/>
      <c r="AJ512" s="70"/>
      <c r="AK512" s="70"/>
      <c r="AL512" s="70"/>
      <c r="AM512" s="70"/>
      <c r="AN512" s="70"/>
      <c r="AO512" s="70"/>
      <c r="AP512" s="70"/>
      <c r="AQ512" s="70"/>
      <c r="AR512" s="70"/>
      <c r="AS512" s="70"/>
      <c r="AT512" s="70"/>
    </row>
    <row r="513" ht="15.75" customHeight="1">
      <c r="A513" s="70"/>
      <c r="B513" s="70"/>
      <c r="C513" s="70"/>
      <c r="D513" s="80"/>
      <c r="E513" s="70"/>
      <c r="F513" s="70"/>
      <c r="G513" s="70"/>
      <c r="H513" s="70"/>
      <c r="I513" s="70"/>
      <c r="J513" s="70"/>
      <c r="K513" s="70"/>
      <c r="L513" s="70"/>
      <c r="M513" s="70"/>
      <c r="N513" s="70"/>
      <c r="O513" s="70"/>
      <c r="P513" s="70"/>
      <c r="Q513" s="70"/>
      <c r="R513" s="70"/>
      <c r="S513" s="70"/>
      <c r="T513" s="91"/>
      <c r="U513" s="91"/>
      <c r="V513" s="70"/>
      <c r="W513" s="58"/>
      <c r="X513" s="58"/>
      <c r="Y513" s="70"/>
      <c r="Z513" s="83"/>
      <c r="AA513" s="70"/>
      <c r="AB513" s="70"/>
      <c r="AC513" s="70"/>
      <c r="AD513" s="70"/>
      <c r="AE513" s="70"/>
      <c r="AF513" s="70"/>
      <c r="AG513" s="70"/>
      <c r="AH513" s="70"/>
      <c r="AI513" s="70"/>
      <c r="AJ513" s="70"/>
      <c r="AK513" s="70"/>
      <c r="AL513" s="70"/>
      <c r="AM513" s="70"/>
      <c r="AN513" s="70"/>
      <c r="AO513" s="70"/>
      <c r="AP513" s="70"/>
      <c r="AQ513" s="70"/>
      <c r="AR513" s="70"/>
      <c r="AS513" s="70"/>
      <c r="AT513" s="70"/>
    </row>
    <row r="514" ht="15.75" customHeight="1">
      <c r="A514" s="70"/>
      <c r="B514" s="70"/>
      <c r="C514" s="70"/>
      <c r="D514" s="80"/>
      <c r="E514" s="70"/>
      <c r="F514" s="70"/>
      <c r="G514" s="70"/>
      <c r="H514" s="70"/>
      <c r="I514" s="70"/>
      <c r="J514" s="70"/>
      <c r="K514" s="70"/>
      <c r="L514" s="70"/>
      <c r="M514" s="70"/>
      <c r="N514" s="70"/>
      <c r="O514" s="70"/>
      <c r="P514" s="70"/>
      <c r="Q514" s="70"/>
      <c r="R514" s="70"/>
      <c r="S514" s="70"/>
      <c r="T514" s="91"/>
      <c r="U514" s="91"/>
      <c r="V514" s="70"/>
      <c r="W514" s="58"/>
      <c r="X514" s="58"/>
      <c r="Y514" s="70"/>
      <c r="Z514" s="83"/>
      <c r="AA514" s="70"/>
      <c r="AB514" s="70"/>
      <c r="AC514" s="70"/>
      <c r="AD514" s="70"/>
      <c r="AE514" s="70"/>
      <c r="AF514" s="70"/>
      <c r="AG514" s="70"/>
      <c r="AH514" s="70"/>
      <c r="AI514" s="70"/>
      <c r="AJ514" s="70"/>
      <c r="AK514" s="70"/>
      <c r="AL514" s="70"/>
      <c r="AM514" s="70"/>
      <c r="AN514" s="70"/>
      <c r="AO514" s="70"/>
      <c r="AP514" s="70"/>
      <c r="AQ514" s="70"/>
      <c r="AR514" s="70"/>
      <c r="AS514" s="70"/>
      <c r="AT514" s="70"/>
    </row>
    <row r="515" ht="15.75" customHeight="1">
      <c r="A515" s="70"/>
      <c r="B515" s="70"/>
      <c r="C515" s="70"/>
      <c r="D515" s="80"/>
      <c r="E515" s="70"/>
      <c r="F515" s="70"/>
      <c r="G515" s="70"/>
      <c r="H515" s="70"/>
      <c r="I515" s="70"/>
      <c r="J515" s="70"/>
      <c r="K515" s="70"/>
      <c r="L515" s="70"/>
      <c r="M515" s="70"/>
      <c r="N515" s="70"/>
      <c r="O515" s="70"/>
      <c r="P515" s="70"/>
      <c r="Q515" s="70"/>
      <c r="R515" s="70"/>
      <c r="S515" s="70"/>
      <c r="T515" s="91"/>
      <c r="U515" s="91"/>
      <c r="V515" s="70"/>
      <c r="W515" s="58"/>
      <c r="X515" s="58"/>
      <c r="Y515" s="70"/>
      <c r="Z515" s="83"/>
      <c r="AA515" s="70"/>
      <c r="AB515" s="70"/>
      <c r="AC515" s="70"/>
      <c r="AD515" s="70"/>
      <c r="AE515" s="70"/>
      <c r="AF515" s="70"/>
      <c r="AG515" s="70"/>
      <c r="AH515" s="70"/>
      <c r="AI515" s="70"/>
      <c r="AJ515" s="70"/>
      <c r="AK515" s="70"/>
      <c r="AL515" s="70"/>
      <c r="AM515" s="70"/>
      <c r="AN515" s="70"/>
      <c r="AO515" s="70"/>
      <c r="AP515" s="70"/>
      <c r="AQ515" s="70"/>
      <c r="AR515" s="70"/>
      <c r="AS515" s="70"/>
      <c r="AT515" s="70"/>
    </row>
    <row r="516" ht="15.75" customHeight="1">
      <c r="A516" s="70"/>
      <c r="B516" s="70"/>
      <c r="C516" s="70"/>
      <c r="D516" s="80"/>
      <c r="E516" s="70"/>
      <c r="F516" s="70"/>
      <c r="G516" s="70"/>
      <c r="H516" s="70"/>
      <c r="I516" s="70"/>
      <c r="J516" s="70"/>
      <c r="K516" s="70"/>
      <c r="L516" s="70"/>
      <c r="M516" s="70"/>
      <c r="N516" s="70"/>
      <c r="O516" s="70"/>
      <c r="P516" s="70"/>
      <c r="Q516" s="70"/>
      <c r="R516" s="70"/>
      <c r="S516" s="70"/>
      <c r="T516" s="91"/>
      <c r="U516" s="91"/>
      <c r="V516" s="70"/>
      <c r="W516" s="58"/>
      <c r="X516" s="58"/>
      <c r="Y516" s="70"/>
      <c r="Z516" s="83"/>
      <c r="AA516" s="70"/>
      <c r="AB516" s="70"/>
      <c r="AC516" s="70"/>
      <c r="AD516" s="70"/>
      <c r="AE516" s="70"/>
      <c r="AF516" s="70"/>
      <c r="AG516" s="70"/>
      <c r="AH516" s="70"/>
      <c r="AI516" s="70"/>
      <c r="AJ516" s="70"/>
      <c r="AK516" s="70"/>
      <c r="AL516" s="70"/>
      <c r="AM516" s="70"/>
      <c r="AN516" s="70"/>
      <c r="AO516" s="70"/>
      <c r="AP516" s="70"/>
      <c r="AQ516" s="70"/>
      <c r="AR516" s="70"/>
      <c r="AS516" s="70"/>
      <c r="AT516" s="70"/>
    </row>
    <row r="517" ht="15.75" customHeight="1">
      <c r="A517" s="70"/>
      <c r="B517" s="70"/>
      <c r="C517" s="70"/>
      <c r="D517" s="80"/>
      <c r="E517" s="70"/>
      <c r="F517" s="70"/>
      <c r="G517" s="70"/>
      <c r="H517" s="70"/>
      <c r="I517" s="70"/>
      <c r="J517" s="70"/>
      <c r="K517" s="70"/>
      <c r="L517" s="70"/>
      <c r="M517" s="70"/>
      <c r="N517" s="70"/>
      <c r="O517" s="70"/>
      <c r="P517" s="70"/>
      <c r="Q517" s="70"/>
      <c r="R517" s="70"/>
      <c r="S517" s="70"/>
      <c r="T517" s="91"/>
      <c r="U517" s="91"/>
      <c r="V517" s="70"/>
      <c r="W517" s="58"/>
      <c r="X517" s="58"/>
      <c r="Y517" s="70"/>
      <c r="Z517" s="83"/>
      <c r="AA517" s="70"/>
      <c r="AB517" s="70"/>
      <c r="AC517" s="70"/>
      <c r="AD517" s="70"/>
      <c r="AE517" s="70"/>
      <c r="AF517" s="70"/>
      <c r="AG517" s="70"/>
      <c r="AH517" s="70"/>
      <c r="AI517" s="70"/>
      <c r="AJ517" s="70"/>
      <c r="AK517" s="70"/>
      <c r="AL517" s="70"/>
      <c r="AM517" s="70"/>
      <c r="AN517" s="70"/>
      <c r="AO517" s="70"/>
      <c r="AP517" s="70"/>
      <c r="AQ517" s="70"/>
      <c r="AR517" s="70"/>
      <c r="AS517" s="70"/>
      <c r="AT517" s="70"/>
    </row>
    <row r="518" ht="15.75" customHeight="1">
      <c r="A518" s="70"/>
      <c r="B518" s="70"/>
      <c r="C518" s="70"/>
      <c r="D518" s="80"/>
      <c r="E518" s="70"/>
      <c r="F518" s="70"/>
      <c r="G518" s="70"/>
      <c r="H518" s="70"/>
      <c r="I518" s="70"/>
      <c r="J518" s="70"/>
      <c r="K518" s="70"/>
      <c r="L518" s="70"/>
      <c r="M518" s="70"/>
      <c r="N518" s="70"/>
      <c r="O518" s="70"/>
      <c r="P518" s="70"/>
      <c r="Q518" s="70"/>
      <c r="R518" s="70"/>
      <c r="S518" s="70"/>
      <c r="T518" s="91"/>
      <c r="U518" s="91"/>
      <c r="V518" s="70"/>
      <c r="W518" s="58"/>
      <c r="X518" s="58"/>
      <c r="Y518" s="70"/>
      <c r="Z518" s="83"/>
      <c r="AA518" s="70"/>
      <c r="AB518" s="70"/>
      <c r="AC518" s="70"/>
      <c r="AD518" s="70"/>
      <c r="AE518" s="70"/>
      <c r="AF518" s="70"/>
      <c r="AG518" s="70"/>
      <c r="AH518" s="70"/>
      <c r="AI518" s="70"/>
      <c r="AJ518" s="70"/>
      <c r="AK518" s="70"/>
      <c r="AL518" s="70"/>
      <c r="AM518" s="70"/>
      <c r="AN518" s="70"/>
      <c r="AO518" s="70"/>
      <c r="AP518" s="70"/>
      <c r="AQ518" s="70"/>
      <c r="AR518" s="70"/>
      <c r="AS518" s="70"/>
      <c r="AT518" s="70"/>
    </row>
    <row r="519" ht="15.75" customHeight="1">
      <c r="A519" s="70"/>
      <c r="B519" s="70"/>
      <c r="C519" s="70"/>
      <c r="D519" s="80"/>
      <c r="E519" s="70"/>
      <c r="F519" s="70"/>
      <c r="G519" s="70"/>
      <c r="H519" s="70"/>
      <c r="I519" s="70"/>
      <c r="J519" s="70"/>
      <c r="K519" s="70"/>
      <c r="L519" s="70"/>
      <c r="M519" s="70"/>
      <c r="N519" s="70"/>
      <c r="O519" s="70"/>
      <c r="P519" s="70"/>
      <c r="Q519" s="70"/>
      <c r="R519" s="70"/>
      <c r="S519" s="70"/>
      <c r="T519" s="91"/>
      <c r="U519" s="91"/>
      <c r="V519" s="70"/>
      <c r="W519" s="58"/>
      <c r="X519" s="58"/>
      <c r="Y519" s="70"/>
      <c r="Z519" s="83"/>
      <c r="AA519" s="70"/>
      <c r="AB519" s="70"/>
      <c r="AC519" s="70"/>
      <c r="AD519" s="70"/>
      <c r="AE519" s="70"/>
      <c r="AF519" s="70"/>
      <c r="AG519" s="70"/>
      <c r="AH519" s="70"/>
      <c r="AI519" s="70"/>
      <c r="AJ519" s="70"/>
      <c r="AK519" s="70"/>
      <c r="AL519" s="70"/>
      <c r="AM519" s="70"/>
      <c r="AN519" s="70"/>
      <c r="AO519" s="70"/>
      <c r="AP519" s="70"/>
      <c r="AQ519" s="70"/>
      <c r="AR519" s="70"/>
      <c r="AS519" s="70"/>
      <c r="AT519" s="70"/>
    </row>
    <row r="520" ht="15.75" customHeight="1">
      <c r="A520" s="70"/>
      <c r="B520" s="70"/>
      <c r="C520" s="70"/>
      <c r="D520" s="80"/>
      <c r="E520" s="70"/>
      <c r="F520" s="70"/>
      <c r="G520" s="70"/>
      <c r="H520" s="70"/>
      <c r="I520" s="70"/>
      <c r="J520" s="70"/>
      <c r="K520" s="70"/>
      <c r="L520" s="70"/>
      <c r="M520" s="70"/>
      <c r="N520" s="70"/>
      <c r="O520" s="70"/>
      <c r="P520" s="70"/>
      <c r="Q520" s="70"/>
      <c r="R520" s="70"/>
      <c r="S520" s="70"/>
      <c r="T520" s="91"/>
      <c r="U520" s="91"/>
      <c r="V520" s="70"/>
      <c r="W520" s="58"/>
      <c r="X520" s="58"/>
      <c r="Y520" s="70"/>
      <c r="Z520" s="83"/>
      <c r="AA520" s="70"/>
      <c r="AB520" s="70"/>
      <c r="AC520" s="70"/>
      <c r="AD520" s="70"/>
      <c r="AE520" s="70"/>
      <c r="AF520" s="70"/>
      <c r="AG520" s="70"/>
      <c r="AH520" s="70"/>
      <c r="AI520" s="70"/>
      <c r="AJ520" s="70"/>
      <c r="AK520" s="70"/>
      <c r="AL520" s="70"/>
      <c r="AM520" s="70"/>
      <c r="AN520" s="70"/>
      <c r="AO520" s="70"/>
      <c r="AP520" s="70"/>
      <c r="AQ520" s="70"/>
      <c r="AR520" s="70"/>
      <c r="AS520" s="70"/>
      <c r="AT520" s="70"/>
    </row>
    <row r="521" ht="15.75" customHeight="1">
      <c r="A521" s="70"/>
      <c r="B521" s="70"/>
      <c r="C521" s="70"/>
      <c r="D521" s="80"/>
      <c r="E521" s="70"/>
      <c r="F521" s="70"/>
      <c r="G521" s="70"/>
      <c r="H521" s="70"/>
      <c r="I521" s="70"/>
      <c r="J521" s="70"/>
      <c r="K521" s="70"/>
      <c r="L521" s="70"/>
      <c r="M521" s="70"/>
      <c r="N521" s="70"/>
      <c r="O521" s="70"/>
      <c r="P521" s="70"/>
      <c r="Q521" s="70"/>
      <c r="R521" s="70"/>
      <c r="S521" s="70"/>
      <c r="T521" s="91"/>
      <c r="U521" s="91"/>
      <c r="V521" s="70"/>
      <c r="W521" s="58"/>
      <c r="X521" s="58"/>
      <c r="Y521" s="70"/>
      <c r="Z521" s="83"/>
      <c r="AA521" s="70"/>
      <c r="AB521" s="70"/>
      <c r="AC521" s="70"/>
      <c r="AD521" s="70"/>
      <c r="AE521" s="70"/>
      <c r="AF521" s="70"/>
      <c r="AG521" s="70"/>
      <c r="AH521" s="70"/>
      <c r="AI521" s="70"/>
      <c r="AJ521" s="70"/>
      <c r="AK521" s="70"/>
      <c r="AL521" s="70"/>
      <c r="AM521" s="70"/>
      <c r="AN521" s="70"/>
      <c r="AO521" s="70"/>
      <c r="AP521" s="70"/>
      <c r="AQ521" s="70"/>
      <c r="AR521" s="70"/>
      <c r="AS521" s="70"/>
      <c r="AT521" s="70"/>
    </row>
    <row r="522" ht="15.75" customHeight="1">
      <c r="A522" s="70"/>
      <c r="B522" s="70"/>
      <c r="C522" s="70"/>
      <c r="D522" s="80"/>
      <c r="E522" s="70"/>
      <c r="F522" s="70"/>
      <c r="G522" s="70"/>
      <c r="H522" s="70"/>
      <c r="I522" s="70"/>
      <c r="J522" s="70"/>
      <c r="K522" s="70"/>
      <c r="L522" s="70"/>
      <c r="M522" s="70"/>
      <c r="N522" s="70"/>
      <c r="O522" s="70"/>
      <c r="P522" s="70"/>
      <c r="Q522" s="70"/>
      <c r="R522" s="70"/>
      <c r="S522" s="70"/>
      <c r="T522" s="91"/>
      <c r="U522" s="91"/>
      <c r="V522" s="70"/>
      <c r="W522" s="58"/>
      <c r="X522" s="58"/>
      <c r="Y522" s="70"/>
      <c r="Z522" s="83"/>
      <c r="AA522" s="70"/>
      <c r="AB522" s="70"/>
      <c r="AC522" s="70"/>
      <c r="AD522" s="70"/>
      <c r="AE522" s="70"/>
      <c r="AF522" s="70"/>
      <c r="AG522" s="70"/>
      <c r="AH522" s="70"/>
      <c r="AI522" s="70"/>
      <c r="AJ522" s="70"/>
      <c r="AK522" s="70"/>
      <c r="AL522" s="70"/>
      <c r="AM522" s="70"/>
      <c r="AN522" s="70"/>
      <c r="AO522" s="70"/>
      <c r="AP522" s="70"/>
      <c r="AQ522" s="70"/>
      <c r="AR522" s="70"/>
      <c r="AS522" s="70"/>
      <c r="AT522" s="70"/>
    </row>
    <row r="523" ht="15.75" customHeight="1">
      <c r="A523" s="70"/>
      <c r="B523" s="70"/>
      <c r="C523" s="70"/>
      <c r="D523" s="80"/>
      <c r="E523" s="70"/>
      <c r="F523" s="70"/>
      <c r="G523" s="70"/>
      <c r="H523" s="70"/>
      <c r="I523" s="70"/>
      <c r="J523" s="70"/>
      <c r="K523" s="70"/>
      <c r="L523" s="70"/>
      <c r="M523" s="70"/>
      <c r="N523" s="70"/>
      <c r="O523" s="70"/>
      <c r="P523" s="70"/>
      <c r="Q523" s="70"/>
      <c r="R523" s="70"/>
      <c r="S523" s="70"/>
      <c r="T523" s="91"/>
      <c r="U523" s="91"/>
      <c r="V523" s="70"/>
      <c r="W523" s="58"/>
      <c r="X523" s="58"/>
      <c r="Y523" s="70"/>
      <c r="Z523" s="83"/>
      <c r="AA523" s="70"/>
      <c r="AB523" s="70"/>
      <c r="AC523" s="70"/>
      <c r="AD523" s="70"/>
      <c r="AE523" s="70"/>
      <c r="AF523" s="70"/>
      <c r="AG523" s="70"/>
      <c r="AH523" s="70"/>
      <c r="AI523" s="70"/>
      <c r="AJ523" s="70"/>
      <c r="AK523" s="70"/>
      <c r="AL523" s="70"/>
      <c r="AM523" s="70"/>
      <c r="AN523" s="70"/>
      <c r="AO523" s="70"/>
      <c r="AP523" s="70"/>
      <c r="AQ523" s="70"/>
      <c r="AR523" s="70"/>
      <c r="AS523" s="70"/>
      <c r="AT523" s="70"/>
    </row>
    <row r="524" ht="15.75" customHeight="1">
      <c r="A524" s="70"/>
      <c r="B524" s="70"/>
      <c r="C524" s="70"/>
      <c r="D524" s="80"/>
      <c r="E524" s="70"/>
      <c r="F524" s="70"/>
      <c r="G524" s="70"/>
      <c r="H524" s="70"/>
      <c r="I524" s="70"/>
      <c r="J524" s="70"/>
      <c r="K524" s="70"/>
      <c r="L524" s="70"/>
      <c r="M524" s="70"/>
      <c r="N524" s="70"/>
      <c r="O524" s="70"/>
      <c r="P524" s="70"/>
      <c r="Q524" s="70"/>
      <c r="R524" s="70"/>
      <c r="S524" s="70"/>
      <c r="T524" s="91"/>
      <c r="U524" s="91"/>
      <c r="V524" s="70"/>
      <c r="W524" s="58"/>
      <c r="X524" s="58"/>
      <c r="Y524" s="70"/>
      <c r="Z524" s="83"/>
      <c r="AA524" s="70"/>
      <c r="AB524" s="70"/>
      <c r="AC524" s="70"/>
      <c r="AD524" s="70"/>
      <c r="AE524" s="70"/>
      <c r="AF524" s="70"/>
      <c r="AG524" s="70"/>
      <c r="AH524" s="70"/>
      <c r="AI524" s="70"/>
      <c r="AJ524" s="70"/>
      <c r="AK524" s="70"/>
      <c r="AL524" s="70"/>
      <c r="AM524" s="70"/>
      <c r="AN524" s="70"/>
      <c r="AO524" s="70"/>
      <c r="AP524" s="70"/>
      <c r="AQ524" s="70"/>
      <c r="AR524" s="70"/>
      <c r="AS524" s="70"/>
      <c r="AT524" s="70"/>
    </row>
    <row r="525" ht="15.75" customHeight="1">
      <c r="A525" s="70"/>
      <c r="B525" s="70"/>
      <c r="C525" s="70"/>
      <c r="D525" s="80"/>
      <c r="E525" s="70"/>
      <c r="F525" s="70"/>
      <c r="G525" s="70"/>
      <c r="H525" s="70"/>
      <c r="I525" s="70"/>
      <c r="J525" s="70"/>
      <c r="K525" s="70"/>
      <c r="L525" s="70"/>
      <c r="M525" s="70"/>
      <c r="N525" s="70"/>
      <c r="O525" s="70"/>
      <c r="P525" s="70"/>
      <c r="Q525" s="70"/>
      <c r="R525" s="70"/>
      <c r="S525" s="70"/>
      <c r="T525" s="91"/>
      <c r="U525" s="91"/>
      <c r="V525" s="70"/>
      <c r="W525" s="58"/>
      <c r="X525" s="58"/>
      <c r="Y525" s="70"/>
      <c r="Z525" s="83"/>
      <c r="AA525" s="70"/>
      <c r="AB525" s="70"/>
      <c r="AC525" s="70"/>
      <c r="AD525" s="70"/>
      <c r="AE525" s="70"/>
      <c r="AF525" s="70"/>
      <c r="AG525" s="70"/>
      <c r="AH525" s="70"/>
      <c r="AI525" s="70"/>
      <c r="AJ525" s="70"/>
      <c r="AK525" s="70"/>
      <c r="AL525" s="70"/>
      <c r="AM525" s="70"/>
      <c r="AN525" s="70"/>
      <c r="AO525" s="70"/>
      <c r="AP525" s="70"/>
      <c r="AQ525" s="70"/>
      <c r="AR525" s="70"/>
      <c r="AS525" s="70"/>
      <c r="AT525" s="70"/>
    </row>
    <row r="526" ht="15.75" customHeight="1">
      <c r="A526" s="70"/>
      <c r="B526" s="70"/>
      <c r="C526" s="70"/>
      <c r="D526" s="80"/>
      <c r="E526" s="70"/>
      <c r="F526" s="70"/>
      <c r="G526" s="70"/>
      <c r="H526" s="70"/>
      <c r="I526" s="70"/>
      <c r="J526" s="70"/>
      <c r="K526" s="70"/>
      <c r="L526" s="70"/>
      <c r="M526" s="70"/>
      <c r="N526" s="70"/>
      <c r="O526" s="70"/>
      <c r="P526" s="70"/>
      <c r="Q526" s="70"/>
      <c r="R526" s="70"/>
      <c r="S526" s="70"/>
      <c r="T526" s="91"/>
      <c r="U526" s="91"/>
      <c r="V526" s="70"/>
      <c r="W526" s="58"/>
      <c r="X526" s="58"/>
      <c r="Y526" s="70"/>
      <c r="Z526" s="83"/>
      <c r="AA526" s="70"/>
      <c r="AB526" s="70"/>
      <c r="AC526" s="70"/>
      <c r="AD526" s="70"/>
      <c r="AE526" s="70"/>
      <c r="AF526" s="70"/>
      <c r="AG526" s="70"/>
      <c r="AH526" s="70"/>
      <c r="AI526" s="70"/>
      <c r="AJ526" s="70"/>
      <c r="AK526" s="70"/>
      <c r="AL526" s="70"/>
      <c r="AM526" s="70"/>
      <c r="AN526" s="70"/>
      <c r="AO526" s="70"/>
      <c r="AP526" s="70"/>
      <c r="AQ526" s="70"/>
      <c r="AR526" s="70"/>
      <c r="AS526" s="70"/>
      <c r="AT526" s="70"/>
    </row>
    <row r="527" ht="15.75" customHeight="1">
      <c r="A527" s="70"/>
      <c r="B527" s="70"/>
      <c r="C527" s="70"/>
      <c r="D527" s="80"/>
      <c r="E527" s="70"/>
      <c r="F527" s="70"/>
      <c r="G527" s="70"/>
      <c r="H527" s="70"/>
      <c r="I527" s="70"/>
      <c r="J527" s="70"/>
      <c r="K527" s="70"/>
      <c r="L527" s="70"/>
      <c r="M527" s="70"/>
      <c r="N527" s="70"/>
      <c r="O527" s="70"/>
      <c r="P527" s="70"/>
      <c r="Q527" s="70"/>
      <c r="R527" s="70"/>
      <c r="S527" s="70"/>
      <c r="T527" s="91"/>
      <c r="U527" s="91"/>
      <c r="V527" s="70"/>
      <c r="W527" s="58"/>
      <c r="X527" s="58"/>
      <c r="Y527" s="70"/>
      <c r="Z527" s="83"/>
      <c r="AA527" s="70"/>
      <c r="AB527" s="70"/>
      <c r="AC527" s="70"/>
      <c r="AD527" s="70"/>
      <c r="AE527" s="70"/>
      <c r="AF527" s="70"/>
      <c r="AG527" s="70"/>
      <c r="AH527" s="70"/>
      <c r="AI527" s="70"/>
      <c r="AJ527" s="70"/>
      <c r="AK527" s="70"/>
      <c r="AL527" s="70"/>
      <c r="AM527" s="70"/>
      <c r="AN527" s="70"/>
      <c r="AO527" s="70"/>
      <c r="AP527" s="70"/>
      <c r="AQ527" s="70"/>
      <c r="AR527" s="70"/>
      <c r="AS527" s="70"/>
      <c r="AT527" s="70"/>
    </row>
    <row r="528" ht="15.75" customHeight="1">
      <c r="A528" s="70"/>
      <c r="B528" s="70"/>
      <c r="C528" s="70"/>
      <c r="D528" s="80"/>
      <c r="E528" s="70"/>
      <c r="F528" s="70"/>
      <c r="G528" s="70"/>
      <c r="H528" s="70"/>
      <c r="I528" s="70"/>
      <c r="J528" s="70"/>
      <c r="K528" s="70"/>
      <c r="L528" s="70"/>
      <c r="M528" s="70"/>
      <c r="N528" s="70"/>
      <c r="O528" s="70"/>
      <c r="P528" s="70"/>
      <c r="Q528" s="70"/>
      <c r="R528" s="70"/>
      <c r="S528" s="70"/>
      <c r="T528" s="91"/>
      <c r="U528" s="91"/>
      <c r="V528" s="70"/>
      <c r="W528" s="58"/>
      <c r="X528" s="58"/>
      <c r="Y528" s="70"/>
      <c r="Z528" s="83"/>
      <c r="AA528" s="70"/>
      <c r="AB528" s="70"/>
      <c r="AC528" s="70"/>
      <c r="AD528" s="70"/>
      <c r="AE528" s="70"/>
      <c r="AF528" s="70"/>
      <c r="AG528" s="70"/>
      <c r="AH528" s="70"/>
      <c r="AI528" s="70"/>
      <c r="AJ528" s="70"/>
      <c r="AK528" s="70"/>
      <c r="AL528" s="70"/>
      <c r="AM528" s="70"/>
      <c r="AN528" s="70"/>
      <c r="AO528" s="70"/>
      <c r="AP528" s="70"/>
      <c r="AQ528" s="70"/>
      <c r="AR528" s="70"/>
      <c r="AS528" s="70"/>
      <c r="AT528" s="70"/>
    </row>
    <row r="529" ht="15.75" customHeight="1">
      <c r="A529" s="70"/>
      <c r="B529" s="70"/>
      <c r="C529" s="70"/>
      <c r="D529" s="80"/>
      <c r="E529" s="70"/>
      <c r="F529" s="70"/>
      <c r="G529" s="70"/>
      <c r="H529" s="70"/>
      <c r="I529" s="70"/>
      <c r="J529" s="70"/>
      <c r="K529" s="70"/>
      <c r="L529" s="70"/>
      <c r="M529" s="70"/>
      <c r="N529" s="70"/>
      <c r="O529" s="70"/>
      <c r="P529" s="70"/>
      <c r="Q529" s="70"/>
      <c r="R529" s="70"/>
      <c r="S529" s="70"/>
      <c r="T529" s="91"/>
      <c r="U529" s="91"/>
      <c r="V529" s="70"/>
      <c r="W529" s="58"/>
      <c r="X529" s="58"/>
      <c r="Y529" s="70"/>
      <c r="Z529" s="83"/>
      <c r="AA529" s="70"/>
      <c r="AB529" s="70"/>
      <c r="AC529" s="70"/>
      <c r="AD529" s="70"/>
      <c r="AE529" s="70"/>
      <c r="AF529" s="70"/>
      <c r="AG529" s="70"/>
      <c r="AH529" s="70"/>
      <c r="AI529" s="70"/>
      <c r="AJ529" s="70"/>
      <c r="AK529" s="70"/>
      <c r="AL529" s="70"/>
      <c r="AM529" s="70"/>
      <c r="AN529" s="70"/>
      <c r="AO529" s="70"/>
      <c r="AP529" s="70"/>
      <c r="AQ529" s="70"/>
      <c r="AR529" s="70"/>
      <c r="AS529" s="70"/>
      <c r="AT529" s="70"/>
    </row>
    <row r="530" ht="15.75" customHeight="1">
      <c r="A530" s="70"/>
      <c r="B530" s="70"/>
      <c r="C530" s="70"/>
      <c r="D530" s="80"/>
      <c r="E530" s="70"/>
      <c r="F530" s="70"/>
      <c r="G530" s="70"/>
      <c r="H530" s="70"/>
      <c r="I530" s="70"/>
      <c r="J530" s="70"/>
      <c r="K530" s="70"/>
      <c r="L530" s="70"/>
      <c r="M530" s="70"/>
      <c r="N530" s="70"/>
      <c r="O530" s="70"/>
      <c r="P530" s="70"/>
      <c r="Q530" s="70"/>
      <c r="R530" s="70"/>
      <c r="S530" s="70"/>
      <c r="T530" s="91"/>
      <c r="U530" s="91"/>
      <c r="V530" s="70"/>
      <c r="W530" s="58"/>
      <c r="X530" s="58"/>
      <c r="Y530" s="70"/>
      <c r="Z530" s="83"/>
      <c r="AA530" s="70"/>
      <c r="AB530" s="70"/>
      <c r="AC530" s="70"/>
      <c r="AD530" s="70"/>
      <c r="AE530" s="70"/>
      <c r="AF530" s="70"/>
      <c r="AG530" s="70"/>
      <c r="AH530" s="70"/>
      <c r="AI530" s="70"/>
      <c r="AJ530" s="70"/>
      <c r="AK530" s="70"/>
      <c r="AL530" s="70"/>
      <c r="AM530" s="70"/>
      <c r="AN530" s="70"/>
      <c r="AO530" s="70"/>
      <c r="AP530" s="70"/>
      <c r="AQ530" s="70"/>
      <c r="AR530" s="70"/>
      <c r="AS530" s="70"/>
      <c r="AT530" s="70"/>
    </row>
    <row r="531" ht="15.75" customHeight="1">
      <c r="A531" s="70"/>
      <c r="B531" s="70"/>
      <c r="C531" s="70"/>
      <c r="D531" s="80"/>
      <c r="E531" s="70"/>
      <c r="F531" s="70"/>
      <c r="G531" s="70"/>
      <c r="H531" s="70"/>
      <c r="I531" s="70"/>
      <c r="J531" s="70"/>
      <c r="K531" s="70"/>
      <c r="L531" s="70"/>
      <c r="M531" s="70"/>
      <c r="N531" s="70"/>
      <c r="O531" s="70"/>
      <c r="P531" s="70"/>
      <c r="Q531" s="70"/>
      <c r="R531" s="70"/>
      <c r="S531" s="70"/>
      <c r="T531" s="91"/>
      <c r="U531" s="91"/>
      <c r="V531" s="70"/>
      <c r="W531" s="58"/>
      <c r="X531" s="58"/>
      <c r="Y531" s="70"/>
      <c r="Z531" s="83"/>
      <c r="AA531" s="70"/>
      <c r="AB531" s="70"/>
      <c r="AC531" s="70"/>
      <c r="AD531" s="70"/>
      <c r="AE531" s="70"/>
      <c r="AF531" s="70"/>
      <c r="AG531" s="70"/>
      <c r="AH531" s="70"/>
      <c r="AI531" s="70"/>
      <c r="AJ531" s="70"/>
      <c r="AK531" s="70"/>
      <c r="AL531" s="70"/>
      <c r="AM531" s="70"/>
      <c r="AN531" s="70"/>
      <c r="AO531" s="70"/>
      <c r="AP531" s="70"/>
      <c r="AQ531" s="70"/>
      <c r="AR531" s="70"/>
      <c r="AS531" s="70"/>
      <c r="AT531" s="70"/>
    </row>
    <row r="532" ht="15.75" customHeight="1">
      <c r="A532" s="70"/>
      <c r="B532" s="70"/>
      <c r="C532" s="70"/>
      <c r="D532" s="80"/>
      <c r="E532" s="70"/>
      <c r="F532" s="70"/>
      <c r="G532" s="70"/>
      <c r="H532" s="70"/>
      <c r="I532" s="70"/>
      <c r="J532" s="70"/>
      <c r="K532" s="70"/>
      <c r="L532" s="70"/>
      <c r="M532" s="70"/>
      <c r="N532" s="70"/>
      <c r="O532" s="70"/>
      <c r="P532" s="70"/>
      <c r="Q532" s="70"/>
      <c r="R532" s="70"/>
      <c r="S532" s="70"/>
      <c r="T532" s="91"/>
      <c r="U532" s="91"/>
      <c r="V532" s="70"/>
      <c r="W532" s="58"/>
      <c r="X532" s="58"/>
      <c r="Y532" s="70"/>
      <c r="Z532" s="83"/>
      <c r="AA532" s="70"/>
      <c r="AB532" s="70"/>
      <c r="AC532" s="70"/>
      <c r="AD532" s="70"/>
      <c r="AE532" s="70"/>
      <c r="AF532" s="70"/>
      <c r="AG532" s="70"/>
      <c r="AH532" s="70"/>
      <c r="AI532" s="70"/>
      <c r="AJ532" s="70"/>
      <c r="AK532" s="70"/>
      <c r="AL532" s="70"/>
      <c r="AM532" s="70"/>
      <c r="AN532" s="70"/>
      <c r="AO532" s="70"/>
      <c r="AP532" s="70"/>
      <c r="AQ532" s="70"/>
      <c r="AR532" s="70"/>
      <c r="AS532" s="70"/>
      <c r="AT532" s="70"/>
    </row>
    <row r="533" ht="15.75" customHeight="1">
      <c r="A533" s="70"/>
      <c r="B533" s="70"/>
      <c r="C533" s="70"/>
      <c r="D533" s="80"/>
      <c r="E533" s="70"/>
      <c r="F533" s="70"/>
      <c r="G533" s="70"/>
      <c r="H533" s="70"/>
      <c r="I533" s="70"/>
      <c r="J533" s="70"/>
      <c r="K533" s="70"/>
      <c r="L533" s="70"/>
      <c r="M533" s="70"/>
      <c r="N533" s="70"/>
      <c r="O533" s="70"/>
      <c r="P533" s="70"/>
      <c r="Q533" s="70"/>
      <c r="R533" s="70"/>
      <c r="S533" s="70"/>
      <c r="T533" s="91"/>
      <c r="U533" s="91"/>
      <c r="V533" s="70"/>
      <c r="W533" s="58"/>
      <c r="X533" s="58"/>
      <c r="Y533" s="70"/>
      <c r="Z533" s="83"/>
      <c r="AA533" s="70"/>
      <c r="AB533" s="70"/>
      <c r="AC533" s="70"/>
      <c r="AD533" s="70"/>
      <c r="AE533" s="70"/>
      <c r="AF533" s="70"/>
      <c r="AG533" s="70"/>
      <c r="AH533" s="70"/>
      <c r="AI533" s="70"/>
      <c r="AJ533" s="70"/>
      <c r="AK533" s="70"/>
      <c r="AL533" s="70"/>
      <c r="AM533" s="70"/>
      <c r="AN533" s="70"/>
      <c r="AO533" s="70"/>
      <c r="AP533" s="70"/>
      <c r="AQ533" s="70"/>
      <c r="AR533" s="70"/>
      <c r="AS533" s="70"/>
      <c r="AT533" s="70"/>
    </row>
    <row r="534" ht="15.75" customHeight="1">
      <c r="A534" s="70"/>
      <c r="B534" s="70"/>
      <c r="C534" s="70"/>
      <c r="D534" s="80"/>
      <c r="E534" s="70"/>
      <c r="F534" s="70"/>
      <c r="G534" s="70"/>
      <c r="H534" s="70"/>
      <c r="I534" s="70"/>
      <c r="J534" s="70"/>
      <c r="K534" s="70"/>
      <c r="L534" s="70"/>
      <c r="M534" s="70"/>
      <c r="N534" s="70"/>
      <c r="O534" s="70"/>
      <c r="P534" s="70"/>
      <c r="Q534" s="70"/>
      <c r="R534" s="70"/>
      <c r="S534" s="70"/>
      <c r="T534" s="91"/>
      <c r="U534" s="91"/>
      <c r="V534" s="70"/>
      <c r="W534" s="58"/>
      <c r="X534" s="58"/>
      <c r="Y534" s="70"/>
      <c r="Z534" s="83"/>
      <c r="AA534" s="70"/>
      <c r="AB534" s="70"/>
      <c r="AC534" s="70"/>
      <c r="AD534" s="70"/>
      <c r="AE534" s="70"/>
      <c r="AF534" s="70"/>
      <c r="AG534" s="70"/>
      <c r="AH534" s="70"/>
      <c r="AI534" s="70"/>
      <c r="AJ534" s="70"/>
      <c r="AK534" s="70"/>
      <c r="AL534" s="70"/>
      <c r="AM534" s="70"/>
      <c r="AN534" s="70"/>
      <c r="AO534" s="70"/>
      <c r="AP534" s="70"/>
      <c r="AQ534" s="70"/>
      <c r="AR534" s="70"/>
      <c r="AS534" s="70"/>
      <c r="AT534" s="70"/>
    </row>
    <row r="535" ht="15.75" customHeight="1">
      <c r="A535" s="70"/>
      <c r="B535" s="70"/>
      <c r="C535" s="70"/>
      <c r="D535" s="80"/>
      <c r="E535" s="70"/>
      <c r="F535" s="70"/>
      <c r="G535" s="70"/>
      <c r="H535" s="70"/>
      <c r="I535" s="70"/>
      <c r="J535" s="70"/>
      <c r="K535" s="70"/>
      <c r="L535" s="70"/>
      <c r="M535" s="70"/>
      <c r="N535" s="70"/>
      <c r="O535" s="70"/>
      <c r="P535" s="70"/>
      <c r="Q535" s="70"/>
      <c r="R535" s="70"/>
      <c r="S535" s="70"/>
      <c r="T535" s="91"/>
      <c r="U535" s="91"/>
      <c r="V535" s="70"/>
      <c r="W535" s="58"/>
      <c r="X535" s="58"/>
      <c r="Y535" s="70"/>
      <c r="Z535" s="83"/>
      <c r="AA535" s="70"/>
      <c r="AB535" s="70"/>
      <c r="AC535" s="70"/>
      <c r="AD535" s="70"/>
      <c r="AE535" s="70"/>
      <c r="AF535" s="70"/>
      <c r="AG535" s="70"/>
      <c r="AH535" s="70"/>
      <c r="AI535" s="70"/>
      <c r="AJ535" s="70"/>
      <c r="AK535" s="70"/>
      <c r="AL535" s="70"/>
      <c r="AM535" s="70"/>
      <c r="AN535" s="70"/>
      <c r="AO535" s="70"/>
      <c r="AP535" s="70"/>
      <c r="AQ535" s="70"/>
      <c r="AR535" s="70"/>
      <c r="AS535" s="70"/>
      <c r="AT535" s="70"/>
    </row>
    <row r="536" ht="15.75" customHeight="1">
      <c r="A536" s="70"/>
      <c r="B536" s="70"/>
      <c r="C536" s="70"/>
      <c r="D536" s="80"/>
      <c r="E536" s="70"/>
      <c r="F536" s="70"/>
      <c r="G536" s="70"/>
      <c r="H536" s="70"/>
      <c r="I536" s="70"/>
      <c r="J536" s="70"/>
      <c r="K536" s="70"/>
      <c r="L536" s="70"/>
      <c r="M536" s="70"/>
      <c r="N536" s="70"/>
      <c r="O536" s="70"/>
      <c r="P536" s="70"/>
      <c r="Q536" s="70"/>
      <c r="R536" s="70"/>
      <c r="S536" s="70"/>
      <c r="T536" s="91"/>
      <c r="U536" s="91"/>
      <c r="V536" s="70"/>
      <c r="W536" s="58"/>
      <c r="X536" s="58"/>
      <c r="Y536" s="70"/>
      <c r="Z536" s="83"/>
      <c r="AA536" s="70"/>
      <c r="AB536" s="70"/>
      <c r="AC536" s="70"/>
      <c r="AD536" s="70"/>
      <c r="AE536" s="70"/>
      <c r="AF536" s="70"/>
      <c r="AG536" s="70"/>
      <c r="AH536" s="70"/>
      <c r="AI536" s="70"/>
      <c r="AJ536" s="70"/>
      <c r="AK536" s="70"/>
      <c r="AL536" s="70"/>
      <c r="AM536" s="70"/>
      <c r="AN536" s="70"/>
      <c r="AO536" s="70"/>
      <c r="AP536" s="70"/>
      <c r="AQ536" s="70"/>
      <c r="AR536" s="70"/>
      <c r="AS536" s="70"/>
      <c r="AT536" s="70"/>
    </row>
    <row r="537" ht="15.75" customHeight="1">
      <c r="A537" s="70"/>
      <c r="B537" s="70"/>
      <c r="C537" s="70"/>
      <c r="D537" s="80"/>
      <c r="E537" s="70"/>
      <c r="F537" s="70"/>
      <c r="G537" s="70"/>
      <c r="H537" s="70"/>
      <c r="I537" s="70"/>
      <c r="J537" s="70"/>
      <c r="K537" s="70"/>
      <c r="L537" s="70"/>
      <c r="M537" s="70"/>
      <c r="N537" s="70"/>
      <c r="O537" s="70"/>
      <c r="P537" s="70"/>
      <c r="Q537" s="70"/>
      <c r="R537" s="70"/>
      <c r="S537" s="70"/>
      <c r="T537" s="91"/>
      <c r="U537" s="91"/>
      <c r="V537" s="70"/>
      <c r="W537" s="58"/>
      <c r="X537" s="58"/>
      <c r="Y537" s="70"/>
      <c r="Z537" s="83"/>
      <c r="AA537" s="70"/>
      <c r="AB537" s="70"/>
      <c r="AC537" s="70"/>
      <c r="AD537" s="70"/>
      <c r="AE537" s="70"/>
      <c r="AF537" s="70"/>
      <c r="AG537" s="70"/>
      <c r="AH537" s="70"/>
      <c r="AI537" s="70"/>
      <c r="AJ537" s="70"/>
      <c r="AK537" s="70"/>
      <c r="AL537" s="70"/>
      <c r="AM537" s="70"/>
      <c r="AN537" s="70"/>
      <c r="AO537" s="70"/>
      <c r="AP537" s="70"/>
      <c r="AQ537" s="70"/>
      <c r="AR537" s="70"/>
      <c r="AS537" s="70"/>
      <c r="AT537" s="70"/>
    </row>
    <row r="538" ht="15.75" customHeight="1">
      <c r="A538" s="70"/>
      <c r="B538" s="70"/>
      <c r="C538" s="70"/>
      <c r="D538" s="80"/>
      <c r="E538" s="70"/>
      <c r="F538" s="70"/>
      <c r="G538" s="70"/>
      <c r="H538" s="70"/>
      <c r="I538" s="70"/>
      <c r="J538" s="70"/>
      <c r="K538" s="70"/>
      <c r="L538" s="70"/>
      <c r="M538" s="70"/>
      <c r="N538" s="70"/>
      <c r="O538" s="70"/>
      <c r="P538" s="70"/>
      <c r="Q538" s="70"/>
      <c r="R538" s="70"/>
      <c r="S538" s="70"/>
      <c r="T538" s="91"/>
      <c r="U538" s="91"/>
      <c r="V538" s="70"/>
      <c r="W538" s="58"/>
      <c r="X538" s="58"/>
      <c r="Y538" s="70"/>
      <c r="Z538" s="83"/>
      <c r="AA538" s="70"/>
      <c r="AB538" s="70"/>
      <c r="AC538" s="70"/>
      <c r="AD538" s="70"/>
      <c r="AE538" s="70"/>
      <c r="AF538" s="70"/>
      <c r="AG538" s="70"/>
      <c r="AH538" s="70"/>
      <c r="AI538" s="70"/>
      <c r="AJ538" s="70"/>
      <c r="AK538" s="70"/>
      <c r="AL538" s="70"/>
      <c r="AM538" s="70"/>
      <c r="AN538" s="70"/>
      <c r="AO538" s="70"/>
      <c r="AP538" s="70"/>
      <c r="AQ538" s="70"/>
      <c r="AR538" s="70"/>
      <c r="AS538" s="70"/>
      <c r="AT538" s="70"/>
    </row>
    <row r="539" ht="15.75" customHeight="1">
      <c r="A539" s="70"/>
      <c r="B539" s="70"/>
      <c r="C539" s="70"/>
      <c r="D539" s="80"/>
      <c r="E539" s="70"/>
      <c r="F539" s="70"/>
      <c r="G539" s="70"/>
      <c r="H539" s="70"/>
      <c r="I539" s="70"/>
      <c r="J539" s="70"/>
      <c r="K539" s="70"/>
      <c r="L539" s="70"/>
      <c r="M539" s="70"/>
      <c r="N539" s="70"/>
      <c r="O539" s="70"/>
      <c r="P539" s="70"/>
      <c r="Q539" s="70"/>
      <c r="R539" s="70"/>
      <c r="S539" s="70"/>
      <c r="T539" s="91"/>
      <c r="U539" s="91"/>
      <c r="V539" s="70"/>
      <c r="W539" s="58"/>
      <c r="X539" s="58"/>
      <c r="Y539" s="70"/>
      <c r="Z539" s="83"/>
      <c r="AA539" s="70"/>
      <c r="AB539" s="70"/>
      <c r="AC539" s="70"/>
      <c r="AD539" s="70"/>
      <c r="AE539" s="70"/>
      <c r="AF539" s="70"/>
      <c r="AG539" s="70"/>
      <c r="AH539" s="70"/>
      <c r="AI539" s="70"/>
      <c r="AJ539" s="70"/>
      <c r="AK539" s="70"/>
      <c r="AL539" s="70"/>
      <c r="AM539" s="70"/>
      <c r="AN539" s="70"/>
      <c r="AO539" s="70"/>
      <c r="AP539" s="70"/>
      <c r="AQ539" s="70"/>
      <c r="AR539" s="70"/>
      <c r="AS539" s="70"/>
      <c r="AT539" s="70"/>
    </row>
    <row r="540" ht="15.75" customHeight="1">
      <c r="A540" s="70"/>
      <c r="B540" s="70"/>
      <c r="C540" s="70"/>
      <c r="D540" s="80"/>
      <c r="E540" s="70"/>
      <c r="F540" s="70"/>
      <c r="G540" s="70"/>
      <c r="H540" s="70"/>
      <c r="I540" s="70"/>
      <c r="J540" s="70"/>
      <c r="K540" s="70"/>
      <c r="L540" s="70"/>
      <c r="M540" s="70"/>
      <c r="N540" s="70"/>
      <c r="O540" s="70"/>
      <c r="P540" s="70"/>
      <c r="Q540" s="70"/>
      <c r="R540" s="70"/>
      <c r="S540" s="70"/>
      <c r="T540" s="91"/>
      <c r="U540" s="91"/>
      <c r="V540" s="70"/>
      <c r="W540" s="58"/>
      <c r="X540" s="58"/>
      <c r="Y540" s="70"/>
      <c r="Z540" s="83"/>
      <c r="AA540" s="70"/>
      <c r="AB540" s="70"/>
      <c r="AC540" s="70"/>
      <c r="AD540" s="70"/>
      <c r="AE540" s="70"/>
      <c r="AF540" s="70"/>
      <c r="AG540" s="70"/>
      <c r="AH540" s="70"/>
      <c r="AI540" s="70"/>
      <c r="AJ540" s="70"/>
      <c r="AK540" s="70"/>
      <c r="AL540" s="70"/>
      <c r="AM540" s="70"/>
      <c r="AN540" s="70"/>
      <c r="AO540" s="70"/>
      <c r="AP540" s="70"/>
      <c r="AQ540" s="70"/>
      <c r="AR540" s="70"/>
      <c r="AS540" s="70"/>
      <c r="AT540" s="70"/>
    </row>
    <row r="541" ht="15.75" customHeight="1">
      <c r="A541" s="70"/>
      <c r="B541" s="70"/>
      <c r="C541" s="70"/>
      <c r="D541" s="80"/>
      <c r="E541" s="70"/>
      <c r="F541" s="70"/>
      <c r="G541" s="70"/>
      <c r="H541" s="70"/>
      <c r="I541" s="70"/>
      <c r="J541" s="70"/>
      <c r="K541" s="70"/>
      <c r="L541" s="70"/>
      <c r="M541" s="70"/>
      <c r="N541" s="70"/>
      <c r="O541" s="70"/>
      <c r="P541" s="70"/>
      <c r="Q541" s="70"/>
      <c r="R541" s="70"/>
      <c r="S541" s="70"/>
      <c r="T541" s="91"/>
      <c r="U541" s="91"/>
      <c r="V541" s="70"/>
      <c r="W541" s="58"/>
      <c r="X541" s="58"/>
      <c r="Y541" s="70"/>
      <c r="Z541" s="83"/>
      <c r="AA541" s="70"/>
      <c r="AB541" s="70"/>
      <c r="AC541" s="70"/>
      <c r="AD541" s="70"/>
      <c r="AE541" s="70"/>
      <c r="AF541" s="70"/>
      <c r="AG541" s="70"/>
      <c r="AH541" s="70"/>
      <c r="AI541" s="70"/>
      <c r="AJ541" s="70"/>
      <c r="AK541" s="70"/>
      <c r="AL541" s="70"/>
      <c r="AM541" s="70"/>
      <c r="AN541" s="70"/>
      <c r="AO541" s="70"/>
      <c r="AP541" s="70"/>
      <c r="AQ541" s="70"/>
      <c r="AR541" s="70"/>
      <c r="AS541" s="70"/>
      <c r="AT541" s="70"/>
    </row>
    <row r="542" ht="15.75" customHeight="1">
      <c r="A542" s="70"/>
      <c r="B542" s="70"/>
      <c r="C542" s="70"/>
      <c r="D542" s="80"/>
      <c r="E542" s="70"/>
      <c r="F542" s="70"/>
      <c r="G542" s="70"/>
      <c r="H542" s="70"/>
      <c r="I542" s="70"/>
      <c r="J542" s="70"/>
      <c r="K542" s="70"/>
      <c r="L542" s="70"/>
      <c r="M542" s="70"/>
      <c r="N542" s="70"/>
      <c r="O542" s="70"/>
      <c r="P542" s="70"/>
      <c r="Q542" s="70"/>
      <c r="R542" s="70"/>
      <c r="S542" s="70"/>
      <c r="T542" s="91"/>
      <c r="U542" s="91"/>
      <c r="V542" s="70"/>
      <c r="W542" s="58"/>
      <c r="X542" s="58"/>
      <c r="Y542" s="70"/>
      <c r="Z542" s="83"/>
      <c r="AA542" s="70"/>
      <c r="AB542" s="70"/>
      <c r="AC542" s="70"/>
      <c r="AD542" s="70"/>
      <c r="AE542" s="70"/>
      <c r="AF542" s="70"/>
      <c r="AG542" s="70"/>
      <c r="AH542" s="70"/>
      <c r="AI542" s="70"/>
      <c r="AJ542" s="70"/>
      <c r="AK542" s="70"/>
      <c r="AL542" s="70"/>
      <c r="AM542" s="70"/>
      <c r="AN542" s="70"/>
      <c r="AO542" s="70"/>
      <c r="AP542" s="70"/>
      <c r="AQ542" s="70"/>
      <c r="AR542" s="70"/>
      <c r="AS542" s="70"/>
      <c r="AT542" s="70"/>
    </row>
    <row r="543" ht="15.75" customHeight="1">
      <c r="A543" s="70"/>
      <c r="B543" s="70"/>
      <c r="C543" s="70"/>
      <c r="D543" s="80"/>
      <c r="E543" s="70"/>
      <c r="F543" s="70"/>
      <c r="G543" s="70"/>
      <c r="H543" s="70"/>
      <c r="I543" s="70"/>
      <c r="J543" s="70"/>
      <c r="K543" s="70"/>
      <c r="L543" s="70"/>
      <c r="M543" s="70"/>
      <c r="N543" s="70"/>
      <c r="O543" s="70"/>
      <c r="P543" s="70"/>
      <c r="Q543" s="70"/>
      <c r="R543" s="70"/>
      <c r="S543" s="70"/>
      <c r="T543" s="91"/>
      <c r="U543" s="91"/>
      <c r="V543" s="70"/>
      <c r="W543" s="58"/>
      <c r="X543" s="58"/>
      <c r="Y543" s="70"/>
      <c r="Z543" s="83"/>
      <c r="AA543" s="70"/>
      <c r="AB543" s="70"/>
      <c r="AC543" s="70"/>
      <c r="AD543" s="70"/>
      <c r="AE543" s="70"/>
      <c r="AF543" s="70"/>
      <c r="AG543" s="70"/>
      <c r="AH543" s="70"/>
      <c r="AI543" s="70"/>
      <c r="AJ543" s="70"/>
      <c r="AK543" s="70"/>
      <c r="AL543" s="70"/>
      <c r="AM543" s="70"/>
      <c r="AN543" s="70"/>
      <c r="AO543" s="70"/>
      <c r="AP543" s="70"/>
      <c r="AQ543" s="70"/>
      <c r="AR543" s="70"/>
      <c r="AS543" s="70"/>
      <c r="AT543" s="70"/>
    </row>
    <row r="544" ht="15.75" customHeight="1">
      <c r="A544" s="70"/>
      <c r="B544" s="70"/>
      <c r="C544" s="70"/>
      <c r="D544" s="80"/>
      <c r="E544" s="70"/>
      <c r="F544" s="70"/>
      <c r="G544" s="70"/>
      <c r="H544" s="70"/>
      <c r="I544" s="70"/>
      <c r="J544" s="70"/>
      <c r="K544" s="70"/>
      <c r="L544" s="70"/>
      <c r="M544" s="70"/>
      <c r="N544" s="70"/>
      <c r="O544" s="70"/>
      <c r="P544" s="70"/>
      <c r="Q544" s="70"/>
      <c r="R544" s="70"/>
      <c r="S544" s="70"/>
      <c r="T544" s="91"/>
      <c r="U544" s="91"/>
      <c r="V544" s="70"/>
      <c r="W544" s="58"/>
      <c r="X544" s="58"/>
      <c r="Y544" s="70"/>
      <c r="Z544" s="83"/>
      <c r="AA544" s="70"/>
      <c r="AB544" s="70"/>
      <c r="AC544" s="70"/>
      <c r="AD544" s="70"/>
      <c r="AE544" s="70"/>
      <c r="AF544" s="70"/>
      <c r="AG544" s="70"/>
      <c r="AH544" s="70"/>
      <c r="AI544" s="70"/>
      <c r="AJ544" s="70"/>
      <c r="AK544" s="70"/>
      <c r="AL544" s="70"/>
      <c r="AM544" s="70"/>
      <c r="AN544" s="70"/>
      <c r="AO544" s="70"/>
      <c r="AP544" s="70"/>
      <c r="AQ544" s="70"/>
      <c r="AR544" s="70"/>
      <c r="AS544" s="70"/>
      <c r="AT544" s="70"/>
    </row>
    <row r="545" ht="15.75" customHeight="1">
      <c r="A545" s="70"/>
      <c r="B545" s="70"/>
      <c r="C545" s="70"/>
      <c r="D545" s="80"/>
      <c r="E545" s="70"/>
      <c r="F545" s="70"/>
      <c r="G545" s="70"/>
      <c r="H545" s="70"/>
      <c r="I545" s="70"/>
      <c r="J545" s="70"/>
      <c r="K545" s="70"/>
      <c r="L545" s="70"/>
      <c r="M545" s="70"/>
      <c r="N545" s="70"/>
      <c r="O545" s="70"/>
      <c r="P545" s="70"/>
      <c r="Q545" s="70"/>
      <c r="R545" s="70"/>
      <c r="S545" s="70"/>
      <c r="T545" s="91"/>
      <c r="U545" s="91"/>
      <c r="V545" s="70"/>
      <c r="W545" s="58"/>
      <c r="X545" s="58"/>
      <c r="Y545" s="70"/>
      <c r="Z545" s="83"/>
      <c r="AA545" s="70"/>
      <c r="AB545" s="70"/>
      <c r="AC545" s="70"/>
      <c r="AD545" s="70"/>
      <c r="AE545" s="70"/>
      <c r="AF545" s="70"/>
      <c r="AG545" s="70"/>
      <c r="AH545" s="70"/>
      <c r="AI545" s="70"/>
      <c r="AJ545" s="70"/>
      <c r="AK545" s="70"/>
      <c r="AL545" s="70"/>
      <c r="AM545" s="70"/>
      <c r="AN545" s="70"/>
      <c r="AO545" s="70"/>
      <c r="AP545" s="70"/>
      <c r="AQ545" s="70"/>
      <c r="AR545" s="70"/>
      <c r="AS545" s="70"/>
      <c r="AT545" s="70"/>
    </row>
    <row r="546" ht="15.75" customHeight="1">
      <c r="A546" s="70"/>
      <c r="B546" s="70"/>
      <c r="C546" s="70"/>
      <c r="D546" s="80"/>
      <c r="E546" s="70"/>
      <c r="F546" s="70"/>
      <c r="G546" s="70"/>
      <c r="H546" s="70"/>
      <c r="I546" s="70"/>
      <c r="J546" s="70"/>
      <c r="K546" s="70"/>
      <c r="L546" s="70"/>
      <c r="M546" s="70"/>
      <c r="N546" s="70"/>
      <c r="O546" s="70"/>
      <c r="P546" s="70"/>
      <c r="Q546" s="70"/>
      <c r="R546" s="70"/>
      <c r="S546" s="70"/>
      <c r="T546" s="91"/>
      <c r="U546" s="91"/>
      <c r="V546" s="70"/>
      <c r="W546" s="58"/>
      <c r="X546" s="58"/>
      <c r="Y546" s="70"/>
      <c r="Z546" s="83"/>
      <c r="AA546" s="70"/>
      <c r="AB546" s="70"/>
      <c r="AC546" s="70"/>
      <c r="AD546" s="70"/>
      <c r="AE546" s="70"/>
      <c r="AF546" s="70"/>
      <c r="AG546" s="70"/>
      <c r="AH546" s="70"/>
      <c r="AI546" s="70"/>
      <c r="AJ546" s="70"/>
      <c r="AK546" s="70"/>
      <c r="AL546" s="70"/>
      <c r="AM546" s="70"/>
      <c r="AN546" s="70"/>
      <c r="AO546" s="70"/>
      <c r="AP546" s="70"/>
      <c r="AQ546" s="70"/>
      <c r="AR546" s="70"/>
      <c r="AS546" s="70"/>
      <c r="AT546" s="70"/>
    </row>
    <row r="547" ht="15.75" customHeight="1">
      <c r="A547" s="70"/>
      <c r="B547" s="70"/>
      <c r="C547" s="70"/>
      <c r="D547" s="80"/>
      <c r="E547" s="70"/>
      <c r="F547" s="70"/>
      <c r="G547" s="70"/>
      <c r="H547" s="70"/>
      <c r="I547" s="70"/>
      <c r="J547" s="70"/>
      <c r="K547" s="70"/>
      <c r="L547" s="70"/>
      <c r="M547" s="70"/>
      <c r="N547" s="70"/>
      <c r="O547" s="70"/>
      <c r="P547" s="70"/>
      <c r="Q547" s="70"/>
      <c r="R547" s="70"/>
      <c r="S547" s="70"/>
      <c r="T547" s="91"/>
      <c r="U547" s="91"/>
      <c r="V547" s="70"/>
      <c r="W547" s="58"/>
      <c r="X547" s="58"/>
      <c r="Y547" s="70"/>
      <c r="Z547" s="83"/>
      <c r="AA547" s="70"/>
      <c r="AB547" s="70"/>
      <c r="AC547" s="70"/>
      <c r="AD547" s="70"/>
      <c r="AE547" s="70"/>
      <c r="AF547" s="70"/>
      <c r="AG547" s="70"/>
      <c r="AH547" s="70"/>
      <c r="AI547" s="70"/>
      <c r="AJ547" s="70"/>
      <c r="AK547" s="70"/>
      <c r="AL547" s="70"/>
      <c r="AM547" s="70"/>
      <c r="AN547" s="70"/>
      <c r="AO547" s="70"/>
      <c r="AP547" s="70"/>
      <c r="AQ547" s="70"/>
      <c r="AR547" s="70"/>
      <c r="AS547" s="70"/>
      <c r="AT547" s="70"/>
    </row>
    <row r="548" ht="15.75" customHeight="1">
      <c r="A548" s="70"/>
      <c r="B548" s="70"/>
      <c r="C548" s="70"/>
      <c r="D548" s="80"/>
      <c r="E548" s="70"/>
      <c r="F548" s="70"/>
      <c r="G548" s="70"/>
      <c r="H548" s="70"/>
      <c r="I548" s="70"/>
      <c r="J548" s="70"/>
      <c r="K548" s="70"/>
      <c r="L548" s="70"/>
      <c r="M548" s="70"/>
      <c r="N548" s="70"/>
      <c r="O548" s="70"/>
      <c r="P548" s="70"/>
      <c r="Q548" s="70"/>
      <c r="R548" s="70"/>
      <c r="S548" s="70"/>
      <c r="T548" s="91"/>
      <c r="U548" s="91"/>
      <c r="V548" s="70"/>
      <c r="W548" s="58"/>
      <c r="X548" s="58"/>
      <c r="Y548" s="70"/>
      <c r="Z548" s="83"/>
      <c r="AA548" s="70"/>
      <c r="AB548" s="70"/>
      <c r="AC548" s="70"/>
      <c r="AD548" s="70"/>
      <c r="AE548" s="70"/>
      <c r="AF548" s="70"/>
      <c r="AG548" s="70"/>
      <c r="AH548" s="70"/>
      <c r="AI548" s="70"/>
      <c r="AJ548" s="70"/>
      <c r="AK548" s="70"/>
      <c r="AL548" s="70"/>
      <c r="AM548" s="70"/>
      <c r="AN548" s="70"/>
      <c r="AO548" s="70"/>
      <c r="AP548" s="70"/>
      <c r="AQ548" s="70"/>
      <c r="AR548" s="70"/>
      <c r="AS548" s="70"/>
      <c r="AT548" s="70"/>
    </row>
    <row r="549" ht="15.75" customHeight="1">
      <c r="A549" s="70"/>
      <c r="B549" s="70"/>
      <c r="C549" s="70"/>
      <c r="D549" s="80"/>
      <c r="E549" s="70"/>
      <c r="F549" s="70"/>
      <c r="G549" s="70"/>
      <c r="H549" s="70"/>
      <c r="I549" s="70"/>
      <c r="J549" s="70"/>
      <c r="K549" s="70"/>
      <c r="L549" s="70"/>
      <c r="M549" s="70"/>
      <c r="N549" s="70"/>
      <c r="O549" s="70"/>
      <c r="P549" s="70"/>
      <c r="Q549" s="70"/>
      <c r="R549" s="70"/>
      <c r="S549" s="70"/>
      <c r="T549" s="91"/>
      <c r="U549" s="91"/>
      <c r="V549" s="70"/>
      <c r="W549" s="58"/>
      <c r="X549" s="58"/>
      <c r="Y549" s="70"/>
      <c r="Z549" s="83"/>
      <c r="AA549" s="70"/>
      <c r="AB549" s="70"/>
      <c r="AC549" s="70"/>
      <c r="AD549" s="70"/>
      <c r="AE549" s="70"/>
      <c r="AF549" s="70"/>
      <c r="AG549" s="70"/>
      <c r="AH549" s="70"/>
      <c r="AI549" s="70"/>
      <c r="AJ549" s="70"/>
      <c r="AK549" s="70"/>
      <c r="AL549" s="70"/>
      <c r="AM549" s="70"/>
      <c r="AN549" s="70"/>
      <c r="AO549" s="70"/>
      <c r="AP549" s="70"/>
      <c r="AQ549" s="70"/>
      <c r="AR549" s="70"/>
      <c r="AS549" s="70"/>
      <c r="AT549" s="70"/>
    </row>
    <row r="550" ht="15.75" customHeight="1">
      <c r="A550" s="70"/>
      <c r="B550" s="70"/>
      <c r="C550" s="70"/>
      <c r="D550" s="80"/>
      <c r="E550" s="70"/>
      <c r="F550" s="70"/>
      <c r="G550" s="70"/>
      <c r="H550" s="70"/>
      <c r="I550" s="70"/>
      <c r="J550" s="70"/>
      <c r="K550" s="70"/>
      <c r="L550" s="70"/>
      <c r="M550" s="70"/>
      <c r="N550" s="70"/>
      <c r="O550" s="70"/>
      <c r="P550" s="70"/>
      <c r="Q550" s="70"/>
      <c r="R550" s="70"/>
      <c r="S550" s="70"/>
      <c r="T550" s="91"/>
      <c r="U550" s="91"/>
      <c r="V550" s="70"/>
      <c r="W550" s="58"/>
      <c r="X550" s="58"/>
      <c r="Y550" s="70"/>
      <c r="Z550" s="83"/>
      <c r="AA550" s="70"/>
      <c r="AB550" s="70"/>
      <c r="AC550" s="70"/>
      <c r="AD550" s="70"/>
      <c r="AE550" s="70"/>
      <c r="AF550" s="70"/>
      <c r="AG550" s="70"/>
      <c r="AH550" s="70"/>
      <c r="AI550" s="70"/>
      <c r="AJ550" s="70"/>
      <c r="AK550" s="70"/>
      <c r="AL550" s="70"/>
      <c r="AM550" s="70"/>
      <c r="AN550" s="70"/>
      <c r="AO550" s="70"/>
      <c r="AP550" s="70"/>
      <c r="AQ550" s="70"/>
      <c r="AR550" s="70"/>
      <c r="AS550" s="70"/>
      <c r="AT550" s="70"/>
    </row>
    <row r="551" ht="15.75" customHeight="1">
      <c r="A551" s="70"/>
      <c r="B551" s="70"/>
      <c r="C551" s="70"/>
      <c r="D551" s="80"/>
      <c r="E551" s="70"/>
      <c r="F551" s="70"/>
      <c r="G551" s="70"/>
      <c r="H551" s="70"/>
      <c r="I551" s="70"/>
      <c r="J551" s="70"/>
      <c r="K551" s="70"/>
      <c r="L551" s="70"/>
      <c r="M551" s="70"/>
      <c r="N551" s="70"/>
      <c r="O551" s="70"/>
      <c r="P551" s="70"/>
      <c r="Q551" s="70"/>
      <c r="R551" s="70"/>
      <c r="S551" s="70"/>
      <c r="T551" s="91"/>
      <c r="U551" s="91"/>
      <c r="V551" s="70"/>
      <c r="W551" s="58"/>
      <c r="X551" s="58"/>
      <c r="Y551" s="70"/>
      <c r="Z551" s="83"/>
      <c r="AA551" s="70"/>
      <c r="AB551" s="70"/>
      <c r="AC551" s="70"/>
      <c r="AD551" s="70"/>
      <c r="AE551" s="70"/>
      <c r="AF551" s="70"/>
      <c r="AG551" s="70"/>
      <c r="AH551" s="70"/>
      <c r="AI551" s="70"/>
      <c r="AJ551" s="70"/>
      <c r="AK551" s="70"/>
      <c r="AL551" s="70"/>
      <c r="AM551" s="70"/>
      <c r="AN551" s="70"/>
      <c r="AO551" s="70"/>
      <c r="AP551" s="70"/>
      <c r="AQ551" s="70"/>
      <c r="AR551" s="70"/>
      <c r="AS551" s="70"/>
      <c r="AT551" s="70"/>
    </row>
    <row r="552" ht="15.75" customHeight="1">
      <c r="A552" s="70"/>
      <c r="B552" s="70"/>
      <c r="C552" s="70"/>
      <c r="D552" s="80"/>
      <c r="E552" s="70"/>
      <c r="F552" s="70"/>
      <c r="G552" s="70"/>
      <c r="H552" s="70"/>
      <c r="I552" s="70"/>
      <c r="J552" s="70"/>
      <c r="K552" s="70"/>
      <c r="L552" s="70"/>
      <c r="M552" s="70"/>
      <c r="N552" s="70"/>
      <c r="O552" s="70"/>
      <c r="P552" s="70"/>
      <c r="Q552" s="70"/>
      <c r="R552" s="70"/>
      <c r="S552" s="70"/>
      <c r="T552" s="91"/>
      <c r="U552" s="91"/>
      <c r="V552" s="70"/>
      <c r="W552" s="58"/>
      <c r="X552" s="58"/>
      <c r="Y552" s="70"/>
      <c r="Z552" s="83"/>
      <c r="AA552" s="70"/>
      <c r="AB552" s="70"/>
      <c r="AC552" s="70"/>
      <c r="AD552" s="70"/>
      <c r="AE552" s="70"/>
      <c r="AF552" s="70"/>
      <c r="AG552" s="70"/>
      <c r="AH552" s="70"/>
      <c r="AI552" s="70"/>
      <c r="AJ552" s="70"/>
      <c r="AK552" s="70"/>
      <c r="AL552" s="70"/>
      <c r="AM552" s="70"/>
      <c r="AN552" s="70"/>
      <c r="AO552" s="70"/>
      <c r="AP552" s="70"/>
      <c r="AQ552" s="70"/>
      <c r="AR552" s="70"/>
      <c r="AS552" s="70"/>
      <c r="AT552" s="70"/>
    </row>
    <row r="553" ht="15.75" customHeight="1">
      <c r="A553" s="70"/>
      <c r="B553" s="70"/>
      <c r="C553" s="70"/>
      <c r="D553" s="80"/>
      <c r="E553" s="70"/>
      <c r="F553" s="70"/>
      <c r="G553" s="70"/>
      <c r="H553" s="70"/>
      <c r="I553" s="70"/>
      <c r="J553" s="70"/>
      <c r="K553" s="70"/>
      <c r="L553" s="70"/>
      <c r="M553" s="70"/>
      <c r="N553" s="70"/>
      <c r="O553" s="70"/>
      <c r="P553" s="70"/>
      <c r="Q553" s="70"/>
      <c r="R553" s="70"/>
      <c r="S553" s="70"/>
      <c r="T553" s="91"/>
      <c r="U553" s="91"/>
      <c r="V553" s="70"/>
      <c r="W553" s="58"/>
      <c r="X553" s="58"/>
      <c r="Y553" s="70"/>
      <c r="Z553" s="83"/>
      <c r="AA553" s="70"/>
      <c r="AB553" s="70"/>
      <c r="AC553" s="70"/>
      <c r="AD553" s="70"/>
      <c r="AE553" s="70"/>
      <c r="AF553" s="70"/>
      <c r="AG553" s="70"/>
      <c r="AH553" s="70"/>
      <c r="AI553" s="70"/>
      <c r="AJ553" s="70"/>
      <c r="AK553" s="70"/>
      <c r="AL553" s="70"/>
      <c r="AM553" s="70"/>
      <c r="AN553" s="70"/>
      <c r="AO553" s="70"/>
      <c r="AP553" s="70"/>
      <c r="AQ553" s="70"/>
      <c r="AR553" s="70"/>
      <c r="AS553" s="70"/>
      <c r="AT553" s="70"/>
    </row>
    <row r="554" ht="15.75" customHeight="1">
      <c r="A554" s="70"/>
      <c r="B554" s="70"/>
      <c r="C554" s="70"/>
      <c r="D554" s="80"/>
      <c r="E554" s="70"/>
      <c r="F554" s="70"/>
      <c r="G554" s="70"/>
      <c r="H554" s="70"/>
      <c r="I554" s="70"/>
      <c r="J554" s="70"/>
      <c r="K554" s="70"/>
      <c r="L554" s="70"/>
      <c r="M554" s="70"/>
      <c r="N554" s="70"/>
      <c r="O554" s="70"/>
      <c r="P554" s="70"/>
      <c r="Q554" s="70"/>
      <c r="R554" s="70"/>
      <c r="S554" s="70"/>
      <c r="T554" s="91"/>
      <c r="U554" s="91"/>
      <c r="V554" s="70"/>
      <c r="W554" s="58"/>
      <c r="X554" s="58"/>
      <c r="Y554" s="70"/>
      <c r="Z554" s="83"/>
      <c r="AA554" s="70"/>
      <c r="AB554" s="70"/>
      <c r="AC554" s="70"/>
      <c r="AD554" s="70"/>
      <c r="AE554" s="70"/>
      <c r="AF554" s="70"/>
      <c r="AG554" s="70"/>
      <c r="AH554" s="70"/>
      <c r="AI554" s="70"/>
      <c r="AJ554" s="70"/>
      <c r="AK554" s="70"/>
      <c r="AL554" s="70"/>
      <c r="AM554" s="70"/>
      <c r="AN554" s="70"/>
      <c r="AO554" s="70"/>
      <c r="AP554" s="70"/>
      <c r="AQ554" s="70"/>
      <c r="AR554" s="70"/>
      <c r="AS554" s="70"/>
      <c r="AT554" s="70"/>
    </row>
    <row r="555" ht="15.75" customHeight="1">
      <c r="A555" s="70"/>
      <c r="B555" s="70"/>
      <c r="C555" s="70"/>
      <c r="D555" s="80"/>
      <c r="E555" s="70"/>
      <c r="F555" s="70"/>
      <c r="G555" s="70"/>
      <c r="H555" s="70"/>
      <c r="I555" s="70"/>
      <c r="J555" s="70"/>
      <c r="K555" s="70"/>
      <c r="L555" s="70"/>
      <c r="M555" s="70"/>
      <c r="N555" s="70"/>
      <c r="O555" s="70"/>
      <c r="P555" s="70"/>
      <c r="Q555" s="70"/>
      <c r="R555" s="70"/>
      <c r="S555" s="70"/>
      <c r="T555" s="91"/>
      <c r="U555" s="91"/>
      <c r="V555" s="70"/>
      <c r="W555" s="58"/>
      <c r="X555" s="58"/>
      <c r="Y555" s="70"/>
      <c r="Z555" s="83"/>
      <c r="AA555" s="70"/>
      <c r="AB555" s="70"/>
      <c r="AC555" s="70"/>
      <c r="AD555" s="70"/>
      <c r="AE555" s="70"/>
      <c r="AF555" s="70"/>
      <c r="AG555" s="70"/>
      <c r="AH555" s="70"/>
      <c r="AI555" s="70"/>
      <c r="AJ555" s="70"/>
      <c r="AK555" s="70"/>
      <c r="AL555" s="70"/>
      <c r="AM555" s="70"/>
      <c r="AN555" s="70"/>
      <c r="AO555" s="70"/>
      <c r="AP555" s="70"/>
      <c r="AQ555" s="70"/>
      <c r="AR555" s="70"/>
      <c r="AS555" s="70"/>
      <c r="AT555" s="70"/>
    </row>
    <row r="556" ht="15.75" customHeight="1">
      <c r="A556" s="70"/>
      <c r="B556" s="70"/>
      <c r="C556" s="70"/>
      <c r="D556" s="80"/>
      <c r="E556" s="70"/>
      <c r="F556" s="70"/>
      <c r="G556" s="70"/>
      <c r="H556" s="70"/>
      <c r="I556" s="70"/>
      <c r="J556" s="70"/>
      <c r="K556" s="70"/>
      <c r="L556" s="70"/>
      <c r="M556" s="70"/>
      <c r="N556" s="70"/>
      <c r="O556" s="70"/>
      <c r="P556" s="70"/>
      <c r="Q556" s="70"/>
      <c r="R556" s="70"/>
      <c r="S556" s="70"/>
      <c r="T556" s="91"/>
      <c r="U556" s="91"/>
      <c r="V556" s="70"/>
      <c r="W556" s="58"/>
      <c r="X556" s="58"/>
      <c r="Y556" s="70"/>
      <c r="Z556" s="83"/>
      <c r="AA556" s="70"/>
      <c r="AB556" s="70"/>
      <c r="AC556" s="70"/>
      <c r="AD556" s="70"/>
      <c r="AE556" s="70"/>
      <c r="AF556" s="70"/>
      <c r="AG556" s="70"/>
      <c r="AH556" s="70"/>
      <c r="AI556" s="70"/>
      <c r="AJ556" s="70"/>
      <c r="AK556" s="70"/>
      <c r="AL556" s="70"/>
      <c r="AM556" s="70"/>
      <c r="AN556" s="70"/>
      <c r="AO556" s="70"/>
      <c r="AP556" s="70"/>
      <c r="AQ556" s="70"/>
      <c r="AR556" s="70"/>
      <c r="AS556" s="70"/>
      <c r="AT556" s="70"/>
    </row>
    <row r="557" ht="15.75" customHeight="1">
      <c r="A557" s="70"/>
      <c r="B557" s="70"/>
      <c r="C557" s="70"/>
      <c r="D557" s="80"/>
      <c r="E557" s="70"/>
      <c r="F557" s="70"/>
      <c r="G557" s="70"/>
      <c r="H557" s="70"/>
      <c r="I557" s="70"/>
      <c r="J557" s="70"/>
      <c r="K557" s="70"/>
      <c r="L557" s="70"/>
      <c r="M557" s="70"/>
      <c r="N557" s="70"/>
      <c r="O557" s="70"/>
      <c r="P557" s="70"/>
      <c r="Q557" s="70"/>
      <c r="R557" s="70"/>
      <c r="S557" s="70"/>
      <c r="T557" s="91"/>
      <c r="U557" s="91"/>
      <c r="V557" s="70"/>
      <c r="W557" s="58"/>
      <c r="X557" s="58"/>
      <c r="Y557" s="70"/>
      <c r="Z557" s="83"/>
      <c r="AA557" s="70"/>
      <c r="AB557" s="70"/>
      <c r="AC557" s="70"/>
      <c r="AD557" s="70"/>
      <c r="AE557" s="70"/>
      <c r="AF557" s="70"/>
      <c r="AG557" s="70"/>
      <c r="AH557" s="70"/>
      <c r="AI557" s="70"/>
      <c r="AJ557" s="70"/>
      <c r="AK557" s="70"/>
      <c r="AL557" s="70"/>
      <c r="AM557" s="70"/>
      <c r="AN557" s="70"/>
      <c r="AO557" s="70"/>
      <c r="AP557" s="70"/>
      <c r="AQ557" s="70"/>
      <c r="AR557" s="70"/>
      <c r="AS557" s="70"/>
      <c r="AT557" s="70"/>
    </row>
    <row r="558" ht="15.75" customHeight="1">
      <c r="A558" s="70"/>
      <c r="B558" s="70"/>
      <c r="C558" s="70"/>
      <c r="D558" s="80"/>
      <c r="E558" s="70"/>
      <c r="F558" s="70"/>
      <c r="G558" s="70"/>
      <c r="H558" s="70"/>
      <c r="I558" s="70"/>
      <c r="J558" s="70"/>
      <c r="K558" s="70"/>
      <c r="L558" s="70"/>
      <c r="M558" s="70"/>
      <c r="N558" s="70"/>
      <c r="O558" s="70"/>
      <c r="P558" s="70"/>
      <c r="Q558" s="70"/>
      <c r="R558" s="70"/>
      <c r="S558" s="70"/>
      <c r="T558" s="91"/>
      <c r="U558" s="91"/>
      <c r="V558" s="70"/>
      <c r="W558" s="58"/>
      <c r="X558" s="58"/>
      <c r="Y558" s="70"/>
      <c r="Z558" s="83"/>
      <c r="AA558" s="70"/>
      <c r="AB558" s="70"/>
      <c r="AC558" s="70"/>
      <c r="AD558" s="70"/>
      <c r="AE558" s="70"/>
      <c r="AF558" s="70"/>
      <c r="AG558" s="70"/>
      <c r="AH558" s="70"/>
      <c r="AI558" s="70"/>
      <c r="AJ558" s="70"/>
      <c r="AK558" s="70"/>
      <c r="AL558" s="70"/>
      <c r="AM558" s="70"/>
      <c r="AN558" s="70"/>
      <c r="AO558" s="70"/>
      <c r="AP558" s="70"/>
      <c r="AQ558" s="70"/>
      <c r="AR558" s="70"/>
      <c r="AS558" s="70"/>
      <c r="AT558" s="70"/>
    </row>
    <row r="559" ht="15.75" customHeight="1">
      <c r="A559" s="70"/>
      <c r="B559" s="70"/>
      <c r="C559" s="70"/>
      <c r="D559" s="80"/>
      <c r="E559" s="70"/>
      <c r="F559" s="70"/>
      <c r="G559" s="70"/>
      <c r="H559" s="70"/>
      <c r="I559" s="70"/>
      <c r="J559" s="70"/>
      <c r="K559" s="70"/>
      <c r="L559" s="70"/>
      <c r="M559" s="70"/>
      <c r="N559" s="70"/>
      <c r="O559" s="70"/>
      <c r="P559" s="70"/>
      <c r="Q559" s="70"/>
      <c r="R559" s="70"/>
      <c r="S559" s="70"/>
      <c r="T559" s="91"/>
      <c r="U559" s="91"/>
      <c r="V559" s="70"/>
      <c r="W559" s="58"/>
      <c r="X559" s="58"/>
      <c r="Y559" s="70"/>
      <c r="Z559" s="83"/>
      <c r="AA559" s="70"/>
      <c r="AB559" s="70"/>
      <c r="AC559" s="70"/>
      <c r="AD559" s="70"/>
      <c r="AE559" s="70"/>
      <c r="AF559" s="70"/>
      <c r="AG559" s="70"/>
      <c r="AH559" s="70"/>
      <c r="AI559" s="70"/>
      <c r="AJ559" s="70"/>
      <c r="AK559" s="70"/>
      <c r="AL559" s="70"/>
      <c r="AM559" s="70"/>
      <c r="AN559" s="70"/>
      <c r="AO559" s="70"/>
      <c r="AP559" s="70"/>
      <c r="AQ559" s="70"/>
      <c r="AR559" s="70"/>
      <c r="AS559" s="70"/>
      <c r="AT559" s="70"/>
    </row>
    <row r="560" ht="15.75" customHeight="1">
      <c r="A560" s="70"/>
      <c r="B560" s="70"/>
      <c r="C560" s="70"/>
      <c r="D560" s="80"/>
      <c r="E560" s="70"/>
      <c r="F560" s="70"/>
      <c r="G560" s="70"/>
      <c r="H560" s="70"/>
      <c r="I560" s="70"/>
      <c r="J560" s="70"/>
      <c r="K560" s="70"/>
      <c r="L560" s="70"/>
      <c r="M560" s="70"/>
      <c r="N560" s="70"/>
      <c r="O560" s="70"/>
      <c r="P560" s="70"/>
      <c r="Q560" s="70"/>
      <c r="R560" s="70"/>
      <c r="S560" s="70"/>
      <c r="T560" s="91"/>
      <c r="U560" s="91"/>
      <c r="V560" s="70"/>
      <c r="W560" s="58"/>
      <c r="X560" s="58"/>
      <c r="Y560" s="70"/>
      <c r="Z560" s="83"/>
      <c r="AA560" s="70"/>
      <c r="AB560" s="70"/>
      <c r="AC560" s="70"/>
      <c r="AD560" s="70"/>
      <c r="AE560" s="70"/>
      <c r="AF560" s="70"/>
      <c r="AG560" s="70"/>
      <c r="AH560" s="70"/>
      <c r="AI560" s="70"/>
      <c r="AJ560" s="70"/>
      <c r="AK560" s="70"/>
      <c r="AL560" s="70"/>
      <c r="AM560" s="70"/>
      <c r="AN560" s="70"/>
      <c r="AO560" s="70"/>
      <c r="AP560" s="70"/>
      <c r="AQ560" s="70"/>
      <c r="AR560" s="70"/>
      <c r="AS560" s="70"/>
      <c r="AT560" s="70"/>
    </row>
    <row r="561" ht="15.75" customHeight="1">
      <c r="A561" s="70"/>
      <c r="B561" s="70"/>
      <c r="C561" s="70"/>
      <c r="D561" s="80"/>
      <c r="E561" s="70"/>
      <c r="F561" s="70"/>
      <c r="G561" s="70"/>
      <c r="H561" s="70"/>
      <c r="I561" s="70"/>
      <c r="J561" s="70"/>
      <c r="K561" s="70"/>
      <c r="L561" s="70"/>
      <c r="M561" s="70"/>
      <c r="N561" s="70"/>
      <c r="O561" s="70"/>
      <c r="P561" s="70"/>
      <c r="Q561" s="70"/>
      <c r="R561" s="70"/>
      <c r="S561" s="70"/>
      <c r="T561" s="91"/>
      <c r="U561" s="91"/>
      <c r="V561" s="70"/>
      <c r="W561" s="58"/>
      <c r="X561" s="58"/>
      <c r="Y561" s="70"/>
      <c r="Z561" s="83"/>
      <c r="AA561" s="70"/>
      <c r="AB561" s="70"/>
      <c r="AC561" s="70"/>
      <c r="AD561" s="70"/>
      <c r="AE561" s="70"/>
      <c r="AF561" s="70"/>
      <c r="AG561" s="70"/>
      <c r="AH561" s="70"/>
      <c r="AI561" s="70"/>
      <c r="AJ561" s="70"/>
      <c r="AK561" s="70"/>
      <c r="AL561" s="70"/>
      <c r="AM561" s="70"/>
      <c r="AN561" s="70"/>
      <c r="AO561" s="70"/>
      <c r="AP561" s="70"/>
      <c r="AQ561" s="70"/>
      <c r="AR561" s="70"/>
      <c r="AS561" s="70"/>
      <c r="AT561" s="70"/>
    </row>
    <row r="562" ht="15.75" customHeight="1">
      <c r="A562" s="70"/>
      <c r="B562" s="70"/>
      <c r="C562" s="70"/>
      <c r="D562" s="80"/>
      <c r="E562" s="70"/>
      <c r="F562" s="70"/>
      <c r="G562" s="70"/>
      <c r="H562" s="70"/>
      <c r="I562" s="70"/>
      <c r="J562" s="70"/>
      <c r="K562" s="70"/>
      <c r="L562" s="70"/>
      <c r="M562" s="70"/>
      <c r="N562" s="70"/>
      <c r="O562" s="70"/>
      <c r="P562" s="70"/>
      <c r="Q562" s="70"/>
      <c r="R562" s="70"/>
      <c r="S562" s="70"/>
      <c r="T562" s="91"/>
      <c r="U562" s="91"/>
      <c r="V562" s="70"/>
      <c r="W562" s="58"/>
      <c r="X562" s="58"/>
      <c r="Y562" s="70"/>
      <c r="Z562" s="83"/>
      <c r="AA562" s="70"/>
      <c r="AB562" s="70"/>
      <c r="AC562" s="70"/>
      <c r="AD562" s="70"/>
      <c r="AE562" s="70"/>
      <c r="AF562" s="70"/>
      <c r="AG562" s="70"/>
      <c r="AH562" s="70"/>
      <c r="AI562" s="70"/>
      <c r="AJ562" s="70"/>
      <c r="AK562" s="70"/>
      <c r="AL562" s="70"/>
      <c r="AM562" s="70"/>
      <c r="AN562" s="70"/>
      <c r="AO562" s="70"/>
      <c r="AP562" s="70"/>
      <c r="AQ562" s="70"/>
      <c r="AR562" s="70"/>
      <c r="AS562" s="70"/>
      <c r="AT562" s="70"/>
    </row>
    <row r="563" ht="15.75" customHeight="1">
      <c r="A563" s="70"/>
      <c r="B563" s="70"/>
      <c r="C563" s="70"/>
      <c r="D563" s="80"/>
      <c r="E563" s="70"/>
      <c r="F563" s="70"/>
      <c r="G563" s="70"/>
      <c r="H563" s="70"/>
      <c r="I563" s="70"/>
      <c r="J563" s="70"/>
      <c r="K563" s="70"/>
      <c r="L563" s="70"/>
      <c r="M563" s="70"/>
      <c r="N563" s="70"/>
      <c r="O563" s="70"/>
      <c r="P563" s="70"/>
      <c r="Q563" s="70"/>
      <c r="R563" s="70"/>
      <c r="S563" s="70"/>
      <c r="T563" s="91"/>
      <c r="U563" s="91"/>
      <c r="V563" s="70"/>
      <c r="W563" s="58"/>
      <c r="X563" s="58"/>
      <c r="Y563" s="70"/>
      <c r="Z563" s="83"/>
      <c r="AA563" s="70"/>
      <c r="AB563" s="70"/>
      <c r="AC563" s="70"/>
      <c r="AD563" s="70"/>
      <c r="AE563" s="70"/>
      <c r="AF563" s="70"/>
      <c r="AG563" s="70"/>
      <c r="AH563" s="70"/>
      <c r="AI563" s="70"/>
      <c r="AJ563" s="70"/>
      <c r="AK563" s="70"/>
      <c r="AL563" s="70"/>
      <c r="AM563" s="70"/>
      <c r="AN563" s="70"/>
      <c r="AO563" s="70"/>
      <c r="AP563" s="70"/>
      <c r="AQ563" s="70"/>
      <c r="AR563" s="70"/>
      <c r="AS563" s="70"/>
      <c r="AT563" s="70"/>
    </row>
    <row r="564" ht="15.75" customHeight="1">
      <c r="A564" s="70"/>
      <c r="B564" s="70"/>
      <c r="C564" s="70"/>
      <c r="D564" s="80"/>
      <c r="E564" s="70"/>
      <c r="F564" s="70"/>
      <c r="G564" s="70"/>
      <c r="H564" s="70"/>
      <c r="I564" s="70"/>
      <c r="J564" s="70"/>
      <c r="K564" s="70"/>
      <c r="L564" s="70"/>
      <c r="M564" s="70"/>
      <c r="N564" s="70"/>
      <c r="O564" s="70"/>
      <c r="P564" s="70"/>
      <c r="Q564" s="70"/>
      <c r="R564" s="70"/>
      <c r="S564" s="70"/>
      <c r="T564" s="91"/>
      <c r="U564" s="91"/>
      <c r="V564" s="70"/>
      <c r="W564" s="58"/>
      <c r="X564" s="58"/>
      <c r="Y564" s="70"/>
      <c r="Z564" s="83"/>
      <c r="AA564" s="70"/>
      <c r="AB564" s="70"/>
      <c r="AC564" s="70"/>
      <c r="AD564" s="70"/>
      <c r="AE564" s="70"/>
      <c r="AF564" s="70"/>
      <c r="AG564" s="70"/>
      <c r="AH564" s="70"/>
      <c r="AI564" s="70"/>
      <c r="AJ564" s="70"/>
      <c r="AK564" s="70"/>
      <c r="AL564" s="70"/>
      <c r="AM564" s="70"/>
      <c r="AN564" s="70"/>
      <c r="AO564" s="70"/>
      <c r="AP564" s="70"/>
      <c r="AQ564" s="70"/>
      <c r="AR564" s="70"/>
      <c r="AS564" s="70"/>
      <c r="AT564" s="70"/>
    </row>
    <row r="565" ht="15.75" customHeight="1">
      <c r="A565" s="70"/>
      <c r="B565" s="70"/>
      <c r="C565" s="70"/>
      <c r="D565" s="80"/>
      <c r="E565" s="70"/>
      <c r="F565" s="70"/>
      <c r="G565" s="70"/>
      <c r="H565" s="70"/>
      <c r="I565" s="70"/>
      <c r="J565" s="70"/>
      <c r="K565" s="70"/>
      <c r="L565" s="70"/>
      <c r="M565" s="70"/>
      <c r="N565" s="70"/>
      <c r="O565" s="70"/>
      <c r="P565" s="70"/>
      <c r="Q565" s="70"/>
      <c r="R565" s="70"/>
      <c r="S565" s="70"/>
      <c r="T565" s="91"/>
      <c r="U565" s="91"/>
      <c r="V565" s="70"/>
      <c r="W565" s="58"/>
      <c r="X565" s="58"/>
      <c r="Y565" s="70"/>
      <c r="Z565" s="83"/>
      <c r="AA565" s="70"/>
      <c r="AB565" s="70"/>
      <c r="AC565" s="70"/>
      <c r="AD565" s="70"/>
      <c r="AE565" s="70"/>
      <c r="AF565" s="70"/>
      <c r="AG565" s="70"/>
      <c r="AH565" s="70"/>
      <c r="AI565" s="70"/>
      <c r="AJ565" s="70"/>
      <c r="AK565" s="70"/>
      <c r="AL565" s="70"/>
      <c r="AM565" s="70"/>
      <c r="AN565" s="70"/>
      <c r="AO565" s="70"/>
      <c r="AP565" s="70"/>
      <c r="AQ565" s="70"/>
      <c r="AR565" s="70"/>
      <c r="AS565" s="70"/>
      <c r="AT565" s="70"/>
    </row>
    <row r="566" ht="15.75" customHeight="1">
      <c r="A566" s="70"/>
      <c r="B566" s="70"/>
      <c r="C566" s="70"/>
      <c r="D566" s="80"/>
      <c r="E566" s="70"/>
      <c r="F566" s="70"/>
      <c r="G566" s="70"/>
      <c r="H566" s="70"/>
      <c r="I566" s="70"/>
      <c r="J566" s="70"/>
      <c r="K566" s="70"/>
      <c r="L566" s="70"/>
      <c r="M566" s="70"/>
      <c r="N566" s="70"/>
      <c r="O566" s="70"/>
      <c r="P566" s="70"/>
      <c r="Q566" s="70"/>
      <c r="R566" s="70"/>
      <c r="S566" s="70"/>
      <c r="T566" s="91"/>
      <c r="U566" s="91"/>
      <c r="V566" s="70"/>
      <c r="W566" s="58"/>
      <c r="X566" s="58"/>
      <c r="Y566" s="70"/>
      <c r="Z566" s="83"/>
      <c r="AA566" s="70"/>
      <c r="AB566" s="70"/>
      <c r="AC566" s="70"/>
      <c r="AD566" s="70"/>
      <c r="AE566" s="70"/>
      <c r="AF566" s="70"/>
      <c r="AG566" s="70"/>
      <c r="AH566" s="70"/>
      <c r="AI566" s="70"/>
      <c r="AJ566" s="70"/>
      <c r="AK566" s="70"/>
      <c r="AL566" s="70"/>
      <c r="AM566" s="70"/>
      <c r="AN566" s="70"/>
      <c r="AO566" s="70"/>
      <c r="AP566" s="70"/>
      <c r="AQ566" s="70"/>
      <c r="AR566" s="70"/>
      <c r="AS566" s="70"/>
      <c r="AT566" s="70"/>
    </row>
    <row r="567" ht="15.75" customHeight="1">
      <c r="A567" s="70"/>
      <c r="B567" s="70"/>
      <c r="C567" s="70"/>
      <c r="D567" s="80"/>
      <c r="E567" s="70"/>
      <c r="F567" s="70"/>
      <c r="G567" s="70"/>
      <c r="H567" s="70"/>
      <c r="I567" s="70"/>
      <c r="J567" s="70"/>
      <c r="K567" s="70"/>
      <c r="L567" s="70"/>
      <c r="M567" s="70"/>
      <c r="N567" s="70"/>
      <c r="O567" s="70"/>
      <c r="P567" s="70"/>
      <c r="Q567" s="70"/>
      <c r="R567" s="70"/>
      <c r="S567" s="70"/>
      <c r="T567" s="91"/>
      <c r="U567" s="91"/>
      <c r="V567" s="70"/>
      <c r="W567" s="58"/>
      <c r="X567" s="58"/>
      <c r="Y567" s="70"/>
      <c r="Z567" s="83"/>
      <c r="AA567" s="70"/>
      <c r="AB567" s="70"/>
      <c r="AC567" s="70"/>
      <c r="AD567" s="70"/>
      <c r="AE567" s="70"/>
      <c r="AF567" s="70"/>
      <c r="AG567" s="70"/>
      <c r="AH567" s="70"/>
      <c r="AI567" s="70"/>
      <c r="AJ567" s="70"/>
      <c r="AK567" s="70"/>
      <c r="AL567" s="70"/>
      <c r="AM567" s="70"/>
      <c r="AN567" s="70"/>
      <c r="AO567" s="70"/>
      <c r="AP567" s="70"/>
      <c r="AQ567" s="70"/>
      <c r="AR567" s="70"/>
      <c r="AS567" s="70"/>
      <c r="AT567" s="70"/>
    </row>
    <row r="568" ht="15.75" customHeight="1">
      <c r="A568" s="70"/>
      <c r="B568" s="70"/>
      <c r="C568" s="70"/>
      <c r="D568" s="80"/>
      <c r="E568" s="70"/>
      <c r="F568" s="70"/>
      <c r="G568" s="70"/>
      <c r="H568" s="70"/>
      <c r="I568" s="70"/>
      <c r="J568" s="70"/>
      <c r="K568" s="70"/>
      <c r="L568" s="70"/>
      <c r="M568" s="70"/>
      <c r="N568" s="70"/>
      <c r="O568" s="70"/>
      <c r="P568" s="70"/>
      <c r="Q568" s="70"/>
      <c r="R568" s="70"/>
      <c r="S568" s="70"/>
      <c r="T568" s="91"/>
      <c r="U568" s="91"/>
      <c r="V568" s="70"/>
      <c r="W568" s="58"/>
      <c r="X568" s="58"/>
      <c r="Y568" s="70"/>
      <c r="Z568" s="83"/>
      <c r="AA568" s="70"/>
      <c r="AB568" s="70"/>
      <c r="AC568" s="70"/>
      <c r="AD568" s="70"/>
      <c r="AE568" s="70"/>
      <c r="AF568" s="70"/>
      <c r="AG568" s="70"/>
      <c r="AH568" s="70"/>
      <c r="AI568" s="70"/>
      <c r="AJ568" s="70"/>
      <c r="AK568" s="70"/>
      <c r="AL568" s="70"/>
      <c r="AM568" s="70"/>
      <c r="AN568" s="70"/>
      <c r="AO568" s="70"/>
      <c r="AP568" s="70"/>
      <c r="AQ568" s="70"/>
      <c r="AR568" s="70"/>
      <c r="AS568" s="70"/>
      <c r="AT568" s="70"/>
    </row>
    <row r="569" ht="15.75" customHeight="1">
      <c r="A569" s="70"/>
      <c r="B569" s="70"/>
      <c r="C569" s="70"/>
      <c r="D569" s="80"/>
      <c r="E569" s="70"/>
      <c r="F569" s="70"/>
      <c r="G569" s="70"/>
      <c r="H569" s="70"/>
      <c r="I569" s="70"/>
      <c r="J569" s="70"/>
      <c r="K569" s="70"/>
      <c r="L569" s="70"/>
      <c r="M569" s="70"/>
      <c r="N569" s="70"/>
      <c r="O569" s="70"/>
      <c r="P569" s="70"/>
      <c r="Q569" s="70"/>
      <c r="R569" s="70"/>
      <c r="S569" s="70"/>
      <c r="T569" s="91"/>
      <c r="U569" s="91"/>
      <c r="V569" s="70"/>
      <c r="W569" s="58"/>
      <c r="X569" s="58"/>
      <c r="Y569" s="70"/>
      <c r="Z569" s="83"/>
      <c r="AA569" s="70"/>
      <c r="AB569" s="70"/>
      <c r="AC569" s="70"/>
      <c r="AD569" s="70"/>
      <c r="AE569" s="70"/>
      <c r="AF569" s="70"/>
      <c r="AG569" s="70"/>
      <c r="AH569" s="70"/>
      <c r="AI569" s="70"/>
      <c r="AJ569" s="70"/>
      <c r="AK569" s="70"/>
      <c r="AL569" s="70"/>
      <c r="AM569" s="70"/>
      <c r="AN569" s="70"/>
      <c r="AO569" s="70"/>
      <c r="AP569" s="70"/>
      <c r="AQ569" s="70"/>
      <c r="AR569" s="70"/>
      <c r="AS569" s="70"/>
      <c r="AT569" s="70"/>
    </row>
    <row r="570" ht="15.75" customHeight="1">
      <c r="A570" s="70"/>
      <c r="B570" s="70"/>
      <c r="C570" s="70"/>
      <c r="D570" s="80"/>
      <c r="E570" s="70"/>
      <c r="F570" s="70"/>
      <c r="G570" s="70"/>
      <c r="H570" s="70"/>
      <c r="I570" s="70"/>
      <c r="J570" s="70"/>
      <c r="K570" s="70"/>
      <c r="L570" s="70"/>
      <c r="M570" s="70"/>
      <c r="N570" s="70"/>
      <c r="O570" s="70"/>
      <c r="P570" s="70"/>
      <c r="Q570" s="70"/>
      <c r="R570" s="70"/>
      <c r="S570" s="70"/>
      <c r="T570" s="91"/>
      <c r="U570" s="91"/>
      <c r="V570" s="70"/>
      <c r="W570" s="58"/>
      <c r="X570" s="58"/>
      <c r="Y570" s="70"/>
      <c r="Z570" s="83"/>
      <c r="AA570" s="70"/>
      <c r="AB570" s="70"/>
      <c r="AC570" s="70"/>
      <c r="AD570" s="70"/>
      <c r="AE570" s="70"/>
      <c r="AF570" s="70"/>
      <c r="AG570" s="70"/>
      <c r="AH570" s="70"/>
      <c r="AI570" s="70"/>
      <c r="AJ570" s="70"/>
      <c r="AK570" s="70"/>
      <c r="AL570" s="70"/>
      <c r="AM570" s="70"/>
      <c r="AN570" s="70"/>
      <c r="AO570" s="70"/>
      <c r="AP570" s="70"/>
      <c r="AQ570" s="70"/>
      <c r="AR570" s="70"/>
      <c r="AS570" s="70"/>
      <c r="AT570" s="70"/>
    </row>
    <row r="571" ht="15.75" customHeight="1">
      <c r="A571" s="70"/>
      <c r="B571" s="70"/>
      <c r="C571" s="70"/>
      <c r="D571" s="80"/>
      <c r="E571" s="70"/>
      <c r="F571" s="70"/>
      <c r="G571" s="70"/>
      <c r="H571" s="70"/>
      <c r="I571" s="70"/>
      <c r="J571" s="70"/>
      <c r="K571" s="70"/>
      <c r="L571" s="70"/>
      <c r="M571" s="70"/>
      <c r="N571" s="70"/>
      <c r="O571" s="70"/>
      <c r="P571" s="70"/>
      <c r="Q571" s="70"/>
      <c r="R571" s="70"/>
      <c r="S571" s="70"/>
      <c r="T571" s="91"/>
      <c r="U571" s="91"/>
      <c r="V571" s="70"/>
      <c r="W571" s="58"/>
      <c r="X571" s="58"/>
      <c r="Y571" s="70"/>
      <c r="Z571" s="83"/>
      <c r="AA571" s="70"/>
      <c r="AB571" s="70"/>
      <c r="AC571" s="70"/>
      <c r="AD571" s="70"/>
      <c r="AE571" s="70"/>
      <c r="AF571" s="70"/>
      <c r="AG571" s="70"/>
      <c r="AH571" s="70"/>
      <c r="AI571" s="70"/>
      <c r="AJ571" s="70"/>
      <c r="AK571" s="70"/>
      <c r="AL571" s="70"/>
      <c r="AM571" s="70"/>
      <c r="AN571" s="70"/>
      <c r="AO571" s="70"/>
      <c r="AP571" s="70"/>
      <c r="AQ571" s="70"/>
      <c r="AR571" s="70"/>
      <c r="AS571" s="70"/>
      <c r="AT571" s="70"/>
    </row>
    <row r="572" ht="15.75" customHeight="1">
      <c r="A572" s="70"/>
      <c r="B572" s="70"/>
      <c r="C572" s="70"/>
      <c r="D572" s="80"/>
      <c r="E572" s="70"/>
      <c r="F572" s="70"/>
      <c r="G572" s="70"/>
      <c r="H572" s="70"/>
      <c r="I572" s="70"/>
      <c r="J572" s="70"/>
      <c r="K572" s="70"/>
      <c r="L572" s="70"/>
      <c r="M572" s="70"/>
      <c r="N572" s="70"/>
      <c r="O572" s="70"/>
      <c r="P572" s="70"/>
      <c r="Q572" s="70"/>
      <c r="R572" s="70"/>
      <c r="S572" s="70"/>
      <c r="T572" s="91"/>
      <c r="U572" s="91"/>
      <c r="V572" s="70"/>
      <c r="W572" s="58"/>
      <c r="X572" s="58"/>
      <c r="Y572" s="70"/>
      <c r="Z572" s="83"/>
      <c r="AA572" s="70"/>
      <c r="AB572" s="70"/>
      <c r="AC572" s="70"/>
      <c r="AD572" s="70"/>
      <c r="AE572" s="70"/>
      <c r="AF572" s="70"/>
      <c r="AG572" s="70"/>
      <c r="AH572" s="70"/>
      <c r="AI572" s="70"/>
      <c r="AJ572" s="70"/>
      <c r="AK572" s="70"/>
      <c r="AL572" s="70"/>
      <c r="AM572" s="70"/>
      <c r="AN572" s="70"/>
      <c r="AO572" s="70"/>
      <c r="AP572" s="70"/>
      <c r="AQ572" s="70"/>
      <c r="AR572" s="70"/>
      <c r="AS572" s="70"/>
      <c r="AT572" s="70"/>
    </row>
    <row r="573" ht="15.75" customHeight="1">
      <c r="A573" s="70"/>
      <c r="B573" s="70"/>
      <c r="C573" s="70"/>
      <c r="D573" s="80"/>
      <c r="E573" s="70"/>
      <c r="F573" s="70"/>
      <c r="G573" s="70"/>
      <c r="H573" s="70"/>
      <c r="I573" s="70"/>
      <c r="J573" s="70"/>
      <c r="K573" s="70"/>
      <c r="L573" s="70"/>
      <c r="M573" s="70"/>
      <c r="N573" s="70"/>
      <c r="O573" s="70"/>
      <c r="P573" s="70"/>
      <c r="Q573" s="70"/>
      <c r="R573" s="70"/>
      <c r="S573" s="70"/>
      <c r="T573" s="91"/>
      <c r="U573" s="91"/>
      <c r="V573" s="70"/>
      <c r="W573" s="58"/>
      <c r="X573" s="58"/>
      <c r="Y573" s="70"/>
      <c r="Z573" s="83"/>
      <c r="AA573" s="70"/>
      <c r="AB573" s="70"/>
      <c r="AC573" s="70"/>
      <c r="AD573" s="70"/>
      <c r="AE573" s="70"/>
      <c r="AF573" s="70"/>
      <c r="AG573" s="70"/>
      <c r="AH573" s="70"/>
      <c r="AI573" s="70"/>
      <c r="AJ573" s="70"/>
      <c r="AK573" s="70"/>
      <c r="AL573" s="70"/>
      <c r="AM573" s="70"/>
      <c r="AN573" s="70"/>
      <c r="AO573" s="70"/>
      <c r="AP573" s="70"/>
      <c r="AQ573" s="70"/>
      <c r="AR573" s="70"/>
      <c r="AS573" s="70"/>
      <c r="AT573" s="70"/>
    </row>
    <row r="574" ht="15.75" customHeight="1">
      <c r="A574" s="70"/>
      <c r="B574" s="70"/>
      <c r="C574" s="70"/>
      <c r="D574" s="80"/>
      <c r="E574" s="70"/>
      <c r="F574" s="70"/>
      <c r="G574" s="70"/>
      <c r="H574" s="70"/>
      <c r="I574" s="70"/>
      <c r="J574" s="70"/>
      <c r="K574" s="70"/>
      <c r="L574" s="70"/>
      <c r="M574" s="70"/>
      <c r="N574" s="70"/>
      <c r="O574" s="70"/>
      <c r="P574" s="70"/>
      <c r="Q574" s="70"/>
      <c r="R574" s="70"/>
      <c r="S574" s="70"/>
      <c r="T574" s="91"/>
      <c r="U574" s="91"/>
      <c r="V574" s="70"/>
      <c r="W574" s="58"/>
      <c r="X574" s="58"/>
      <c r="Y574" s="70"/>
      <c r="Z574" s="83"/>
      <c r="AA574" s="70"/>
      <c r="AB574" s="70"/>
      <c r="AC574" s="70"/>
      <c r="AD574" s="70"/>
      <c r="AE574" s="70"/>
      <c r="AF574" s="70"/>
      <c r="AG574" s="70"/>
      <c r="AH574" s="70"/>
      <c r="AI574" s="70"/>
      <c r="AJ574" s="70"/>
      <c r="AK574" s="70"/>
      <c r="AL574" s="70"/>
      <c r="AM574" s="70"/>
      <c r="AN574" s="70"/>
      <c r="AO574" s="70"/>
      <c r="AP574" s="70"/>
      <c r="AQ574" s="70"/>
      <c r="AR574" s="70"/>
      <c r="AS574" s="70"/>
      <c r="AT574" s="70"/>
    </row>
    <row r="575" ht="15.75" customHeight="1">
      <c r="A575" s="70"/>
      <c r="B575" s="70"/>
      <c r="C575" s="70"/>
      <c r="D575" s="80"/>
      <c r="E575" s="70"/>
      <c r="F575" s="70"/>
      <c r="G575" s="70"/>
      <c r="H575" s="70"/>
      <c r="I575" s="70"/>
      <c r="J575" s="70"/>
      <c r="K575" s="70"/>
      <c r="L575" s="70"/>
      <c r="M575" s="70"/>
      <c r="N575" s="70"/>
      <c r="O575" s="70"/>
      <c r="P575" s="70"/>
      <c r="Q575" s="70"/>
      <c r="R575" s="70"/>
      <c r="S575" s="70"/>
      <c r="T575" s="91"/>
      <c r="U575" s="91"/>
      <c r="V575" s="70"/>
      <c r="W575" s="58"/>
      <c r="X575" s="58"/>
      <c r="Y575" s="70"/>
      <c r="Z575" s="83"/>
      <c r="AA575" s="70"/>
      <c r="AB575" s="70"/>
      <c r="AC575" s="70"/>
      <c r="AD575" s="70"/>
      <c r="AE575" s="70"/>
      <c r="AF575" s="70"/>
      <c r="AG575" s="70"/>
      <c r="AH575" s="70"/>
      <c r="AI575" s="70"/>
      <c r="AJ575" s="70"/>
      <c r="AK575" s="70"/>
      <c r="AL575" s="70"/>
      <c r="AM575" s="70"/>
      <c r="AN575" s="70"/>
      <c r="AO575" s="70"/>
      <c r="AP575" s="70"/>
      <c r="AQ575" s="70"/>
      <c r="AR575" s="70"/>
      <c r="AS575" s="70"/>
      <c r="AT575" s="70"/>
    </row>
    <row r="576" ht="15.75" customHeight="1">
      <c r="A576" s="70"/>
      <c r="B576" s="70"/>
      <c r="C576" s="70"/>
      <c r="D576" s="80"/>
      <c r="E576" s="70"/>
      <c r="F576" s="70"/>
      <c r="G576" s="70"/>
      <c r="H576" s="70"/>
      <c r="I576" s="70"/>
      <c r="J576" s="70"/>
      <c r="K576" s="70"/>
      <c r="L576" s="70"/>
      <c r="M576" s="70"/>
      <c r="N576" s="70"/>
      <c r="O576" s="70"/>
      <c r="P576" s="70"/>
      <c r="Q576" s="70"/>
      <c r="R576" s="70"/>
      <c r="S576" s="70"/>
      <c r="T576" s="91"/>
      <c r="U576" s="91"/>
      <c r="V576" s="70"/>
      <c r="W576" s="58"/>
      <c r="X576" s="58"/>
      <c r="Y576" s="70"/>
      <c r="Z576" s="83"/>
      <c r="AA576" s="70"/>
      <c r="AB576" s="70"/>
      <c r="AC576" s="70"/>
      <c r="AD576" s="70"/>
      <c r="AE576" s="70"/>
      <c r="AF576" s="70"/>
      <c r="AG576" s="70"/>
      <c r="AH576" s="70"/>
      <c r="AI576" s="70"/>
      <c r="AJ576" s="70"/>
      <c r="AK576" s="70"/>
      <c r="AL576" s="70"/>
      <c r="AM576" s="70"/>
      <c r="AN576" s="70"/>
      <c r="AO576" s="70"/>
      <c r="AP576" s="70"/>
      <c r="AQ576" s="70"/>
      <c r="AR576" s="70"/>
      <c r="AS576" s="70"/>
      <c r="AT576" s="70"/>
    </row>
    <row r="577" ht="15.75" customHeight="1">
      <c r="A577" s="70"/>
      <c r="B577" s="70"/>
      <c r="C577" s="70"/>
      <c r="D577" s="80"/>
      <c r="E577" s="70"/>
      <c r="F577" s="70"/>
      <c r="G577" s="70"/>
      <c r="H577" s="70"/>
      <c r="I577" s="70"/>
      <c r="J577" s="70"/>
      <c r="K577" s="70"/>
      <c r="L577" s="70"/>
      <c r="M577" s="70"/>
      <c r="N577" s="70"/>
      <c r="O577" s="70"/>
      <c r="P577" s="70"/>
      <c r="Q577" s="70"/>
      <c r="R577" s="70"/>
      <c r="S577" s="70"/>
      <c r="T577" s="91"/>
      <c r="U577" s="91"/>
      <c r="V577" s="70"/>
      <c r="W577" s="58"/>
      <c r="X577" s="58"/>
      <c r="Y577" s="70"/>
      <c r="Z577" s="83"/>
      <c r="AA577" s="70"/>
      <c r="AB577" s="70"/>
      <c r="AC577" s="70"/>
      <c r="AD577" s="70"/>
      <c r="AE577" s="70"/>
      <c r="AF577" s="70"/>
      <c r="AG577" s="70"/>
      <c r="AH577" s="70"/>
      <c r="AI577" s="70"/>
      <c r="AJ577" s="70"/>
      <c r="AK577" s="70"/>
      <c r="AL577" s="70"/>
      <c r="AM577" s="70"/>
      <c r="AN577" s="70"/>
      <c r="AO577" s="70"/>
      <c r="AP577" s="70"/>
      <c r="AQ577" s="70"/>
      <c r="AR577" s="70"/>
      <c r="AS577" s="70"/>
      <c r="AT577" s="70"/>
    </row>
    <row r="578" ht="15.75" customHeight="1">
      <c r="A578" s="70"/>
      <c r="B578" s="70"/>
      <c r="C578" s="70"/>
      <c r="D578" s="80"/>
      <c r="E578" s="70"/>
      <c r="F578" s="70"/>
      <c r="G578" s="70"/>
      <c r="H578" s="70"/>
      <c r="I578" s="70"/>
      <c r="J578" s="70"/>
      <c r="K578" s="70"/>
      <c r="L578" s="70"/>
      <c r="M578" s="70"/>
      <c r="N578" s="70"/>
      <c r="O578" s="70"/>
      <c r="P578" s="70"/>
      <c r="Q578" s="70"/>
      <c r="R578" s="70"/>
      <c r="S578" s="70"/>
      <c r="T578" s="91"/>
      <c r="U578" s="91"/>
      <c r="V578" s="70"/>
      <c r="W578" s="58"/>
      <c r="X578" s="58"/>
      <c r="Y578" s="70"/>
      <c r="Z578" s="83"/>
      <c r="AA578" s="70"/>
      <c r="AB578" s="70"/>
      <c r="AC578" s="70"/>
      <c r="AD578" s="70"/>
      <c r="AE578" s="70"/>
      <c r="AF578" s="70"/>
      <c r="AG578" s="70"/>
      <c r="AH578" s="70"/>
      <c r="AI578" s="70"/>
      <c r="AJ578" s="70"/>
      <c r="AK578" s="70"/>
      <c r="AL578" s="70"/>
      <c r="AM578" s="70"/>
      <c r="AN578" s="70"/>
      <c r="AO578" s="70"/>
      <c r="AP578" s="70"/>
      <c r="AQ578" s="70"/>
      <c r="AR578" s="70"/>
      <c r="AS578" s="70"/>
      <c r="AT578" s="70"/>
    </row>
    <row r="579" ht="15.75" customHeight="1">
      <c r="A579" s="70"/>
      <c r="B579" s="70"/>
      <c r="C579" s="70"/>
      <c r="D579" s="80"/>
      <c r="E579" s="70"/>
      <c r="F579" s="70"/>
      <c r="G579" s="70"/>
      <c r="H579" s="70"/>
      <c r="I579" s="70"/>
      <c r="J579" s="70"/>
      <c r="K579" s="70"/>
      <c r="L579" s="70"/>
      <c r="M579" s="70"/>
      <c r="N579" s="70"/>
      <c r="O579" s="70"/>
      <c r="P579" s="70"/>
      <c r="Q579" s="70"/>
      <c r="R579" s="70"/>
      <c r="S579" s="70"/>
      <c r="T579" s="91"/>
      <c r="U579" s="91"/>
      <c r="V579" s="70"/>
      <c r="W579" s="58"/>
      <c r="X579" s="58"/>
      <c r="Y579" s="70"/>
      <c r="Z579" s="83"/>
      <c r="AA579" s="70"/>
      <c r="AB579" s="70"/>
      <c r="AC579" s="70"/>
      <c r="AD579" s="70"/>
      <c r="AE579" s="70"/>
      <c r="AF579" s="70"/>
      <c r="AG579" s="70"/>
      <c r="AH579" s="70"/>
      <c r="AI579" s="70"/>
      <c r="AJ579" s="70"/>
      <c r="AK579" s="70"/>
      <c r="AL579" s="70"/>
      <c r="AM579" s="70"/>
      <c r="AN579" s="70"/>
      <c r="AO579" s="70"/>
      <c r="AP579" s="70"/>
      <c r="AQ579" s="70"/>
      <c r="AR579" s="70"/>
      <c r="AS579" s="70"/>
      <c r="AT579" s="70"/>
    </row>
    <row r="580" ht="15.75" customHeight="1">
      <c r="A580" s="70"/>
      <c r="B580" s="70"/>
      <c r="C580" s="70"/>
      <c r="D580" s="80"/>
      <c r="E580" s="70"/>
      <c r="F580" s="70"/>
      <c r="G580" s="70"/>
      <c r="H580" s="70"/>
      <c r="I580" s="70"/>
      <c r="J580" s="70"/>
      <c r="K580" s="70"/>
      <c r="L580" s="70"/>
      <c r="M580" s="70"/>
      <c r="N580" s="70"/>
      <c r="O580" s="70"/>
      <c r="P580" s="70"/>
      <c r="Q580" s="70"/>
      <c r="R580" s="70"/>
      <c r="S580" s="70"/>
      <c r="T580" s="91"/>
      <c r="U580" s="91"/>
      <c r="V580" s="70"/>
      <c r="W580" s="58"/>
      <c r="X580" s="58"/>
      <c r="Y580" s="70"/>
      <c r="Z580" s="83"/>
      <c r="AA580" s="70"/>
      <c r="AB580" s="70"/>
      <c r="AC580" s="70"/>
      <c r="AD580" s="70"/>
      <c r="AE580" s="70"/>
      <c r="AF580" s="70"/>
      <c r="AG580" s="70"/>
      <c r="AH580" s="70"/>
      <c r="AI580" s="70"/>
      <c r="AJ580" s="70"/>
      <c r="AK580" s="70"/>
      <c r="AL580" s="70"/>
      <c r="AM580" s="70"/>
      <c r="AN580" s="70"/>
      <c r="AO580" s="70"/>
      <c r="AP580" s="70"/>
      <c r="AQ580" s="70"/>
      <c r="AR580" s="70"/>
      <c r="AS580" s="70"/>
      <c r="AT580" s="70"/>
    </row>
    <row r="581" ht="15.75" customHeight="1">
      <c r="A581" s="70"/>
      <c r="B581" s="70"/>
      <c r="C581" s="70"/>
      <c r="D581" s="80"/>
      <c r="E581" s="70"/>
      <c r="F581" s="70"/>
      <c r="G581" s="70"/>
      <c r="H581" s="70"/>
      <c r="I581" s="70"/>
      <c r="J581" s="70"/>
      <c r="K581" s="70"/>
      <c r="L581" s="70"/>
      <c r="M581" s="70"/>
      <c r="N581" s="70"/>
      <c r="O581" s="70"/>
      <c r="P581" s="70"/>
      <c r="Q581" s="70"/>
      <c r="R581" s="70"/>
      <c r="S581" s="70"/>
      <c r="T581" s="91"/>
      <c r="U581" s="91"/>
      <c r="V581" s="70"/>
      <c r="W581" s="58"/>
      <c r="X581" s="58"/>
      <c r="Y581" s="70"/>
      <c r="Z581" s="83"/>
      <c r="AA581" s="70"/>
      <c r="AB581" s="70"/>
      <c r="AC581" s="70"/>
      <c r="AD581" s="70"/>
      <c r="AE581" s="70"/>
      <c r="AF581" s="70"/>
      <c r="AG581" s="70"/>
      <c r="AH581" s="70"/>
      <c r="AI581" s="70"/>
      <c r="AJ581" s="70"/>
      <c r="AK581" s="70"/>
      <c r="AL581" s="70"/>
      <c r="AM581" s="70"/>
      <c r="AN581" s="70"/>
      <c r="AO581" s="70"/>
      <c r="AP581" s="70"/>
      <c r="AQ581" s="70"/>
      <c r="AR581" s="70"/>
      <c r="AS581" s="70"/>
      <c r="AT581" s="70"/>
    </row>
    <row r="582" ht="15.75" customHeight="1">
      <c r="A582" s="70"/>
      <c r="B582" s="70"/>
      <c r="C582" s="70"/>
      <c r="D582" s="80"/>
      <c r="E582" s="70"/>
      <c r="F582" s="70"/>
      <c r="G582" s="70"/>
      <c r="H582" s="70"/>
      <c r="I582" s="70"/>
      <c r="J582" s="70"/>
      <c r="K582" s="70"/>
      <c r="L582" s="70"/>
      <c r="M582" s="70"/>
      <c r="N582" s="70"/>
      <c r="O582" s="70"/>
      <c r="P582" s="70"/>
      <c r="Q582" s="70"/>
      <c r="R582" s="70"/>
      <c r="S582" s="70"/>
      <c r="T582" s="91"/>
      <c r="U582" s="91"/>
      <c r="V582" s="70"/>
      <c r="W582" s="58"/>
      <c r="X582" s="58"/>
      <c r="Y582" s="70"/>
      <c r="Z582" s="83"/>
      <c r="AA582" s="70"/>
      <c r="AB582" s="70"/>
      <c r="AC582" s="70"/>
      <c r="AD582" s="70"/>
      <c r="AE582" s="70"/>
      <c r="AF582" s="70"/>
      <c r="AG582" s="70"/>
      <c r="AH582" s="70"/>
      <c r="AI582" s="70"/>
      <c r="AJ582" s="70"/>
      <c r="AK582" s="70"/>
      <c r="AL582" s="70"/>
      <c r="AM582" s="70"/>
      <c r="AN582" s="70"/>
      <c r="AO582" s="70"/>
      <c r="AP582" s="70"/>
      <c r="AQ582" s="70"/>
      <c r="AR582" s="70"/>
      <c r="AS582" s="70"/>
      <c r="AT582" s="70"/>
    </row>
    <row r="583" ht="15.75" customHeight="1">
      <c r="A583" s="70"/>
      <c r="B583" s="70"/>
      <c r="C583" s="70"/>
      <c r="D583" s="80"/>
      <c r="E583" s="70"/>
      <c r="F583" s="70"/>
      <c r="G583" s="70"/>
      <c r="H583" s="70"/>
      <c r="I583" s="70"/>
      <c r="J583" s="70"/>
      <c r="K583" s="70"/>
      <c r="L583" s="70"/>
      <c r="M583" s="70"/>
      <c r="N583" s="70"/>
      <c r="O583" s="70"/>
      <c r="P583" s="70"/>
      <c r="Q583" s="70"/>
      <c r="R583" s="70"/>
      <c r="S583" s="70"/>
      <c r="T583" s="91"/>
      <c r="U583" s="91"/>
      <c r="V583" s="70"/>
      <c r="W583" s="58"/>
      <c r="X583" s="58"/>
      <c r="Y583" s="70"/>
      <c r="Z583" s="83"/>
      <c r="AA583" s="70"/>
      <c r="AB583" s="70"/>
      <c r="AC583" s="70"/>
      <c r="AD583" s="70"/>
      <c r="AE583" s="70"/>
      <c r="AF583" s="70"/>
      <c r="AG583" s="70"/>
      <c r="AH583" s="70"/>
      <c r="AI583" s="70"/>
      <c r="AJ583" s="70"/>
      <c r="AK583" s="70"/>
      <c r="AL583" s="70"/>
      <c r="AM583" s="70"/>
      <c r="AN583" s="70"/>
      <c r="AO583" s="70"/>
      <c r="AP583" s="70"/>
      <c r="AQ583" s="70"/>
      <c r="AR583" s="70"/>
      <c r="AS583" s="70"/>
      <c r="AT583" s="70"/>
    </row>
    <row r="584" ht="15.75" customHeight="1">
      <c r="A584" s="70"/>
      <c r="B584" s="70"/>
      <c r="C584" s="70"/>
      <c r="D584" s="80"/>
      <c r="E584" s="70"/>
      <c r="F584" s="70"/>
      <c r="G584" s="70"/>
      <c r="H584" s="70"/>
      <c r="I584" s="70"/>
      <c r="J584" s="70"/>
      <c r="K584" s="70"/>
      <c r="L584" s="70"/>
      <c r="M584" s="70"/>
      <c r="N584" s="70"/>
      <c r="O584" s="70"/>
      <c r="P584" s="70"/>
      <c r="Q584" s="70"/>
      <c r="R584" s="70"/>
      <c r="S584" s="70"/>
      <c r="T584" s="91"/>
      <c r="U584" s="91"/>
      <c r="V584" s="70"/>
      <c r="W584" s="58"/>
      <c r="X584" s="58"/>
      <c r="Y584" s="70"/>
      <c r="Z584" s="83"/>
      <c r="AA584" s="70"/>
      <c r="AB584" s="70"/>
      <c r="AC584" s="70"/>
      <c r="AD584" s="70"/>
      <c r="AE584" s="70"/>
      <c r="AF584" s="70"/>
      <c r="AG584" s="70"/>
      <c r="AH584" s="70"/>
      <c r="AI584" s="70"/>
      <c r="AJ584" s="70"/>
      <c r="AK584" s="70"/>
      <c r="AL584" s="70"/>
      <c r="AM584" s="70"/>
      <c r="AN584" s="70"/>
      <c r="AO584" s="70"/>
      <c r="AP584" s="70"/>
      <c r="AQ584" s="70"/>
      <c r="AR584" s="70"/>
      <c r="AS584" s="70"/>
      <c r="AT584" s="70"/>
    </row>
    <row r="585" ht="15.75" customHeight="1">
      <c r="A585" s="70"/>
      <c r="B585" s="70"/>
      <c r="C585" s="70"/>
      <c r="D585" s="80"/>
      <c r="E585" s="70"/>
      <c r="F585" s="70"/>
      <c r="G585" s="70"/>
      <c r="H585" s="70"/>
      <c r="I585" s="70"/>
      <c r="J585" s="70"/>
      <c r="K585" s="70"/>
      <c r="L585" s="70"/>
      <c r="M585" s="70"/>
      <c r="N585" s="70"/>
      <c r="O585" s="70"/>
      <c r="P585" s="70"/>
      <c r="Q585" s="70"/>
      <c r="R585" s="70"/>
      <c r="S585" s="70"/>
      <c r="T585" s="91"/>
      <c r="U585" s="91"/>
      <c r="V585" s="70"/>
      <c r="W585" s="58"/>
      <c r="X585" s="58"/>
      <c r="Y585" s="70"/>
      <c r="Z585" s="83"/>
      <c r="AA585" s="70"/>
      <c r="AB585" s="70"/>
      <c r="AC585" s="70"/>
      <c r="AD585" s="70"/>
      <c r="AE585" s="70"/>
      <c r="AF585" s="70"/>
      <c r="AG585" s="70"/>
      <c r="AH585" s="70"/>
      <c r="AI585" s="70"/>
      <c r="AJ585" s="70"/>
      <c r="AK585" s="70"/>
      <c r="AL585" s="70"/>
      <c r="AM585" s="70"/>
      <c r="AN585" s="70"/>
      <c r="AO585" s="70"/>
      <c r="AP585" s="70"/>
      <c r="AQ585" s="70"/>
      <c r="AR585" s="70"/>
      <c r="AS585" s="70"/>
      <c r="AT585" s="70"/>
    </row>
    <row r="586" ht="15.75" customHeight="1">
      <c r="A586" s="70"/>
      <c r="B586" s="70"/>
      <c r="C586" s="70"/>
      <c r="D586" s="80"/>
      <c r="E586" s="70"/>
      <c r="F586" s="70"/>
      <c r="G586" s="70"/>
      <c r="H586" s="70"/>
      <c r="I586" s="70"/>
      <c r="J586" s="70"/>
      <c r="K586" s="70"/>
      <c r="L586" s="70"/>
      <c r="M586" s="70"/>
      <c r="N586" s="70"/>
      <c r="O586" s="70"/>
      <c r="P586" s="70"/>
      <c r="Q586" s="70"/>
      <c r="R586" s="70"/>
      <c r="S586" s="70"/>
      <c r="T586" s="91"/>
      <c r="U586" s="91"/>
      <c r="V586" s="70"/>
      <c r="W586" s="58"/>
      <c r="X586" s="58"/>
      <c r="Y586" s="70"/>
      <c r="Z586" s="83"/>
      <c r="AA586" s="70"/>
      <c r="AB586" s="70"/>
      <c r="AC586" s="70"/>
      <c r="AD586" s="70"/>
      <c r="AE586" s="70"/>
      <c r="AF586" s="70"/>
      <c r="AG586" s="70"/>
      <c r="AH586" s="70"/>
      <c r="AI586" s="70"/>
      <c r="AJ586" s="70"/>
      <c r="AK586" s="70"/>
      <c r="AL586" s="70"/>
      <c r="AM586" s="70"/>
      <c r="AN586" s="70"/>
      <c r="AO586" s="70"/>
      <c r="AP586" s="70"/>
      <c r="AQ586" s="70"/>
      <c r="AR586" s="70"/>
      <c r="AS586" s="70"/>
      <c r="AT586" s="70"/>
    </row>
    <row r="587" ht="15.75" customHeight="1">
      <c r="A587" s="70"/>
      <c r="B587" s="70"/>
      <c r="C587" s="70"/>
      <c r="D587" s="80"/>
      <c r="E587" s="70"/>
      <c r="F587" s="70"/>
      <c r="G587" s="70"/>
      <c r="H587" s="70"/>
      <c r="I587" s="70"/>
      <c r="J587" s="70"/>
      <c r="K587" s="70"/>
      <c r="L587" s="70"/>
      <c r="M587" s="70"/>
      <c r="N587" s="70"/>
      <c r="O587" s="70"/>
      <c r="P587" s="70"/>
      <c r="Q587" s="70"/>
      <c r="R587" s="70"/>
      <c r="S587" s="70"/>
      <c r="T587" s="91"/>
      <c r="U587" s="91"/>
      <c r="V587" s="70"/>
      <c r="W587" s="58"/>
      <c r="X587" s="58"/>
      <c r="Y587" s="70"/>
      <c r="Z587" s="83"/>
      <c r="AA587" s="70"/>
      <c r="AB587" s="70"/>
      <c r="AC587" s="70"/>
      <c r="AD587" s="70"/>
      <c r="AE587" s="70"/>
      <c r="AF587" s="70"/>
      <c r="AG587" s="70"/>
      <c r="AH587" s="70"/>
      <c r="AI587" s="70"/>
      <c r="AJ587" s="70"/>
      <c r="AK587" s="70"/>
      <c r="AL587" s="70"/>
      <c r="AM587" s="70"/>
      <c r="AN587" s="70"/>
      <c r="AO587" s="70"/>
      <c r="AP587" s="70"/>
      <c r="AQ587" s="70"/>
      <c r="AR587" s="70"/>
      <c r="AS587" s="70"/>
      <c r="AT587" s="70"/>
    </row>
    <row r="588" ht="15.75" customHeight="1">
      <c r="A588" s="70"/>
      <c r="B588" s="70"/>
      <c r="C588" s="70"/>
      <c r="D588" s="80"/>
      <c r="E588" s="70"/>
      <c r="F588" s="70"/>
      <c r="G588" s="70"/>
      <c r="H588" s="70"/>
      <c r="I588" s="70"/>
      <c r="J588" s="70"/>
      <c r="K588" s="70"/>
      <c r="L588" s="70"/>
      <c r="M588" s="70"/>
      <c r="N588" s="70"/>
      <c r="O588" s="70"/>
      <c r="P588" s="70"/>
      <c r="Q588" s="70"/>
      <c r="R588" s="70"/>
      <c r="S588" s="70"/>
      <c r="T588" s="91"/>
      <c r="U588" s="91"/>
      <c r="V588" s="70"/>
      <c r="W588" s="58"/>
      <c r="X588" s="58"/>
      <c r="Y588" s="70"/>
      <c r="Z588" s="83"/>
      <c r="AA588" s="70"/>
      <c r="AB588" s="70"/>
      <c r="AC588" s="70"/>
      <c r="AD588" s="70"/>
      <c r="AE588" s="70"/>
      <c r="AF588" s="70"/>
      <c r="AG588" s="70"/>
      <c r="AH588" s="70"/>
      <c r="AI588" s="70"/>
      <c r="AJ588" s="70"/>
      <c r="AK588" s="70"/>
      <c r="AL588" s="70"/>
      <c r="AM588" s="70"/>
      <c r="AN588" s="70"/>
      <c r="AO588" s="70"/>
      <c r="AP588" s="70"/>
      <c r="AQ588" s="70"/>
      <c r="AR588" s="70"/>
      <c r="AS588" s="70"/>
      <c r="AT588" s="70"/>
    </row>
    <row r="589" ht="15.75" customHeight="1">
      <c r="A589" s="70"/>
      <c r="B589" s="70"/>
      <c r="C589" s="70"/>
      <c r="D589" s="80"/>
      <c r="E589" s="70"/>
      <c r="F589" s="70"/>
      <c r="G589" s="70"/>
      <c r="H589" s="70"/>
      <c r="I589" s="70"/>
      <c r="J589" s="70"/>
      <c r="K589" s="70"/>
      <c r="L589" s="70"/>
      <c r="M589" s="70"/>
      <c r="N589" s="70"/>
      <c r="O589" s="70"/>
      <c r="P589" s="70"/>
      <c r="Q589" s="70"/>
      <c r="R589" s="70"/>
      <c r="S589" s="70"/>
      <c r="T589" s="91"/>
      <c r="U589" s="91"/>
      <c r="V589" s="70"/>
      <c r="W589" s="58"/>
      <c r="X589" s="58"/>
      <c r="Y589" s="70"/>
      <c r="Z589" s="83"/>
      <c r="AA589" s="70"/>
      <c r="AB589" s="70"/>
      <c r="AC589" s="70"/>
      <c r="AD589" s="70"/>
      <c r="AE589" s="70"/>
      <c r="AF589" s="70"/>
      <c r="AG589" s="70"/>
      <c r="AH589" s="70"/>
      <c r="AI589" s="70"/>
      <c r="AJ589" s="70"/>
      <c r="AK589" s="70"/>
      <c r="AL589" s="70"/>
      <c r="AM589" s="70"/>
      <c r="AN589" s="70"/>
      <c r="AO589" s="70"/>
      <c r="AP589" s="70"/>
      <c r="AQ589" s="70"/>
      <c r="AR589" s="70"/>
      <c r="AS589" s="70"/>
      <c r="AT589" s="70"/>
    </row>
    <row r="590" ht="15.75" customHeight="1">
      <c r="A590" s="70"/>
      <c r="B590" s="70"/>
      <c r="C590" s="70"/>
      <c r="D590" s="80"/>
      <c r="E590" s="70"/>
      <c r="F590" s="70"/>
      <c r="G590" s="70"/>
      <c r="H590" s="70"/>
      <c r="I590" s="70"/>
      <c r="J590" s="70"/>
      <c r="K590" s="70"/>
      <c r="L590" s="70"/>
      <c r="M590" s="70"/>
      <c r="N590" s="70"/>
      <c r="O590" s="70"/>
      <c r="P590" s="70"/>
      <c r="Q590" s="70"/>
      <c r="R590" s="70"/>
      <c r="S590" s="70"/>
      <c r="T590" s="91"/>
      <c r="U590" s="91"/>
      <c r="V590" s="70"/>
      <c r="W590" s="58"/>
      <c r="X590" s="58"/>
      <c r="Y590" s="70"/>
      <c r="Z590" s="83"/>
      <c r="AA590" s="70"/>
      <c r="AB590" s="70"/>
      <c r="AC590" s="70"/>
      <c r="AD590" s="70"/>
      <c r="AE590" s="70"/>
      <c r="AF590" s="70"/>
      <c r="AG590" s="70"/>
      <c r="AH590" s="70"/>
      <c r="AI590" s="70"/>
      <c r="AJ590" s="70"/>
      <c r="AK590" s="70"/>
      <c r="AL590" s="70"/>
      <c r="AM590" s="70"/>
      <c r="AN590" s="70"/>
      <c r="AO590" s="70"/>
      <c r="AP590" s="70"/>
      <c r="AQ590" s="70"/>
      <c r="AR590" s="70"/>
      <c r="AS590" s="70"/>
      <c r="AT590" s="70"/>
    </row>
    <row r="591" ht="15.75" customHeight="1">
      <c r="A591" s="70"/>
      <c r="B591" s="70"/>
      <c r="C591" s="70"/>
      <c r="D591" s="80"/>
      <c r="E591" s="70"/>
      <c r="F591" s="70"/>
      <c r="G591" s="70"/>
      <c r="H591" s="70"/>
      <c r="I591" s="70"/>
      <c r="J591" s="70"/>
      <c r="K591" s="70"/>
      <c r="L591" s="70"/>
      <c r="M591" s="70"/>
      <c r="N591" s="70"/>
      <c r="O591" s="70"/>
      <c r="P591" s="70"/>
      <c r="Q591" s="70"/>
      <c r="R591" s="70"/>
      <c r="S591" s="70"/>
      <c r="T591" s="91"/>
      <c r="U591" s="91"/>
      <c r="V591" s="70"/>
      <c r="W591" s="58"/>
      <c r="X591" s="58"/>
      <c r="Y591" s="70"/>
      <c r="Z591" s="83"/>
      <c r="AA591" s="70"/>
      <c r="AB591" s="70"/>
      <c r="AC591" s="70"/>
      <c r="AD591" s="70"/>
      <c r="AE591" s="70"/>
      <c r="AF591" s="70"/>
      <c r="AG591" s="70"/>
      <c r="AH591" s="70"/>
      <c r="AI591" s="70"/>
      <c r="AJ591" s="70"/>
      <c r="AK591" s="70"/>
      <c r="AL591" s="70"/>
      <c r="AM591" s="70"/>
      <c r="AN591" s="70"/>
      <c r="AO591" s="70"/>
      <c r="AP591" s="70"/>
      <c r="AQ591" s="70"/>
      <c r="AR591" s="70"/>
      <c r="AS591" s="70"/>
      <c r="AT591" s="70"/>
    </row>
    <row r="592" ht="15.75" customHeight="1">
      <c r="A592" s="70"/>
      <c r="B592" s="70"/>
      <c r="C592" s="70"/>
      <c r="D592" s="80"/>
      <c r="E592" s="70"/>
      <c r="F592" s="70"/>
      <c r="G592" s="70"/>
      <c r="H592" s="70"/>
      <c r="I592" s="70"/>
      <c r="J592" s="70"/>
      <c r="K592" s="70"/>
      <c r="L592" s="70"/>
      <c r="M592" s="70"/>
      <c r="N592" s="70"/>
      <c r="O592" s="70"/>
      <c r="P592" s="70"/>
      <c r="Q592" s="70"/>
      <c r="R592" s="70"/>
      <c r="S592" s="70"/>
      <c r="T592" s="91"/>
      <c r="U592" s="91"/>
      <c r="V592" s="70"/>
      <c r="W592" s="58"/>
      <c r="X592" s="58"/>
      <c r="Y592" s="70"/>
      <c r="Z592" s="83"/>
      <c r="AA592" s="70"/>
      <c r="AB592" s="70"/>
      <c r="AC592" s="70"/>
      <c r="AD592" s="70"/>
      <c r="AE592" s="70"/>
      <c r="AF592" s="70"/>
      <c r="AG592" s="70"/>
      <c r="AH592" s="70"/>
      <c r="AI592" s="70"/>
      <c r="AJ592" s="70"/>
      <c r="AK592" s="70"/>
      <c r="AL592" s="70"/>
      <c r="AM592" s="70"/>
      <c r="AN592" s="70"/>
      <c r="AO592" s="70"/>
      <c r="AP592" s="70"/>
      <c r="AQ592" s="70"/>
      <c r="AR592" s="70"/>
      <c r="AS592" s="70"/>
      <c r="AT592" s="70"/>
    </row>
    <row r="593" ht="15.75" customHeight="1">
      <c r="A593" s="70"/>
      <c r="B593" s="70"/>
      <c r="C593" s="70"/>
      <c r="D593" s="80"/>
      <c r="E593" s="70"/>
      <c r="F593" s="70"/>
      <c r="G593" s="70"/>
      <c r="H593" s="70"/>
      <c r="I593" s="70"/>
      <c r="J593" s="70"/>
      <c r="K593" s="70"/>
      <c r="L593" s="70"/>
      <c r="M593" s="70"/>
      <c r="N593" s="70"/>
      <c r="O593" s="70"/>
      <c r="P593" s="70"/>
      <c r="Q593" s="70"/>
      <c r="R593" s="70"/>
      <c r="S593" s="70"/>
      <c r="T593" s="91"/>
      <c r="U593" s="91"/>
      <c r="V593" s="70"/>
      <c r="W593" s="58"/>
      <c r="X593" s="58"/>
      <c r="Y593" s="70"/>
      <c r="Z593" s="83"/>
      <c r="AA593" s="70"/>
      <c r="AB593" s="70"/>
      <c r="AC593" s="70"/>
      <c r="AD593" s="70"/>
      <c r="AE593" s="70"/>
      <c r="AF593" s="70"/>
      <c r="AG593" s="70"/>
      <c r="AH593" s="70"/>
      <c r="AI593" s="70"/>
      <c r="AJ593" s="70"/>
      <c r="AK593" s="70"/>
      <c r="AL593" s="70"/>
      <c r="AM593" s="70"/>
      <c r="AN593" s="70"/>
      <c r="AO593" s="70"/>
      <c r="AP593" s="70"/>
      <c r="AQ593" s="70"/>
      <c r="AR593" s="70"/>
      <c r="AS593" s="70"/>
      <c r="AT593" s="70"/>
    </row>
    <row r="594" ht="15.75" customHeight="1">
      <c r="A594" s="70"/>
      <c r="B594" s="70"/>
      <c r="C594" s="70"/>
      <c r="D594" s="80"/>
      <c r="E594" s="70"/>
      <c r="F594" s="70"/>
      <c r="G594" s="70"/>
      <c r="H594" s="70"/>
      <c r="I594" s="70"/>
      <c r="J594" s="70"/>
      <c r="K594" s="70"/>
      <c r="L594" s="70"/>
      <c r="M594" s="70"/>
      <c r="N594" s="70"/>
      <c r="O594" s="70"/>
      <c r="P594" s="70"/>
      <c r="Q594" s="70"/>
      <c r="R594" s="70"/>
      <c r="S594" s="70"/>
      <c r="T594" s="91"/>
      <c r="U594" s="91"/>
      <c r="V594" s="70"/>
      <c r="W594" s="58"/>
      <c r="X594" s="58"/>
      <c r="Y594" s="70"/>
      <c r="Z594" s="83"/>
      <c r="AA594" s="70"/>
      <c r="AB594" s="70"/>
      <c r="AC594" s="70"/>
      <c r="AD594" s="70"/>
      <c r="AE594" s="70"/>
      <c r="AF594" s="70"/>
      <c r="AG594" s="70"/>
      <c r="AH594" s="70"/>
      <c r="AI594" s="70"/>
      <c r="AJ594" s="70"/>
      <c r="AK594" s="70"/>
      <c r="AL594" s="70"/>
      <c r="AM594" s="70"/>
      <c r="AN594" s="70"/>
      <c r="AO594" s="70"/>
      <c r="AP594" s="70"/>
      <c r="AQ594" s="70"/>
      <c r="AR594" s="70"/>
      <c r="AS594" s="70"/>
      <c r="AT594" s="70"/>
    </row>
    <row r="595" ht="15.75" customHeight="1">
      <c r="A595" s="70"/>
      <c r="B595" s="70"/>
      <c r="C595" s="70"/>
      <c r="D595" s="80"/>
      <c r="E595" s="70"/>
      <c r="F595" s="70"/>
      <c r="G595" s="70"/>
      <c r="H595" s="70"/>
      <c r="I595" s="70"/>
      <c r="J595" s="70"/>
      <c r="K595" s="70"/>
      <c r="L595" s="70"/>
      <c r="M595" s="70"/>
      <c r="N595" s="70"/>
      <c r="O595" s="70"/>
      <c r="P595" s="70"/>
      <c r="Q595" s="70"/>
      <c r="R595" s="70"/>
      <c r="S595" s="70"/>
      <c r="T595" s="91"/>
      <c r="U595" s="91"/>
      <c r="V595" s="70"/>
      <c r="W595" s="58"/>
      <c r="X595" s="58"/>
      <c r="Y595" s="70"/>
      <c r="Z595" s="83"/>
      <c r="AA595" s="70"/>
      <c r="AB595" s="70"/>
      <c r="AC595" s="70"/>
      <c r="AD595" s="70"/>
      <c r="AE595" s="70"/>
      <c r="AF595" s="70"/>
      <c r="AG595" s="70"/>
      <c r="AH595" s="70"/>
      <c r="AI595" s="70"/>
      <c r="AJ595" s="70"/>
      <c r="AK595" s="70"/>
      <c r="AL595" s="70"/>
      <c r="AM595" s="70"/>
      <c r="AN595" s="70"/>
      <c r="AO595" s="70"/>
      <c r="AP595" s="70"/>
      <c r="AQ595" s="70"/>
      <c r="AR595" s="70"/>
      <c r="AS595" s="70"/>
      <c r="AT595" s="70"/>
    </row>
    <row r="596" ht="15.75" customHeight="1">
      <c r="A596" s="70"/>
      <c r="B596" s="70"/>
      <c r="C596" s="70"/>
      <c r="D596" s="80"/>
      <c r="E596" s="70"/>
      <c r="F596" s="70"/>
      <c r="G596" s="70"/>
      <c r="H596" s="70"/>
      <c r="I596" s="70"/>
      <c r="J596" s="70"/>
      <c r="K596" s="70"/>
      <c r="L596" s="70"/>
      <c r="M596" s="70"/>
      <c r="N596" s="70"/>
      <c r="O596" s="70"/>
      <c r="P596" s="70"/>
      <c r="Q596" s="70"/>
      <c r="R596" s="70"/>
      <c r="S596" s="70"/>
      <c r="T596" s="91"/>
      <c r="U596" s="91"/>
      <c r="V596" s="70"/>
      <c r="W596" s="58"/>
      <c r="X596" s="58"/>
      <c r="Y596" s="70"/>
      <c r="Z596" s="83"/>
      <c r="AA596" s="70"/>
      <c r="AB596" s="70"/>
      <c r="AC596" s="70"/>
      <c r="AD596" s="70"/>
      <c r="AE596" s="70"/>
      <c r="AF596" s="70"/>
      <c r="AG596" s="70"/>
      <c r="AH596" s="70"/>
      <c r="AI596" s="70"/>
      <c r="AJ596" s="70"/>
      <c r="AK596" s="70"/>
      <c r="AL596" s="70"/>
      <c r="AM596" s="70"/>
      <c r="AN596" s="70"/>
      <c r="AO596" s="70"/>
      <c r="AP596" s="70"/>
      <c r="AQ596" s="70"/>
      <c r="AR596" s="70"/>
      <c r="AS596" s="70"/>
      <c r="AT596" s="70"/>
    </row>
    <row r="597" ht="15.75" customHeight="1">
      <c r="A597" s="70"/>
      <c r="B597" s="70"/>
      <c r="C597" s="70"/>
      <c r="D597" s="80"/>
      <c r="E597" s="70"/>
      <c r="F597" s="70"/>
      <c r="G597" s="70"/>
      <c r="H597" s="70"/>
      <c r="I597" s="70"/>
      <c r="J597" s="70"/>
      <c r="K597" s="70"/>
      <c r="L597" s="70"/>
      <c r="M597" s="70"/>
      <c r="N597" s="70"/>
      <c r="O597" s="70"/>
      <c r="P597" s="70"/>
      <c r="Q597" s="70"/>
      <c r="R597" s="70"/>
      <c r="S597" s="70"/>
      <c r="T597" s="91"/>
      <c r="U597" s="91"/>
      <c r="V597" s="70"/>
      <c r="W597" s="58"/>
      <c r="X597" s="58"/>
      <c r="Y597" s="70"/>
      <c r="Z597" s="83"/>
      <c r="AA597" s="70"/>
      <c r="AB597" s="70"/>
      <c r="AC597" s="70"/>
      <c r="AD597" s="70"/>
      <c r="AE597" s="70"/>
      <c r="AF597" s="70"/>
      <c r="AG597" s="70"/>
      <c r="AH597" s="70"/>
      <c r="AI597" s="70"/>
      <c r="AJ597" s="70"/>
      <c r="AK597" s="70"/>
      <c r="AL597" s="70"/>
      <c r="AM597" s="70"/>
      <c r="AN597" s="70"/>
      <c r="AO597" s="70"/>
      <c r="AP597" s="70"/>
      <c r="AQ597" s="70"/>
      <c r="AR597" s="70"/>
      <c r="AS597" s="70"/>
      <c r="AT597" s="70"/>
    </row>
    <row r="598" ht="15.75" customHeight="1">
      <c r="A598" s="70"/>
      <c r="B598" s="70"/>
      <c r="C598" s="70"/>
      <c r="D598" s="80"/>
      <c r="E598" s="70"/>
      <c r="F598" s="70"/>
      <c r="G598" s="70"/>
      <c r="H598" s="70"/>
      <c r="I598" s="70"/>
      <c r="J598" s="70"/>
      <c r="K598" s="70"/>
      <c r="L598" s="70"/>
      <c r="M598" s="70"/>
      <c r="N598" s="70"/>
      <c r="O598" s="70"/>
      <c r="P598" s="70"/>
      <c r="Q598" s="70"/>
      <c r="R598" s="70"/>
      <c r="S598" s="70"/>
      <c r="T598" s="91"/>
      <c r="U598" s="91"/>
      <c r="V598" s="70"/>
      <c r="W598" s="58"/>
      <c r="X598" s="58"/>
      <c r="Y598" s="70"/>
      <c r="Z598" s="83"/>
      <c r="AA598" s="70"/>
      <c r="AB598" s="70"/>
      <c r="AC598" s="70"/>
      <c r="AD598" s="70"/>
      <c r="AE598" s="70"/>
      <c r="AF598" s="70"/>
      <c r="AG598" s="70"/>
      <c r="AH598" s="70"/>
      <c r="AI598" s="70"/>
      <c r="AJ598" s="70"/>
      <c r="AK598" s="70"/>
      <c r="AL598" s="70"/>
      <c r="AM598" s="70"/>
      <c r="AN598" s="70"/>
      <c r="AO598" s="70"/>
      <c r="AP598" s="70"/>
      <c r="AQ598" s="70"/>
      <c r="AR598" s="70"/>
      <c r="AS598" s="70"/>
      <c r="AT598" s="70"/>
    </row>
    <row r="599" ht="15.75" customHeight="1">
      <c r="A599" s="70"/>
      <c r="B599" s="70"/>
      <c r="C599" s="70"/>
      <c r="D599" s="80"/>
      <c r="E599" s="70"/>
      <c r="F599" s="70"/>
      <c r="G599" s="70"/>
      <c r="H599" s="70"/>
      <c r="I599" s="70"/>
      <c r="J599" s="70"/>
      <c r="K599" s="70"/>
      <c r="L599" s="70"/>
      <c r="M599" s="70"/>
      <c r="N599" s="70"/>
      <c r="O599" s="70"/>
      <c r="P599" s="70"/>
      <c r="Q599" s="70"/>
      <c r="R599" s="70"/>
      <c r="S599" s="70"/>
      <c r="T599" s="91"/>
      <c r="U599" s="91"/>
      <c r="V599" s="70"/>
      <c r="W599" s="58"/>
      <c r="X599" s="58"/>
      <c r="Y599" s="70"/>
      <c r="Z599" s="83"/>
      <c r="AA599" s="70"/>
      <c r="AB599" s="70"/>
      <c r="AC599" s="70"/>
      <c r="AD599" s="70"/>
      <c r="AE599" s="70"/>
      <c r="AF599" s="70"/>
      <c r="AG599" s="70"/>
      <c r="AH599" s="70"/>
      <c r="AI599" s="70"/>
      <c r="AJ599" s="70"/>
      <c r="AK599" s="70"/>
      <c r="AL599" s="70"/>
      <c r="AM599" s="70"/>
      <c r="AN599" s="70"/>
      <c r="AO599" s="70"/>
      <c r="AP599" s="70"/>
      <c r="AQ599" s="70"/>
      <c r="AR599" s="70"/>
      <c r="AS599" s="70"/>
      <c r="AT599" s="70"/>
    </row>
    <row r="600" ht="15.75" customHeight="1">
      <c r="A600" s="70"/>
      <c r="B600" s="70"/>
      <c r="C600" s="70"/>
      <c r="D600" s="80"/>
      <c r="E600" s="70"/>
      <c r="F600" s="70"/>
      <c r="G600" s="70"/>
      <c r="H600" s="70"/>
      <c r="I600" s="70"/>
      <c r="J600" s="70"/>
      <c r="K600" s="70"/>
      <c r="L600" s="70"/>
      <c r="M600" s="70"/>
      <c r="N600" s="70"/>
      <c r="O600" s="70"/>
      <c r="P600" s="70"/>
      <c r="Q600" s="70"/>
      <c r="R600" s="70"/>
      <c r="S600" s="70"/>
      <c r="T600" s="91"/>
      <c r="U600" s="91"/>
      <c r="V600" s="70"/>
      <c r="W600" s="58"/>
      <c r="X600" s="58"/>
      <c r="Y600" s="70"/>
      <c r="Z600" s="83"/>
      <c r="AA600" s="70"/>
      <c r="AB600" s="70"/>
      <c r="AC600" s="70"/>
      <c r="AD600" s="70"/>
      <c r="AE600" s="70"/>
      <c r="AF600" s="70"/>
      <c r="AG600" s="70"/>
      <c r="AH600" s="70"/>
      <c r="AI600" s="70"/>
      <c r="AJ600" s="70"/>
      <c r="AK600" s="70"/>
      <c r="AL600" s="70"/>
      <c r="AM600" s="70"/>
      <c r="AN600" s="70"/>
      <c r="AO600" s="70"/>
      <c r="AP600" s="70"/>
      <c r="AQ600" s="70"/>
      <c r="AR600" s="70"/>
      <c r="AS600" s="70"/>
      <c r="AT600" s="70"/>
    </row>
    <row r="601" ht="15.75" customHeight="1">
      <c r="A601" s="70"/>
      <c r="B601" s="70"/>
      <c r="C601" s="70"/>
      <c r="D601" s="80"/>
      <c r="E601" s="70"/>
      <c r="F601" s="70"/>
      <c r="G601" s="70"/>
      <c r="H601" s="70"/>
      <c r="I601" s="70"/>
      <c r="J601" s="70"/>
      <c r="K601" s="70"/>
      <c r="L601" s="70"/>
      <c r="M601" s="70"/>
      <c r="N601" s="70"/>
      <c r="O601" s="70"/>
      <c r="P601" s="70"/>
      <c r="Q601" s="70"/>
      <c r="R601" s="70"/>
      <c r="S601" s="70"/>
      <c r="T601" s="91"/>
      <c r="U601" s="91"/>
      <c r="V601" s="70"/>
      <c r="W601" s="58"/>
      <c r="X601" s="58"/>
      <c r="Y601" s="70"/>
      <c r="Z601" s="83"/>
      <c r="AA601" s="70"/>
      <c r="AB601" s="70"/>
      <c r="AC601" s="70"/>
      <c r="AD601" s="70"/>
      <c r="AE601" s="70"/>
      <c r="AF601" s="70"/>
      <c r="AG601" s="70"/>
      <c r="AH601" s="70"/>
      <c r="AI601" s="70"/>
      <c r="AJ601" s="70"/>
      <c r="AK601" s="70"/>
      <c r="AL601" s="70"/>
      <c r="AM601" s="70"/>
      <c r="AN601" s="70"/>
      <c r="AO601" s="70"/>
      <c r="AP601" s="70"/>
      <c r="AQ601" s="70"/>
      <c r="AR601" s="70"/>
      <c r="AS601" s="70"/>
      <c r="AT601" s="70"/>
    </row>
    <row r="602" ht="15.75" customHeight="1">
      <c r="A602" s="70"/>
      <c r="B602" s="70"/>
      <c r="C602" s="70"/>
      <c r="D602" s="80"/>
      <c r="E602" s="70"/>
      <c r="F602" s="70"/>
      <c r="G602" s="70"/>
      <c r="H602" s="70"/>
      <c r="I602" s="70"/>
      <c r="J602" s="70"/>
      <c r="K602" s="70"/>
      <c r="L602" s="70"/>
      <c r="M602" s="70"/>
      <c r="N602" s="70"/>
      <c r="O602" s="70"/>
      <c r="P602" s="70"/>
      <c r="Q602" s="70"/>
      <c r="R602" s="70"/>
      <c r="S602" s="70"/>
      <c r="T602" s="91"/>
      <c r="U602" s="91"/>
      <c r="V602" s="70"/>
      <c r="W602" s="58"/>
      <c r="X602" s="58"/>
      <c r="Y602" s="70"/>
      <c r="Z602" s="83"/>
      <c r="AA602" s="70"/>
      <c r="AB602" s="70"/>
      <c r="AC602" s="70"/>
      <c r="AD602" s="70"/>
      <c r="AE602" s="70"/>
      <c r="AF602" s="70"/>
      <c r="AG602" s="70"/>
      <c r="AH602" s="70"/>
      <c r="AI602" s="70"/>
      <c r="AJ602" s="70"/>
      <c r="AK602" s="70"/>
      <c r="AL602" s="70"/>
      <c r="AM602" s="70"/>
      <c r="AN602" s="70"/>
      <c r="AO602" s="70"/>
      <c r="AP602" s="70"/>
      <c r="AQ602" s="70"/>
      <c r="AR602" s="70"/>
      <c r="AS602" s="70"/>
      <c r="AT602" s="70"/>
    </row>
    <row r="603" ht="15.75" customHeight="1">
      <c r="A603" s="70"/>
      <c r="B603" s="70"/>
      <c r="C603" s="70"/>
      <c r="D603" s="80"/>
      <c r="E603" s="70"/>
      <c r="F603" s="70"/>
      <c r="G603" s="70"/>
      <c r="H603" s="70"/>
      <c r="I603" s="70"/>
      <c r="J603" s="70"/>
      <c r="K603" s="70"/>
      <c r="L603" s="70"/>
      <c r="M603" s="70"/>
      <c r="N603" s="70"/>
      <c r="O603" s="70"/>
      <c r="P603" s="70"/>
      <c r="Q603" s="70"/>
      <c r="R603" s="70"/>
      <c r="S603" s="70"/>
      <c r="T603" s="91"/>
      <c r="U603" s="91"/>
      <c r="V603" s="70"/>
      <c r="W603" s="58"/>
      <c r="X603" s="58"/>
      <c r="Y603" s="70"/>
      <c r="Z603" s="83"/>
      <c r="AA603" s="70"/>
      <c r="AB603" s="70"/>
      <c r="AC603" s="70"/>
      <c r="AD603" s="70"/>
      <c r="AE603" s="70"/>
      <c r="AF603" s="70"/>
      <c r="AG603" s="70"/>
      <c r="AH603" s="70"/>
      <c r="AI603" s="70"/>
      <c r="AJ603" s="70"/>
      <c r="AK603" s="70"/>
      <c r="AL603" s="70"/>
      <c r="AM603" s="70"/>
      <c r="AN603" s="70"/>
      <c r="AO603" s="70"/>
      <c r="AP603" s="70"/>
      <c r="AQ603" s="70"/>
      <c r="AR603" s="70"/>
      <c r="AS603" s="70"/>
      <c r="AT603" s="70"/>
    </row>
    <row r="604" ht="15.75" customHeight="1">
      <c r="A604" s="70"/>
      <c r="B604" s="70"/>
      <c r="C604" s="70"/>
      <c r="D604" s="80"/>
      <c r="E604" s="70"/>
      <c r="F604" s="70"/>
      <c r="G604" s="70"/>
      <c r="H604" s="70"/>
      <c r="I604" s="70"/>
      <c r="J604" s="70"/>
      <c r="K604" s="70"/>
      <c r="L604" s="70"/>
      <c r="M604" s="70"/>
      <c r="N604" s="70"/>
      <c r="O604" s="70"/>
      <c r="P604" s="70"/>
      <c r="Q604" s="70"/>
      <c r="R604" s="70"/>
      <c r="S604" s="70"/>
      <c r="T604" s="91"/>
      <c r="U604" s="91"/>
      <c r="V604" s="70"/>
      <c r="W604" s="58"/>
      <c r="X604" s="58"/>
      <c r="Y604" s="70"/>
      <c r="Z604" s="83"/>
      <c r="AA604" s="70"/>
      <c r="AB604" s="70"/>
      <c r="AC604" s="70"/>
      <c r="AD604" s="70"/>
      <c r="AE604" s="70"/>
      <c r="AF604" s="70"/>
      <c r="AG604" s="70"/>
      <c r="AH604" s="70"/>
      <c r="AI604" s="70"/>
      <c r="AJ604" s="70"/>
      <c r="AK604" s="70"/>
      <c r="AL604" s="70"/>
      <c r="AM604" s="70"/>
      <c r="AN604" s="70"/>
      <c r="AO604" s="70"/>
      <c r="AP604" s="70"/>
      <c r="AQ604" s="70"/>
      <c r="AR604" s="70"/>
      <c r="AS604" s="70"/>
      <c r="AT604" s="70"/>
    </row>
    <row r="605" ht="15.75" customHeight="1">
      <c r="A605" s="70"/>
      <c r="B605" s="70"/>
      <c r="C605" s="70"/>
      <c r="D605" s="80"/>
      <c r="E605" s="70"/>
      <c r="F605" s="70"/>
      <c r="G605" s="70"/>
      <c r="H605" s="70"/>
      <c r="I605" s="70"/>
      <c r="J605" s="70"/>
      <c r="K605" s="70"/>
      <c r="L605" s="70"/>
      <c r="M605" s="70"/>
      <c r="N605" s="70"/>
      <c r="O605" s="70"/>
      <c r="P605" s="70"/>
      <c r="Q605" s="70"/>
      <c r="R605" s="70"/>
      <c r="S605" s="70"/>
      <c r="T605" s="91"/>
      <c r="U605" s="91"/>
      <c r="V605" s="70"/>
      <c r="W605" s="58"/>
      <c r="X605" s="58"/>
      <c r="Y605" s="70"/>
      <c r="Z605" s="83"/>
      <c r="AA605" s="70"/>
      <c r="AB605" s="70"/>
      <c r="AC605" s="70"/>
      <c r="AD605" s="70"/>
      <c r="AE605" s="70"/>
      <c r="AF605" s="70"/>
      <c r="AG605" s="70"/>
      <c r="AH605" s="70"/>
      <c r="AI605" s="70"/>
      <c r="AJ605" s="70"/>
      <c r="AK605" s="70"/>
      <c r="AL605" s="70"/>
      <c r="AM605" s="70"/>
      <c r="AN605" s="70"/>
      <c r="AO605" s="70"/>
      <c r="AP605" s="70"/>
      <c r="AQ605" s="70"/>
      <c r="AR605" s="70"/>
      <c r="AS605" s="70"/>
      <c r="AT605" s="70"/>
    </row>
    <row r="606" ht="15.75" customHeight="1">
      <c r="A606" s="70"/>
      <c r="B606" s="70"/>
      <c r="C606" s="70"/>
      <c r="D606" s="80"/>
      <c r="E606" s="70"/>
      <c r="F606" s="70"/>
      <c r="G606" s="70"/>
      <c r="H606" s="70"/>
      <c r="I606" s="70"/>
      <c r="J606" s="70"/>
      <c r="K606" s="70"/>
      <c r="L606" s="70"/>
      <c r="M606" s="70"/>
      <c r="N606" s="70"/>
      <c r="O606" s="70"/>
      <c r="P606" s="70"/>
      <c r="Q606" s="70"/>
      <c r="R606" s="70"/>
      <c r="S606" s="70"/>
      <c r="T606" s="91"/>
      <c r="U606" s="91"/>
      <c r="V606" s="70"/>
      <c r="W606" s="58"/>
      <c r="X606" s="58"/>
      <c r="Y606" s="70"/>
      <c r="Z606" s="83"/>
      <c r="AA606" s="70"/>
      <c r="AB606" s="70"/>
      <c r="AC606" s="70"/>
      <c r="AD606" s="70"/>
      <c r="AE606" s="70"/>
      <c r="AF606" s="70"/>
      <c r="AG606" s="70"/>
      <c r="AH606" s="70"/>
      <c r="AI606" s="70"/>
      <c r="AJ606" s="70"/>
      <c r="AK606" s="70"/>
      <c r="AL606" s="70"/>
      <c r="AM606" s="70"/>
      <c r="AN606" s="70"/>
      <c r="AO606" s="70"/>
      <c r="AP606" s="70"/>
      <c r="AQ606" s="70"/>
      <c r="AR606" s="70"/>
      <c r="AS606" s="70"/>
      <c r="AT606" s="70"/>
    </row>
    <row r="607" ht="15.75" customHeight="1">
      <c r="A607" s="70"/>
      <c r="B607" s="70"/>
      <c r="C607" s="70"/>
      <c r="D607" s="80"/>
      <c r="E607" s="70"/>
      <c r="F607" s="70"/>
      <c r="G607" s="70"/>
      <c r="H607" s="70"/>
      <c r="I607" s="70"/>
      <c r="J607" s="70"/>
      <c r="K607" s="70"/>
      <c r="L607" s="70"/>
      <c r="M607" s="70"/>
      <c r="N607" s="70"/>
      <c r="O607" s="70"/>
      <c r="P607" s="70"/>
      <c r="Q607" s="70"/>
      <c r="R607" s="70"/>
      <c r="S607" s="70"/>
      <c r="T607" s="91"/>
      <c r="U607" s="91"/>
      <c r="V607" s="70"/>
      <c r="W607" s="58"/>
      <c r="X607" s="58"/>
      <c r="Y607" s="70"/>
      <c r="Z607" s="83"/>
      <c r="AA607" s="70"/>
      <c r="AB607" s="70"/>
      <c r="AC607" s="70"/>
      <c r="AD607" s="70"/>
      <c r="AE607" s="70"/>
      <c r="AF607" s="70"/>
      <c r="AG607" s="70"/>
      <c r="AH607" s="70"/>
      <c r="AI607" s="70"/>
      <c r="AJ607" s="70"/>
      <c r="AK607" s="70"/>
      <c r="AL607" s="70"/>
      <c r="AM607" s="70"/>
      <c r="AN607" s="70"/>
      <c r="AO607" s="70"/>
      <c r="AP607" s="70"/>
      <c r="AQ607" s="70"/>
      <c r="AR607" s="70"/>
      <c r="AS607" s="70"/>
      <c r="AT607" s="70"/>
    </row>
    <row r="608" ht="15.75" customHeight="1">
      <c r="A608" s="70"/>
      <c r="B608" s="70"/>
      <c r="C608" s="70"/>
      <c r="D608" s="80"/>
      <c r="E608" s="70"/>
      <c r="F608" s="70"/>
      <c r="G608" s="70"/>
      <c r="H608" s="70"/>
      <c r="I608" s="70"/>
      <c r="J608" s="70"/>
      <c r="K608" s="70"/>
      <c r="L608" s="70"/>
      <c r="M608" s="70"/>
      <c r="N608" s="70"/>
      <c r="O608" s="70"/>
      <c r="P608" s="70"/>
      <c r="Q608" s="70"/>
      <c r="R608" s="70"/>
      <c r="S608" s="70"/>
      <c r="T608" s="91"/>
      <c r="U608" s="91"/>
      <c r="V608" s="70"/>
      <c r="W608" s="58"/>
      <c r="X608" s="58"/>
      <c r="Y608" s="70"/>
      <c r="Z608" s="83"/>
      <c r="AA608" s="70"/>
      <c r="AB608" s="70"/>
      <c r="AC608" s="70"/>
      <c r="AD608" s="70"/>
      <c r="AE608" s="70"/>
      <c r="AF608" s="70"/>
      <c r="AG608" s="70"/>
      <c r="AH608" s="70"/>
      <c r="AI608" s="70"/>
      <c r="AJ608" s="70"/>
      <c r="AK608" s="70"/>
      <c r="AL608" s="70"/>
      <c r="AM608" s="70"/>
      <c r="AN608" s="70"/>
      <c r="AO608" s="70"/>
      <c r="AP608" s="70"/>
      <c r="AQ608" s="70"/>
      <c r="AR608" s="70"/>
      <c r="AS608" s="70"/>
      <c r="AT608" s="70"/>
    </row>
    <row r="609" ht="15.75" customHeight="1">
      <c r="A609" s="70"/>
      <c r="B609" s="70"/>
      <c r="C609" s="70"/>
      <c r="D609" s="80"/>
      <c r="E609" s="70"/>
      <c r="F609" s="70"/>
      <c r="G609" s="70"/>
      <c r="H609" s="70"/>
      <c r="I609" s="70"/>
      <c r="J609" s="70"/>
      <c r="K609" s="70"/>
      <c r="L609" s="70"/>
      <c r="M609" s="70"/>
      <c r="N609" s="70"/>
      <c r="O609" s="70"/>
      <c r="P609" s="70"/>
      <c r="Q609" s="70"/>
      <c r="R609" s="70"/>
      <c r="S609" s="70"/>
      <c r="T609" s="91"/>
      <c r="U609" s="91"/>
      <c r="V609" s="70"/>
      <c r="W609" s="58"/>
      <c r="X609" s="58"/>
      <c r="Y609" s="70"/>
      <c r="Z609" s="83"/>
      <c r="AA609" s="70"/>
      <c r="AB609" s="70"/>
      <c r="AC609" s="70"/>
      <c r="AD609" s="70"/>
      <c r="AE609" s="70"/>
      <c r="AF609" s="70"/>
      <c r="AG609" s="70"/>
      <c r="AH609" s="70"/>
      <c r="AI609" s="70"/>
      <c r="AJ609" s="70"/>
      <c r="AK609" s="70"/>
      <c r="AL609" s="70"/>
      <c r="AM609" s="70"/>
      <c r="AN609" s="70"/>
      <c r="AO609" s="70"/>
      <c r="AP609" s="70"/>
      <c r="AQ609" s="70"/>
      <c r="AR609" s="70"/>
      <c r="AS609" s="70"/>
      <c r="AT609" s="70"/>
    </row>
    <row r="610" ht="15.75" customHeight="1">
      <c r="A610" s="70"/>
      <c r="B610" s="70"/>
      <c r="C610" s="70"/>
      <c r="D610" s="80"/>
      <c r="E610" s="70"/>
      <c r="F610" s="70"/>
      <c r="G610" s="70"/>
      <c r="H610" s="70"/>
      <c r="I610" s="70"/>
      <c r="J610" s="70"/>
      <c r="K610" s="70"/>
      <c r="L610" s="70"/>
      <c r="M610" s="70"/>
      <c r="N610" s="70"/>
      <c r="O610" s="70"/>
      <c r="P610" s="70"/>
      <c r="Q610" s="70"/>
      <c r="R610" s="70"/>
      <c r="S610" s="70"/>
      <c r="T610" s="91"/>
      <c r="U610" s="91"/>
      <c r="V610" s="70"/>
      <c r="W610" s="58"/>
      <c r="X610" s="58"/>
      <c r="Y610" s="70"/>
      <c r="Z610" s="83"/>
      <c r="AA610" s="70"/>
      <c r="AB610" s="70"/>
      <c r="AC610" s="70"/>
      <c r="AD610" s="70"/>
      <c r="AE610" s="70"/>
      <c r="AF610" s="70"/>
      <c r="AG610" s="70"/>
      <c r="AH610" s="70"/>
      <c r="AI610" s="70"/>
      <c r="AJ610" s="70"/>
      <c r="AK610" s="70"/>
      <c r="AL610" s="70"/>
      <c r="AM610" s="70"/>
      <c r="AN610" s="70"/>
      <c r="AO610" s="70"/>
      <c r="AP610" s="70"/>
      <c r="AQ610" s="70"/>
      <c r="AR610" s="70"/>
      <c r="AS610" s="70"/>
      <c r="AT610" s="70"/>
    </row>
    <row r="611" ht="15.75" customHeight="1">
      <c r="A611" s="70"/>
      <c r="B611" s="70"/>
      <c r="C611" s="70"/>
      <c r="D611" s="80"/>
      <c r="E611" s="70"/>
      <c r="F611" s="70"/>
      <c r="G611" s="70"/>
      <c r="H611" s="70"/>
      <c r="I611" s="70"/>
      <c r="J611" s="70"/>
      <c r="K611" s="70"/>
      <c r="L611" s="70"/>
      <c r="M611" s="70"/>
      <c r="N611" s="70"/>
      <c r="O611" s="70"/>
      <c r="P611" s="70"/>
      <c r="Q611" s="70"/>
      <c r="R611" s="70"/>
      <c r="S611" s="70"/>
      <c r="T611" s="91"/>
      <c r="U611" s="91"/>
      <c r="V611" s="70"/>
      <c r="W611" s="58"/>
      <c r="X611" s="58"/>
      <c r="Y611" s="70"/>
      <c r="Z611" s="83"/>
      <c r="AA611" s="70"/>
      <c r="AB611" s="70"/>
      <c r="AC611" s="70"/>
      <c r="AD611" s="70"/>
      <c r="AE611" s="70"/>
      <c r="AF611" s="70"/>
      <c r="AG611" s="70"/>
      <c r="AH611" s="70"/>
      <c r="AI611" s="70"/>
      <c r="AJ611" s="70"/>
      <c r="AK611" s="70"/>
      <c r="AL611" s="70"/>
      <c r="AM611" s="70"/>
      <c r="AN611" s="70"/>
      <c r="AO611" s="70"/>
      <c r="AP611" s="70"/>
      <c r="AQ611" s="70"/>
      <c r="AR611" s="70"/>
      <c r="AS611" s="70"/>
      <c r="AT611" s="70"/>
    </row>
    <row r="612" ht="15.75" customHeight="1">
      <c r="A612" s="70"/>
      <c r="B612" s="70"/>
      <c r="C612" s="70"/>
      <c r="D612" s="80"/>
      <c r="E612" s="70"/>
      <c r="F612" s="70"/>
      <c r="G612" s="70"/>
      <c r="H612" s="70"/>
      <c r="I612" s="70"/>
      <c r="J612" s="70"/>
      <c r="K612" s="70"/>
      <c r="L612" s="70"/>
      <c r="M612" s="70"/>
      <c r="N612" s="70"/>
      <c r="O612" s="70"/>
      <c r="P612" s="70"/>
      <c r="Q612" s="70"/>
      <c r="R612" s="70"/>
      <c r="S612" s="70"/>
      <c r="T612" s="91"/>
      <c r="U612" s="91"/>
      <c r="V612" s="70"/>
      <c r="W612" s="58"/>
      <c r="X612" s="58"/>
      <c r="Y612" s="70"/>
      <c r="Z612" s="83"/>
      <c r="AA612" s="70"/>
      <c r="AB612" s="70"/>
      <c r="AC612" s="70"/>
      <c r="AD612" s="70"/>
      <c r="AE612" s="70"/>
      <c r="AF612" s="70"/>
      <c r="AG612" s="70"/>
      <c r="AH612" s="70"/>
      <c r="AI612" s="70"/>
      <c r="AJ612" s="70"/>
      <c r="AK612" s="70"/>
      <c r="AL612" s="70"/>
      <c r="AM612" s="70"/>
      <c r="AN612" s="70"/>
      <c r="AO612" s="70"/>
      <c r="AP612" s="70"/>
      <c r="AQ612" s="70"/>
      <c r="AR612" s="70"/>
      <c r="AS612" s="70"/>
      <c r="AT612" s="70"/>
    </row>
    <row r="613" ht="15.75" customHeight="1">
      <c r="A613" s="70"/>
      <c r="B613" s="70"/>
      <c r="C613" s="70"/>
      <c r="D613" s="80"/>
      <c r="E613" s="70"/>
      <c r="F613" s="70"/>
      <c r="G613" s="70"/>
      <c r="H613" s="70"/>
      <c r="I613" s="70"/>
      <c r="J613" s="70"/>
      <c r="K613" s="70"/>
      <c r="L613" s="70"/>
      <c r="M613" s="70"/>
      <c r="N613" s="70"/>
      <c r="O613" s="70"/>
      <c r="P613" s="70"/>
      <c r="Q613" s="70"/>
      <c r="R613" s="70"/>
      <c r="S613" s="70"/>
      <c r="T613" s="91"/>
      <c r="U613" s="91"/>
      <c r="V613" s="70"/>
      <c r="W613" s="58"/>
      <c r="X613" s="58"/>
      <c r="Y613" s="70"/>
      <c r="Z613" s="83"/>
      <c r="AA613" s="70"/>
      <c r="AB613" s="70"/>
      <c r="AC613" s="70"/>
      <c r="AD613" s="70"/>
      <c r="AE613" s="70"/>
      <c r="AF613" s="70"/>
      <c r="AG613" s="70"/>
      <c r="AH613" s="70"/>
      <c r="AI613" s="70"/>
      <c r="AJ613" s="70"/>
      <c r="AK613" s="70"/>
      <c r="AL613" s="70"/>
      <c r="AM613" s="70"/>
      <c r="AN613" s="70"/>
      <c r="AO613" s="70"/>
      <c r="AP613" s="70"/>
      <c r="AQ613" s="70"/>
      <c r="AR613" s="70"/>
      <c r="AS613" s="70"/>
      <c r="AT613" s="70"/>
    </row>
    <row r="614" ht="15.75" customHeight="1">
      <c r="A614" s="70"/>
      <c r="B614" s="70"/>
      <c r="C614" s="70"/>
      <c r="D614" s="80"/>
      <c r="E614" s="70"/>
      <c r="F614" s="70"/>
      <c r="G614" s="70"/>
      <c r="H614" s="70"/>
      <c r="I614" s="70"/>
      <c r="J614" s="70"/>
      <c r="K614" s="70"/>
      <c r="L614" s="70"/>
      <c r="M614" s="70"/>
      <c r="N614" s="70"/>
      <c r="O614" s="70"/>
      <c r="P614" s="70"/>
      <c r="Q614" s="70"/>
      <c r="R614" s="70"/>
      <c r="S614" s="70"/>
      <c r="T614" s="91"/>
      <c r="U614" s="91"/>
      <c r="V614" s="70"/>
      <c r="W614" s="58"/>
      <c r="X614" s="58"/>
      <c r="Y614" s="70"/>
      <c r="Z614" s="83"/>
      <c r="AA614" s="70"/>
      <c r="AB614" s="70"/>
      <c r="AC614" s="70"/>
      <c r="AD614" s="70"/>
      <c r="AE614" s="70"/>
      <c r="AF614" s="70"/>
      <c r="AG614" s="70"/>
      <c r="AH614" s="70"/>
      <c r="AI614" s="70"/>
      <c r="AJ614" s="70"/>
      <c r="AK614" s="70"/>
      <c r="AL614" s="70"/>
      <c r="AM614" s="70"/>
      <c r="AN614" s="70"/>
      <c r="AO614" s="70"/>
      <c r="AP614" s="70"/>
      <c r="AQ614" s="70"/>
      <c r="AR614" s="70"/>
      <c r="AS614" s="70"/>
      <c r="AT614" s="70"/>
    </row>
    <row r="615" ht="15.75" customHeight="1">
      <c r="A615" s="70"/>
      <c r="B615" s="70"/>
      <c r="C615" s="70"/>
      <c r="D615" s="80"/>
      <c r="E615" s="70"/>
      <c r="F615" s="70"/>
      <c r="G615" s="70"/>
      <c r="H615" s="70"/>
      <c r="I615" s="70"/>
      <c r="J615" s="70"/>
      <c r="K615" s="70"/>
      <c r="L615" s="70"/>
      <c r="M615" s="70"/>
      <c r="N615" s="70"/>
      <c r="O615" s="70"/>
      <c r="P615" s="70"/>
      <c r="Q615" s="70"/>
      <c r="R615" s="70"/>
      <c r="S615" s="70"/>
      <c r="T615" s="91"/>
      <c r="U615" s="91"/>
      <c r="V615" s="70"/>
      <c r="W615" s="58"/>
      <c r="X615" s="58"/>
      <c r="Y615" s="70"/>
      <c r="Z615" s="83"/>
      <c r="AA615" s="70"/>
      <c r="AB615" s="70"/>
      <c r="AC615" s="70"/>
      <c r="AD615" s="70"/>
      <c r="AE615" s="70"/>
      <c r="AF615" s="70"/>
      <c r="AG615" s="70"/>
      <c r="AH615" s="70"/>
      <c r="AI615" s="70"/>
      <c r="AJ615" s="70"/>
      <c r="AK615" s="70"/>
      <c r="AL615" s="70"/>
      <c r="AM615" s="70"/>
      <c r="AN615" s="70"/>
      <c r="AO615" s="70"/>
      <c r="AP615" s="70"/>
      <c r="AQ615" s="70"/>
      <c r="AR615" s="70"/>
      <c r="AS615" s="70"/>
      <c r="AT615" s="70"/>
    </row>
    <row r="616" ht="15.75" customHeight="1">
      <c r="A616" s="70"/>
      <c r="B616" s="70"/>
      <c r="C616" s="70"/>
      <c r="D616" s="80"/>
      <c r="E616" s="70"/>
      <c r="F616" s="70"/>
      <c r="G616" s="70"/>
      <c r="H616" s="70"/>
      <c r="I616" s="70"/>
      <c r="J616" s="70"/>
      <c r="K616" s="70"/>
      <c r="L616" s="70"/>
      <c r="M616" s="70"/>
      <c r="N616" s="70"/>
      <c r="O616" s="70"/>
      <c r="P616" s="70"/>
      <c r="Q616" s="70"/>
      <c r="R616" s="70"/>
      <c r="S616" s="70"/>
      <c r="T616" s="91"/>
      <c r="U616" s="91"/>
      <c r="V616" s="70"/>
      <c r="W616" s="58"/>
      <c r="X616" s="58"/>
      <c r="Y616" s="70"/>
      <c r="Z616" s="83"/>
      <c r="AA616" s="70"/>
      <c r="AB616" s="70"/>
      <c r="AC616" s="70"/>
      <c r="AD616" s="70"/>
      <c r="AE616" s="70"/>
      <c r="AF616" s="70"/>
      <c r="AG616" s="70"/>
      <c r="AH616" s="70"/>
      <c r="AI616" s="70"/>
      <c r="AJ616" s="70"/>
      <c r="AK616" s="70"/>
      <c r="AL616" s="70"/>
      <c r="AM616" s="70"/>
      <c r="AN616" s="70"/>
      <c r="AO616" s="70"/>
      <c r="AP616" s="70"/>
      <c r="AQ616" s="70"/>
      <c r="AR616" s="70"/>
      <c r="AS616" s="70"/>
      <c r="AT616" s="70"/>
    </row>
    <row r="617" ht="15.75" customHeight="1">
      <c r="A617" s="70"/>
      <c r="B617" s="70"/>
      <c r="C617" s="70"/>
      <c r="D617" s="80"/>
      <c r="E617" s="70"/>
      <c r="F617" s="70"/>
      <c r="G617" s="70"/>
      <c r="H617" s="70"/>
      <c r="I617" s="70"/>
      <c r="J617" s="70"/>
      <c r="K617" s="70"/>
      <c r="L617" s="70"/>
      <c r="M617" s="70"/>
      <c r="N617" s="70"/>
      <c r="O617" s="70"/>
      <c r="P617" s="70"/>
      <c r="Q617" s="70"/>
      <c r="R617" s="70"/>
      <c r="S617" s="70"/>
      <c r="T617" s="91"/>
      <c r="U617" s="91"/>
      <c r="V617" s="70"/>
      <c r="W617" s="58"/>
      <c r="X617" s="58"/>
      <c r="Y617" s="70"/>
      <c r="Z617" s="83"/>
      <c r="AA617" s="70"/>
      <c r="AB617" s="70"/>
      <c r="AC617" s="70"/>
      <c r="AD617" s="70"/>
      <c r="AE617" s="70"/>
      <c r="AF617" s="70"/>
      <c r="AG617" s="70"/>
      <c r="AH617" s="70"/>
      <c r="AI617" s="70"/>
      <c r="AJ617" s="70"/>
      <c r="AK617" s="70"/>
      <c r="AL617" s="70"/>
      <c r="AM617" s="70"/>
      <c r="AN617" s="70"/>
      <c r="AO617" s="70"/>
      <c r="AP617" s="70"/>
      <c r="AQ617" s="70"/>
      <c r="AR617" s="70"/>
      <c r="AS617" s="70"/>
      <c r="AT617" s="70"/>
    </row>
    <row r="618" ht="15.75" customHeight="1">
      <c r="A618" s="70"/>
      <c r="B618" s="70"/>
      <c r="C618" s="70"/>
      <c r="D618" s="80"/>
      <c r="E618" s="70"/>
      <c r="F618" s="70"/>
      <c r="G618" s="70"/>
      <c r="H618" s="70"/>
      <c r="I618" s="70"/>
      <c r="J618" s="70"/>
      <c r="K618" s="70"/>
      <c r="L618" s="70"/>
      <c r="M618" s="70"/>
      <c r="N618" s="70"/>
      <c r="O618" s="70"/>
      <c r="P618" s="70"/>
      <c r="Q618" s="70"/>
      <c r="R618" s="70"/>
      <c r="S618" s="70"/>
      <c r="T618" s="91"/>
      <c r="U618" s="91"/>
      <c r="V618" s="70"/>
      <c r="W618" s="58"/>
      <c r="X618" s="58"/>
      <c r="Y618" s="70"/>
      <c r="Z618" s="83"/>
      <c r="AA618" s="70"/>
      <c r="AB618" s="70"/>
      <c r="AC618" s="70"/>
      <c r="AD618" s="70"/>
      <c r="AE618" s="70"/>
      <c r="AF618" s="70"/>
      <c r="AG618" s="70"/>
      <c r="AH618" s="70"/>
      <c r="AI618" s="70"/>
      <c r="AJ618" s="70"/>
      <c r="AK618" s="70"/>
      <c r="AL618" s="70"/>
      <c r="AM618" s="70"/>
      <c r="AN618" s="70"/>
      <c r="AO618" s="70"/>
      <c r="AP618" s="70"/>
      <c r="AQ618" s="70"/>
      <c r="AR618" s="70"/>
      <c r="AS618" s="70"/>
      <c r="AT618" s="70"/>
    </row>
    <row r="619" ht="15.75" customHeight="1">
      <c r="A619" s="70"/>
      <c r="B619" s="70"/>
      <c r="C619" s="70"/>
      <c r="D619" s="80"/>
      <c r="E619" s="70"/>
      <c r="F619" s="70"/>
      <c r="G619" s="70"/>
      <c r="H619" s="70"/>
      <c r="I619" s="70"/>
      <c r="J619" s="70"/>
      <c r="K619" s="70"/>
      <c r="L619" s="70"/>
      <c r="M619" s="70"/>
      <c r="N619" s="70"/>
      <c r="O619" s="70"/>
      <c r="P619" s="70"/>
      <c r="Q619" s="70"/>
      <c r="R619" s="70"/>
      <c r="S619" s="70"/>
      <c r="T619" s="91"/>
      <c r="U619" s="91"/>
      <c r="V619" s="70"/>
      <c r="W619" s="58"/>
      <c r="X619" s="58"/>
      <c r="Y619" s="70"/>
      <c r="Z619" s="83"/>
      <c r="AA619" s="70"/>
      <c r="AB619" s="70"/>
      <c r="AC619" s="70"/>
      <c r="AD619" s="70"/>
      <c r="AE619" s="70"/>
      <c r="AF619" s="70"/>
      <c r="AG619" s="70"/>
      <c r="AH619" s="70"/>
      <c r="AI619" s="70"/>
      <c r="AJ619" s="70"/>
      <c r="AK619" s="70"/>
      <c r="AL619" s="70"/>
      <c r="AM619" s="70"/>
      <c r="AN619" s="70"/>
      <c r="AO619" s="70"/>
      <c r="AP619" s="70"/>
      <c r="AQ619" s="70"/>
      <c r="AR619" s="70"/>
      <c r="AS619" s="70"/>
      <c r="AT619" s="70"/>
    </row>
    <row r="620" ht="15.75" customHeight="1">
      <c r="A620" s="70"/>
      <c r="B620" s="70"/>
      <c r="C620" s="70"/>
      <c r="D620" s="80"/>
      <c r="E620" s="70"/>
      <c r="F620" s="70"/>
      <c r="G620" s="70"/>
      <c r="H620" s="70"/>
      <c r="I620" s="70"/>
      <c r="J620" s="70"/>
      <c r="K620" s="70"/>
      <c r="L620" s="70"/>
      <c r="M620" s="70"/>
      <c r="N620" s="70"/>
      <c r="O620" s="70"/>
      <c r="P620" s="70"/>
      <c r="Q620" s="70"/>
      <c r="R620" s="70"/>
      <c r="S620" s="70"/>
      <c r="T620" s="91"/>
      <c r="U620" s="91"/>
      <c r="V620" s="70"/>
      <c r="W620" s="58"/>
      <c r="X620" s="58"/>
      <c r="Y620" s="70"/>
      <c r="Z620" s="83"/>
      <c r="AA620" s="70"/>
      <c r="AB620" s="70"/>
      <c r="AC620" s="70"/>
      <c r="AD620" s="70"/>
      <c r="AE620" s="70"/>
      <c r="AF620" s="70"/>
      <c r="AG620" s="70"/>
      <c r="AH620" s="70"/>
      <c r="AI620" s="70"/>
      <c r="AJ620" s="70"/>
      <c r="AK620" s="70"/>
      <c r="AL620" s="70"/>
      <c r="AM620" s="70"/>
      <c r="AN620" s="70"/>
      <c r="AO620" s="70"/>
      <c r="AP620" s="70"/>
      <c r="AQ620" s="70"/>
      <c r="AR620" s="70"/>
      <c r="AS620" s="70"/>
      <c r="AT620" s="70"/>
    </row>
    <row r="621" ht="15.75" customHeight="1">
      <c r="A621" s="70"/>
      <c r="B621" s="70"/>
      <c r="C621" s="70"/>
      <c r="D621" s="80"/>
      <c r="E621" s="70"/>
      <c r="F621" s="70"/>
      <c r="G621" s="70"/>
      <c r="H621" s="70"/>
      <c r="I621" s="70"/>
      <c r="J621" s="70"/>
      <c r="K621" s="70"/>
      <c r="L621" s="70"/>
      <c r="M621" s="70"/>
      <c r="N621" s="70"/>
      <c r="O621" s="70"/>
      <c r="P621" s="70"/>
      <c r="Q621" s="70"/>
      <c r="R621" s="70"/>
      <c r="S621" s="70"/>
      <c r="T621" s="91"/>
      <c r="U621" s="91"/>
      <c r="V621" s="70"/>
      <c r="W621" s="58"/>
      <c r="X621" s="58"/>
      <c r="Y621" s="70"/>
      <c r="Z621" s="83"/>
      <c r="AA621" s="70"/>
      <c r="AB621" s="70"/>
      <c r="AC621" s="70"/>
      <c r="AD621" s="70"/>
      <c r="AE621" s="70"/>
      <c r="AF621" s="70"/>
      <c r="AG621" s="70"/>
      <c r="AH621" s="70"/>
      <c r="AI621" s="70"/>
      <c r="AJ621" s="70"/>
      <c r="AK621" s="70"/>
      <c r="AL621" s="70"/>
      <c r="AM621" s="70"/>
      <c r="AN621" s="70"/>
      <c r="AO621" s="70"/>
      <c r="AP621" s="70"/>
      <c r="AQ621" s="70"/>
      <c r="AR621" s="70"/>
      <c r="AS621" s="70"/>
      <c r="AT621" s="70"/>
    </row>
    <row r="622" ht="15.75" customHeight="1">
      <c r="A622" s="70"/>
      <c r="B622" s="70"/>
      <c r="C622" s="70"/>
      <c r="D622" s="80"/>
      <c r="E622" s="70"/>
      <c r="F622" s="70"/>
      <c r="G622" s="70"/>
      <c r="H622" s="70"/>
      <c r="I622" s="70"/>
      <c r="J622" s="70"/>
      <c r="K622" s="70"/>
      <c r="L622" s="70"/>
      <c r="M622" s="70"/>
      <c r="N622" s="70"/>
      <c r="O622" s="70"/>
      <c r="P622" s="70"/>
      <c r="Q622" s="70"/>
      <c r="R622" s="70"/>
      <c r="S622" s="70"/>
      <c r="T622" s="91"/>
      <c r="U622" s="91"/>
      <c r="V622" s="70"/>
      <c r="W622" s="58"/>
      <c r="X622" s="58"/>
      <c r="Y622" s="70"/>
      <c r="Z622" s="83"/>
      <c r="AA622" s="70"/>
      <c r="AB622" s="70"/>
      <c r="AC622" s="70"/>
      <c r="AD622" s="70"/>
      <c r="AE622" s="70"/>
      <c r="AF622" s="70"/>
      <c r="AG622" s="70"/>
      <c r="AH622" s="70"/>
      <c r="AI622" s="70"/>
      <c r="AJ622" s="70"/>
      <c r="AK622" s="70"/>
      <c r="AL622" s="70"/>
      <c r="AM622" s="70"/>
      <c r="AN622" s="70"/>
      <c r="AO622" s="70"/>
      <c r="AP622" s="70"/>
      <c r="AQ622" s="70"/>
      <c r="AR622" s="70"/>
      <c r="AS622" s="70"/>
      <c r="AT622" s="70"/>
    </row>
    <row r="623" ht="15.75" customHeight="1">
      <c r="A623" s="70"/>
      <c r="B623" s="70"/>
      <c r="C623" s="70"/>
      <c r="D623" s="80"/>
      <c r="E623" s="70"/>
      <c r="F623" s="70"/>
      <c r="G623" s="70"/>
      <c r="H623" s="70"/>
      <c r="I623" s="70"/>
      <c r="J623" s="70"/>
      <c r="K623" s="70"/>
      <c r="L623" s="70"/>
      <c r="M623" s="70"/>
      <c r="N623" s="70"/>
      <c r="O623" s="70"/>
      <c r="P623" s="70"/>
      <c r="Q623" s="70"/>
      <c r="R623" s="70"/>
      <c r="S623" s="70"/>
      <c r="T623" s="91"/>
      <c r="U623" s="91"/>
      <c r="V623" s="70"/>
      <c r="W623" s="58"/>
      <c r="X623" s="58"/>
      <c r="Y623" s="70"/>
      <c r="Z623" s="83"/>
      <c r="AA623" s="70"/>
      <c r="AB623" s="70"/>
      <c r="AC623" s="70"/>
      <c r="AD623" s="70"/>
      <c r="AE623" s="70"/>
      <c r="AF623" s="70"/>
      <c r="AG623" s="70"/>
      <c r="AH623" s="70"/>
      <c r="AI623" s="70"/>
      <c r="AJ623" s="70"/>
      <c r="AK623" s="70"/>
      <c r="AL623" s="70"/>
      <c r="AM623" s="70"/>
      <c r="AN623" s="70"/>
      <c r="AO623" s="70"/>
      <c r="AP623" s="70"/>
      <c r="AQ623" s="70"/>
      <c r="AR623" s="70"/>
      <c r="AS623" s="70"/>
      <c r="AT623" s="70"/>
    </row>
    <row r="624" ht="15.75" customHeight="1">
      <c r="A624" s="70"/>
      <c r="B624" s="70"/>
      <c r="C624" s="70"/>
      <c r="D624" s="80"/>
      <c r="E624" s="70"/>
      <c r="F624" s="70"/>
      <c r="G624" s="70"/>
      <c r="H624" s="70"/>
      <c r="I624" s="70"/>
      <c r="J624" s="70"/>
      <c r="K624" s="70"/>
      <c r="L624" s="70"/>
      <c r="M624" s="70"/>
      <c r="N624" s="70"/>
      <c r="O624" s="70"/>
      <c r="P624" s="70"/>
      <c r="Q624" s="70"/>
      <c r="R624" s="70"/>
      <c r="S624" s="70"/>
      <c r="T624" s="91"/>
      <c r="U624" s="91"/>
      <c r="V624" s="70"/>
      <c r="W624" s="58"/>
      <c r="X624" s="58"/>
      <c r="Y624" s="70"/>
      <c r="Z624" s="83"/>
      <c r="AA624" s="70"/>
      <c r="AB624" s="70"/>
      <c r="AC624" s="70"/>
      <c r="AD624" s="70"/>
      <c r="AE624" s="70"/>
      <c r="AF624" s="70"/>
      <c r="AG624" s="70"/>
      <c r="AH624" s="70"/>
      <c r="AI624" s="70"/>
      <c r="AJ624" s="70"/>
      <c r="AK624" s="70"/>
      <c r="AL624" s="70"/>
      <c r="AM624" s="70"/>
      <c r="AN624" s="70"/>
      <c r="AO624" s="70"/>
      <c r="AP624" s="70"/>
      <c r="AQ624" s="70"/>
      <c r="AR624" s="70"/>
      <c r="AS624" s="70"/>
      <c r="AT624" s="70"/>
    </row>
    <row r="625" ht="15.75" customHeight="1">
      <c r="A625" s="70"/>
      <c r="B625" s="70"/>
      <c r="C625" s="70"/>
      <c r="D625" s="80"/>
      <c r="E625" s="70"/>
      <c r="F625" s="70"/>
      <c r="G625" s="70"/>
      <c r="H625" s="70"/>
      <c r="I625" s="70"/>
      <c r="J625" s="70"/>
      <c r="K625" s="70"/>
      <c r="L625" s="70"/>
      <c r="M625" s="70"/>
      <c r="N625" s="70"/>
      <c r="O625" s="70"/>
      <c r="P625" s="70"/>
      <c r="Q625" s="70"/>
      <c r="R625" s="70"/>
      <c r="S625" s="70"/>
      <c r="T625" s="91"/>
      <c r="U625" s="91"/>
      <c r="V625" s="70"/>
      <c r="W625" s="58"/>
      <c r="X625" s="58"/>
      <c r="Y625" s="70"/>
      <c r="Z625" s="83"/>
      <c r="AA625" s="70"/>
      <c r="AB625" s="70"/>
      <c r="AC625" s="70"/>
      <c r="AD625" s="70"/>
      <c r="AE625" s="70"/>
      <c r="AF625" s="70"/>
      <c r="AG625" s="70"/>
      <c r="AH625" s="70"/>
      <c r="AI625" s="70"/>
      <c r="AJ625" s="70"/>
      <c r="AK625" s="70"/>
      <c r="AL625" s="70"/>
      <c r="AM625" s="70"/>
      <c r="AN625" s="70"/>
      <c r="AO625" s="70"/>
      <c r="AP625" s="70"/>
      <c r="AQ625" s="70"/>
      <c r="AR625" s="70"/>
      <c r="AS625" s="70"/>
      <c r="AT625" s="70"/>
    </row>
    <row r="626" ht="15.75" customHeight="1">
      <c r="A626" s="70"/>
      <c r="B626" s="70"/>
      <c r="C626" s="70"/>
      <c r="D626" s="80"/>
      <c r="E626" s="70"/>
      <c r="F626" s="70"/>
      <c r="G626" s="70"/>
      <c r="H626" s="70"/>
      <c r="I626" s="70"/>
      <c r="J626" s="70"/>
      <c r="K626" s="70"/>
      <c r="L626" s="70"/>
      <c r="M626" s="70"/>
      <c r="N626" s="70"/>
      <c r="O626" s="70"/>
      <c r="P626" s="70"/>
      <c r="Q626" s="70"/>
      <c r="R626" s="70"/>
      <c r="S626" s="70"/>
      <c r="T626" s="91"/>
      <c r="U626" s="91"/>
      <c r="V626" s="70"/>
      <c r="W626" s="58"/>
      <c r="X626" s="58"/>
      <c r="Y626" s="70"/>
      <c r="Z626" s="83"/>
      <c r="AA626" s="70"/>
      <c r="AB626" s="70"/>
      <c r="AC626" s="70"/>
      <c r="AD626" s="70"/>
      <c r="AE626" s="70"/>
      <c r="AF626" s="70"/>
      <c r="AG626" s="70"/>
      <c r="AH626" s="70"/>
      <c r="AI626" s="70"/>
      <c r="AJ626" s="70"/>
      <c r="AK626" s="70"/>
      <c r="AL626" s="70"/>
      <c r="AM626" s="70"/>
      <c r="AN626" s="70"/>
      <c r="AO626" s="70"/>
      <c r="AP626" s="70"/>
      <c r="AQ626" s="70"/>
      <c r="AR626" s="70"/>
      <c r="AS626" s="70"/>
      <c r="AT626" s="70"/>
    </row>
    <row r="627" ht="15.75" customHeight="1">
      <c r="A627" s="70"/>
      <c r="B627" s="70"/>
      <c r="C627" s="70"/>
      <c r="D627" s="80"/>
      <c r="E627" s="70"/>
      <c r="F627" s="70"/>
      <c r="G627" s="70"/>
      <c r="H627" s="70"/>
      <c r="I627" s="70"/>
      <c r="J627" s="70"/>
      <c r="K627" s="70"/>
      <c r="L627" s="70"/>
      <c r="M627" s="70"/>
      <c r="N627" s="70"/>
      <c r="O627" s="70"/>
      <c r="P627" s="70"/>
      <c r="Q627" s="70"/>
      <c r="R627" s="70"/>
      <c r="S627" s="70"/>
      <c r="T627" s="91"/>
      <c r="U627" s="91"/>
      <c r="V627" s="70"/>
      <c r="W627" s="58"/>
      <c r="X627" s="58"/>
      <c r="Y627" s="70"/>
      <c r="Z627" s="83"/>
      <c r="AA627" s="70"/>
      <c r="AB627" s="70"/>
      <c r="AC627" s="70"/>
      <c r="AD627" s="70"/>
      <c r="AE627" s="70"/>
      <c r="AF627" s="70"/>
      <c r="AG627" s="70"/>
      <c r="AH627" s="70"/>
      <c r="AI627" s="70"/>
      <c r="AJ627" s="70"/>
      <c r="AK627" s="70"/>
      <c r="AL627" s="70"/>
      <c r="AM627" s="70"/>
      <c r="AN627" s="70"/>
      <c r="AO627" s="70"/>
      <c r="AP627" s="70"/>
      <c r="AQ627" s="70"/>
      <c r="AR627" s="70"/>
      <c r="AS627" s="70"/>
      <c r="AT627" s="70"/>
    </row>
    <row r="628" ht="15.75" customHeight="1">
      <c r="A628" s="70"/>
      <c r="B628" s="70"/>
      <c r="C628" s="70"/>
      <c r="D628" s="80"/>
      <c r="E628" s="70"/>
      <c r="F628" s="70"/>
      <c r="G628" s="70"/>
      <c r="H628" s="70"/>
      <c r="I628" s="70"/>
      <c r="J628" s="70"/>
      <c r="K628" s="70"/>
      <c r="L628" s="70"/>
      <c r="M628" s="70"/>
      <c r="N628" s="70"/>
      <c r="O628" s="70"/>
      <c r="P628" s="70"/>
      <c r="Q628" s="70"/>
      <c r="R628" s="70"/>
      <c r="S628" s="70"/>
      <c r="T628" s="91"/>
      <c r="U628" s="91"/>
      <c r="V628" s="70"/>
      <c r="W628" s="58"/>
      <c r="X628" s="58"/>
      <c r="Y628" s="70"/>
      <c r="Z628" s="83"/>
      <c r="AA628" s="70"/>
      <c r="AB628" s="70"/>
      <c r="AC628" s="70"/>
      <c r="AD628" s="70"/>
      <c r="AE628" s="70"/>
      <c r="AF628" s="70"/>
      <c r="AG628" s="70"/>
      <c r="AH628" s="70"/>
      <c r="AI628" s="70"/>
      <c r="AJ628" s="70"/>
      <c r="AK628" s="70"/>
      <c r="AL628" s="70"/>
      <c r="AM628" s="70"/>
      <c r="AN628" s="70"/>
      <c r="AO628" s="70"/>
      <c r="AP628" s="70"/>
      <c r="AQ628" s="70"/>
      <c r="AR628" s="70"/>
      <c r="AS628" s="70"/>
      <c r="AT628" s="70"/>
    </row>
    <row r="629" ht="15.75" customHeight="1">
      <c r="A629" s="70"/>
      <c r="B629" s="70"/>
      <c r="C629" s="70"/>
      <c r="D629" s="80"/>
      <c r="E629" s="70"/>
      <c r="F629" s="70"/>
      <c r="G629" s="70"/>
      <c r="H629" s="70"/>
      <c r="I629" s="70"/>
      <c r="J629" s="70"/>
      <c r="K629" s="70"/>
      <c r="L629" s="70"/>
      <c r="M629" s="70"/>
      <c r="N629" s="70"/>
      <c r="O629" s="70"/>
      <c r="P629" s="70"/>
      <c r="Q629" s="70"/>
      <c r="R629" s="70"/>
      <c r="S629" s="70"/>
      <c r="T629" s="91"/>
      <c r="U629" s="91"/>
      <c r="V629" s="70"/>
      <c r="W629" s="58"/>
      <c r="X629" s="58"/>
      <c r="Y629" s="70"/>
      <c r="Z629" s="83"/>
      <c r="AA629" s="70"/>
      <c r="AB629" s="70"/>
      <c r="AC629" s="70"/>
      <c r="AD629" s="70"/>
      <c r="AE629" s="70"/>
      <c r="AF629" s="70"/>
      <c r="AG629" s="70"/>
      <c r="AH629" s="70"/>
      <c r="AI629" s="70"/>
      <c r="AJ629" s="70"/>
      <c r="AK629" s="70"/>
      <c r="AL629" s="70"/>
      <c r="AM629" s="70"/>
      <c r="AN629" s="70"/>
      <c r="AO629" s="70"/>
      <c r="AP629" s="70"/>
      <c r="AQ629" s="70"/>
      <c r="AR629" s="70"/>
      <c r="AS629" s="70"/>
      <c r="AT629" s="70"/>
    </row>
    <row r="630" ht="15.75" customHeight="1">
      <c r="A630" s="70"/>
      <c r="B630" s="70"/>
      <c r="C630" s="70"/>
      <c r="D630" s="80"/>
      <c r="E630" s="70"/>
      <c r="F630" s="70"/>
      <c r="G630" s="70"/>
      <c r="H630" s="70"/>
      <c r="I630" s="70"/>
      <c r="J630" s="70"/>
      <c r="K630" s="70"/>
      <c r="L630" s="70"/>
      <c r="M630" s="70"/>
      <c r="N630" s="70"/>
      <c r="O630" s="70"/>
      <c r="P630" s="70"/>
      <c r="Q630" s="70"/>
      <c r="R630" s="70"/>
      <c r="S630" s="70"/>
      <c r="T630" s="91"/>
      <c r="U630" s="91"/>
      <c r="V630" s="70"/>
      <c r="W630" s="58"/>
      <c r="X630" s="58"/>
      <c r="Y630" s="70"/>
      <c r="Z630" s="83"/>
      <c r="AA630" s="70"/>
      <c r="AB630" s="70"/>
      <c r="AC630" s="70"/>
      <c r="AD630" s="70"/>
      <c r="AE630" s="70"/>
      <c r="AF630" s="70"/>
      <c r="AG630" s="70"/>
      <c r="AH630" s="70"/>
      <c r="AI630" s="70"/>
      <c r="AJ630" s="70"/>
      <c r="AK630" s="70"/>
      <c r="AL630" s="70"/>
      <c r="AM630" s="70"/>
      <c r="AN630" s="70"/>
      <c r="AO630" s="70"/>
      <c r="AP630" s="70"/>
      <c r="AQ630" s="70"/>
      <c r="AR630" s="70"/>
      <c r="AS630" s="70"/>
      <c r="AT630" s="70"/>
    </row>
    <row r="631" ht="15.75" customHeight="1">
      <c r="A631" s="70"/>
      <c r="B631" s="70"/>
      <c r="C631" s="70"/>
      <c r="D631" s="80"/>
      <c r="E631" s="70"/>
      <c r="F631" s="70"/>
      <c r="G631" s="70"/>
      <c r="H631" s="70"/>
      <c r="I631" s="70"/>
      <c r="J631" s="70"/>
      <c r="K631" s="70"/>
      <c r="L631" s="70"/>
      <c r="M631" s="70"/>
      <c r="N631" s="70"/>
      <c r="O631" s="70"/>
      <c r="P631" s="70"/>
      <c r="Q631" s="70"/>
      <c r="R631" s="70"/>
      <c r="S631" s="70"/>
      <c r="T631" s="91"/>
      <c r="U631" s="91"/>
      <c r="V631" s="70"/>
      <c r="W631" s="58"/>
      <c r="X631" s="58"/>
      <c r="Y631" s="70"/>
      <c r="Z631" s="83"/>
      <c r="AA631" s="70"/>
      <c r="AB631" s="70"/>
      <c r="AC631" s="70"/>
      <c r="AD631" s="70"/>
      <c r="AE631" s="70"/>
      <c r="AF631" s="70"/>
      <c r="AG631" s="70"/>
      <c r="AH631" s="70"/>
      <c r="AI631" s="70"/>
      <c r="AJ631" s="70"/>
      <c r="AK631" s="70"/>
      <c r="AL631" s="70"/>
      <c r="AM631" s="70"/>
      <c r="AN631" s="70"/>
      <c r="AO631" s="70"/>
      <c r="AP631" s="70"/>
      <c r="AQ631" s="70"/>
      <c r="AR631" s="70"/>
      <c r="AS631" s="70"/>
      <c r="AT631" s="70"/>
    </row>
    <row r="632" ht="15.75" customHeight="1">
      <c r="A632" s="70"/>
      <c r="B632" s="70"/>
      <c r="C632" s="70"/>
      <c r="D632" s="80"/>
      <c r="E632" s="70"/>
      <c r="F632" s="70"/>
      <c r="G632" s="70"/>
      <c r="H632" s="70"/>
      <c r="I632" s="70"/>
      <c r="J632" s="70"/>
      <c r="K632" s="70"/>
      <c r="L632" s="70"/>
      <c r="M632" s="70"/>
      <c r="N632" s="70"/>
      <c r="O632" s="70"/>
      <c r="P632" s="70"/>
      <c r="Q632" s="70"/>
      <c r="R632" s="70"/>
      <c r="S632" s="70"/>
      <c r="T632" s="91"/>
      <c r="U632" s="91"/>
      <c r="V632" s="70"/>
      <c r="W632" s="58"/>
      <c r="X632" s="58"/>
      <c r="Y632" s="70"/>
      <c r="Z632" s="83"/>
      <c r="AA632" s="70"/>
      <c r="AB632" s="70"/>
      <c r="AC632" s="70"/>
      <c r="AD632" s="70"/>
      <c r="AE632" s="70"/>
      <c r="AF632" s="70"/>
      <c r="AG632" s="70"/>
      <c r="AH632" s="70"/>
      <c r="AI632" s="70"/>
      <c r="AJ632" s="70"/>
      <c r="AK632" s="70"/>
      <c r="AL632" s="70"/>
      <c r="AM632" s="70"/>
      <c r="AN632" s="70"/>
      <c r="AO632" s="70"/>
      <c r="AP632" s="70"/>
      <c r="AQ632" s="70"/>
      <c r="AR632" s="70"/>
      <c r="AS632" s="70"/>
      <c r="AT632" s="70"/>
    </row>
    <row r="633" ht="15.75" customHeight="1">
      <c r="A633" s="70"/>
      <c r="B633" s="70"/>
      <c r="C633" s="70"/>
      <c r="D633" s="80"/>
      <c r="E633" s="70"/>
      <c r="F633" s="70"/>
      <c r="G633" s="70"/>
      <c r="H633" s="70"/>
      <c r="I633" s="70"/>
      <c r="J633" s="70"/>
      <c r="K633" s="70"/>
      <c r="L633" s="70"/>
      <c r="M633" s="70"/>
      <c r="N633" s="70"/>
      <c r="O633" s="70"/>
      <c r="P633" s="70"/>
      <c r="Q633" s="70"/>
      <c r="R633" s="70"/>
      <c r="S633" s="70"/>
      <c r="T633" s="91"/>
      <c r="U633" s="91"/>
      <c r="V633" s="70"/>
      <c r="W633" s="58"/>
      <c r="X633" s="58"/>
      <c r="Y633" s="70"/>
      <c r="Z633" s="83"/>
      <c r="AA633" s="70"/>
      <c r="AB633" s="70"/>
      <c r="AC633" s="70"/>
      <c r="AD633" s="70"/>
      <c r="AE633" s="70"/>
      <c r="AF633" s="70"/>
      <c r="AG633" s="70"/>
      <c r="AH633" s="70"/>
      <c r="AI633" s="70"/>
      <c r="AJ633" s="70"/>
      <c r="AK633" s="70"/>
      <c r="AL633" s="70"/>
      <c r="AM633" s="70"/>
      <c r="AN633" s="70"/>
      <c r="AO633" s="70"/>
      <c r="AP633" s="70"/>
      <c r="AQ633" s="70"/>
      <c r="AR633" s="70"/>
      <c r="AS633" s="70"/>
      <c r="AT633" s="70"/>
    </row>
    <row r="634" ht="15.75" customHeight="1">
      <c r="A634" s="70"/>
      <c r="B634" s="70"/>
      <c r="C634" s="70"/>
      <c r="D634" s="80"/>
      <c r="E634" s="70"/>
      <c r="F634" s="70"/>
      <c r="G634" s="70"/>
      <c r="H634" s="70"/>
      <c r="I634" s="70"/>
      <c r="J634" s="70"/>
      <c r="K634" s="70"/>
      <c r="L634" s="70"/>
      <c r="M634" s="70"/>
      <c r="N634" s="70"/>
      <c r="O634" s="70"/>
      <c r="P634" s="70"/>
      <c r="Q634" s="70"/>
      <c r="R634" s="70"/>
      <c r="S634" s="70"/>
      <c r="T634" s="91"/>
      <c r="U634" s="91"/>
      <c r="V634" s="70"/>
      <c r="W634" s="58"/>
      <c r="X634" s="58"/>
      <c r="Y634" s="70"/>
      <c r="Z634" s="83"/>
      <c r="AA634" s="70"/>
      <c r="AB634" s="70"/>
      <c r="AC634" s="70"/>
      <c r="AD634" s="70"/>
      <c r="AE634" s="70"/>
      <c r="AF634" s="70"/>
      <c r="AG634" s="70"/>
      <c r="AH634" s="70"/>
      <c r="AI634" s="70"/>
      <c r="AJ634" s="70"/>
      <c r="AK634" s="70"/>
      <c r="AL634" s="70"/>
      <c r="AM634" s="70"/>
      <c r="AN634" s="70"/>
      <c r="AO634" s="70"/>
      <c r="AP634" s="70"/>
      <c r="AQ634" s="70"/>
      <c r="AR634" s="70"/>
      <c r="AS634" s="70"/>
      <c r="AT634" s="70"/>
    </row>
    <row r="635" ht="15.75" customHeight="1">
      <c r="A635" s="70"/>
      <c r="B635" s="70"/>
      <c r="C635" s="70"/>
      <c r="D635" s="80"/>
      <c r="E635" s="70"/>
      <c r="F635" s="70"/>
      <c r="G635" s="70"/>
      <c r="H635" s="70"/>
      <c r="I635" s="70"/>
      <c r="J635" s="70"/>
      <c r="K635" s="70"/>
      <c r="L635" s="70"/>
      <c r="M635" s="70"/>
      <c r="N635" s="70"/>
      <c r="O635" s="70"/>
      <c r="P635" s="70"/>
      <c r="Q635" s="70"/>
      <c r="R635" s="70"/>
      <c r="S635" s="70"/>
      <c r="T635" s="91"/>
      <c r="U635" s="91"/>
      <c r="V635" s="70"/>
      <c r="W635" s="58"/>
      <c r="X635" s="58"/>
      <c r="Y635" s="70"/>
      <c r="Z635" s="83"/>
      <c r="AA635" s="70"/>
      <c r="AB635" s="70"/>
      <c r="AC635" s="70"/>
      <c r="AD635" s="70"/>
      <c r="AE635" s="70"/>
      <c r="AF635" s="70"/>
      <c r="AG635" s="70"/>
      <c r="AH635" s="70"/>
      <c r="AI635" s="70"/>
      <c r="AJ635" s="70"/>
      <c r="AK635" s="70"/>
      <c r="AL635" s="70"/>
      <c r="AM635" s="70"/>
      <c r="AN635" s="70"/>
      <c r="AO635" s="70"/>
      <c r="AP635" s="70"/>
      <c r="AQ635" s="70"/>
      <c r="AR635" s="70"/>
      <c r="AS635" s="70"/>
      <c r="AT635" s="70"/>
    </row>
    <row r="636" ht="15.75" customHeight="1">
      <c r="A636" s="70"/>
      <c r="B636" s="70"/>
      <c r="C636" s="70"/>
      <c r="D636" s="80"/>
      <c r="E636" s="70"/>
      <c r="F636" s="70"/>
      <c r="G636" s="70"/>
      <c r="H636" s="70"/>
      <c r="I636" s="70"/>
      <c r="J636" s="70"/>
      <c r="K636" s="70"/>
      <c r="L636" s="70"/>
      <c r="M636" s="70"/>
      <c r="N636" s="70"/>
      <c r="O636" s="70"/>
      <c r="P636" s="70"/>
      <c r="Q636" s="70"/>
      <c r="R636" s="70"/>
      <c r="S636" s="70"/>
      <c r="T636" s="91"/>
      <c r="U636" s="91"/>
      <c r="V636" s="70"/>
      <c r="W636" s="58"/>
      <c r="X636" s="58"/>
      <c r="Y636" s="70"/>
      <c r="Z636" s="83"/>
      <c r="AA636" s="70"/>
      <c r="AB636" s="70"/>
      <c r="AC636" s="70"/>
      <c r="AD636" s="70"/>
      <c r="AE636" s="70"/>
      <c r="AF636" s="70"/>
      <c r="AG636" s="70"/>
      <c r="AH636" s="70"/>
      <c r="AI636" s="70"/>
      <c r="AJ636" s="70"/>
      <c r="AK636" s="70"/>
      <c r="AL636" s="70"/>
      <c r="AM636" s="70"/>
      <c r="AN636" s="70"/>
      <c r="AO636" s="70"/>
      <c r="AP636" s="70"/>
      <c r="AQ636" s="70"/>
      <c r="AR636" s="70"/>
      <c r="AS636" s="70"/>
      <c r="AT636" s="70"/>
    </row>
    <row r="637" ht="15.75" customHeight="1">
      <c r="A637" s="70"/>
      <c r="B637" s="70"/>
      <c r="C637" s="70"/>
      <c r="D637" s="80"/>
      <c r="E637" s="70"/>
      <c r="F637" s="70"/>
      <c r="G637" s="70"/>
      <c r="H637" s="70"/>
      <c r="I637" s="70"/>
      <c r="J637" s="70"/>
      <c r="K637" s="70"/>
      <c r="L637" s="70"/>
      <c r="M637" s="70"/>
      <c r="N637" s="70"/>
      <c r="O637" s="70"/>
      <c r="P637" s="70"/>
      <c r="Q637" s="70"/>
      <c r="R637" s="70"/>
      <c r="S637" s="70"/>
      <c r="T637" s="91"/>
      <c r="U637" s="91"/>
      <c r="V637" s="70"/>
      <c r="W637" s="58"/>
      <c r="X637" s="58"/>
      <c r="Y637" s="70"/>
      <c r="Z637" s="83"/>
      <c r="AA637" s="70"/>
      <c r="AB637" s="70"/>
      <c r="AC637" s="70"/>
      <c r="AD637" s="70"/>
      <c r="AE637" s="70"/>
      <c r="AF637" s="70"/>
      <c r="AG637" s="70"/>
      <c r="AH637" s="70"/>
      <c r="AI637" s="70"/>
      <c r="AJ637" s="70"/>
      <c r="AK637" s="70"/>
      <c r="AL637" s="70"/>
      <c r="AM637" s="70"/>
      <c r="AN637" s="70"/>
      <c r="AO637" s="70"/>
      <c r="AP637" s="70"/>
      <c r="AQ637" s="70"/>
      <c r="AR637" s="70"/>
      <c r="AS637" s="70"/>
      <c r="AT637" s="70"/>
    </row>
    <row r="638" ht="15.75" customHeight="1">
      <c r="A638" s="70"/>
      <c r="B638" s="70"/>
      <c r="C638" s="70"/>
      <c r="D638" s="80"/>
      <c r="E638" s="70"/>
      <c r="F638" s="70"/>
      <c r="G638" s="70"/>
      <c r="H638" s="70"/>
      <c r="I638" s="70"/>
      <c r="J638" s="70"/>
      <c r="K638" s="70"/>
      <c r="L638" s="70"/>
      <c r="M638" s="70"/>
      <c r="N638" s="70"/>
      <c r="O638" s="70"/>
      <c r="P638" s="70"/>
      <c r="Q638" s="70"/>
      <c r="R638" s="70"/>
      <c r="S638" s="70"/>
      <c r="T638" s="91"/>
      <c r="U638" s="91"/>
      <c r="V638" s="70"/>
      <c r="W638" s="58"/>
      <c r="X638" s="58"/>
      <c r="Y638" s="70"/>
      <c r="Z638" s="83"/>
      <c r="AA638" s="70"/>
      <c r="AB638" s="70"/>
      <c r="AC638" s="70"/>
      <c r="AD638" s="70"/>
      <c r="AE638" s="70"/>
      <c r="AF638" s="70"/>
      <c r="AG638" s="70"/>
      <c r="AH638" s="70"/>
      <c r="AI638" s="70"/>
      <c r="AJ638" s="70"/>
      <c r="AK638" s="70"/>
      <c r="AL638" s="70"/>
      <c r="AM638" s="70"/>
      <c r="AN638" s="70"/>
      <c r="AO638" s="70"/>
      <c r="AP638" s="70"/>
      <c r="AQ638" s="70"/>
      <c r="AR638" s="70"/>
      <c r="AS638" s="70"/>
      <c r="AT638" s="70"/>
    </row>
    <row r="639" ht="15.75" customHeight="1">
      <c r="A639" s="70"/>
      <c r="B639" s="70"/>
      <c r="C639" s="70"/>
      <c r="D639" s="80"/>
      <c r="E639" s="70"/>
      <c r="F639" s="70"/>
      <c r="G639" s="70"/>
      <c r="H639" s="70"/>
      <c r="I639" s="70"/>
      <c r="J639" s="70"/>
      <c r="K639" s="70"/>
      <c r="L639" s="70"/>
      <c r="M639" s="70"/>
      <c r="N639" s="70"/>
      <c r="O639" s="70"/>
      <c r="P639" s="70"/>
      <c r="Q639" s="70"/>
      <c r="R639" s="70"/>
      <c r="S639" s="70"/>
      <c r="T639" s="91"/>
      <c r="U639" s="91"/>
      <c r="V639" s="70"/>
      <c r="W639" s="58"/>
      <c r="X639" s="58"/>
      <c r="Y639" s="70"/>
      <c r="Z639" s="83"/>
      <c r="AA639" s="70"/>
      <c r="AB639" s="70"/>
      <c r="AC639" s="70"/>
      <c r="AD639" s="70"/>
      <c r="AE639" s="70"/>
      <c r="AF639" s="70"/>
      <c r="AG639" s="70"/>
      <c r="AH639" s="70"/>
      <c r="AI639" s="70"/>
      <c r="AJ639" s="70"/>
      <c r="AK639" s="70"/>
      <c r="AL639" s="70"/>
      <c r="AM639" s="70"/>
      <c r="AN639" s="70"/>
      <c r="AO639" s="70"/>
      <c r="AP639" s="70"/>
      <c r="AQ639" s="70"/>
      <c r="AR639" s="70"/>
      <c r="AS639" s="70"/>
      <c r="AT639" s="70"/>
    </row>
    <row r="640" ht="15.75" customHeight="1">
      <c r="A640" s="70"/>
      <c r="B640" s="70"/>
      <c r="C640" s="70"/>
      <c r="D640" s="80"/>
      <c r="E640" s="70"/>
      <c r="F640" s="70"/>
      <c r="G640" s="70"/>
      <c r="H640" s="70"/>
      <c r="I640" s="70"/>
      <c r="J640" s="70"/>
      <c r="K640" s="70"/>
      <c r="L640" s="70"/>
      <c r="M640" s="70"/>
      <c r="N640" s="70"/>
      <c r="O640" s="70"/>
      <c r="P640" s="70"/>
      <c r="Q640" s="70"/>
      <c r="R640" s="70"/>
      <c r="S640" s="70"/>
      <c r="T640" s="91"/>
      <c r="U640" s="91"/>
      <c r="V640" s="70"/>
      <c r="W640" s="58"/>
      <c r="X640" s="58"/>
      <c r="Y640" s="70"/>
      <c r="Z640" s="83"/>
      <c r="AA640" s="70"/>
      <c r="AB640" s="70"/>
      <c r="AC640" s="70"/>
      <c r="AD640" s="70"/>
      <c r="AE640" s="70"/>
      <c r="AF640" s="70"/>
      <c r="AG640" s="70"/>
      <c r="AH640" s="70"/>
      <c r="AI640" s="70"/>
      <c r="AJ640" s="70"/>
      <c r="AK640" s="70"/>
      <c r="AL640" s="70"/>
      <c r="AM640" s="70"/>
      <c r="AN640" s="70"/>
      <c r="AO640" s="70"/>
      <c r="AP640" s="70"/>
      <c r="AQ640" s="70"/>
      <c r="AR640" s="70"/>
      <c r="AS640" s="70"/>
      <c r="AT640" s="70"/>
    </row>
    <row r="641" ht="15.75" customHeight="1">
      <c r="A641" s="70"/>
      <c r="B641" s="70"/>
      <c r="C641" s="70"/>
      <c r="D641" s="80"/>
      <c r="E641" s="70"/>
      <c r="F641" s="70"/>
      <c r="G641" s="70"/>
      <c r="H641" s="70"/>
      <c r="I641" s="70"/>
      <c r="J641" s="70"/>
      <c r="K641" s="70"/>
      <c r="L641" s="70"/>
      <c r="M641" s="70"/>
      <c r="N641" s="70"/>
      <c r="O641" s="70"/>
      <c r="P641" s="70"/>
      <c r="Q641" s="70"/>
      <c r="R641" s="70"/>
      <c r="S641" s="70"/>
      <c r="T641" s="91"/>
      <c r="U641" s="91"/>
      <c r="V641" s="70"/>
      <c r="W641" s="58"/>
      <c r="X641" s="58"/>
      <c r="Y641" s="70"/>
      <c r="Z641" s="83"/>
      <c r="AA641" s="70"/>
      <c r="AB641" s="70"/>
      <c r="AC641" s="70"/>
      <c r="AD641" s="70"/>
      <c r="AE641" s="70"/>
      <c r="AF641" s="70"/>
      <c r="AG641" s="70"/>
      <c r="AH641" s="70"/>
      <c r="AI641" s="70"/>
      <c r="AJ641" s="70"/>
      <c r="AK641" s="70"/>
      <c r="AL641" s="70"/>
      <c r="AM641" s="70"/>
      <c r="AN641" s="70"/>
      <c r="AO641" s="70"/>
      <c r="AP641" s="70"/>
      <c r="AQ641" s="70"/>
      <c r="AR641" s="70"/>
      <c r="AS641" s="70"/>
      <c r="AT641" s="70"/>
    </row>
    <row r="642" ht="15.75" customHeight="1">
      <c r="A642" s="70"/>
      <c r="B642" s="70"/>
      <c r="C642" s="70"/>
      <c r="D642" s="80"/>
      <c r="E642" s="70"/>
      <c r="F642" s="70"/>
      <c r="G642" s="70"/>
      <c r="H642" s="70"/>
      <c r="I642" s="70"/>
      <c r="J642" s="70"/>
      <c r="K642" s="70"/>
      <c r="L642" s="70"/>
      <c r="M642" s="70"/>
      <c r="N642" s="70"/>
      <c r="O642" s="70"/>
      <c r="P642" s="70"/>
      <c r="Q642" s="70"/>
      <c r="R642" s="70"/>
      <c r="S642" s="70"/>
      <c r="T642" s="91"/>
      <c r="U642" s="91"/>
      <c r="V642" s="70"/>
      <c r="W642" s="58"/>
      <c r="X642" s="58"/>
      <c r="Y642" s="70"/>
      <c r="Z642" s="83"/>
      <c r="AA642" s="70"/>
      <c r="AB642" s="70"/>
      <c r="AC642" s="70"/>
      <c r="AD642" s="70"/>
      <c r="AE642" s="70"/>
      <c r="AF642" s="70"/>
      <c r="AG642" s="70"/>
      <c r="AH642" s="70"/>
      <c r="AI642" s="70"/>
      <c r="AJ642" s="70"/>
      <c r="AK642" s="70"/>
      <c r="AL642" s="70"/>
      <c r="AM642" s="70"/>
      <c r="AN642" s="70"/>
      <c r="AO642" s="70"/>
      <c r="AP642" s="70"/>
      <c r="AQ642" s="70"/>
      <c r="AR642" s="70"/>
      <c r="AS642" s="70"/>
      <c r="AT642" s="70"/>
    </row>
    <row r="643" ht="15.75" customHeight="1">
      <c r="A643" s="70"/>
      <c r="B643" s="70"/>
      <c r="C643" s="70"/>
      <c r="D643" s="80"/>
      <c r="E643" s="70"/>
      <c r="F643" s="70"/>
      <c r="G643" s="70"/>
      <c r="H643" s="70"/>
      <c r="I643" s="70"/>
      <c r="J643" s="70"/>
      <c r="K643" s="70"/>
      <c r="L643" s="70"/>
      <c r="M643" s="70"/>
      <c r="N643" s="70"/>
      <c r="O643" s="70"/>
      <c r="P643" s="70"/>
      <c r="Q643" s="70"/>
      <c r="R643" s="70"/>
      <c r="S643" s="70"/>
      <c r="T643" s="91"/>
      <c r="U643" s="91"/>
      <c r="V643" s="70"/>
      <c r="W643" s="58"/>
      <c r="X643" s="58"/>
      <c r="Y643" s="70"/>
      <c r="Z643" s="83"/>
      <c r="AA643" s="70"/>
      <c r="AB643" s="70"/>
      <c r="AC643" s="70"/>
      <c r="AD643" s="70"/>
      <c r="AE643" s="70"/>
      <c r="AF643" s="70"/>
      <c r="AG643" s="70"/>
      <c r="AH643" s="70"/>
      <c r="AI643" s="70"/>
      <c r="AJ643" s="70"/>
      <c r="AK643" s="70"/>
      <c r="AL643" s="70"/>
      <c r="AM643" s="70"/>
      <c r="AN643" s="70"/>
      <c r="AO643" s="70"/>
      <c r="AP643" s="70"/>
      <c r="AQ643" s="70"/>
      <c r="AR643" s="70"/>
      <c r="AS643" s="70"/>
      <c r="AT643" s="70"/>
    </row>
    <row r="644" ht="15.75" customHeight="1">
      <c r="A644" s="70"/>
      <c r="B644" s="70"/>
      <c r="C644" s="70"/>
      <c r="D644" s="80"/>
      <c r="E644" s="70"/>
      <c r="F644" s="70"/>
      <c r="G644" s="70"/>
      <c r="H644" s="70"/>
      <c r="I644" s="70"/>
      <c r="J644" s="70"/>
      <c r="K644" s="70"/>
      <c r="L644" s="70"/>
      <c r="M644" s="70"/>
      <c r="N644" s="70"/>
      <c r="O644" s="70"/>
      <c r="P644" s="70"/>
      <c r="Q644" s="70"/>
      <c r="R644" s="70"/>
      <c r="S644" s="70"/>
      <c r="T644" s="91"/>
      <c r="U644" s="91"/>
      <c r="V644" s="70"/>
      <c r="W644" s="58"/>
      <c r="X644" s="58"/>
      <c r="Y644" s="70"/>
      <c r="Z644" s="83"/>
      <c r="AA644" s="70"/>
      <c r="AB644" s="70"/>
      <c r="AC644" s="70"/>
      <c r="AD644" s="70"/>
      <c r="AE644" s="70"/>
      <c r="AF644" s="70"/>
      <c r="AG644" s="70"/>
      <c r="AH644" s="70"/>
      <c r="AI644" s="70"/>
      <c r="AJ644" s="70"/>
      <c r="AK644" s="70"/>
      <c r="AL644" s="70"/>
      <c r="AM644" s="70"/>
      <c r="AN644" s="70"/>
      <c r="AO644" s="70"/>
      <c r="AP644" s="70"/>
      <c r="AQ644" s="70"/>
      <c r="AR644" s="70"/>
      <c r="AS644" s="70"/>
      <c r="AT644" s="70"/>
    </row>
    <row r="645" ht="15.75" customHeight="1">
      <c r="A645" s="70"/>
      <c r="B645" s="70"/>
      <c r="C645" s="70"/>
      <c r="D645" s="80"/>
      <c r="E645" s="70"/>
      <c r="F645" s="70"/>
      <c r="G645" s="70"/>
      <c r="H645" s="70"/>
      <c r="I645" s="70"/>
      <c r="J645" s="70"/>
      <c r="K645" s="70"/>
      <c r="L645" s="70"/>
      <c r="M645" s="70"/>
      <c r="N645" s="70"/>
      <c r="O645" s="70"/>
      <c r="P645" s="70"/>
      <c r="Q645" s="70"/>
      <c r="R645" s="70"/>
      <c r="S645" s="70"/>
      <c r="T645" s="91"/>
      <c r="U645" s="91"/>
      <c r="V645" s="70"/>
      <c r="W645" s="58"/>
      <c r="X645" s="58"/>
      <c r="Y645" s="70"/>
      <c r="Z645" s="83"/>
      <c r="AA645" s="70"/>
      <c r="AB645" s="70"/>
      <c r="AC645" s="70"/>
      <c r="AD645" s="70"/>
      <c r="AE645" s="70"/>
      <c r="AF645" s="70"/>
      <c r="AG645" s="70"/>
      <c r="AH645" s="70"/>
      <c r="AI645" s="70"/>
      <c r="AJ645" s="70"/>
      <c r="AK645" s="70"/>
      <c r="AL645" s="70"/>
      <c r="AM645" s="70"/>
      <c r="AN645" s="70"/>
      <c r="AO645" s="70"/>
      <c r="AP645" s="70"/>
      <c r="AQ645" s="70"/>
      <c r="AR645" s="70"/>
      <c r="AS645" s="70"/>
      <c r="AT645" s="70"/>
    </row>
    <row r="646" ht="15.75" customHeight="1">
      <c r="A646" s="70"/>
      <c r="B646" s="70"/>
      <c r="C646" s="70"/>
      <c r="D646" s="80"/>
      <c r="E646" s="70"/>
      <c r="F646" s="70"/>
      <c r="G646" s="70"/>
      <c r="H646" s="70"/>
      <c r="I646" s="70"/>
      <c r="J646" s="70"/>
      <c r="K646" s="70"/>
      <c r="L646" s="70"/>
      <c r="M646" s="70"/>
      <c r="N646" s="70"/>
      <c r="O646" s="70"/>
      <c r="P646" s="70"/>
      <c r="Q646" s="70"/>
      <c r="R646" s="70"/>
      <c r="S646" s="70"/>
      <c r="T646" s="91"/>
      <c r="U646" s="91"/>
      <c r="V646" s="70"/>
      <c r="W646" s="58"/>
      <c r="X646" s="58"/>
      <c r="Y646" s="70"/>
      <c r="Z646" s="83"/>
      <c r="AA646" s="70"/>
      <c r="AB646" s="70"/>
      <c r="AC646" s="70"/>
      <c r="AD646" s="70"/>
      <c r="AE646" s="70"/>
      <c r="AF646" s="70"/>
      <c r="AG646" s="70"/>
      <c r="AH646" s="70"/>
      <c r="AI646" s="70"/>
      <c r="AJ646" s="70"/>
      <c r="AK646" s="70"/>
      <c r="AL646" s="70"/>
      <c r="AM646" s="70"/>
      <c r="AN646" s="70"/>
      <c r="AO646" s="70"/>
      <c r="AP646" s="70"/>
      <c r="AQ646" s="70"/>
      <c r="AR646" s="70"/>
      <c r="AS646" s="70"/>
      <c r="AT646" s="70"/>
    </row>
    <row r="647" ht="15.75" customHeight="1">
      <c r="A647" s="70"/>
      <c r="B647" s="70"/>
      <c r="C647" s="70"/>
      <c r="D647" s="80"/>
      <c r="E647" s="70"/>
      <c r="F647" s="70"/>
      <c r="G647" s="70"/>
      <c r="H647" s="70"/>
      <c r="I647" s="70"/>
      <c r="J647" s="70"/>
      <c r="K647" s="70"/>
      <c r="L647" s="70"/>
      <c r="M647" s="70"/>
      <c r="N647" s="70"/>
      <c r="O647" s="70"/>
      <c r="P647" s="70"/>
      <c r="Q647" s="70"/>
      <c r="R647" s="70"/>
      <c r="S647" s="70"/>
      <c r="T647" s="91"/>
      <c r="U647" s="91"/>
      <c r="V647" s="70"/>
      <c r="W647" s="58"/>
      <c r="X647" s="58"/>
      <c r="Y647" s="70"/>
      <c r="Z647" s="83"/>
      <c r="AA647" s="70"/>
      <c r="AB647" s="70"/>
      <c r="AC647" s="70"/>
      <c r="AD647" s="70"/>
      <c r="AE647" s="70"/>
      <c r="AF647" s="70"/>
      <c r="AG647" s="70"/>
      <c r="AH647" s="70"/>
      <c r="AI647" s="70"/>
      <c r="AJ647" s="70"/>
      <c r="AK647" s="70"/>
      <c r="AL647" s="70"/>
      <c r="AM647" s="70"/>
      <c r="AN647" s="70"/>
      <c r="AO647" s="70"/>
      <c r="AP647" s="70"/>
      <c r="AQ647" s="70"/>
      <c r="AR647" s="70"/>
      <c r="AS647" s="70"/>
      <c r="AT647" s="70"/>
    </row>
    <row r="648" ht="15.75" customHeight="1">
      <c r="A648" s="70"/>
      <c r="B648" s="70"/>
      <c r="C648" s="70"/>
      <c r="D648" s="80"/>
      <c r="E648" s="70"/>
      <c r="F648" s="70"/>
      <c r="G648" s="70"/>
      <c r="H648" s="70"/>
      <c r="I648" s="70"/>
      <c r="J648" s="70"/>
      <c r="K648" s="70"/>
      <c r="L648" s="70"/>
      <c r="M648" s="70"/>
      <c r="N648" s="70"/>
      <c r="O648" s="70"/>
      <c r="P648" s="70"/>
      <c r="Q648" s="70"/>
      <c r="R648" s="70"/>
      <c r="S648" s="70"/>
      <c r="T648" s="91"/>
      <c r="U648" s="91"/>
      <c r="V648" s="70"/>
      <c r="W648" s="58"/>
      <c r="X648" s="58"/>
      <c r="Y648" s="70"/>
      <c r="Z648" s="83"/>
      <c r="AA648" s="70"/>
      <c r="AB648" s="70"/>
      <c r="AC648" s="70"/>
      <c r="AD648" s="70"/>
      <c r="AE648" s="70"/>
      <c r="AF648" s="70"/>
      <c r="AG648" s="70"/>
      <c r="AH648" s="70"/>
      <c r="AI648" s="70"/>
      <c r="AJ648" s="70"/>
      <c r="AK648" s="70"/>
      <c r="AL648" s="70"/>
      <c r="AM648" s="70"/>
      <c r="AN648" s="70"/>
      <c r="AO648" s="70"/>
      <c r="AP648" s="70"/>
      <c r="AQ648" s="70"/>
      <c r="AR648" s="70"/>
      <c r="AS648" s="70"/>
      <c r="AT648" s="70"/>
    </row>
    <row r="649" ht="15.75" customHeight="1">
      <c r="A649" s="70"/>
      <c r="B649" s="70"/>
      <c r="C649" s="70"/>
      <c r="D649" s="80"/>
      <c r="E649" s="70"/>
      <c r="F649" s="70"/>
      <c r="G649" s="70"/>
      <c r="H649" s="70"/>
      <c r="I649" s="70"/>
      <c r="J649" s="70"/>
      <c r="K649" s="70"/>
      <c r="L649" s="70"/>
      <c r="M649" s="70"/>
      <c r="N649" s="70"/>
      <c r="O649" s="70"/>
      <c r="P649" s="70"/>
      <c r="Q649" s="70"/>
      <c r="R649" s="70"/>
      <c r="S649" s="70"/>
      <c r="T649" s="91"/>
      <c r="U649" s="91"/>
      <c r="V649" s="70"/>
      <c r="W649" s="58"/>
      <c r="X649" s="58"/>
      <c r="Y649" s="70"/>
      <c r="Z649" s="83"/>
      <c r="AA649" s="70"/>
      <c r="AB649" s="70"/>
      <c r="AC649" s="70"/>
      <c r="AD649" s="70"/>
      <c r="AE649" s="70"/>
      <c r="AF649" s="70"/>
      <c r="AG649" s="70"/>
      <c r="AH649" s="70"/>
      <c r="AI649" s="70"/>
      <c r="AJ649" s="70"/>
      <c r="AK649" s="70"/>
      <c r="AL649" s="70"/>
      <c r="AM649" s="70"/>
      <c r="AN649" s="70"/>
      <c r="AO649" s="70"/>
      <c r="AP649" s="70"/>
      <c r="AQ649" s="70"/>
      <c r="AR649" s="70"/>
      <c r="AS649" s="70"/>
      <c r="AT649" s="70"/>
    </row>
    <row r="650" ht="15.75" customHeight="1">
      <c r="A650" s="70"/>
      <c r="B650" s="70"/>
      <c r="C650" s="70"/>
      <c r="D650" s="80"/>
      <c r="E650" s="70"/>
      <c r="F650" s="70"/>
      <c r="G650" s="70"/>
      <c r="H650" s="70"/>
      <c r="I650" s="70"/>
      <c r="J650" s="70"/>
      <c r="K650" s="70"/>
      <c r="L650" s="70"/>
      <c r="M650" s="70"/>
      <c r="N650" s="70"/>
      <c r="O650" s="70"/>
      <c r="P650" s="70"/>
      <c r="Q650" s="70"/>
      <c r="R650" s="70"/>
      <c r="S650" s="70"/>
      <c r="T650" s="91"/>
      <c r="U650" s="91"/>
      <c r="V650" s="70"/>
      <c r="W650" s="58"/>
      <c r="X650" s="58"/>
      <c r="Y650" s="70"/>
      <c r="Z650" s="83"/>
      <c r="AA650" s="70"/>
      <c r="AB650" s="70"/>
      <c r="AC650" s="70"/>
      <c r="AD650" s="70"/>
      <c r="AE650" s="70"/>
      <c r="AF650" s="70"/>
      <c r="AG650" s="70"/>
      <c r="AH650" s="70"/>
      <c r="AI650" s="70"/>
      <c r="AJ650" s="70"/>
      <c r="AK650" s="70"/>
      <c r="AL650" s="70"/>
      <c r="AM650" s="70"/>
      <c r="AN650" s="70"/>
      <c r="AO650" s="70"/>
      <c r="AP650" s="70"/>
      <c r="AQ650" s="70"/>
      <c r="AR650" s="70"/>
      <c r="AS650" s="70"/>
      <c r="AT650" s="70"/>
    </row>
    <row r="651" ht="15.75" customHeight="1">
      <c r="A651" s="70"/>
      <c r="B651" s="70"/>
      <c r="C651" s="70"/>
      <c r="D651" s="80"/>
      <c r="E651" s="70"/>
      <c r="F651" s="70"/>
      <c r="G651" s="70"/>
      <c r="H651" s="70"/>
      <c r="I651" s="70"/>
      <c r="J651" s="70"/>
      <c r="K651" s="70"/>
      <c r="L651" s="70"/>
      <c r="M651" s="70"/>
      <c r="N651" s="70"/>
      <c r="O651" s="70"/>
      <c r="P651" s="70"/>
      <c r="Q651" s="70"/>
      <c r="R651" s="70"/>
      <c r="S651" s="70"/>
      <c r="T651" s="91"/>
      <c r="U651" s="91"/>
      <c r="V651" s="70"/>
      <c r="W651" s="58"/>
      <c r="X651" s="58"/>
      <c r="Y651" s="70"/>
      <c r="Z651" s="83"/>
      <c r="AA651" s="70"/>
      <c r="AB651" s="70"/>
      <c r="AC651" s="70"/>
      <c r="AD651" s="70"/>
      <c r="AE651" s="70"/>
      <c r="AF651" s="70"/>
      <c r="AG651" s="70"/>
      <c r="AH651" s="70"/>
      <c r="AI651" s="70"/>
      <c r="AJ651" s="70"/>
      <c r="AK651" s="70"/>
      <c r="AL651" s="70"/>
      <c r="AM651" s="70"/>
      <c r="AN651" s="70"/>
      <c r="AO651" s="70"/>
      <c r="AP651" s="70"/>
      <c r="AQ651" s="70"/>
      <c r="AR651" s="70"/>
      <c r="AS651" s="70"/>
      <c r="AT651" s="70"/>
    </row>
    <row r="652" ht="15.75" customHeight="1">
      <c r="A652" s="70"/>
      <c r="B652" s="70"/>
      <c r="C652" s="70"/>
      <c r="D652" s="80"/>
      <c r="E652" s="70"/>
      <c r="F652" s="70"/>
      <c r="G652" s="70"/>
      <c r="H652" s="70"/>
      <c r="I652" s="70"/>
      <c r="J652" s="70"/>
      <c r="K652" s="70"/>
      <c r="L652" s="70"/>
      <c r="M652" s="70"/>
      <c r="N652" s="70"/>
      <c r="O652" s="70"/>
      <c r="P652" s="70"/>
      <c r="Q652" s="70"/>
      <c r="R652" s="70"/>
      <c r="S652" s="70"/>
      <c r="T652" s="91"/>
      <c r="U652" s="91"/>
      <c r="V652" s="70"/>
      <c r="W652" s="58"/>
      <c r="X652" s="58"/>
      <c r="Y652" s="70"/>
      <c r="Z652" s="83"/>
      <c r="AA652" s="70"/>
      <c r="AB652" s="70"/>
      <c r="AC652" s="70"/>
      <c r="AD652" s="70"/>
      <c r="AE652" s="70"/>
      <c r="AF652" s="70"/>
      <c r="AG652" s="70"/>
      <c r="AH652" s="70"/>
      <c r="AI652" s="70"/>
      <c r="AJ652" s="70"/>
      <c r="AK652" s="70"/>
      <c r="AL652" s="70"/>
      <c r="AM652" s="70"/>
      <c r="AN652" s="70"/>
      <c r="AO652" s="70"/>
      <c r="AP652" s="70"/>
      <c r="AQ652" s="70"/>
      <c r="AR652" s="70"/>
      <c r="AS652" s="70"/>
      <c r="AT652" s="70"/>
    </row>
    <row r="653" ht="15.75" customHeight="1">
      <c r="A653" s="70"/>
      <c r="B653" s="70"/>
      <c r="C653" s="70"/>
      <c r="D653" s="80"/>
      <c r="E653" s="70"/>
      <c r="F653" s="70"/>
      <c r="G653" s="70"/>
      <c r="H653" s="70"/>
      <c r="I653" s="70"/>
      <c r="J653" s="70"/>
      <c r="K653" s="70"/>
      <c r="L653" s="70"/>
      <c r="M653" s="70"/>
      <c r="N653" s="70"/>
      <c r="O653" s="70"/>
      <c r="P653" s="70"/>
      <c r="Q653" s="70"/>
      <c r="R653" s="70"/>
      <c r="S653" s="70"/>
      <c r="T653" s="91"/>
      <c r="U653" s="91"/>
      <c r="V653" s="70"/>
      <c r="W653" s="58"/>
      <c r="X653" s="58"/>
      <c r="Y653" s="70"/>
      <c r="Z653" s="83"/>
      <c r="AA653" s="70"/>
      <c r="AB653" s="70"/>
      <c r="AC653" s="70"/>
      <c r="AD653" s="70"/>
      <c r="AE653" s="70"/>
      <c r="AF653" s="70"/>
      <c r="AG653" s="70"/>
      <c r="AH653" s="70"/>
      <c r="AI653" s="70"/>
      <c r="AJ653" s="70"/>
      <c r="AK653" s="70"/>
      <c r="AL653" s="70"/>
      <c r="AM653" s="70"/>
      <c r="AN653" s="70"/>
      <c r="AO653" s="70"/>
      <c r="AP653" s="70"/>
      <c r="AQ653" s="70"/>
      <c r="AR653" s="70"/>
      <c r="AS653" s="70"/>
      <c r="AT653" s="70"/>
    </row>
    <row r="654" ht="15.75" customHeight="1">
      <c r="A654" s="70"/>
      <c r="B654" s="70"/>
      <c r="C654" s="70"/>
      <c r="D654" s="80"/>
      <c r="E654" s="70"/>
      <c r="F654" s="70"/>
      <c r="G654" s="70"/>
      <c r="H654" s="70"/>
      <c r="I654" s="70"/>
      <c r="J654" s="70"/>
      <c r="K654" s="70"/>
      <c r="L654" s="70"/>
      <c r="M654" s="70"/>
      <c r="N654" s="70"/>
      <c r="O654" s="70"/>
      <c r="P654" s="70"/>
      <c r="Q654" s="70"/>
      <c r="R654" s="70"/>
      <c r="S654" s="70"/>
      <c r="T654" s="91"/>
      <c r="U654" s="91"/>
      <c r="V654" s="70"/>
      <c r="W654" s="58"/>
      <c r="X654" s="58"/>
      <c r="Y654" s="70"/>
      <c r="Z654" s="83"/>
      <c r="AA654" s="70"/>
      <c r="AB654" s="70"/>
      <c r="AC654" s="70"/>
      <c r="AD654" s="70"/>
      <c r="AE654" s="70"/>
      <c r="AF654" s="70"/>
      <c r="AG654" s="70"/>
      <c r="AH654" s="70"/>
      <c r="AI654" s="70"/>
      <c r="AJ654" s="70"/>
      <c r="AK654" s="70"/>
      <c r="AL654" s="70"/>
      <c r="AM654" s="70"/>
      <c r="AN654" s="70"/>
      <c r="AO654" s="70"/>
      <c r="AP654" s="70"/>
      <c r="AQ654" s="70"/>
      <c r="AR654" s="70"/>
      <c r="AS654" s="70"/>
      <c r="AT654" s="70"/>
    </row>
    <row r="655" ht="15.75" customHeight="1">
      <c r="A655" s="70"/>
      <c r="B655" s="70"/>
      <c r="C655" s="70"/>
      <c r="D655" s="80"/>
      <c r="E655" s="70"/>
      <c r="F655" s="70"/>
      <c r="G655" s="70"/>
      <c r="H655" s="70"/>
      <c r="I655" s="70"/>
      <c r="J655" s="70"/>
      <c r="K655" s="70"/>
      <c r="L655" s="70"/>
      <c r="M655" s="70"/>
      <c r="N655" s="70"/>
      <c r="O655" s="70"/>
      <c r="P655" s="70"/>
      <c r="Q655" s="70"/>
      <c r="R655" s="70"/>
      <c r="S655" s="70"/>
      <c r="T655" s="91"/>
      <c r="U655" s="91"/>
      <c r="V655" s="70"/>
      <c r="W655" s="58"/>
      <c r="X655" s="58"/>
      <c r="Y655" s="70"/>
      <c r="Z655" s="83"/>
      <c r="AA655" s="70"/>
      <c r="AB655" s="70"/>
      <c r="AC655" s="70"/>
      <c r="AD655" s="70"/>
      <c r="AE655" s="70"/>
      <c r="AF655" s="70"/>
      <c r="AG655" s="70"/>
      <c r="AH655" s="70"/>
      <c r="AI655" s="70"/>
      <c r="AJ655" s="70"/>
      <c r="AK655" s="70"/>
      <c r="AL655" s="70"/>
      <c r="AM655" s="70"/>
      <c r="AN655" s="70"/>
      <c r="AO655" s="70"/>
      <c r="AP655" s="70"/>
      <c r="AQ655" s="70"/>
      <c r="AR655" s="70"/>
      <c r="AS655" s="70"/>
      <c r="AT655" s="70"/>
    </row>
    <row r="656" ht="15.75" customHeight="1">
      <c r="A656" s="70"/>
      <c r="B656" s="70"/>
      <c r="C656" s="70"/>
      <c r="D656" s="80"/>
      <c r="E656" s="70"/>
      <c r="F656" s="70"/>
      <c r="G656" s="70"/>
      <c r="H656" s="70"/>
      <c r="I656" s="70"/>
      <c r="J656" s="70"/>
      <c r="K656" s="70"/>
      <c r="L656" s="70"/>
      <c r="M656" s="70"/>
      <c r="N656" s="70"/>
      <c r="O656" s="70"/>
      <c r="P656" s="70"/>
      <c r="Q656" s="70"/>
      <c r="R656" s="70"/>
      <c r="S656" s="70"/>
      <c r="T656" s="91"/>
      <c r="U656" s="91"/>
      <c r="V656" s="70"/>
      <c r="W656" s="58"/>
      <c r="X656" s="58"/>
      <c r="Y656" s="70"/>
      <c r="Z656" s="83"/>
      <c r="AA656" s="70"/>
      <c r="AB656" s="70"/>
      <c r="AC656" s="70"/>
      <c r="AD656" s="70"/>
      <c r="AE656" s="70"/>
      <c r="AF656" s="70"/>
      <c r="AG656" s="70"/>
      <c r="AH656" s="70"/>
      <c r="AI656" s="70"/>
      <c r="AJ656" s="70"/>
      <c r="AK656" s="70"/>
      <c r="AL656" s="70"/>
      <c r="AM656" s="70"/>
      <c r="AN656" s="70"/>
      <c r="AO656" s="70"/>
      <c r="AP656" s="70"/>
      <c r="AQ656" s="70"/>
      <c r="AR656" s="70"/>
      <c r="AS656" s="70"/>
      <c r="AT656" s="70"/>
    </row>
    <row r="657" ht="15.75" customHeight="1">
      <c r="A657" s="70"/>
      <c r="B657" s="70"/>
      <c r="C657" s="70"/>
      <c r="D657" s="80"/>
      <c r="E657" s="70"/>
      <c r="F657" s="70"/>
      <c r="G657" s="70"/>
      <c r="H657" s="70"/>
      <c r="I657" s="70"/>
      <c r="J657" s="70"/>
      <c r="K657" s="70"/>
      <c r="L657" s="70"/>
      <c r="M657" s="70"/>
      <c r="N657" s="70"/>
      <c r="O657" s="70"/>
      <c r="P657" s="70"/>
      <c r="Q657" s="70"/>
      <c r="R657" s="70"/>
      <c r="S657" s="70"/>
      <c r="T657" s="91"/>
      <c r="U657" s="91"/>
      <c r="V657" s="70"/>
      <c r="W657" s="58"/>
      <c r="X657" s="58"/>
      <c r="Y657" s="70"/>
      <c r="Z657" s="83"/>
      <c r="AA657" s="70"/>
      <c r="AB657" s="70"/>
      <c r="AC657" s="70"/>
      <c r="AD657" s="70"/>
      <c r="AE657" s="70"/>
      <c r="AF657" s="70"/>
      <c r="AG657" s="70"/>
      <c r="AH657" s="70"/>
      <c r="AI657" s="70"/>
      <c r="AJ657" s="70"/>
      <c r="AK657" s="70"/>
      <c r="AL657" s="70"/>
      <c r="AM657" s="70"/>
      <c r="AN657" s="70"/>
      <c r="AO657" s="70"/>
      <c r="AP657" s="70"/>
      <c r="AQ657" s="70"/>
      <c r="AR657" s="70"/>
      <c r="AS657" s="70"/>
      <c r="AT657" s="70"/>
    </row>
    <row r="658" ht="15.75" customHeight="1">
      <c r="A658" s="70"/>
      <c r="B658" s="70"/>
      <c r="C658" s="70"/>
      <c r="D658" s="80"/>
      <c r="E658" s="70"/>
      <c r="F658" s="70"/>
      <c r="G658" s="70"/>
      <c r="H658" s="70"/>
      <c r="I658" s="70"/>
      <c r="J658" s="70"/>
      <c r="K658" s="70"/>
      <c r="L658" s="70"/>
      <c r="M658" s="70"/>
      <c r="N658" s="70"/>
      <c r="O658" s="70"/>
      <c r="P658" s="70"/>
      <c r="Q658" s="70"/>
      <c r="R658" s="70"/>
      <c r="S658" s="70"/>
      <c r="T658" s="91"/>
      <c r="U658" s="91"/>
      <c r="V658" s="70"/>
      <c r="W658" s="58"/>
      <c r="X658" s="58"/>
      <c r="Y658" s="70"/>
      <c r="Z658" s="83"/>
      <c r="AA658" s="70"/>
      <c r="AB658" s="70"/>
      <c r="AC658" s="70"/>
      <c r="AD658" s="70"/>
      <c r="AE658" s="70"/>
      <c r="AF658" s="70"/>
      <c r="AG658" s="70"/>
      <c r="AH658" s="70"/>
      <c r="AI658" s="70"/>
      <c r="AJ658" s="70"/>
      <c r="AK658" s="70"/>
      <c r="AL658" s="70"/>
      <c r="AM658" s="70"/>
      <c r="AN658" s="70"/>
      <c r="AO658" s="70"/>
      <c r="AP658" s="70"/>
      <c r="AQ658" s="70"/>
      <c r="AR658" s="70"/>
      <c r="AS658" s="70"/>
      <c r="AT658" s="70"/>
    </row>
    <row r="659" ht="15.75" customHeight="1">
      <c r="A659" s="70"/>
      <c r="B659" s="70"/>
      <c r="C659" s="70"/>
      <c r="D659" s="80"/>
      <c r="E659" s="70"/>
      <c r="F659" s="70"/>
      <c r="G659" s="70"/>
      <c r="H659" s="70"/>
      <c r="I659" s="70"/>
      <c r="J659" s="70"/>
      <c r="K659" s="70"/>
      <c r="L659" s="70"/>
      <c r="M659" s="70"/>
      <c r="N659" s="70"/>
      <c r="O659" s="70"/>
      <c r="P659" s="70"/>
      <c r="Q659" s="70"/>
      <c r="R659" s="70"/>
      <c r="S659" s="70"/>
      <c r="T659" s="91"/>
      <c r="U659" s="91"/>
      <c r="V659" s="70"/>
      <c r="W659" s="58"/>
      <c r="X659" s="58"/>
      <c r="Y659" s="70"/>
      <c r="Z659" s="83"/>
      <c r="AA659" s="70"/>
      <c r="AB659" s="70"/>
      <c r="AC659" s="70"/>
      <c r="AD659" s="70"/>
      <c r="AE659" s="70"/>
      <c r="AF659" s="70"/>
      <c r="AG659" s="70"/>
      <c r="AH659" s="70"/>
      <c r="AI659" s="70"/>
      <c r="AJ659" s="70"/>
      <c r="AK659" s="70"/>
      <c r="AL659" s="70"/>
      <c r="AM659" s="70"/>
      <c r="AN659" s="70"/>
      <c r="AO659" s="70"/>
      <c r="AP659" s="70"/>
      <c r="AQ659" s="70"/>
      <c r="AR659" s="70"/>
      <c r="AS659" s="70"/>
      <c r="AT659" s="70"/>
    </row>
    <row r="660" ht="15.75" customHeight="1">
      <c r="A660" s="70"/>
      <c r="B660" s="70"/>
      <c r="C660" s="70"/>
      <c r="D660" s="80"/>
      <c r="E660" s="70"/>
      <c r="F660" s="70"/>
      <c r="G660" s="70"/>
      <c r="H660" s="70"/>
      <c r="I660" s="70"/>
      <c r="J660" s="70"/>
      <c r="K660" s="70"/>
      <c r="L660" s="70"/>
      <c r="M660" s="70"/>
      <c r="N660" s="70"/>
      <c r="O660" s="70"/>
      <c r="P660" s="70"/>
      <c r="Q660" s="70"/>
      <c r="R660" s="70"/>
      <c r="S660" s="70"/>
      <c r="T660" s="91"/>
      <c r="U660" s="91"/>
      <c r="V660" s="70"/>
      <c r="W660" s="58"/>
      <c r="X660" s="58"/>
      <c r="Y660" s="70"/>
      <c r="Z660" s="83"/>
      <c r="AA660" s="70"/>
      <c r="AB660" s="70"/>
      <c r="AC660" s="70"/>
      <c r="AD660" s="70"/>
      <c r="AE660" s="70"/>
      <c r="AF660" s="70"/>
      <c r="AG660" s="70"/>
      <c r="AH660" s="70"/>
      <c r="AI660" s="70"/>
      <c r="AJ660" s="70"/>
      <c r="AK660" s="70"/>
      <c r="AL660" s="70"/>
      <c r="AM660" s="70"/>
      <c r="AN660" s="70"/>
      <c r="AO660" s="70"/>
      <c r="AP660" s="70"/>
      <c r="AQ660" s="70"/>
      <c r="AR660" s="70"/>
      <c r="AS660" s="70"/>
      <c r="AT660" s="70"/>
    </row>
    <row r="661" ht="15.75" customHeight="1">
      <c r="A661" s="70"/>
      <c r="B661" s="70"/>
      <c r="C661" s="70"/>
      <c r="D661" s="80"/>
      <c r="E661" s="70"/>
      <c r="F661" s="70"/>
      <c r="G661" s="70"/>
      <c r="H661" s="70"/>
      <c r="I661" s="70"/>
      <c r="J661" s="70"/>
      <c r="K661" s="70"/>
      <c r="L661" s="70"/>
      <c r="M661" s="70"/>
      <c r="N661" s="70"/>
      <c r="O661" s="70"/>
      <c r="P661" s="70"/>
      <c r="Q661" s="70"/>
      <c r="R661" s="70"/>
      <c r="S661" s="70"/>
      <c r="T661" s="91"/>
      <c r="U661" s="91"/>
      <c r="V661" s="70"/>
      <c r="W661" s="58"/>
      <c r="X661" s="58"/>
      <c r="Y661" s="70"/>
      <c r="Z661" s="83"/>
      <c r="AA661" s="70"/>
      <c r="AB661" s="70"/>
      <c r="AC661" s="70"/>
      <c r="AD661" s="70"/>
      <c r="AE661" s="70"/>
      <c r="AF661" s="70"/>
      <c r="AG661" s="70"/>
      <c r="AH661" s="70"/>
      <c r="AI661" s="70"/>
      <c r="AJ661" s="70"/>
      <c r="AK661" s="70"/>
      <c r="AL661" s="70"/>
      <c r="AM661" s="70"/>
      <c r="AN661" s="70"/>
      <c r="AO661" s="70"/>
      <c r="AP661" s="70"/>
      <c r="AQ661" s="70"/>
      <c r="AR661" s="70"/>
      <c r="AS661" s="70"/>
      <c r="AT661" s="70"/>
    </row>
    <row r="662" ht="15.75" customHeight="1">
      <c r="A662" s="70"/>
      <c r="B662" s="70"/>
      <c r="C662" s="70"/>
      <c r="D662" s="80"/>
      <c r="E662" s="70"/>
      <c r="F662" s="70"/>
      <c r="G662" s="70"/>
      <c r="H662" s="70"/>
      <c r="I662" s="70"/>
      <c r="J662" s="70"/>
      <c r="K662" s="70"/>
      <c r="L662" s="70"/>
      <c r="M662" s="70"/>
      <c r="N662" s="70"/>
      <c r="O662" s="70"/>
      <c r="P662" s="70"/>
      <c r="Q662" s="70"/>
      <c r="R662" s="70"/>
      <c r="S662" s="70"/>
      <c r="T662" s="91"/>
      <c r="U662" s="91"/>
      <c r="V662" s="70"/>
      <c r="W662" s="58"/>
      <c r="X662" s="58"/>
      <c r="Y662" s="70"/>
      <c r="Z662" s="83"/>
      <c r="AA662" s="70"/>
      <c r="AB662" s="70"/>
      <c r="AC662" s="70"/>
      <c r="AD662" s="70"/>
      <c r="AE662" s="70"/>
      <c r="AF662" s="70"/>
      <c r="AG662" s="70"/>
      <c r="AH662" s="70"/>
      <c r="AI662" s="70"/>
      <c r="AJ662" s="70"/>
      <c r="AK662" s="70"/>
      <c r="AL662" s="70"/>
      <c r="AM662" s="70"/>
      <c r="AN662" s="70"/>
      <c r="AO662" s="70"/>
      <c r="AP662" s="70"/>
      <c r="AQ662" s="70"/>
      <c r="AR662" s="70"/>
      <c r="AS662" s="70"/>
      <c r="AT662" s="70"/>
    </row>
    <row r="663" ht="15.75" customHeight="1">
      <c r="A663" s="70"/>
      <c r="B663" s="70"/>
      <c r="C663" s="70"/>
      <c r="D663" s="80"/>
      <c r="E663" s="70"/>
      <c r="F663" s="70"/>
      <c r="G663" s="70"/>
      <c r="H663" s="70"/>
      <c r="I663" s="70"/>
      <c r="J663" s="70"/>
      <c r="K663" s="70"/>
      <c r="L663" s="70"/>
      <c r="M663" s="70"/>
      <c r="N663" s="70"/>
      <c r="O663" s="70"/>
      <c r="P663" s="70"/>
      <c r="Q663" s="70"/>
      <c r="R663" s="70"/>
      <c r="S663" s="70"/>
      <c r="T663" s="91"/>
      <c r="U663" s="91"/>
      <c r="V663" s="70"/>
      <c r="W663" s="58"/>
      <c r="X663" s="58"/>
      <c r="Y663" s="70"/>
      <c r="Z663" s="83"/>
      <c r="AA663" s="70"/>
      <c r="AB663" s="70"/>
      <c r="AC663" s="70"/>
      <c r="AD663" s="70"/>
      <c r="AE663" s="70"/>
      <c r="AF663" s="70"/>
      <c r="AG663" s="70"/>
      <c r="AH663" s="70"/>
      <c r="AI663" s="70"/>
      <c r="AJ663" s="70"/>
      <c r="AK663" s="70"/>
      <c r="AL663" s="70"/>
      <c r="AM663" s="70"/>
      <c r="AN663" s="70"/>
      <c r="AO663" s="70"/>
      <c r="AP663" s="70"/>
      <c r="AQ663" s="70"/>
      <c r="AR663" s="70"/>
      <c r="AS663" s="70"/>
      <c r="AT663" s="70"/>
    </row>
    <row r="664" ht="15.75" customHeight="1">
      <c r="A664" s="70"/>
      <c r="B664" s="70"/>
      <c r="C664" s="70"/>
      <c r="D664" s="80"/>
      <c r="E664" s="70"/>
      <c r="F664" s="70"/>
      <c r="G664" s="70"/>
      <c r="H664" s="70"/>
      <c r="I664" s="70"/>
      <c r="J664" s="70"/>
      <c r="K664" s="70"/>
      <c r="L664" s="70"/>
      <c r="M664" s="70"/>
      <c r="N664" s="70"/>
      <c r="O664" s="70"/>
      <c r="P664" s="70"/>
      <c r="Q664" s="70"/>
      <c r="R664" s="70"/>
      <c r="S664" s="70"/>
      <c r="T664" s="91"/>
      <c r="U664" s="91"/>
      <c r="V664" s="70"/>
      <c r="W664" s="58"/>
      <c r="X664" s="58"/>
      <c r="Y664" s="70"/>
      <c r="Z664" s="83"/>
      <c r="AA664" s="70"/>
      <c r="AB664" s="70"/>
      <c r="AC664" s="70"/>
      <c r="AD664" s="70"/>
      <c r="AE664" s="70"/>
      <c r="AF664" s="70"/>
      <c r="AG664" s="70"/>
      <c r="AH664" s="70"/>
      <c r="AI664" s="70"/>
      <c r="AJ664" s="70"/>
      <c r="AK664" s="70"/>
      <c r="AL664" s="70"/>
      <c r="AM664" s="70"/>
      <c r="AN664" s="70"/>
      <c r="AO664" s="70"/>
      <c r="AP664" s="70"/>
      <c r="AQ664" s="70"/>
      <c r="AR664" s="70"/>
      <c r="AS664" s="70"/>
      <c r="AT664" s="70"/>
    </row>
    <row r="665" ht="15.75" customHeight="1">
      <c r="A665" s="70"/>
      <c r="B665" s="70"/>
      <c r="C665" s="70"/>
      <c r="D665" s="80"/>
      <c r="E665" s="70"/>
      <c r="F665" s="70"/>
      <c r="G665" s="70"/>
      <c r="H665" s="70"/>
      <c r="I665" s="70"/>
      <c r="J665" s="70"/>
      <c r="K665" s="70"/>
      <c r="L665" s="70"/>
      <c r="M665" s="70"/>
      <c r="N665" s="70"/>
      <c r="O665" s="70"/>
      <c r="P665" s="70"/>
      <c r="Q665" s="70"/>
      <c r="R665" s="70"/>
      <c r="S665" s="70"/>
      <c r="T665" s="91"/>
      <c r="U665" s="91"/>
      <c r="V665" s="70"/>
      <c r="W665" s="58"/>
      <c r="X665" s="58"/>
      <c r="Y665" s="70"/>
      <c r="Z665" s="83"/>
      <c r="AA665" s="70"/>
      <c r="AB665" s="70"/>
      <c r="AC665" s="70"/>
      <c r="AD665" s="70"/>
      <c r="AE665" s="70"/>
      <c r="AF665" s="70"/>
      <c r="AG665" s="70"/>
      <c r="AH665" s="70"/>
      <c r="AI665" s="70"/>
      <c r="AJ665" s="70"/>
      <c r="AK665" s="70"/>
      <c r="AL665" s="70"/>
      <c r="AM665" s="70"/>
      <c r="AN665" s="70"/>
      <c r="AO665" s="70"/>
      <c r="AP665" s="70"/>
      <c r="AQ665" s="70"/>
      <c r="AR665" s="70"/>
      <c r="AS665" s="70"/>
      <c r="AT665" s="70"/>
    </row>
    <row r="666" ht="15.75" customHeight="1">
      <c r="A666" s="70"/>
      <c r="B666" s="70"/>
      <c r="C666" s="70"/>
      <c r="D666" s="80"/>
      <c r="E666" s="70"/>
      <c r="F666" s="70"/>
      <c r="G666" s="70"/>
      <c r="H666" s="70"/>
      <c r="I666" s="70"/>
      <c r="J666" s="70"/>
      <c r="K666" s="70"/>
      <c r="L666" s="70"/>
      <c r="M666" s="70"/>
      <c r="N666" s="70"/>
      <c r="O666" s="70"/>
      <c r="P666" s="70"/>
      <c r="Q666" s="70"/>
      <c r="R666" s="70"/>
      <c r="S666" s="70"/>
      <c r="T666" s="91"/>
      <c r="U666" s="91"/>
      <c r="V666" s="70"/>
      <c r="W666" s="58"/>
      <c r="X666" s="58"/>
      <c r="Y666" s="70"/>
      <c r="Z666" s="83"/>
      <c r="AA666" s="70"/>
      <c r="AB666" s="70"/>
      <c r="AC666" s="70"/>
      <c r="AD666" s="70"/>
      <c r="AE666" s="70"/>
      <c r="AF666" s="70"/>
      <c r="AG666" s="70"/>
      <c r="AH666" s="70"/>
      <c r="AI666" s="70"/>
      <c r="AJ666" s="70"/>
      <c r="AK666" s="70"/>
      <c r="AL666" s="70"/>
      <c r="AM666" s="70"/>
      <c r="AN666" s="70"/>
      <c r="AO666" s="70"/>
      <c r="AP666" s="70"/>
      <c r="AQ666" s="70"/>
      <c r="AR666" s="70"/>
      <c r="AS666" s="70"/>
      <c r="AT666" s="70"/>
    </row>
    <row r="667" ht="15.75" customHeight="1">
      <c r="A667" s="70"/>
      <c r="B667" s="70"/>
      <c r="C667" s="70"/>
      <c r="D667" s="80"/>
      <c r="E667" s="70"/>
      <c r="F667" s="70"/>
      <c r="G667" s="70"/>
      <c r="H667" s="70"/>
      <c r="I667" s="70"/>
      <c r="J667" s="70"/>
      <c r="K667" s="70"/>
      <c r="L667" s="70"/>
      <c r="M667" s="70"/>
      <c r="N667" s="70"/>
      <c r="O667" s="70"/>
      <c r="P667" s="70"/>
      <c r="Q667" s="70"/>
      <c r="R667" s="70"/>
      <c r="S667" s="70"/>
      <c r="T667" s="91"/>
      <c r="U667" s="91"/>
      <c r="V667" s="70"/>
      <c r="W667" s="58"/>
      <c r="X667" s="58"/>
      <c r="Y667" s="70"/>
      <c r="Z667" s="83"/>
      <c r="AA667" s="70"/>
      <c r="AB667" s="70"/>
      <c r="AC667" s="70"/>
      <c r="AD667" s="70"/>
      <c r="AE667" s="70"/>
      <c r="AF667" s="70"/>
      <c r="AG667" s="70"/>
      <c r="AH667" s="70"/>
      <c r="AI667" s="70"/>
      <c r="AJ667" s="70"/>
      <c r="AK667" s="70"/>
      <c r="AL667" s="70"/>
      <c r="AM667" s="70"/>
      <c r="AN667" s="70"/>
      <c r="AO667" s="70"/>
      <c r="AP667" s="70"/>
      <c r="AQ667" s="70"/>
      <c r="AR667" s="70"/>
      <c r="AS667" s="70"/>
      <c r="AT667" s="70"/>
    </row>
    <row r="668" ht="15.75" customHeight="1">
      <c r="A668" s="70"/>
      <c r="B668" s="70"/>
      <c r="C668" s="70"/>
      <c r="D668" s="80"/>
      <c r="E668" s="70"/>
      <c r="F668" s="70"/>
      <c r="G668" s="70"/>
      <c r="H668" s="70"/>
      <c r="I668" s="70"/>
      <c r="J668" s="70"/>
      <c r="K668" s="70"/>
      <c r="L668" s="70"/>
      <c r="M668" s="70"/>
      <c r="N668" s="70"/>
      <c r="O668" s="70"/>
      <c r="P668" s="70"/>
      <c r="Q668" s="70"/>
      <c r="R668" s="70"/>
      <c r="S668" s="70"/>
      <c r="T668" s="91"/>
      <c r="U668" s="91"/>
      <c r="V668" s="70"/>
      <c r="W668" s="58"/>
      <c r="X668" s="58"/>
      <c r="Y668" s="70"/>
      <c r="Z668" s="83"/>
      <c r="AA668" s="70"/>
      <c r="AB668" s="70"/>
      <c r="AC668" s="70"/>
      <c r="AD668" s="70"/>
      <c r="AE668" s="70"/>
      <c r="AF668" s="70"/>
      <c r="AG668" s="70"/>
      <c r="AH668" s="70"/>
      <c r="AI668" s="70"/>
      <c r="AJ668" s="70"/>
      <c r="AK668" s="70"/>
      <c r="AL668" s="70"/>
      <c r="AM668" s="70"/>
      <c r="AN668" s="70"/>
      <c r="AO668" s="70"/>
      <c r="AP668" s="70"/>
      <c r="AQ668" s="70"/>
      <c r="AR668" s="70"/>
      <c r="AS668" s="70"/>
      <c r="AT668" s="70"/>
    </row>
    <row r="669" ht="15.75" customHeight="1">
      <c r="A669" s="70"/>
      <c r="B669" s="70"/>
      <c r="C669" s="70"/>
      <c r="D669" s="80"/>
      <c r="E669" s="70"/>
      <c r="F669" s="70"/>
      <c r="G669" s="70"/>
      <c r="H669" s="70"/>
      <c r="I669" s="70"/>
      <c r="J669" s="70"/>
      <c r="K669" s="70"/>
      <c r="L669" s="70"/>
      <c r="M669" s="70"/>
      <c r="N669" s="70"/>
      <c r="O669" s="70"/>
      <c r="P669" s="70"/>
      <c r="Q669" s="70"/>
      <c r="R669" s="70"/>
      <c r="S669" s="70"/>
      <c r="T669" s="91"/>
      <c r="U669" s="91"/>
      <c r="V669" s="70"/>
      <c r="W669" s="58"/>
      <c r="X669" s="58"/>
      <c r="Y669" s="70"/>
      <c r="Z669" s="83"/>
      <c r="AA669" s="70"/>
      <c r="AB669" s="70"/>
      <c r="AC669" s="70"/>
      <c r="AD669" s="70"/>
      <c r="AE669" s="70"/>
      <c r="AF669" s="70"/>
      <c r="AG669" s="70"/>
      <c r="AH669" s="70"/>
      <c r="AI669" s="70"/>
      <c r="AJ669" s="70"/>
      <c r="AK669" s="70"/>
      <c r="AL669" s="70"/>
      <c r="AM669" s="70"/>
      <c r="AN669" s="70"/>
      <c r="AO669" s="70"/>
      <c r="AP669" s="70"/>
      <c r="AQ669" s="70"/>
      <c r="AR669" s="70"/>
      <c r="AS669" s="70"/>
      <c r="AT669" s="70"/>
    </row>
    <row r="670" ht="15.75" customHeight="1">
      <c r="A670" s="70"/>
      <c r="B670" s="70"/>
      <c r="C670" s="70"/>
      <c r="D670" s="80"/>
      <c r="E670" s="70"/>
      <c r="F670" s="70"/>
      <c r="G670" s="70"/>
      <c r="H670" s="70"/>
      <c r="I670" s="70"/>
      <c r="J670" s="70"/>
      <c r="K670" s="70"/>
      <c r="L670" s="70"/>
      <c r="M670" s="70"/>
      <c r="N670" s="70"/>
      <c r="O670" s="70"/>
      <c r="P670" s="70"/>
      <c r="Q670" s="70"/>
      <c r="R670" s="70"/>
      <c r="S670" s="70"/>
      <c r="T670" s="91"/>
      <c r="U670" s="91"/>
      <c r="V670" s="70"/>
      <c r="W670" s="58"/>
      <c r="X670" s="58"/>
      <c r="Y670" s="70"/>
      <c r="Z670" s="83"/>
      <c r="AA670" s="70"/>
      <c r="AB670" s="70"/>
      <c r="AC670" s="70"/>
      <c r="AD670" s="70"/>
      <c r="AE670" s="70"/>
      <c r="AF670" s="70"/>
      <c r="AG670" s="70"/>
      <c r="AH670" s="70"/>
      <c r="AI670" s="70"/>
      <c r="AJ670" s="70"/>
      <c r="AK670" s="70"/>
      <c r="AL670" s="70"/>
      <c r="AM670" s="70"/>
      <c r="AN670" s="70"/>
      <c r="AO670" s="70"/>
      <c r="AP670" s="70"/>
      <c r="AQ670" s="70"/>
      <c r="AR670" s="70"/>
      <c r="AS670" s="70"/>
      <c r="AT670" s="70"/>
    </row>
    <row r="671" ht="15.75" customHeight="1">
      <c r="A671" s="70"/>
      <c r="B671" s="70"/>
      <c r="C671" s="70"/>
      <c r="D671" s="80"/>
      <c r="E671" s="70"/>
      <c r="F671" s="70"/>
      <c r="G671" s="70"/>
      <c r="H671" s="70"/>
      <c r="I671" s="70"/>
      <c r="J671" s="70"/>
      <c r="K671" s="70"/>
      <c r="L671" s="70"/>
      <c r="M671" s="70"/>
      <c r="N671" s="70"/>
      <c r="O671" s="70"/>
      <c r="P671" s="70"/>
      <c r="Q671" s="70"/>
      <c r="R671" s="70"/>
      <c r="S671" s="70"/>
      <c r="T671" s="91"/>
      <c r="U671" s="91"/>
      <c r="V671" s="70"/>
      <c r="W671" s="58"/>
      <c r="X671" s="58"/>
      <c r="Y671" s="70"/>
      <c r="Z671" s="83"/>
      <c r="AA671" s="70"/>
      <c r="AB671" s="70"/>
      <c r="AC671" s="70"/>
      <c r="AD671" s="70"/>
      <c r="AE671" s="70"/>
      <c r="AF671" s="70"/>
      <c r="AG671" s="70"/>
      <c r="AH671" s="70"/>
      <c r="AI671" s="70"/>
      <c r="AJ671" s="70"/>
      <c r="AK671" s="70"/>
      <c r="AL671" s="70"/>
      <c r="AM671" s="70"/>
      <c r="AN671" s="70"/>
      <c r="AO671" s="70"/>
      <c r="AP671" s="70"/>
      <c r="AQ671" s="70"/>
      <c r="AR671" s="70"/>
      <c r="AS671" s="70"/>
      <c r="AT671" s="70"/>
    </row>
    <row r="672" ht="15.75" customHeight="1">
      <c r="A672" s="70"/>
      <c r="B672" s="70"/>
      <c r="C672" s="70"/>
      <c r="D672" s="80"/>
      <c r="E672" s="70"/>
      <c r="F672" s="70"/>
      <c r="G672" s="70"/>
      <c r="H672" s="70"/>
      <c r="I672" s="70"/>
      <c r="J672" s="70"/>
      <c r="K672" s="70"/>
      <c r="L672" s="70"/>
      <c r="M672" s="70"/>
      <c r="N672" s="70"/>
      <c r="O672" s="70"/>
      <c r="P672" s="70"/>
      <c r="Q672" s="70"/>
      <c r="R672" s="70"/>
      <c r="S672" s="70"/>
      <c r="T672" s="91"/>
      <c r="U672" s="91"/>
      <c r="V672" s="70"/>
      <c r="W672" s="58"/>
      <c r="X672" s="58"/>
      <c r="Y672" s="70"/>
      <c r="Z672" s="83"/>
      <c r="AA672" s="70"/>
      <c r="AB672" s="70"/>
      <c r="AC672" s="70"/>
      <c r="AD672" s="70"/>
      <c r="AE672" s="70"/>
      <c r="AF672" s="70"/>
      <c r="AG672" s="70"/>
      <c r="AH672" s="70"/>
      <c r="AI672" s="70"/>
      <c r="AJ672" s="70"/>
      <c r="AK672" s="70"/>
      <c r="AL672" s="70"/>
      <c r="AM672" s="70"/>
      <c r="AN672" s="70"/>
      <c r="AO672" s="70"/>
      <c r="AP672" s="70"/>
      <c r="AQ672" s="70"/>
      <c r="AR672" s="70"/>
      <c r="AS672" s="70"/>
      <c r="AT672" s="70"/>
    </row>
    <row r="673" ht="15.75" customHeight="1">
      <c r="A673" s="70"/>
      <c r="B673" s="70"/>
      <c r="C673" s="70"/>
      <c r="D673" s="80"/>
      <c r="E673" s="70"/>
      <c r="F673" s="70"/>
      <c r="G673" s="70"/>
      <c r="H673" s="70"/>
      <c r="I673" s="70"/>
      <c r="J673" s="70"/>
      <c r="K673" s="70"/>
      <c r="L673" s="70"/>
      <c r="M673" s="70"/>
      <c r="N673" s="70"/>
      <c r="O673" s="70"/>
      <c r="P673" s="70"/>
      <c r="Q673" s="70"/>
      <c r="R673" s="70"/>
      <c r="S673" s="70"/>
      <c r="T673" s="91"/>
      <c r="U673" s="91"/>
      <c r="V673" s="70"/>
      <c r="W673" s="58"/>
      <c r="X673" s="58"/>
      <c r="Y673" s="70"/>
      <c r="Z673" s="83"/>
      <c r="AA673" s="70"/>
      <c r="AB673" s="70"/>
      <c r="AC673" s="70"/>
      <c r="AD673" s="70"/>
      <c r="AE673" s="70"/>
      <c r="AF673" s="70"/>
      <c r="AG673" s="70"/>
      <c r="AH673" s="70"/>
      <c r="AI673" s="70"/>
      <c r="AJ673" s="70"/>
      <c r="AK673" s="70"/>
      <c r="AL673" s="70"/>
      <c r="AM673" s="70"/>
      <c r="AN673" s="70"/>
      <c r="AO673" s="70"/>
      <c r="AP673" s="70"/>
      <c r="AQ673" s="70"/>
      <c r="AR673" s="70"/>
      <c r="AS673" s="70"/>
      <c r="AT673" s="70"/>
    </row>
    <row r="674" ht="15.75" customHeight="1">
      <c r="A674" s="70"/>
      <c r="B674" s="70"/>
      <c r="C674" s="70"/>
      <c r="D674" s="80"/>
      <c r="E674" s="70"/>
      <c r="F674" s="70"/>
      <c r="G674" s="70"/>
      <c r="H674" s="70"/>
      <c r="I674" s="70"/>
      <c r="J674" s="70"/>
      <c r="K674" s="70"/>
      <c r="L674" s="70"/>
      <c r="M674" s="70"/>
      <c r="N674" s="70"/>
      <c r="O674" s="70"/>
      <c r="P674" s="70"/>
      <c r="Q674" s="70"/>
      <c r="R674" s="70"/>
      <c r="S674" s="70"/>
      <c r="T674" s="91"/>
      <c r="U674" s="91"/>
      <c r="V674" s="70"/>
      <c r="W674" s="58"/>
      <c r="X674" s="58"/>
      <c r="Y674" s="70"/>
      <c r="Z674" s="83"/>
      <c r="AA674" s="70"/>
      <c r="AB674" s="70"/>
      <c r="AC674" s="70"/>
      <c r="AD674" s="70"/>
      <c r="AE674" s="70"/>
      <c r="AF674" s="70"/>
      <c r="AG674" s="70"/>
      <c r="AH674" s="70"/>
      <c r="AI674" s="70"/>
      <c r="AJ674" s="70"/>
      <c r="AK674" s="70"/>
      <c r="AL674" s="70"/>
      <c r="AM674" s="70"/>
      <c r="AN674" s="70"/>
      <c r="AO674" s="70"/>
      <c r="AP674" s="70"/>
      <c r="AQ674" s="70"/>
      <c r="AR674" s="70"/>
      <c r="AS674" s="70"/>
      <c r="AT674" s="70"/>
    </row>
    <row r="675" ht="15.75" customHeight="1">
      <c r="A675" s="70"/>
      <c r="B675" s="70"/>
      <c r="C675" s="70"/>
      <c r="D675" s="80"/>
      <c r="E675" s="70"/>
      <c r="F675" s="70"/>
      <c r="G675" s="70"/>
      <c r="H675" s="70"/>
      <c r="I675" s="70"/>
      <c r="J675" s="70"/>
      <c r="K675" s="70"/>
      <c r="L675" s="70"/>
      <c r="M675" s="70"/>
      <c r="N675" s="70"/>
      <c r="O675" s="70"/>
      <c r="P675" s="70"/>
      <c r="Q675" s="70"/>
      <c r="R675" s="70"/>
      <c r="S675" s="70"/>
      <c r="T675" s="91"/>
      <c r="U675" s="91"/>
      <c r="V675" s="70"/>
      <c r="W675" s="58"/>
      <c r="X675" s="58"/>
      <c r="Y675" s="70"/>
      <c r="Z675" s="83"/>
      <c r="AA675" s="70"/>
      <c r="AB675" s="70"/>
      <c r="AC675" s="70"/>
      <c r="AD675" s="70"/>
      <c r="AE675" s="70"/>
      <c r="AF675" s="70"/>
      <c r="AG675" s="70"/>
      <c r="AH675" s="70"/>
      <c r="AI675" s="70"/>
      <c r="AJ675" s="70"/>
      <c r="AK675" s="70"/>
      <c r="AL675" s="70"/>
      <c r="AM675" s="70"/>
      <c r="AN675" s="70"/>
      <c r="AO675" s="70"/>
      <c r="AP675" s="70"/>
      <c r="AQ675" s="70"/>
      <c r="AR675" s="70"/>
      <c r="AS675" s="70"/>
      <c r="AT675" s="70"/>
    </row>
    <row r="676" ht="15.75" customHeight="1">
      <c r="A676" s="70"/>
      <c r="B676" s="70"/>
      <c r="C676" s="70"/>
      <c r="D676" s="80"/>
      <c r="E676" s="70"/>
      <c r="F676" s="70"/>
      <c r="G676" s="70"/>
      <c r="H676" s="70"/>
      <c r="I676" s="70"/>
      <c r="J676" s="70"/>
      <c r="K676" s="70"/>
      <c r="L676" s="70"/>
      <c r="M676" s="70"/>
      <c r="N676" s="70"/>
      <c r="O676" s="70"/>
      <c r="P676" s="70"/>
      <c r="Q676" s="70"/>
      <c r="R676" s="70"/>
      <c r="S676" s="70"/>
      <c r="T676" s="91"/>
      <c r="U676" s="91"/>
      <c r="V676" s="70"/>
      <c r="W676" s="58"/>
      <c r="X676" s="58"/>
      <c r="Y676" s="70"/>
      <c r="Z676" s="83"/>
      <c r="AA676" s="70"/>
      <c r="AB676" s="70"/>
      <c r="AC676" s="70"/>
      <c r="AD676" s="70"/>
      <c r="AE676" s="70"/>
      <c r="AF676" s="70"/>
      <c r="AG676" s="70"/>
      <c r="AH676" s="70"/>
      <c r="AI676" s="70"/>
      <c r="AJ676" s="70"/>
      <c r="AK676" s="70"/>
      <c r="AL676" s="70"/>
      <c r="AM676" s="70"/>
      <c r="AN676" s="70"/>
      <c r="AO676" s="70"/>
      <c r="AP676" s="70"/>
      <c r="AQ676" s="70"/>
      <c r="AR676" s="70"/>
      <c r="AS676" s="70"/>
      <c r="AT676" s="70"/>
    </row>
    <row r="677" ht="15.75" customHeight="1">
      <c r="A677" s="70"/>
      <c r="B677" s="70"/>
      <c r="C677" s="70"/>
      <c r="D677" s="80"/>
      <c r="E677" s="70"/>
      <c r="F677" s="70"/>
      <c r="G677" s="70"/>
      <c r="H677" s="70"/>
      <c r="I677" s="70"/>
      <c r="J677" s="70"/>
      <c r="K677" s="70"/>
      <c r="L677" s="70"/>
      <c r="M677" s="70"/>
      <c r="N677" s="70"/>
      <c r="O677" s="70"/>
      <c r="P677" s="70"/>
      <c r="Q677" s="70"/>
      <c r="R677" s="70"/>
      <c r="S677" s="70"/>
      <c r="T677" s="91"/>
      <c r="U677" s="91"/>
      <c r="V677" s="70"/>
      <c r="W677" s="58"/>
      <c r="X677" s="58"/>
      <c r="Y677" s="70"/>
      <c r="Z677" s="83"/>
      <c r="AA677" s="70"/>
      <c r="AB677" s="70"/>
      <c r="AC677" s="70"/>
      <c r="AD677" s="70"/>
      <c r="AE677" s="70"/>
      <c r="AF677" s="70"/>
      <c r="AG677" s="70"/>
      <c r="AH677" s="70"/>
      <c r="AI677" s="70"/>
      <c r="AJ677" s="70"/>
      <c r="AK677" s="70"/>
      <c r="AL677" s="70"/>
      <c r="AM677" s="70"/>
      <c r="AN677" s="70"/>
      <c r="AO677" s="70"/>
      <c r="AP677" s="70"/>
      <c r="AQ677" s="70"/>
      <c r="AR677" s="70"/>
      <c r="AS677" s="70"/>
      <c r="AT677" s="70"/>
    </row>
    <row r="678" ht="15.75" customHeight="1">
      <c r="A678" s="70"/>
      <c r="B678" s="70"/>
      <c r="C678" s="70"/>
      <c r="D678" s="80"/>
      <c r="E678" s="70"/>
      <c r="F678" s="70"/>
      <c r="G678" s="70"/>
      <c r="H678" s="70"/>
      <c r="I678" s="70"/>
      <c r="J678" s="70"/>
      <c r="K678" s="70"/>
      <c r="L678" s="70"/>
      <c r="M678" s="70"/>
      <c r="N678" s="70"/>
      <c r="O678" s="70"/>
      <c r="P678" s="70"/>
      <c r="Q678" s="70"/>
      <c r="R678" s="70"/>
      <c r="S678" s="70"/>
      <c r="T678" s="91"/>
      <c r="U678" s="91"/>
      <c r="V678" s="70"/>
      <c r="W678" s="58"/>
      <c r="X678" s="58"/>
      <c r="Y678" s="70"/>
      <c r="Z678" s="83"/>
      <c r="AA678" s="70"/>
      <c r="AB678" s="70"/>
      <c r="AC678" s="70"/>
      <c r="AD678" s="70"/>
      <c r="AE678" s="70"/>
      <c r="AF678" s="70"/>
      <c r="AG678" s="70"/>
      <c r="AH678" s="70"/>
      <c r="AI678" s="70"/>
      <c r="AJ678" s="70"/>
      <c r="AK678" s="70"/>
      <c r="AL678" s="70"/>
      <c r="AM678" s="70"/>
      <c r="AN678" s="70"/>
      <c r="AO678" s="70"/>
      <c r="AP678" s="70"/>
      <c r="AQ678" s="70"/>
      <c r="AR678" s="70"/>
      <c r="AS678" s="70"/>
      <c r="AT678" s="70"/>
    </row>
    <row r="679" ht="15.75" customHeight="1">
      <c r="A679" s="70"/>
      <c r="B679" s="70"/>
      <c r="C679" s="70"/>
      <c r="D679" s="80"/>
      <c r="E679" s="70"/>
      <c r="F679" s="70"/>
      <c r="G679" s="70"/>
      <c r="H679" s="70"/>
      <c r="I679" s="70"/>
      <c r="J679" s="70"/>
      <c r="K679" s="70"/>
      <c r="L679" s="70"/>
      <c r="M679" s="70"/>
      <c r="N679" s="70"/>
      <c r="O679" s="70"/>
      <c r="P679" s="70"/>
      <c r="Q679" s="70"/>
      <c r="R679" s="70"/>
      <c r="S679" s="70"/>
      <c r="T679" s="91"/>
      <c r="U679" s="91"/>
      <c r="V679" s="70"/>
      <c r="W679" s="58"/>
      <c r="X679" s="58"/>
      <c r="Y679" s="70"/>
      <c r="Z679" s="83"/>
      <c r="AA679" s="70"/>
      <c r="AB679" s="70"/>
      <c r="AC679" s="70"/>
      <c r="AD679" s="70"/>
      <c r="AE679" s="70"/>
      <c r="AF679" s="70"/>
      <c r="AG679" s="70"/>
      <c r="AH679" s="70"/>
      <c r="AI679" s="70"/>
      <c r="AJ679" s="70"/>
      <c r="AK679" s="70"/>
      <c r="AL679" s="70"/>
      <c r="AM679" s="70"/>
      <c r="AN679" s="70"/>
      <c r="AO679" s="70"/>
      <c r="AP679" s="70"/>
      <c r="AQ679" s="70"/>
      <c r="AR679" s="70"/>
      <c r="AS679" s="70"/>
      <c r="AT679" s="70"/>
    </row>
    <row r="680" ht="15.75" customHeight="1">
      <c r="A680" s="70"/>
      <c r="B680" s="70"/>
      <c r="C680" s="70"/>
      <c r="D680" s="80"/>
      <c r="E680" s="70"/>
      <c r="F680" s="70"/>
      <c r="G680" s="70"/>
      <c r="H680" s="70"/>
      <c r="I680" s="70"/>
      <c r="J680" s="70"/>
      <c r="K680" s="70"/>
      <c r="L680" s="70"/>
      <c r="M680" s="70"/>
      <c r="N680" s="70"/>
      <c r="O680" s="70"/>
      <c r="P680" s="70"/>
      <c r="Q680" s="70"/>
      <c r="R680" s="70"/>
      <c r="S680" s="70"/>
      <c r="T680" s="91"/>
      <c r="U680" s="91"/>
      <c r="V680" s="70"/>
      <c r="W680" s="58"/>
      <c r="X680" s="58"/>
      <c r="Y680" s="70"/>
      <c r="Z680" s="83"/>
      <c r="AA680" s="70"/>
      <c r="AB680" s="70"/>
      <c r="AC680" s="70"/>
      <c r="AD680" s="70"/>
      <c r="AE680" s="70"/>
      <c r="AF680" s="70"/>
      <c r="AG680" s="70"/>
      <c r="AH680" s="70"/>
      <c r="AI680" s="70"/>
      <c r="AJ680" s="70"/>
      <c r="AK680" s="70"/>
      <c r="AL680" s="70"/>
      <c r="AM680" s="70"/>
      <c r="AN680" s="70"/>
      <c r="AO680" s="70"/>
      <c r="AP680" s="70"/>
      <c r="AQ680" s="70"/>
      <c r="AR680" s="70"/>
      <c r="AS680" s="70"/>
      <c r="AT680" s="70"/>
    </row>
    <row r="681" ht="15.75" customHeight="1">
      <c r="A681" s="70"/>
      <c r="B681" s="70"/>
      <c r="C681" s="70"/>
      <c r="D681" s="80"/>
      <c r="E681" s="70"/>
      <c r="F681" s="70"/>
      <c r="G681" s="70"/>
      <c r="H681" s="70"/>
      <c r="I681" s="70"/>
      <c r="J681" s="70"/>
      <c r="K681" s="70"/>
      <c r="L681" s="70"/>
      <c r="M681" s="70"/>
      <c r="N681" s="70"/>
      <c r="O681" s="70"/>
      <c r="P681" s="70"/>
      <c r="Q681" s="70"/>
      <c r="R681" s="70"/>
      <c r="S681" s="70"/>
      <c r="T681" s="91"/>
      <c r="U681" s="91"/>
      <c r="V681" s="70"/>
      <c r="W681" s="58"/>
      <c r="X681" s="58"/>
      <c r="Y681" s="70"/>
      <c r="Z681" s="83"/>
      <c r="AA681" s="70"/>
      <c r="AB681" s="70"/>
      <c r="AC681" s="70"/>
      <c r="AD681" s="70"/>
      <c r="AE681" s="70"/>
      <c r="AF681" s="70"/>
      <c r="AG681" s="70"/>
      <c r="AH681" s="70"/>
      <c r="AI681" s="70"/>
      <c r="AJ681" s="70"/>
      <c r="AK681" s="70"/>
      <c r="AL681" s="70"/>
      <c r="AM681" s="70"/>
      <c r="AN681" s="70"/>
      <c r="AO681" s="70"/>
      <c r="AP681" s="70"/>
      <c r="AQ681" s="70"/>
      <c r="AR681" s="70"/>
      <c r="AS681" s="70"/>
      <c r="AT681" s="70"/>
    </row>
    <row r="682" ht="15.75" customHeight="1">
      <c r="A682" s="70"/>
      <c r="B682" s="70"/>
      <c r="C682" s="70"/>
      <c r="D682" s="80"/>
      <c r="E682" s="70"/>
      <c r="F682" s="70"/>
      <c r="G682" s="70"/>
      <c r="H682" s="70"/>
      <c r="I682" s="70"/>
      <c r="J682" s="70"/>
      <c r="K682" s="70"/>
      <c r="L682" s="70"/>
      <c r="M682" s="70"/>
      <c r="N682" s="70"/>
      <c r="O682" s="70"/>
      <c r="P682" s="70"/>
      <c r="Q682" s="70"/>
      <c r="R682" s="70"/>
      <c r="S682" s="70"/>
      <c r="T682" s="91"/>
      <c r="U682" s="91"/>
      <c r="V682" s="70"/>
      <c r="W682" s="58"/>
      <c r="X682" s="58"/>
      <c r="Y682" s="70"/>
      <c r="Z682" s="83"/>
      <c r="AA682" s="70"/>
      <c r="AB682" s="70"/>
      <c r="AC682" s="70"/>
      <c r="AD682" s="70"/>
      <c r="AE682" s="70"/>
      <c r="AF682" s="70"/>
      <c r="AG682" s="70"/>
      <c r="AH682" s="70"/>
      <c r="AI682" s="70"/>
      <c r="AJ682" s="70"/>
      <c r="AK682" s="70"/>
      <c r="AL682" s="70"/>
      <c r="AM682" s="70"/>
      <c r="AN682" s="70"/>
      <c r="AO682" s="70"/>
      <c r="AP682" s="70"/>
      <c r="AQ682" s="70"/>
      <c r="AR682" s="70"/>
      <c r="AS682" s="70"/>
      <c r="AT682" s="70"/>
    </row>
    <row r="683" ht="15.75" customHeight="1">
      <c r="A683" s="70"/>
      <c r="B683" s="70"/>
      <c r="C683" s="70"/>
      <c r="D683" s="80"/>
      <c r="E683" s="70"/>
      <c r="F683" s="70"/>
      <c r="G683" s="70"/>
      <c r="H683" s="70"/>
      <c r="I683" s="70"/>
      <c r="J683" s="70"/>
      <c r="K683" s="70"/>
      <c r="L683" s="70"/>
      <c r="M683" s="70"/>
      <c r="N683" s="70"/>
      <c r="O683" s="70"/>
      <c r="P683" s="70"/>
      <c r="Q683" s="70"/>
      <c r="R683" s="70"/>
      <c r="S683" s="70"/>
      <c r="T683" s="91"/>
      <c r="U683" s="91"/>
      <c r="V683" s="70"/>
      <c r="W683" s="58"/>
      <c r="X683" s="58"/>
      <c r="Y683" s="70"/>
      <c r="Z683" s="83"/>
      <c r="AA683" s="70"/>
      <c r="AB683" s="70"/>
      <c r="AC683" s="70"/>
      <c r="AD683" s="70"/>
      <c r="AE683" s="70"/>
      <c r="AF683" s="70"/>
      <c r="AG683" s="70"/>
      <c r="AH683" s="70"/>
      <c r="AI683" s="70"/>
      <c r="AJ683" s="70"/>
      <c r="AK683" s="70"/>
      <c r="AL683" s="70"/>
      <c r="AM683" s="70"/>
      <c r="AN683" s="70"/>
      <c r="AO683" s="70"/>
      <c r="AP683" s="70"/>
      <c r="AQ683" s="70"/>
      <c r="AR683" s="70"/>
      <c r="AS683" s="70"/>
      <c r="AT683" s="70"/>
    </row>
    <row r="684" ht="15.75" customHeight="1">
      <c r="A684" s="70"/>
      <c r="B684" s="70"/>
      <c r="C684" s="70"/>
      <c r="D684" s="80"/>
      <c r="E684" s="70"/>
      <c r="F684" s="70"/>
      <c r="G684" s="70"/>
      <c r="H684" s="70"/>
      <c r="I684" s="70"/>
      <c r="J684" s="70"/>
      <c r="K684" s="70"/>
      <c r="L684" s="70"/>
      <c r="M684" s="70"/>
      <c r="N684" s="70"/>
      <c r="O684" s="70"/>
      <c r="P684" s="70"/>
      <c r="Q684" s="70"/>
      <c r="R684" s="70"/>
      <c r="S684" s="70"/>
      <c r="T684" s="91"/>
      <c r="U684" s="91"/>
      <c r="V684" s="70"/>
      <c r="W684" s="58"/>
      <c r="X684" s="58"/>
      <c r="Y684" s="70"/>
      <c r="Z684" s="83"/>
      <c r="AA684" s="70"/>
      <c r="AB684" s="70"/>
      <c r="AC684" s="70"/>
      <c r="AD684" s="70"/>
      <c r="AE684" s="70"/>
      <c r="AF684" s="70"/>
      <c r="AG684" s="70"/>
      <c r="AH684" s="70"/>
      <c r="AI684" s="70"/>
      <c r="AJ684" s="70"/>
      <c r="AK684" s="70"/>
      <c r="AL684" s="70"/>
      <c r="AM684" s="70"/>
      <c r="AN684" s="70"/>
      <c r="AO684" s="70"/>
      <c r="AP684" s="70"/>
      <c r="AQ684" s="70"/>
      <c r="AR684" s="70"/>
      <c r="AS684" s="70"/>
      <c r="AT684" s="70"/>
    </row>
    <row r="685" ht="15.75" customHeight="1">
      <c r="A685" s="70"/>
      <c r="B685" s="70"/>
      <c r="C685" s="70"/>
      <c r="D685" s="80"/>
      <c r="E685" s="70"/>
      <c r="F685" s="70"/>
      <c r="G685" s="70"/>
      <c r="H685" s="70"/>
      <c r="I685" s="70"/>
      <c r="J685" s="70"/>
      <c r="K685" s="70"/>
      <c r="L685" s="70"/>
      <c r="M685" s="70"/>
      <c r="N685" s="70"/>
      <c r="O685" s="70"/>
      <c r="P685" s="70"/>
      <c r="Q685" s="70"/>
      <c r="R685" s="70"/>
      <c r="S685" s="70"/>
      <c r="T685" s="91"/>
      <c r="U685" s="91"/>
      <c r="V685" s="70"/>
      <c r="W685" s="58"/>
      <c r="X685" s="58"/>
      <c r="Y685" s="70"/>
      <c r="Z685" s="83"/>
      <c r="AA685" s="70"/>
      <c r="AB685" s="70"/>
      <c r="AC685" s="70"/>
      <c r="AD685" s="70"/>
      <c r="AE685" s="70"/>
      <c r="AF685" s="70"/>
      <c r="AG685" s="70"/>
      <c r="AH685" s="70"/>
      <c r="AI685" s="70"/>
      <c r="AJ685" s="70"/>
      <c r="AK685" s="70"/>
      <c r="AL685" s="70"/>
      <c r="AM685" s="70"/>
      <c r="AN685" s="70"/>
      <c r="AO685" s="70"/>
      <c r="AP685" s="70"/>
      <c r="AQ685" s="70"/>
      <c r="AR685" s="70"/>
      <c r="AS685" s="70"/>
      <c r="AT685" s="70"/>
    </row>
    <row r="686" ht="15.75" customHeight="1">
      <c r="A686" s="70"/>
      <c r="B686" s="70"/>
      <c r="C686" s="70"/>
      <c r="D686" s="80"/>
      <c r="E686" s="70"/>
      <c r="F686" s="70"/>
      <c r="G686" s="70"/>
      <c r="H686" s="70"/>
      <c r="I686" s="70"/>
      <c r="J686" s="70"/>
      <c r="K686" s="70"/>
      <c r="L686" s="70"/>
      <c r="M686" s="70"/>
      <c r="N686" s="70"/>
      <c r="O686" s="70"/>
      <c r="P686" s="70"/>
      <c r="Q686" s="70"/>
      <c r="R686" s="70"/>
      <c r="S686" s="70"/>
      <c r="T686" s="91"/>
      <c r="U686" s="91"/>
      <c r="V686" s="70"/>
      <c r="W686" s="58"/>
      <c r="X686" s="58"/>
      <c r="Y686" s="70"/>
      <c r="Z686" s="83"/>
      <c r="AA686" s="70"/>
      <c r="AB686" s="70"/>
      <c r="AC686" s="70"/>
      <c r="AD686" s="70"/>
      <c r="AE686" s="70"/>
      <c r="AF686" s="70"/>
      <c r="AG686" s="70"/>
      <c r="AH686" s="70"/>
      <c r="AI686" s="70"/>
      <c r="AJ686" s="70"/>
      <c r="AK686" s="70"/>
      <c r="AL686" s="70"/>
      <c r="AM686" s="70"/>
      <c r="AN686" s="70"/>
      <c r="AO686" s="70"/>
      <c r="AP686" s="70"/>
      <c r="AQ686" s="70"/>
      <c r="AR686" s="70"/>
      <c r="AS686" s="70"/>
      <c r="AT686" s="70"/>
    </row>
    <row r="687" ht="15.75" customHeight="1">
      <c r="A687" s="70"/>
      <c r="B687" s="70"/>
      <c r="C687" s="70"/>
      <c r="D687" s="80"/>
      <c r="E687" s="70"/>
      <c r="F687" s="70"/>
      <c r="G687" s="70"/>
      <c r="H687" s="70"/>
      <c r="I687" s="70"/>
      <c r="J687" s="70"/>
      <c r="K687" s="70"/>
      <c r="L687" s="70"/>
      <c r="M687" s="70"/>
      <c r="N687" s="70"/>
      <c r="O687" s="70"/>
      <c r="P687" s="70"/>
      <c r="Q687" s="70"/>
      <c r="R687" s="70"/>
      <c r="S687" s="70"/>
      <c r="T687" s="91"/>
      <c r="U687" s="91"/>
      <c r="V687" s="70"/>
      <c r="W687" s="58"/>
      <c r="X687" s="58"/>
      <c r="Y687" s="70"/>
      <c r="Z687" s="83"/>
      <c r="AA687" s="70"/>
      <c r="AB687" s="70"/>
      <c r="AC687" s="70"/>
      <c r="AD687" s="70"/>
      <c r="AE687" s="70"/>
      <c r="AF687" s="70"/>
      <c r="AG687" s="70"/>
      <c r="AH687" s="70"/>
      <c r="AI687" s="70"/>
      <c r="AJ687" s="70"/>
      <c r="AK687" s="70"/>
      <c r="AL687" s="70"/>
      <c r="AM687" s="70"/>
      <c r="AN687" s="70"/>
      <c r="AO687" s="70"/>
      <c r="AP687" s="70"/>
      <c r="AQ687" s="70"/>
      <c r="AR687" s="70"/>
      <c r="AS687" s="70"/>
      <c r="AT687" s="70"/>
    </row>
    <row r="688" ht="15.75" customHeight="1">
      <c r="A688" s="70"/>
      <c r="B688" s="70"/>
      <c r="C688" s="70"/>
      <c r="D688" s="80"/>
      <c r="E688" s="70"/>
      <c r="F688" s="70"/>
      <c r="G688" s="70"/>
      <c r="H688" s="70"/>
      <c r="I688" s="70"/>
      <c r="J688" s="70"/>
      <c r="K688" s="70"/>
      <c r="L688" s="70"/>
      <c r="M688" s="70"/>
      <c r="N688" s="70"/>
      <c r="O688" s="70"/>
      <c r="P688" s="70"/>
      <c r="Q688" s="70"/>
      <c r="R688" s="70"/>
      <c r="S688" s="70"/>
      <c r="T688" s="91"/>
      <c r="U688" s="91"/>
      <c r="V688" s="70"/>
      <c r="W688" s="58"/>
      <c r="X688" s="58"/>
      <c r="Y688" s="70"/>
      <c r="Z688" s="83"/>
      <c r="AA688" s="70"/>
      <c r="AB688" s="70"/>
      <c r="AC688" s="70"/>
      <c r="AD688" s="70"/>
      <c r="AE688" s="70"/>
      <c r="AF688" s="70"/>
      <c r="AG688" s="70"/>
      <c r="AH688" s="70"/>
      <c r="AI688" s="70"/>
      <c r="AJ688" s="70"/>
      <c r="AK688" s="70"/>
      <c r="AL688" s="70"/>
      <c r="AM688" s="70"/>
      <c r="AN688" s="70"/>
      <c r="AO688" s="70"/>
      <c r="AP688" s="70"/>
      <c r="AQ688" s="70"/>
      <c r="AR688" s="70"/>
      <c r="AS688" s="70"/>
      <c r="AT688" s="70"/>
    </row>
    <row r="689" ht="15.75" customHeight="1">
      <c r="A689" s="70"/>
      <c r="B689" s="70"/>
      <c r="C689" s="70"/>
      <c r="D689" s="80"/>
      <c r="E689" s="70"/>
      <c r="F689" s="70"/>
      <c r="G689" s="70"/>
      <c r="H689" s="70"/>
      <c r="I689" s="70"/>
      <c r="J689" s="70"/>
      <c r="K689" s="70"/>
      <c r="L689" s="70"/>
      <c r="M689" s="70"/>
      <c r="N689" s="70"/>
      <c r="O689" s="70"/>
      <c r="P689" s="70"/>
      <c r="Q689" s="70"/>
      <c r="R689" s="70"/>
      <c r="S689" s="70"/>
      <c r="T689" s="91"/>
      <c r="U689" s="91"/>
      <c r="V689" s="70"/>
      <c r="W689" s="58"/>
      <c r="X689" s="58"/>
      <c r="Y689" s="70"/>
      <c r="Z689" s="83"/>
      <c r="AA689" s="70"/>
      <c r="AB689" s="70"/>
      <c r="AC689" s="70"/>
      <c r="AD689" s="70"/>
      <c r="AE689" s="70"/>
      <c r="AF689" s="70"/>
      <c r="AG689" s="70"/>
      <c r="AH689" s="70"/>
      <c r="AI689" s="70"/>
      <c r="AJ689" s="70"/>
      <c r="AK689" s="70"/>
      <c r="AL689" s="70"/>
      <c r="AM689" s="70"/>
      <c r="AN689" s="70"/>
      <c r="AO689" s="70"/>
      <c r="AP689" s="70"/>
      <c r="AQ689" s="70"/>
      <c r="AR689" s="70"/>
      <c r="AS689" s="70"/>
      <c r="AT689" s="70"/>
    </row>
    <row r="690" ht="15.75" customHeight="1">
      <c r="A690" s="70"/>
      <c r="B690" s="70"/>
      <c r="C690" s="70"/>
      <c r="D690" s="80"/>
      <c r="E690" s="70"/>
      <c r="F690" s="70"/>
      <c r="G690" s="70"/>
      <c r="H690" s="70"/>
      <c r="I690" s="70"/>
      <c r="J690" s="70"/>
      <c r="K690" s="70"/>
      <c r="L690" s="70"/>
      <c r="M690" s="70"/>
      <c r="N690" s="70"/>
      <c r="O690" s="70"/>
      <c r="P690" s="70"/>
      <c r="Q690" s="70"/>
      <c r="R690" s="70"/>
      <c r="S690" s="70"/>
      <c r="T690" s="91"/>
      <c r="U690" s="91"/>
      <c r="V690" s="70"/>
      <c r="W690" s="58"/>
      <c r="X690" s="58"/>
      <c r="Y690" s="70"/>
      <c r="Z690" s="83"/>
      <c r="AA690" s="70"/>
      <c r="AB690" s="70"/>
      <c r="AC690" s="70"/>
      <c r="AD690" s="70"/>
      <c r="AE690" s="70"/>
      <c r="AF690" s="70"/>
      <c r="AG690" s="70"/>
      <c r="AH690" s="70"/>
      <c r="AI690" s="70"/>
      <c r="AJ690" s="70"/>
      <c r="AK690" s="70"/>
      <c r="AL690" s="70"/>
      <c r="AM690" s="70"/>
      <c r="AN690" s="70"/>
      <c r="AO690" s="70"/>
      <c r="AP690" s="70"/>
      <c r="AQ690" s="70"/>
      <c r="AR690" s="70"/>
      <c r="AS690" s="70"/>
      <c r="AT690" s="70"/>
    </row>
    <row r="691" ht="15.75" customHeight="1">
      <c r="A691" s="70"/>
      <c r="B691" s="70"/>
      <c r="C691" s="70"/>
      <c r="D691" s="80"/>
      <c r="E691" s="70"/>
      <c r="F691" s="70"/>
      <c r="G691" s="70"/>
      <c r="H691" s="70"/>
      <c r="I691" s="70"/>
      <c r="J691" s="70"/>
      <c r="K691" s="70"/>
      <c r="L691" s="70"/>
      <c r="M691" s="70"/>
      <c r="N691" s="70"/>
      <c r="O691" s="70"/>
      <c r="P691" s="70"/>
      <c r="Q691" s="70"/>
      <c r="R691" s="70"/>
      <c r="S691" s="70"/>
      <c r="T691" s="91"/>
      <c r="U691" s="91"/>
      <c r="V691" s="70"/>
      <c r="W691" s="58"/>
      <c r="X691" s="58"/>
      <c r="Y691" s="70"/>
      <c r="Z691" s="83"/>
      <c r="AA691" s="70"/>
      <c r="AB691" s="70"/>
      <c r="AC691" s="70"/>
      <c r="AD691" s="70"/>
      <c r="AE691" s="70"/>
      <c r="AF691" s="70"/>
      <c r="AG691" s="70"/>
      <c r="AH691" s="70"/>
      <c r="AI691" s="70"/>
      <c r="AJ691" s="70"/>
      <c r="AK691" s="70"/>
      <c r="AL691" s="70"/>
      <c r="AM691" s="70"/>
      <c r="AN691" s="70"/>
      <c r="AO691" s="70"/>
      <c r="AP691" s="70"/>
      <c r="AQ691" s="70"/>
      <c r="AR691" s="70"/>
      <c r="AS691" s="70"/>
      <c r="AT691" s="70"/>
    </row>
    <row r="692" ht="15.75" customHeight="1">
      <c r="A692" s="70"/>
      <c r="B692" s="70"/>
      <c r="C692" s="70"/>
      <c r="D692" s="80"/>
      <c r="E692" s="70"/>
      <c r="F692" s="70"/>
      <c r="G692" s="70"/>
      <c r="H692" s="70"/>
      <c r="I692" s="70"/>
      <c r="J692" s="70"/>
      <c r="K692" s="70"/>
      <c r="L692" s="70"/>
      <c r="M692" s="70"/>
      <c r="N692" s="70"/>
      <c r="O692" s="70"/>
      <c r="P692" s="70"/>
      <c r="Q692" s="70"/>
      <c r="R692" s="70"/>
      <c r="S692" s="70"/>
      <c r="T692" s="91"/>
      <c r="U692" s="91"/>
      <c r="V692" s="70"/>
      <c r="W692" s="58"/>
      <c r="X692" s="58"/>
      <c r="Y692" s="70"/>
      <c r="Z692" s="83"/>
      <c r="AA692" s="70"/>
      <c r="AB692" s="70"/>
      <c r="AC692" s="70"/>
      <c r="AD692" s="70"/>
      <c r="AE692" s="70"/>
      <c r="AF692" s="70"/>
      <c r="AG692" s="70"/>
      <c r="AH692" s="70"/>
      <c r="AI692" s="70"/>
      <c r="AJ692" s="70"/>
      <c r="AK692" s="70"/>
      <c r="AL692" s="70"/>
      <c r="AM692" s="70"/>
      <c r="AN692" s="70"/>
      <c r="AO692" s="70"/>
      <c r="AP692" s="70"/>
      <c r="AQ692" s="70"/>
      <c r="AR692" s="70"/>
      <c r="AS692" s="70"/>
      <c r="AT692" s="70"/>
    </row>
    <row r="693" ht="15.75" customHeight="1">
      <c r="A693" s="70"/>
      <c r="B693" s="70"/>
      <c r="C693" s="70"/>
      <c r="D693" s="80"/>
      <c r="E693" s="70"/>
      <c r="F693" s="70"/>
      <c r="G693" s="70"/>
      <c r="H693" s="70"/>
      <c r="I693" s="70"/>
      <c r="J693" s="70"/>
      <c r="K693" s="70"/>
      <c r="L693" s="70"/>
      <c r="M693" s="70"/>
      <c r="N693" s="70"/>
      <c r="O693" s="70"/>
      <c r="P693" s="70"/>
      <c r="Q693" s="70"/>
      <c r="R693" s="70"/>
      <c r="S693" s="70"/>
      <c r="T693" s="91"/>
      <c r="U693" s="91"/>
      <c r="V693" s="70"/>
      <c r="W693" s="58"/>
      <c r="X693" s="58"/>
      <c r="Y693" s="70"/>
      <c r="Z693" s="83"/>
      <c r="AA693" s="70"/>
      <c r="AB693" s="70"/>
      <c r="AC693" s="70"/>
      <c r="AD693" s="70"/>
      <c r="AE693" s="70"/>
      <c r="AF693" s="70"/>
      <c r="AG693" s="70"/>
      <c r="AH693" s="70"/>
      <c r="AI693" s="70"/>
      <c r="AJ693" s="70"/>
      <c r="AK693" s="70"/>
      <c r="AL693" s="70"/>
      <c r="AM693" s="70"/>
      <c r="AN693" s="70"/>
      <c r="AO693" s="70"/>
      <c r="AP693" s="70"/>
      <c r="AQ693" s="70"/>
      <c r="AR693" s="70"/>
      <c r="AS693" s="70"/>
      <c r="AT693" s="70"/>
    </row>
    <row r="694" ht="15.75" customHeight="1">
      <c r="A694" s="70"/>
      <c r="B694" s="70"/>
      <c r="C694" s="70"/>
      <c r="D694" s="80"/>
      <c r="E694" s="70"/>
      <c r="F694" s="70"/>
      <c r="G694" s="70"/>
      <c r="H694" s="70"/>
      <c r="I694" s="70"/>
      <c r="J694" s="70"/>
      <c r="K694" s="70"/>
      <c r="L694" s="70"/>
      <c r="M694" s="70"/>
      <c r="N694" s="70"/>
      <c r="O694" s="70"/>
      <c r="P694" s="70"/>
      <c r="Q694" s="70"/>
      <c r="R694" s="70"/>
      <c r="S694" s="70"/>
      <c r="T694" s="91"/>
      <c r="U694" s="91"/>
      <c r="V694" s="70"/>
      <c r="W694" s="58"/>
      <c r="X694" s="58"/>
      <c r="Y694" s="70"/>
      <c r="Z694" s="83"/>
      <c r="AA694" s="70"/>
      <c r="AB694" s="70"/>
      <c r="AC694" s="70"/>
      <c r="AD694" s="70"/>
      <c r="AE694" s="70"/>
      <c r="AF694" s="70"/>
      <c r="AG694" s="70"/>
      <c r="AH694" s="70"/>
      <c r="AI694" s="70"/>
      <c r="AJ694" s="70"/>
      <c r="AK694" s="70"/>
      <c r="AL694" s="70"/>
      <c r="AM694" s="70"/>
      <c r="AN694" s="70"/>
      <c r="AO694" s="70"/>
      <c r="AP694" s="70"/>
      <c r="AQ694" s="70"/>
      <c r="AR694" s="70"/>
      <c r="AS694" s="70"/>
      <c r="AT694" s="70"/>
    </row>
    <row r="695" ht="15.75" customHeight="1">
      <c r="A695" s="70"/>
      <c r="B695" s="70"/>
      <c r="C695" s="70"/>
      <c r="D695" s="80"/>
      <c r="E695" s="70"/>
      <c r="F695" s="70"/>
      <c r="G695" s="70"/>
      <c r="H695" s="70"/>
      <c r="I695" s="70"/>
      <c r="J695" s="70"/>
      <c r="K695" s="70"/>
      <c r="L695" s="70"/>
      <c r="M695" s="70"/>
      <c r="N695" s="70"/>
      <c r="O695" s="70"/>
      <c r="P695" s="70"/>
      <c r="Q695" s="70"/>
      <c r="R695" s="70"/>
      <c r="S695" s="70"/>
      <c r="T695" s="91"/>
      <c r="U695" s="91"/>
      <c r="V695" s="70"/>
      <c r="W695" s="58"/>
      <c r="X695" s="58"/>
      <c r="Y695" s="70"/>
      <c r="Z695" s="83"/>
      <c r="AA695" s="70"/>
      <c r="AB695" s="70"/>
      <c r="AC695" s="70"/>
      <c r="AD695" s="70"/>
      <c r="AE695" s="70"/>
      <c r="AF695" s="70"/>
      <c r="AG695" s="70"/>
      <c r="AH695" s="70"/>
      <c r="AI695" s="70"/>
      <c r="AJ695" s="70"/>
      <c r="AK695" s="70"/>
      <c r="AL695" s="70"/>
      <c r="AM695" s="70"/>
      <c r="AN695" s="70"/>
      <c r="AO695" s="70"/>
      <c r="AP695" s="70"/>
      <c r="AQ695" s="70"/>
      <c r="AR695" s="70"/>
      <c r="AS695" s="70"/>
      <c r="AT695" s="70"/>
    </row>
    <row r="696" ht="15.75" customHeight="1">
      <c r="A696" s="70"/>
      <c r="B696" s="70"/>
      <c r="C696" s="70"/>
      <c r="D696" s="80"/>
      <c r="E696" s="70"/>
      <c r="F696" s="70"/>
      <c r="G696" s="70"/>
      <c r="H696" s="70"/>
      <c r="I696" s="70"/>
      <c r="J696" s="70"/>
      <c r="K696" s="70"/>
      <c r="L696" s="70"/>
      <c r="M696" s="70"/>
      <c r="N696" s="70"/>
      <c r="O696" s="70"/>
      <c r="P696" s="70"/>
      <c r="Q696" s="70"/>
      <c r="R696" s="70"/>
      <c r="S696" s="70"/>
      <c r="T696" s="91"/>
      <c r="U696" s="91"/>
      <c r="V696" s="70"/>
      <c r="W696" s="58"/>
      <c r="X696" s="58"/>
      <c r="Y696" s="70"/>
      <c r="Z696" s="83"/>
      <c r="AA696" s="70"/>
      <c r="AB696" s="70"/>
      <c r="AC696" s="70"/>
      <c r="AD696" s="70"/>
      <c r="AE696" s="70"/>
      <c r="AF696" s="70"/>
      <c r="AG696" s="70"/>
      <c r="AH696" s="70"/>
      <c r="AI696" s="70"/>
      <c r="AJ696" s="70"/>
      <c r="AK696" s="70"/>
      <c r="AL696" s="70"/>
      <c r="AM696" s="70"/>
      <c r="AN696" s="70"/>
      <c r="AO696" s="70"/>
      <c r="AP696" s="70"/>
      <c r="AQ696" s="70"/>
      <c r="AR696" s="70"/>
      <c r="AS696" s="70"/>
      <c r="AT696" s="70"/>
    </row>
    <row r="697" ht="15.75" customHeight="1">
      <c r="A697" s="70"/>
      <c r="B697" s="70"/>
      <c r="C697" s="70"/>
      <c r="D697" s="80"/>
      <c r="E697" s="70"/>
      <c r="F697" s="70"/>
      <c r="G697" s="70"/>
      <c r="H697" s="70"/>
      <c r="I697" s="70"/>
      <c r="J697" s="70"/>
      <c r="K697" s="70"/>
      <c r="L697" s="70"/>
      <c r="M697" s="70"/>
      <c r="N697" s="70"/>
      <c r="O697" s="70"/>
      <c r="P697" s="70"/>
      <c r="Q697" s="70"/>
      <c r="R697" s="70"/>
      <c r="S697" s="70"/>
      <c r="T697" s="91"/>
      <c r="U697" s="91"/>
      <c r="V697" s="70"/>
      <c r="W697" s="58"/>
      <c r="X697" s="58"/>
      <c r="Y697" s="70"/>
      <c r="Z697" s="83"/>
      <c r="AA697" s="70"/>
      <c r="AB697" s="70"/>
      <c r="AC697" s="70"/>
      <c r="AD697" s="70"/>
      <c r="AE697" s="70"/>
      <c r="AF697" s="70"/>
      <c r="AG697" s="70"/>
      <c r="AH697" s="70"/>
      <c r="AI697" s="70"/>
      <c r="AJ697" s="70"/>
      <c r="AK697" s="70"/>
      <c r="AL697" s="70"/>
      <c r="AM697" s="70"/>
      <c r="AN697" s="70"/>
      <c r="AO697" s="70"/>
      <c r="AP697" s="70"/>
      <c r="AQ697" s="70"/>
      <c r="AR697" s="70"/>
      <c r="AS697" s="70"/>
      <c r="AT697" s="70"/>
    </row>
    <row r="698" ht="15.75" customHeight="1">
      <c r="A698" s="70"/>
      <c r="B698" s="70"/>
      <c r="C698" s="70"/>
      <c r="D698" s="80"/>
      <c r="E698" s="70"/>
      <c r="F698" s="70"/>
      <c r="G698" s="70"/>
      <c r="H698" s="70"/>
      <c r="I698" s="70"/>
      <c r="J698" s="70"/>
      <c r="K698" s="70"/>
      <c r="L698" s="70"/>
      <c r="M698" s="70"/>
      <c r="N698" s="70"/>
      <c r="O698" s="70"/>
      <c r="P698" s="70"/>
      <c r="Q698" s="70"/>
      <c r="R698" s="70"/>
      <c r="S698" s="70"/>
      <c r="T698" s="91"/>
      <c r="U698" s="91"/>
      <c r="V698" s="70"/>
      <c r="W698" s="58"/>
      <c r="X698" s="58"/>
      <c r="Y698" s="70"/>
      <c r="Z698" s="83"/>
      <c r="AA698" s="70"/>
      <c r="AB698" s="70"/>
      <c r="AC698" s="70"/>
      <c r="AD698" s="70"/>
      <c r="AE698" s="70"/>
      <c r="AF698" s="70"/>
      <c r="AG698" s="70"/>
      <c r="AH698" s="70"/>
      <c r="AI698" s="70"/>
      <c r="AJ698" s="70"/>
      <c r="AK698" s="70"/>
      <c r="AL698" s="70"/>
      <c r="AM698" s="70"/>
      <c r="AN698" s="70"/>
      <c r="AO698" s="70"/>
      <c r="AP698" s="70"/>
      <c r="AQ698" s="70"/>
      <c r="AR698" s="70"/>
      <c r="AS698" s="70"/>
      <c r="AT698" s="70"/>
    </row>
    <row r="699" ht="15.75" customHeight="1">
      <c r="A699" s="70"/>
      <c r="B699" s="70"/>
      <c r="C699" s="70"/>
      <c r="D699" s="80"/>
      <c r="E699" s="70"/>
      <c r="F699" s="70"/>
      <c r="G699" s="70"/>
      <c r="H699" s="70"/>
      <c r="I699" s="70"/>
      <c r="J699" s="70"/>
      <c r="K699" s="70"/>
      <c r="L699" s="70"/>
      <c r="M699" s="70"/>
      <c r="N699" s="70"/>
      <c r="O699" s="70"/>
      <c r="P699" s="70"/>
      <c r="Q699" s="70"/>
      <c r="R699" s="70"/>
      <c r="S699" s="70"/>
      <c r="T699" s="91"/>
      <c r="U699" s="91"/>
      <c r="V699" s="70"/>
      <c r="W699" s="58"/>
      <c r="X699" s="58"/>
      <c r="Y699" s="70"/>
      <c r="Z699" s="83"/>
      <c r="AA699" s="70"/>
      <c r="AB699" s="70"/>
      <c r="AC699" s="70"/>
      <c r="AD699" s="70"/>
      <c r="AE699" s="70"/>
      <c r="AF699" s="70"/>
      <c r="AG699" s="70"/>
      <c r="AH699" s="70"/>
      <c r="AI699" s="70"/>
      <c r="AJ699" s="70"/>
      <c r="AK699" s="70"/>
      <c r="AL699" s="70"/>
      <c r="AM699" s="70"/>
      <c r="AN699" s="70"/>
      <c r="AO699" s="70"/>
      <c r="AP699" s="70"/>
      <c r="AQ699" s="70"/>
      <c r="AR699" s="70"/>
      <c r="AS699" s="70"/>
      <c r="AT699" s="70"/>
    </row>
    <row r="700" ht="15.75" customHeight="1">
      <c r="A700" s="70"/>
      <c r="B700" s="70"/>
      <c r="C700" s="70"/>
      <c r="D700" s="80"/>
      <c r="E700" s="70"/>
      <c r="F700" s="70"/>
      <c r="G700" s="70"/>
      <c r="H700" s="70"/>
      <c r="I700" s="70"/>
      <c r="J700" s="70"/>
      <c r="K700" s="70"/>
      <c r="L700" s="70"/>
      <c r="M700" s="70"/>
      <c r="N700" s="70"/>
      <c r="O700" s="70"/>
      <c r="P700" s="70"/>
      <c r="Q700" s="70"/>
      <c r="R700" s="70"/>
      <c r="S700" s="70"/>
      <c r="T700" s="91"/>
      <c r="U700" s="91"/>
      <c r="V700" s="70"/>
      <c r="W700" s="58"/>
      <c r="X700" s="58"/>
      <c r="Y700" s="70"/>
      <c r="Z700" s="83"/>
      <c r="AA700" s="70"/>
      <c r="AB700" s="70"/>
      <c r="AC700" s="70"/>
      <c r="AD700" s="70"/>
      <c r="AE700" s="70"/>
      <c r="AF700" s="70"/>
      <c r="AG700" s="70"/>
      <c r="AH700" s="70"/>
      <c r="AI700" s="70"/>
      <c r="AJ700" s="70"/>
      <c r="AK700" s="70"/>
      <c r="AL700" s="70"/>
      <c r="AM700" s="70"/>
      <c r="AN700" s="70"/>
      <c r="AO700" s="70"/>
      <c r="AP700" s="70"/>
      <c r="AQ700" s="70"/>
      <c r="AR700" s="70"/>
      <c r="AS700" s="70"/>
      <c r="AT700" s="70"/>
    </row>
    <row r="701" ht="15.75" customHeight="1">
      <c r="A701" s="70"/>
      <c r="B701" s="70"/>
      <c r="C701" s="70"/>
      <c r="D701" s="80"/>
      <c r="E701" s="70"/>
      <c r="F701" s="70"/>
      <c r="G701" s="70"/>
      <c r="H701" s="70"/>
      <c r="I701" s="70"/>
      <c r="J701" s="70"/>
      <c r="K701" s="70"/>
      <c r="L701" s="70"/>
      <c r="M701" s="70"/>
      <c r="N701" s="70"/>
      <c r="O701" s="70"/>
      <c r="P701" s="70"/>
      <c r="Q701" s="70"/>
      <c r="R701" s="70"/>
      <c r="S701" s="70"/>
      <c r="T701" s="91"/>
      <c r="U701" s="91"/>
      <c r="V701" s="70"/>
      <c r="W701" s="58"/>
      <c r="X701" s="58"/>
      <c r="Y701" s="70"/>
      <c r="Z701" s="83"/>
      <c r="AA701" s="70"/>
      <c r="AB701" s="70"/>
      <c r="AC701" s="70"/>
      <c r="AD701" s="70"/>
      <c r="AE701" s="70"/>
      <c r="AF701" s="70"/>
      <c r="AG701" s="70"/>
      <c r="AH701" s="70"/>
      <c r="AI701" s="70"/>
      <c r="AJ701" s="70"/>
      <c r="AK701" s="70"/>
      <c r="AL701" s="70"/>
      <c r="AM701" s="70"/>
      <c r="AN701" s="70"/>
      <c r="AO701" s="70"/>
      <c r="AP701" s="70"/>
      <c r="AQ701" s="70"/>
      <c r="AR701" s="70"/>
      <c r="AS701" s="70"/>
      <c r="AT701" s="70"/>
    </row>
    <row r="702" ht="15.75" customHeight="1">
      <c r="A702" s="70"/>
      <c r="B702" s="70"/>
      <c r="C702" s="70"/>
      <c r="D702" s="80"/>
      <c r="E702" s="70"/>
      <c r="F702" s="70"/>
      <c r="G702" s="70"/>
      <c r="H702" s="70"/>
      <c r="I702" s="70"/>
      <c r="J702" s="70"/>
      <c r="K702" s="70"/>
      <c r="L702" s="70"/>
      <c r="M702" s="70"/>
      <c r="N702" s="70"/>
      <c r="O702" s="70"/>
      <c r="P702" s="70"/>
      <c r="Q702" s="70"/>
      <c r="R702" s="70"/>
      <c r="S702" s="70"/>
      <c r="T702" s="91"/>
      <c r="U702" s="91"/>
      <c r="V702" s="70"/>
      <c r="W702" s="58"/>
      <c r="X702" s="58"/>
      <c r="Y702" s="70"/>
      <c r="Z702" s="83"/>
      <c r="AA702" s="70"/>
      <c r="AB702" s="70"/>
      <c r="AC702" s="70"/>
      <c r="AD702" s="70"/>
      <c r="AE702" s="70"/>
      <c r="AF702" s="70"/>
      <c r="AG702" s="70"/>
      <c r="AH702" s="70"/>
      <c r="AI702" s="70"/>
      <c r="AJ702" s="70"/>
      <c r="AK702" s="70"/>
      <c r="AL702" s="70"/>
      <c r="AM702" s="70"/>
      <c r="AN702" s="70"/>
      <c r="AO702" s="70"/>
      <c r="AP702" s="70"/>
      <c r="AQ702" s="70"/>
      <c r="AR702" s="70"/>
      <c r="AS702" s="70"/>
      <c r="AT702" s="70"/>
    </row>
    <row r="703" ht="15.75" customHeight="1">
      <c r="A703" s="70"/>
      <c r="B703" s="70"/>
      <c r="C703" s="70"/>
      <c r="D703" s="80"/>
      <c r="E703" s="70"/>
      <c r="F703" s="70"/>
      <c r="G703" s="70"/>
      <c r="H703" s="70"/>
      <c r="I703" s="70"/>
      <c r="J703" s="70"/>
      <c r="K703" s="70"/>
      <c r="L703" s="70"/>
      <c r="M703" s="70"/>
      <c r="N703" s="70"/>
      <c r="O703" s="70"/>
      <c r="P703" s="70"/>
      <c r="Q703" s="70"/>
      <c r="R703" s="70"/>
      <c r="S703" s="70"/>
      <c r="T703" s="91"/>
      <c r="U703" s="91"/>
      <c r="V703" s="70"/>
      <c r="W703" s="58"/>
      <c r="X703" s="58"/>
      <c r="Y703" s="70"/>
      <c r="Z703" s="83"/>
      <c r="AA703" s="70"/>
      <c r="AB703" s="70"/>
      <c r="AC703" s="70"/>
      <c r="AD703" s="70"/>
      <c r="AE703" s="70"/>
      <c r="AF703" s="70"/>
      <c r="AG703" s="70"/>
      <c r="AH703" s="70"/>
      <c r="AI703" s="70"/>
      <c r="AJ703" s="70"/>
      <c r="AK703" s="70"/>
      <c r="AL703" s="70"/>
      <c r="AM703" s="70"/>
      <c r="AN703" s="70"/>
      <c r="AO703" s="70"/>
      <c r="AP703" s="70"/>
      <c r="AQ703" s="70"/>
      <c r="AR703" s="70"/>
      <c r="AS703" s="70"/>
      <c r="AT703" s="70"/>
    </row>
    <row r="704" ht="15.75" customHeight="1">
      <c r="A704" s="70"/>
      <c r="B704" s="70"/>
      <c r="C704" s="70"/>
      <c r="D704" s="80"/>
      <c r="E704" s="70"/>
      <c r="F704" s="70"/>
      <c r="G704" s="70"/>
      <c r="H704" s="70"/>
      <c r="I704" s="70"/>
      <c r="J704" s="70"/>
      <c r="K704" s="70"/>
      <c r="L704" s="70"/>
      <c r="M704" s="70"/>
      <c r="N704" s="70"/>
      <c r="O704" s="70"/>
      <c r="P704" s="70"/>
      <c r="Q704" s="70"/>
      <c r="R704" s="70"/>
      <c r="S704" s="70"/>
      <c r="T704" s="91"/>
      <c r="U704" s="91"/>
      <c r="V704" s="70"/>
      <c r="W704" s="58"/>
      <c r="X704" s="58"/>
      <c r="Y704" s="70"/>
      <c r="Z704" s="83"/>
      <c r="AA704" s="70"/>
      <c r="AB704" s="70"/>
      <c r="AC704" s="70"/>
      <c r="AD704" s="70"/>
      <c r="AE704" s="70"/>
      <c r="AF704" s="70"/>
      <c r="AG704" s="70"/>
      <c r="AH704" s="70"/>
      <c r="AI704" s="70"/>
      <c r="AJ704" s="70"/>
      <c r="AK704" s="70"/>
      <c r="AL704" s="70"/>
      <c r="AM704" s="70"/>
      <c r="AN704" s="70"/>
      <c r="AO704" s="70"/>
      <c r="AP704" s="70"/>
      <c r="AQ704" s="70"/>
      <c r="AR704" s="70"/>
      <c r="AS704" s="70"/>
      <c r="AT704" s="70"/>
    </row>
    <row r="705" ht="15.75" customHeight="1">
      <c r="A705" s="70"/>
      <c r="B705" s="70"/>
      <c r="C705" s="70"/>
      <c r="D705" s="80"/>
      <c r="E705" s="70"/>
      <c r="F705" s="70"/>
      <c r="G705" s="70"/>
      <c r="H705" s="70"/>
      <c r="I705" s="70"/>
      <c r="J705" s="70"/>
      <c r="K705" s="70"/>
      <c r="L705" s="70"/>
      <c r="M705" s="70"/>
      <c r="N705" s="70"/>
      <c r="O705" s="70"/>
      <c r="P705" s="70"/>
      <c r="Q705" s="70"/>
      <c r="R705" s="70"/>
      <c r="S705" s="70"/>
      <c r="T705" s="91"/>
      <c r="U705" s="91"/>
      <c r="V705" s="70"/>
      <c r="W705" s="58"/>
      <c r="X705" s="58"/>
      <c r="Y705" s="70"/>
      <c r="Z705" s="83"/>
      <c r="AA705" s="70"/>
      <c r="AB705" s="70"/>
      <c r="AC705" s="70"/>
      <c r="AD705" s="70"/>
      <c r="AE705" s="70"/>
      <c r="AF705" s="70"/>
      <c r="AG705" s="70"/>
      <c r="AH705" s="70"/>
      <c r="AI705" s="70"/>
      <c r="AJ705" s="70"/>
      <c r="AK705" s="70"/>
      <c r="AL705" s="70"/>
      <c r="AM705" s="70"/>
      <c r="AN705" s="70"/>
      <c r="AO705" s="70"/>
      <c r="AP705" s="70"/>
      <c r="AQ705" s="70"/>
      <c r="AR705" s="70"/>
      <c r="AS705" s="70"/>
      <c r="AT705" s="70"/>
    </row>
    <row r="706" ht="15.75" customHeight="1">
      <c r="A706" s="70"/>
      <c r="B706" s="70"/>
      <c r="C706" s="70"/>
      <c r="D706" s="80"/>
      <c r="E706" s="70"/>
      <c r="F706" s="70"/>
      <c r="G706" s="70"/>
      <c r="H706" s="70"/>
      <c r="I706" s="70"/>
      <c r="J706" s="70"/>
      <c r="K706" s="70"/>
      <c r="L706" s="70"/>
      <c r="M706" s="70"/>
      <c r="N706" s="70"/>
      <c r="O706" s="70"/>
      <c r="P706" s="70"/>
      <c r="Q706" s="70"/>
      <c r="R706" s="70"/>
      <c r="S706" s="70"/>
      <c r="T706" s="91"/>
      <c r="U706" s="91"/>
      <c r="V706" s="70"/>
      <c r="W706" s="58"/>
      <c r="X706" s="58"/>
      <c r="Y706" s="70"/>
      <c r="Z706" s="83"/>
      <c r="AA706" s="70"/>
      <c r="AB706" s="70"/>
      <c r="AC706" s="70"/>
      <c r="AD706" s="70"/>
      <c r="AE706" s="70"/>
      <c r="AF706" s="70"/>
      <c r="AG706" s="70"/>
      <c r="AH706" s="70"/>
      <c r="AI706" s="70"/>
      <c r="AJ706" s="70"/>
      <c r="AK706" s="70"/>
      <c r="AL706" s="70"/>
      <c r="AM706" s="70"/>
      <c r="AN706" s="70"/>
      <c r="AO706" s="70"/>
      <c r="AP706" s="70"/>
      <c r="AQ706" s="70"/>
      <c r="AR706" s="70"/>
      <c r="AS706" s="70"/>
      <c r="AT706" s="70"/>
    </row>
    <row r="707" ht="15.75" customHeight="1">
      <c r="A707" s="70"/>
      <c r="B707" s="70"/>
      <c r="C707" s="70"/>
      <c r="D707" s="80"/>
      <c r="E707" s="70"/>
      <c r="F707" s="70"/>
      <c r="G707" s="70"/>
      <c r="H707" s="70"/>
      <c r="I707" s="70"/>
      <c r="J707" s="70"/>
      <c r="K707" s="70"/>
      <c r="L707" s="70"/>
      <c r="M707" s="70"/>
      <c r="N707" s="70"/>
      <c r="O707" s="70"/>
      <c r="P707" s="70"/>
      <c r="Q707" s="70"/>
      <c r="R707" s="70"/>
      <c r="S707" s="70"/>
      <c r="T707" s="91"/>
      <c r="U707" s="91"/>
      <c r="V707" s="70"/>
      <c r="W707" s="58"/>
      <c r="X707" s="58"/>
      <c r="Y707" s="70"/>
      <c r="Z707" s="83"/>
      <c r="AA707" s="70"/>
      <c r="AB707" s="70"/>
      <c r="AC707" s="70"/>
      <c r="AD707" s="70"/>
      <c r="AE707" s="70"/>
      <c r="AF707" s="70"/>
      <c r="AG707" s="70"/>
      <c r="AH707" s="70"/>
      <c r="AI707" s="70"/>
      <c r="AJ707" s="70"/>
      <c r="AK707" s="70"/>
      <c r="AL707" s="70"/>
      <c r="AM707" s="70"/>
      <c r="AN707" s="70"/>
      <c r="AO707" s="70"/>
      <c r="AP707" s="70"/>
      <c r="AQ707" s="70"/>
      <c r="AR707" s="70"/>
      <c r="AS707" s="70"/>
      <c r="AT707" s="70"/>
    </row>
    <row r="708" ht="15.75" customHeight="1">
      <c r="A708" s="70"/>
      <c r="B708" s="70"/>
      <c r="C708" s="70"/>
      <c r="D708" s="80"/>
      <c r="E708" s="70"/>
      <c r="F708" s="70"/>
      <c r="G708" s="70"/>
      <c r="H708" s="70"/>
      <c r="I708" s="70"/>
      <c r="J708" s="70"/>
      <c r="K708" s="70"/>
      <c r="L708" s="70"/>
      <c r="M708" s="70"/>
      <c r="N708" s="70"/>
      <c r="O708" s="70"/>
      <c r="P708" s="70"/>
      <c r="Q708" s="70"/>
      <c r="R708" s="70"/>
      <c r="S708" s="70"/>
      <c r="T708" s="91"/>
      <c r="U708" s="91"/>
      <c r="V708" s="70"/>
      <c r="W708" s="58"/>
      <c r="X708" s="58"/>
      <c r="Y708" s="70"/>
      <c r="Z708" s="83"/>
      <c r="AA708" s="70"/>
      <c r="AB708" s="70"/>
      <c r="AC708" s="70"/>
      <c r="AD708" s="70"/>
      <c r="AE708" s="70"/>
      <c r="AF708" s="70"/>
      <c r="AG708" s="70"/>
      <c r="AH708" s="70"/>
      <c r="AI708" s="70"/>
      <c r="AJ708" s="70"/>
      <c r="AK708" s="70"/>
      <c r="AL708" s="70"/>
      <c r="AM708" s="70"/>
      <c r="AN708" s="70"/>
      <c r="AO708" s="70"/>
      <c r="AP708" s="70"/>
      <c r="AQ708" s="70"/>
      <c r="AR708" s="70"/>
      <c r="AS708" s="70"/>
      <c r="AT708" s="70"/>
    </row>
    <row r="709" ht="15.75" customHeight="1">
      <c r="A709" s="70"/>
      <c r="B709" s="70"/>
      <c r="C709" s="70"/>
      <c r="D709" s="80"/>
      <c r="E709" s="70"/>
      <c r="F709" s="70"/>
      <c r="G709" s="70"/>
      <c r="H709" s="70"/>
      <c r="I709" s="70"/>
      <c r="J709" s="70"/>
      <c r="K709" s="70"/>
      <c r="L709" s="70"/>
      <c r="M709" s="70"/>
      <c r="N709" s="70"/>
      <c r="O709" s="70"/>
      <c r="P709" s="70"/>
      <c r="Q709" s="70"/>
      <c r="R709" s="70"/>
      <c r="S709" s="70"/>
      <c r="T709" s="91"/>
      <c r="U709" s="91"/>
      <c r="V709" s="70"/>
      <c r="W709" s="58"/>
      <c r="X709" s="58"/>
      <c r="Y709" s="70"/>
      <c r="Z709" s="83"/>
      <c r="AA709" s="70"/>
      <c r="AB709" s="70"/>
      <c r="AC709" s="70"/>
      <c r="AD709" s="70"/>
      <c r="AE709" s="70"/>
      <c r="AF709" s="70"/>
      <c r="AG709" s="70"/>
      <c r="AH709" s="70"/>
      <c r="AI709" s="70"/>
      <c r="AJ709" s="70"/>
      <c r="AK709" s="70"/>
      <c r="AL709" s="70"/>
      <c r="AM709" s="70"/>
      <c r="AN709" s="70"/>
      <c r="AO709" s="70"/>
      <c r="AP709" s="70"/>
      <c r="AQ709" s="70"/>
      <c r="AR709" s="70"/>
      <c r="AS709" s="70"/>
      <c r="AT709" s="70"/>
    </row>
    <row r="710" ht="15.75" customHeight="1">
      <c r="A710" s="70"/>
      <c r="B710" s="70"/>
      <c r="C710" s="70"/>
      <c r="D710" s="80"/>
      <c r="E710" s="70"/>
      <c r="F710" s="70"/>
      <c r="G710" s="70"/>
      <c r="H710" s="70"/>
      <c r="I710" s="70"/>
      <c r="J710" s="70"/>
      <c r="K710" s="70"/>
      <c r="L710" s="70"/>
      <c r="M710" s="70"/>
      <c r="N710" s="70"/>
      <c r="O710" s="70"/>
      <c r="P710" s="70"/>
      <c r="Q710" s="70"/>
      <c r="R710" s="70"/>
      <c r="S710" s="70"/>
      <c r="T710" s="91"/>
      <c r="U710" s="91"/>
      <c r="V710" s="70"/>
      <c r="W710" s="58"/>
      <c r="X710" s="58"/>
      <c r="Y710" s="70"/>
      <c r="Z710" s="83"/>
      <c r="AA710" s="70"/>
      <c r="AB710" s="70"/>
      <c r="AC710" s="70"/>
      <c r="AD710" s="70"/>
      <c r="AE710" s="70"/>
      <c r="AF710" s="70"/>
      <c r="AG710" s="70"/>
      <c r="AH710" s="70"/>
      <c r="AI710" s="70"/>
      <c r="AJ710" s="70"/>
      <c r="AK710" s="70"/>
      <c r="AL710" s="70"/>
      <c r="AM710" s="70"/>
      <c r="AN710" s="70"/>
      <c r="AO710" s="70"/>
      <c r="AP710" s="70"/>
      <c r="AQ710" s="70"/>
      <c r="AR710" s="70"/>
      <c r="AS710" s="70"/>
      <c r="AT710" s="70"/>
    </row>
    <row r="711" ht="15.75" customHeight="1">
      <c r="A711" s="70"/>
      <c r="B711" s="70"/>
      <c r="C711" s="70"/>
      <c r="D711" s="80"/>
      <c r="E711" s="70"/>
      <c r="F711" s="70"/>
      <c r="G711" s="70"/>
      <c r="H711" s="70"/>
      <c r="I711" s="70"/>
      <c r="J711" s="70"/>
      <c r="K711" s="70"/>
      <c r="L711" s="70"/>
      <c r="M711" s="70"/>
      <c r="N711" s="70"/>
      <c r="O711" s="70"/>
      <c r="P711" s="70"/>
      <c r="Q711" s="70"/>
      <c r="R711" s="70"/>
      <c r="S711" s="70"/>
      <c r="T711" s="91"/>
      <c r="U711" s="91"/>
      <c r="V711" s="70"/>
      <c r="W711" s="58"/>
      <c r="X711" s="58"/>
      <c r="Y711" s="70"/>
      <c r="Z711" s="83"/>
      <c r="AA711" s="70"/>
      <c r="AB711" s="70"/>
      <c r="AC711" s="70"/>
      <c r="AD711" s="70"/>
      <c r="AE711" s="70"/>
      <c r="AF711" s="70"/>
      <c r="AG711" s="70"/>
      <c r="AH711" s="70"/>
      <c r="AI711" s="70"/>
      <c r="AJ711" s="70"/>
      <c r="AK711" s="70"/>
      <c r="AL711" s="70"/>
      <c r="AM711" s="70"/>
      <c r="AN711" s="70"/>
      <c r="AO711" s="70"/>
      <c r="AP711" s="70"/>
      <c r="AQ711" s="70"/>
      <c r="AR711" s="70"/>
      <c r="AS711" s="70"/>
      <c r="AT711" s="70"/>
    </row>
    <row r="712" ht="15.75" customHeight="1">
      <c r="A712" s="70"/>
      <c r="B712" s="70"/>
      <c r="C712" s="70"/>
      <c r="D712" s="80"/>
      <c r="E712" s="70"/>
      <c r="F712" s="70"/>
      <c r="G712" s="70"/>
      <c r="H712" s="70"/>
      <c r="I712" s="70"/>
      <c r="J712" s="70"/>
      <c r="K712" s="70"/>
      <c r="L712" s="70"/>
      <c r="M712" s="70"/>
      <c r="N712" s="70"/>
      <c r="O712" s="70"/>
      <c r="P712" s="70"/>
      <c r="Q712" s="70"/>
      <c r="R712" s="70"/>
      <c r="S712" s="70"/>
      <c r="T712" s="91"/>
      <c r="U712" s="91"/>
      <c r="V712" s="70"/>
      <c r="W712" s="58"/>
      <c r="X712" s="58"/>
      <c r="Y712" s="70"/>
      <c r="Z712" s="83"/>
      <c r="AA712" s="70"/>
      <c r="AB712" s="70"/>
      <c r="AC712" s="70"/>
      <c r="AD712" s="70"/>
      <c r="AE712" s="70"/>
      <c r="AF712" s="70"/>
      <c r="AG712" s="70"/>
      <c r="AH712" s="70"/>
      <c r="AI712" s="70"/>
      <c r="AJ712" s="70"/>
      <c r="AK712" s="70"/>
      <c r="AL712" s="70"/>
      <c r="AM712" s="70"/>
      <c r="AN712" s="70"/>
      <c r="AO712" s="70"/>
      <c r="AP712" s="70"/>
      <c r="AQ712" s="70"/>
      <c r="AR712" s="70"/>
      <c r="AS712" s="70"/>
      <c r="AT712" s="70"/>
    </row>
    <row r="713" ht="15.75" customHeight="1">
      <c r="A713" s="70"/>
      <c r="B713" s="70"/>
      <c r="C713" s="70"/>
      <c r="D713" s="80"/>
      <c r="E713" s="70"/>
      <c r="F713" s="70"/>
      <c r="G713" s="70"/>
      <c r="H713" s="70"/>
      <c r="I713" s="70"/>
      <c r="J713" s="70"/>
      <c r="K713" s="70"/>
      <c r="L713" s="70"/>
      <c r="M713" s="70"/>
      <c r="N713" s="70"/>
      <c r="O713" s="70"/>
      <c r="P713" s="70"/>
      <c r="Q713" s="70"/>
      <c r="R713" s="70"/>
      <c r="S713" s="70"/>
      <c r="T713" s="91"/>
      <c r="U713" s="91"/>
      <c r="V713" s="70"/>
      <c r="W713" s="58"/>
      <c r="X713" s="58"/>
      <c r="Y713" s="70"/>
      <c r="Z713" s="83"/>
      <c r="AA713" s="70"/>
      <c r="AB713" s="70"/>
      <c r="AC713" s="70"/>
      <c r="AD713" s="70"/>
      <c r="AE713" s="70"/>
      <c r="AF713" s="70"/>
      <c r="AG713" s="70"/>
      <c r="AH713" s="70"/>
      <c r="AI713" s="70"/>
      <c r="AJ713" s="70"/>
      <c r="AK713" s="70"/>
      <c r="AL713" s="70"/>
      <c r="AM713" s="70"/>
      <c r="AN713" s="70"/>
      <c r="AO713" s="70"/>
      <c r="AP713" s="70"/>
      <c r="AQ713" s="70"/>
      <c r="AR713" s="70"/>
      <c r="AS713" s="70"/>
      <c r="AT713" s="70"/>
    </row>
    <row r="714" ht="15.75" customHeight="1">
      <c r="A714" s="70"/>
      <c r="B714" s="70"/>
      <c r="C714" s="70"/>
      <c r="D714" s="80"/>
      <c r="E714" s="70"/>
      <c r="F714" s="70"/>
      <c r="G714" s="70"/>
      <c r="H714" s="70"/>
      <c r="I714" s="70"/>
      <c r="J714" s="70"/>
      <c r="K714" s="70"/>
      <c r="L714" s="70"/>
      <c r="M714" s="70"/>
      <c r="N714" s="70"/>
      <c r="O714" s="70"/>
      <c r="P714" s="70"/>
      <c r="Q714" s="70"/>
      <c r="R714" s="70"/>
      <c r="S714" s="70"/>
      <c r="T714" s="91"/>
      <c r="U714" s="91"/>
      <c r="V714" s="70"/>
      <c r="W714" s="58"/>
      <c r="X714" s="58"/>
      <c r="Y714" s="70"/>
      <c r="Z714" s="83"/>
      <c r="AA714" s="70"/>
      <c r="AB714" s="70"/>
      <c r="AC714" s="70"/>
      <c r="AD714" s="70"/>
      <c r="AE714" s="70"/>
      <c r="AF714" s="70"/>
      <c r="AG714" s="70"/>
      <c r="AH714" s="70"/>
      <c r="AI714" s="70"/>
      <c r="AJ714" s="70"/>
      <c r="AK714" s="70"/>
      <c r="AL714" s="70"/>
      <c r="AM714" s="70"/>
      <c r="AN714" s="70"/>
      <c r="AO714" s="70"/>
      <c r="AP714" s="70"/>
      <c r="AQ714" s="70"/>
      <c r="AR714" s="70"/>
      <c r="AS714" s="70"/>
      <c r="AT714" s="70"/>
    </row>
    <row r="715" ht="15.75" customHeight="1">
      <c r="A715" s="70"/>
      <c r="B715" s="70"/>
      <c r="C715" s="70"/>
      <c r="D715" s="80"/>
      <c r="E715" s="70"/>
      <c r="F715" s="70"/>
      <c r="G715" s="70"/>
      <c r="H715" s="70"/>
      <c r="I715" s="70"/>
      <c r="J715" s="70"/>
      <c r="K715" s="70"/>
      <c r="L715" s="70"/>
      <c r="M715" s="70"/>
      <c r="N715" s="70"/>
      <c r="O715" s="70"/>
      <c r="P715" s="70"/>
      <c r="Q715" s="70"/>
      <c r="R715" s="70"/>
      <c r="S715" s="70"/>
      <c r="T715" s="91"/>
      <c r="U715" s="91"/>
      <c r="V715" s="70"/>
      <c r="W715" s="58"/>
      <c r="X715" s="58"/>
      <c r="Y715" s="70"/>
      <c r="Z715" s="83"/>
      <c r="AA715" s="70"/>
      <c r="AB715" s="70"/>
      <c r="AC715" s="70"/>
      <c r="AD715" s="70"/>
      <c r="AE715" s="70"/>
      <c r="AF715" s="70"/>
      <c r="AG715" s="70"/>
      <c r="AH715" s="70"/>
      <c r="AI715" s="70"/>
      <c r="AJ715" s="70"/>
      <c r="AK715" s="70"/>
      <c r="AL715" s="70"/>
      <c r="AM715" s="70"/>
      <c r="AN715" s="70"/>
      <c r="AO715" s="70"/>
      <c r="AP715" s="70"/>
      <c r="AQ715" s="70"/>
      <c r="AR715" s="70"/>
      <c r="AS715" s="70"/>
      <c r="AT715" s="70"/>
    </row>
    <row r="716" ht="15.75" customHeight="1">
      <c r="A716" s="70"/>
      <c r="B716" s="70"/>
      <c r="C716" s="70"/>
      <c r="D716" s="80"/>
      <c r="E716" s="70"/>
      <c r="F716" s="70"/>
      <c r="G716" s="70"/>
      <c r="H716" s="70"/>
      <c r="I716" s="70"/>
      <c r="J716" s="70"/>
      <c r="K716" s="70"/>
      <c r="L716" s="70"/>
      <c r="M716" s="70"/>
      <c r="N716" s="70"/>
      <c r="O716" s="70"/>
      <c r="P716" s="70"/>
      <c r="Q716" s="70"/>
      <c r="R716" s="70"/>
      <c r="S716" s="70"/>
      <c r="T716" s="91"/>
      <c r="U716" s="91"/>
      <c r="V716" s="70"/>
      <c r="W716" s="58"/>
      <c r="X716" s="58"/>
      <c r="Y716" s="70"/>
      <c r="Z716" s="83"/>
      <c r="AA716" s="70"/>
      <c r="AB716" s="70"/>
      <c r="AC716" s="70"/>
      <c r="AD716" s="70"/>
      <c r="AE716" s="70"/>
      <c r="AF716" s="70"/>
      <c r="AG716" s="70"/>
      <c r="AH716" s="70"/>
      <c r="AI716" s="70"/>
      <c r="AJ716" s="70"/>
      <c r="AK716" s="70"/>
      <c r="AL716" s="70"/>
      <c r="AM716" s="70"/>
      <c r="AN716" s="70"/>
      <c r="AO716" s="70"/>
      <c r="AP716" s="70"/>
      <c r="AQ716" s="70"/>
      <c r="AR716" s="70"/>
      <c r="AS716" s="70"/>
      <c r="AT716" s="70"/>
    </row>
    <row r="717" ht="15.75" customHeight="1">
      <c r="A717" s="70"/>
      <c r="B717" s="70"/>
      <c r="C717" s="70"/>
      <c r="D717" s="80"/>
      <c r="E717" s="70"/>
      <c r="F717" s="70"/>
      <c r="G717" s="70"/>
      <c r="H717" s="70"/>
      <c r="I717" s="70"/>
      <c r="J717" s="70"/>
      <c r="K717" s="70"/>
      <c r="L717" s="70"/>
      <c r="M717" s="70"/>
      <c r="N717" s="70"/>
      <c r="O717" s="70"/>
      <c r="P717" s="70"/>
      <c r="Q717" s="70"/>
      <c r="R717" s="70"/>
      <c r="S717" s="70"/>
      <c r="T717" s="91"/>
      <c r="U717" s="91"/>
      <c r="V717" s="70"/>
      <c r="W717" s="58"/>
      <c r="X717" s="58"/>
      <c r="Y717" s="70"/>
      <c r="Z717" s="83"/>
      <c r="AA717" s="70"/>
      <c r="AB717" s="70"/>
      <c r="AC717" s="70"/>
      <c r="AD717" s="70"/>
      <c r="AE717" s="70"/>
      <c r="AF717" s="70"/>
      <c r="AG717" s="70"/>
      <c r="AH717" s="70"/>
      <c r="AI717" s="70"/>
      <c r="AJ717" s="70"/>
      <c r="AK717" s="70"/>
      <c r="AL717" s="70"/>
      <c r="AM717" s="70"/>
      <c r="AN717" s="70"/>
      <c r="AO717" s="70"/>
      <c r="AP717" s="70"/>
      <c r="AQ717" s="70"/>
      <c r="AR717" s="70"/>
      <c r="AS717" s="70"/>
      <c r="AT717" s="70"/>
    </row>
    <row r="718" ht="15.75" customHeight="1">
      <c r="A718" s="70"/>
      <c r="B718" s="70"/>
      <c r="C718" s="70"/>
      <c r="D718" s="80"/>
      <c r="E718" s="70"/>
      <c r="F718" s="70"/>
      <c r="G718" s="70"/>
      <c r="H718" s="70"/>
      <c r="I718" s="70"/>
      <c r="J718" s="70"/>
      <c r="K718" s="70"/>
      <c r="L718" s="70"/>
      <c r="M718" s="70"/>
      <c r="N718" s="70"/>
      <c r="O718" s="70"/>
      <c r="P718" s="70"/>
      <c r="Q718" s="70"/>
      <c r="R718" s="70"/>
      <c r="S718" s="70"/>
      <c r="T718" s="91"/>
      <c r="U718" s="91"/>
      <c r="V718" s="70"/>
      <c r="W718" s="58"/>
      <c r="X718" s="58"/>
      <c r="Y718" s="70"/>
      <c r="Z718" s="83"/>
      <c r="AA718" s="70"/>
      <c r="AB718" s="70"/>
      <c r="AC718" s="70"/>
      <c r="AD718" s="70"/>
      <c r="AE718" s="70"/>
      <c r="AF718" s="70"/>
      <c r="AG718" s="70"/>
      <c r="AH718" s="70"/>
      <c r="AI718" s="70"/>
      <c r="AJ718" s="70"/>
      <c r="AK718" s="70"/>
      <c r="AL718" s="70"/>
      <c r="AM718" s="70"/>
      <c r="AN718" s="70"/>
      <c r="AO718" s="70"/>
      <c r="AP718" s="70"/>
      <c r="AQ718" s="70"/>
      <c r="AR718" s="70"/>
      <c r="AS718" s="70"/>
      <c r="AT718" s="70"/>
    </row>
    <row r="719" ht="15.75" customHeight="1">
      <c r="A719" s="70"/>
      <c r="B719" s="70"/>
      <c r="C719" s="70"/>
      <c r="D719" s="80"/>
      <c r="E719" s="70"/>
      <c r="F719" s="70"/>
      <c r="G719" s="70"/>
      <c r="H719" s="70"/>
      <c r="I719" s="70"/>
      <c r="J719" s="70"/>
      <c r="K719" s="70"/>
      <c r="L719" s="70"/>
      <c r="M719" s="70"/>
      <c r="N719" s="70"/>
      <c r="O719" s="70"/>
      <c r="P719" s="70"/>
      <c r="Q719" s="70"/>
      <c r="R719" s="70"/>
      <c r="S719" s="70"/>
      <c r="T719" s="91"/>
      <c r="U719" s="91"/>
      <c r="V719" s="70"/>
      <c r="W719" s="58"/>
      <c r="X719" s="58"/>
      <c r="Y719" s="70"/>
      <c r="Z719" s="83"/>
      <c r="AA719" s="70"/>
      <c r="AB719" s="70"/>
      <c r="AC719" s="70"/>
      <c r="AD719" s="70"/>
      <c r="AE719" s="70"/>
      <c r="AF719" s="70"/>
      <c r="AG719" s="70"/>
      <c r="AH719" s="70"/>
      <c r="AI719" s="70"/>
      <c r="AJ719" s="70"/>
      <c r="AK719" s="70"/>
      <c r="AL719" s="70"/>
      <c r="AM719" s="70"/>
      <c r="AN719" s="70"/>
      <c r="AO719" s="70"/>
      <c r="AP719" s="70"/>
      <c r="AQ719" s="70"/>
      <c r="AR719" s="70"/>
      <c r="AS719" s="70"/>
      <c r="AT719" s="70"/>
    </row>
    <row r="720" ht="15.75" customHeight="1">
      <c r="A720" s="70"/>
      <c r="B720" s="70"/>
      <c r="C720" s="70"/>
      <c r="D720" s="80"/>
      <c r="E720" s="70"/>
      <c r="F720" s="70"/>
      <c r="G720" s="70"/>
      <c r="H720" s="70"/>
      <c r="I720" s="70"/>
      <c r="J720" s="70"/>
      <c r="K720" s="70"/>
      <c r="L720" s="70"/>
      <c r="M720" s="70"/>
      <c r="N720" s="70"/>
      <c r="O720" s="70"/>
      <c r="P720" s="70"/>
      <c r="Q720" s="70"/>
      <c r="R720" s="70"/>
      <c r="S720" s="70"/>
      <c r="T720" s="91"/>
      <c r="U720" s="91"/>
      <c r="V720" s="70"/>
      <c r="W720" s="58"/>
      <c r="X720" s="58"/>
      <c r="Y720" s="70"/>
      <c r="Z720" s="83"/>
      <c r="AA720" s="70"/>
      <c r="AB720" s="70"/>
      <c r="AC720" s="70"/>
      <c r="AD720" s="70"/>
      <c r="AE720" s="70"/>
      <c r="AF720" s="70"/>
      <c r="AG720" s="70"/>
      <c r="AH720" s="70"/>
      <c r="AI720" s="70"/>
      <c r="AJ720" s="70"/>
      <c r="AK720" s="70"/>
      <c r="AL720" s="70"/>
      <c r="AM720" s="70"/>
      <c r="AN720" s="70"/>
      <c r="AO720" s="70"/>
      <c r="AP720" s="70"/>
      <c r="AQ720" s="70"/>
      <c r="AR720" s="70"/>
      <c r="AS720" s="70"/>
      <c r="AT720" s="70"/>
    </row>
    <row r="721" ht="15.75" customHeight="1">
      <c r="A721" s="70"/>
      <c r="B721" s="70"/>
      <c r="C721" s="70"/>
      <c r="D721" s="80"/>
      <c r="E721" s="70"/>
      <c r="F721" s="70"/>
      <c r="G721" s="70"/>
      <c r="H721" s="70"/>
      <c r="I721" s="70"/>
      <c r="J721" s="70"/>
      <c r="K721" s="70"/>
      <c r="L721" s="70"/>
      <c r="M721" s="70"/>
      <c r="N721" s="70"/>
      <c r="O721" s="70"/>
      <c r="P721" s="70"/>
      <c r="Q721" s="70"/>
      <c r="R721" s="70"/>
      <c r="S721" s="70"/>
      <c r="T721" s="91"/>
      <c r="U721" s="91"/>
      <c r="V721" s="70"/>
      <c r="W721" s="58"/>
      <c r="X721" s="58"/>
      <c r="Y721" s="70"/>
      <c r="Z721" s="83"/>
      <c r="AA721" s="70"/>
      <c r="AB721" s="70"/>
      <c r="AC721" s="70"/>
      <c r="AD721" s="70"/>
      <c r="AE721" s="70"/>
      <c r="AF721" s="70"/>
      <c r="AG721" s="70"/>
      <c r="AH721" s="70"/>
      <c r="AI721" s="70"/>
      <c r="AJ721" s="70"/>
      <c r="AK721" s="70"/>
      <c r="AL721" s="70"/>
      <c r="AM721" s="70"/>
      <c r="AN721" s="70"/>
      <c r="AO721" s="70"/>
      <c r="AP721" s="70"/>
      <c r="AQ721" s="70"/>
      <c r="AR721" s="70"/>
      <c r="AS721" s="70"/>
      <c r="AT721" s="70"/>
    </row>
    <row r="722" ht="15.75" customHeight="1">
      <c r="A722" s="70"/>
      <c r="B722" s="70"/>
      <c r="C722" s="70"/>
      <c r="D722" s="80"/>
      <c r="E722" s="70"/>
      <c r="F722" s="70"/>
      <c r="G722" s="70"/>
      <c r="H722" s="70"/>
      <c r="I722" s="70"/>
      <c r="J722" s="70"/>
      <c r="K722" s="70"/>
      <c r="L722" s="70"/>
      <c r="M722" s="70"/>
      <c r="N722" s="70"/>
      <c r="O722" s="70"/>
      <c r="P722" s="70"/>
      <c r="Q722" s="70"/>
      <c r="R722" s="70"/>
      <c r="S722" s="70"/>
      <c r="T722" s="91"/>
      <c r="U722" s="91"/>
      <c r="V722" s="70"/>
      <c r="W722" s="58"/>
      <c r="X722" s="58"/>
      <c r="Y722" s="70"/>
      <c r="Z722" s="83"/>
      <c r="AA722" s="70"/>
      <c r="AB722" s="70"/>
      <c r="AC722" s="70"/>
      <c r="AD722" s="70"/>
      <c r="AE722" s="70"/>
      <c r="AF722" s="70"/>
      <c r="AG722" s="70"/>
      <c r="AH722" s="70"/>
      <c r="AI722" s="70"/>
      <c r="AJ722" s="70"/>
      <c r="AK722" s="70"/>
      <c r="AL722" s="70"/>
      <c r="AM722" s="70"/>
      <c r="AN722" s="70"/>
      <c r="AO722" s="70"/>
      <c r="AP722" s="70"/>
      <c r="AQ722" s="70"/>
      <c r="AR722" s="70"/>
      <c r="AS722" s="70"/>
      <c r="AT722" s="70"/>
    </row>
    <row r="723" ht="15.75" customHeight="1">
      <c r="A723" s="70"/>
      <c r="B723" s="70"/>
      <c r="C723" s="70"/>
      <c r="D723" s="80"/>
      <c r="E723" s="70"/>
      <c r="F723" s="70"/>
      <c r="G723" s="70"/>
      <c r="H723" s="70"/>
      <c r="I723" s="70"/>
      <c r="J723" s="70"/>
      <c r="K723" s="70"/>
      <c r="L723" s="70"/>
      <c r="M723" s="70"/>
      <c r="N723" s="70"/>
      <c r="O723" s="70"/>
      <c r="P723" s="70"/>
      <c r="Q723" s="70"/>
      <c r="R723" s="70"/>
      <c r="S723" s="70"/>
      <c r="T723" s="91"/>
      <c r="U723" s="91"/>
      <c r="V723" s="70"/>
      <c r="W723" s="58"/>
      <c r="X723" s="58"/>
      <c r="Y723" s="70"/>
      <c r="Z723" s="83"/>
      <c r="AA723" s="70"/>
      <c r="AB723" s="70"/>
      <c r="AC723" s="70"/>
      <c r="AD723" s="70"/>
      <c r="AE723" s="70"/>
      <c r="AF723" s="70"/>
      <c r="AG723" s="70"/>
      <c r="AH723" s="70"/>
      <c r="AI723" s="70"/>
      <c r="AJ723" s="70"/>
      <c r="AK723" s="70"/>
      <c r="AL723" s="70"/>
      <c r="AM723" s="70"/>
      <c r="AN723" s="70"/>
      <c r="AO723" s="70"/>
      <c r="AP723" s="70"/>
      <c r="AQ723" s="70"/>
      <c r="AR723" s="70"/>
      <c r="AS723" s="70"/>
      <c r="AT723" s="70"/>
    </row>
    <row r="724" ht="15.75" customHeight="1">
      <c r="A724" s="70"/>
      <c r="B724" s="70"/>
      <c r="C724" s="70"/>
      <c r="D724" s="80"/>
      <c r="E724" s="70"/>
      <c r="F724" s="70"/>
      <c r="G724" s="70"/>
      <c r="H724" s="70"/>
      <c r="I724" s="70"/>
      <c r="J724" s="70"/>
      <c r="K724" s="70"/>
      <c r="L724" s="70"/>
      <c r="M724" s="70"/>
      <c r="N724" s="70"/>
      <c r="O724" s="70"/>
      <c r="P724" s="70"/>
      <c r="Q724" s="70"/>
      <c r="R724" s="70"/>
      <c r="S724" s="70"/>
      <c r="T724" s="91"/>
      <c r="U724" s="91"/>
      <c r="V724" s="70"/>
      <c r="W724" s="58"/>
      <c r="X724" s="58"/>
      <c r="Y724" s="70"/>
      <c r="Z724" s="83"/>
      <c r="AA724" s="70"/>
      <c r="AB724" s="70"/>
      <c r="AC724" s="70"/>
      <c r="AD724" s="70"/>
      <c r="AE724" s="70"/>
      <c r="AF724" s="70"/>
      <c r="AG724" s="70"/>
      <c r="AH724" s="70"/>
      <c r="AI724" s="70"/>
      <c r="AJ724" s="70"/>
      <c r="AK724" s="70"/>
      <c r="AL724" s="70"/>
      <c r="AM724" s="70"/>
      <c r="AN724" s="70"/>
      <c r="AO724" s="70"/>
      <c r="AP724" s="70"/>
      <c r="AQ724" s="70"/>
      <c r="AR724" s="70"/>
      <c r="AS724" s="70"/>
      <c r="AT724" s="70"/>
    </row>
    <row r="725" ht="15.75" customHeight="1">
      <c r="A725" s="70"/>
      <c r="B725" s="70"/>
      <c r="C725" s="70"/>
      <c r="D725" s="80"/>
      <c r="E725" s="70"/>
      <c r="F725" s="70"/>
      <c r="G725" s="70"/>
      <c r="H725" s="70"/>
      <c r="I725" s="70"/>
      <c r="J725" s="70"/>
      <c r="K725" s="70"/>
      <c r="L725" s="70"/>
      <c r="M725" s="70"/>
      <c r="N725" s="70"/>
      <c r="O725" s="70"/>
      <c r="P725" s="70"/>
      <c r="Q725" s="70"/>
      <c r="R725" s="70"/>
      <c r="S725" s="70"/>
      <c r="T725" s="91"/>
      <c r="U725" s="91"/>
      <c r="V725" s="70"/>
      <c r="W725" s="58"/>
      <c r="X725" s="58"/>
      <c r="Y725" s="70"/>
      <c r="Z725" s="83"/>
      <c r="AA725" s="70"/>
      <c r="AB725" s="70"/>
      <c r="AC725" s="70"/>
      <c r="AD725" s="70"/>
      <c r="AE725" s="70"/>
      <c r="AF725" s="70"/>
      <c r="AG725" s="70"/>
      <c r="AH725" s="70"/>
      <c r="AI725" s="70"/>
      <c r="AJ725" s="70"/>
      <c r="AK725" s="70"/>
      <c r="AL725" s="70"/>
      <c r="AM725" s="70"/>
      <c r="AN725" s="70"/>
      <c r="AO725" s="70"/>
      <c r="AP725" s="70"/>
      <c r="AQ725" s="70"/>
      <c r="AR725" s="70"/>
      <c r="AS725" s="70"/>
      <c r="AT725" s="70"/>
    </row>
    <row r="726" ht="15.75" customHeight="1">
      <c r="A726" s="70"/>
      <c r="B726" s="70"/>
      <c r="C726" s="70"/>
      <c r="D726" s="80"/>
      <c r="E726" s="70"/>
      <c r="F726" s="70"/>
      <c r="G726" s="70"/>
      <c r="H726" s="70"/>
      <c r="I726" s="70"/>
      <c r="J726" s="70"/>
      <c r="K726" s="70"/>
      <c r="L726" s="70"/>
      <c r="M726" s="70"/>
      <c r="N726" s="70"/>
      <c r="O726" s="70"/>
      <c r="P726" s="70"/>
      <c r="Q726" s="70"/>
      <c r="R726" s="70"/>
      <c r="S726" s="70"/>
      <c r="T726" s="91"/>
      <c r="U726" s="91"/>
      <c r="V726" s="70"/>
      <c r="W726" s="58"/>
      <c r="X726" s="58"/>
      <c r="Y726" s="70"/>
      <c r="Z726" s="83"/>
      <c r="AA726" s="70"/>
      <c r="AB726" s="70"/>
      <c r="AC726" s="70"/>
      <c r="AD726" s="70"/>
      <c r="AE726" s="70"/>
      <c r="AF726" s="70"/>
      <c r="AG726" s="70"/>
      <c r="AH726" s="70"/>
      <c r="AI726" s="70"/>
      <c r="AJ726" s="70"/>
      <c r="AK726" s="70"/>
      <c r="AL726" s="70"/>
      <c r="AM726" s="70"/>
      <c r="AN726" s="70"/>
      <c r="AO726" s="70"/>
      <c r="AP726" s="70"/>
      <c r="AQ726" s="70"/>
      <c r="AR726" s="70"/>
      <c r="AS726" s="70"/>
      <c r="AT726" s="70"/>
    </row>
    <row r="727" ht="15.75" customHeight="1">
      <c r="A727" s="70"/>
      <c r="B727" s="70"/>
      <c r="C727" s="70"/>
      <c r="D727" s="80"/>
      <c r="E727" s="70"/>
      <c r="F727" s="70"/>
      <c r="G727" s="70"/>
      <c r="H727" s="70"/>
      <c r="I727" s="70"/>
      <c r="J727" s="70"/>
      <c r="K727" s="70"/>
      <c r="L727" s="70"/>
      <c r="M727" s="70"/>
      <c r="N727" s="70"/>
      <c r="O727" s="70"/>
      <c r="P727" s="70"/>
      <c r="Q727" s="70"/>
      <c r="R727" s="70"/>
      <c r="S727" s="70"/>
      <c r="T727" s="91"/>
      <c r="U727" s="91"/>
      <c r="V727" s="70"/>
      <c r="W727" s="58"/>
      <c r="X727" s="58"/>
      <c r="Y727" s="70"/>
      <c r="Z727" s="83"/>
      <c r="AA727" s="70"/>
      <c r="AB727" s="70"/>
      <c r="AC727" s="70"/>
      <c r="AD727" s="70"/>
      <c r="AE727" s="70"/>
      <c r="AF727" s="70"/>
      <c r="AG727" s="70"/>
      <c r="AH727" s="70"/>
      <c r="AI727" s="70"/>
      <c r="AJ727" s="70"/>
      <c r="AK727" s="70"/>
      <c r="AL727" s="70"/>
      <c r="AM727" s="70"/>
      <c r="AN727" s="70"/>
      <c r="AO727" s="70"/>
      <c r="AP727" s="70"/>
      <c r="AQ727" s="70"/>
      <c r="AR727" s="70"/>
      <c r="AS727" s="70"/>
      <c r="AT727" s="70"/>
    </row>
    <row r="728" ht="15.75" customHeight="1">
      <c r="A728" s="70"/>
      <c r="B728" s="70"/>
      <c r="C728" s="70"/>
      <c r="D728" s="80"/>
      <c r="E728" s="70"/>
      <c r="F728" s="70"/>
      <c r="G728" s="70"/>
      <c r="H728" s="70"/>
      <c r="I728" s="70"/>
      <c r="J728" s="70"/>
      <c r="K728" s="70"/>
      <c r="L728" s="70"/>
      <c r="M728" s="70"/>
      <c r="N728" s="70"/>
      <c r="O728" s="70"/>
      <c r="P728" s="70"/>
      <c r="Q728" s="70"/>
      <c r="R728" s="70"/>
      <c r="S728" s="70"/>
      <c r="T728" s="91"/>
      <c r="U728" s="91"/>
      <c r="V728" s="70"/>
      <c r="W728" s="58"/>
      <c r="X728" s="58"/>
      <c r="Y728" s="70"/>
      <c r="Z728" s="83"/>
      <c r="AA728" s="70"/>
      <c r="AB728" s="70"/>
      <c r="AC728" s="70"/>
      <c r="AD728" s="70"/>
      <c r="AE728" s="70"/>
      <c r="AF728" s="70"/>
      <c r="AG728" s="70"/>
      <c r="AH728" s="70"/>
      <c r="AI728" s="70"/>
      <c r="AJ728" s="70"/>
      <c r="AK728" s="70"/>
      <c r="AL728" s="70"/>
      <c r="AM728" s="70"/>
      <c r="AN728" s="70"/>
      <c r="AO728" s="70"/>
      <c r="AP728" s="70"/>
      <c r="AQ728" s="70"/>
      <c r="AR728" s="70"/>
      <c r="AS728" s="70"/>
      <c r="AT728" s="70"/>
    </row>
    <row r="729" ht="15.75" customHeight="1">
      <c r="A729" s="70"/>
      <c r="B729" s="70"/>
      <c r="C729" s="70"/>
      <c r="D729" s="80"/>
      <c r="E729" s="70"/>
      <c r="F729" s="70"/>
      <c r="G729" s="70"/>
      <c r="H729" s="70"/>
      <c r="I729" s="70"/>
      <c r="J729" s="70"/>
      <c r="K729" s="70"/>
      <c r="L729" s="70"/>
      <c r="M729" s="70"/>
      <c r="N729" s="70"/>
      <c r="O729" s="70"/>
      <c r="P729" s="70"/>
      <c r="Q729" s="70"/>
      <c r="R729" s="70"/>
      <c r="S729" s="70"/>
      <c r="T729" s="91"/>
      <c r="U729" s="91"/>
      <c r="V729" s="70"/>
      <c r="W729" s="58"/>
      <c r="X729" s="58"/>
      <c r="Y729" s="70"/>
      <c r="Z729" s="83"/>
      <c r="AA729" s="70"/>
      <c r="AB729" s="70"/>
      <c r="AC729" s="70"/>
      <c r="AD729" s="70"/>
      <c r="AE729" s="70"/>
      <c r="AF729" s="70"/>
      <c r="AG729" s="70"/>
      <c r="AH729" s="70"/>
      <c r="AI729" s="70"/>
      <c r="AJ729" s="70"/>
      <c r="AK729" s="70"/>
      <c r="AL729" s="70"/>
      <c r="AM729" s="70"/>
      <c r="AN729" s="70"/>
      <c r="AO729" s="70"/>
      <c r="AP729" s="70"/>
      <c r="AQ729" s="70"/>
      <c r="AR729" s="70"/>
      <c r="AS729" s="70"/>
      <c r="AT729" s="70"/>
    </row>
    <row r="730" ht="15.75" customHeight="1">
      <c r="A730" s="70"/>
      <c r="B730" s="70"/>
      <c r="C730" s="70"/>
      <c r="D730" s="80"/>
      <c r="E730" s="70"/>
      <c r="F730" s="70"/>
      <c r="G730" s="70"/>
      <c r="H730" s="70"/>
      <c r="I730" s="70"/>
      <c r="J730" s="70"/>
      <c r="K730" s="70"/>
      <c r="L730" s="70"/>
      <c r="M730" s="70"/>
      <c r="N730" s="70"/>
      <c r="O730" s="70"/>
      <c r="P730" s="70"/>
      <c r="Q730" s="70"/>
      <c r="R730" s="70"/>
      <c r="S730" s="70"/>
      <c r="T730" s="91"/>
      <c r="U730" s="91"/>
      <c r="V730" s="70"/>
      <c r="W730" s="58"/>
      <c r="X730" s="58"/>
      <c r="Y730" s="70"/>
      <c r="Z730" s="83"/>
      <c r="AA730" s="70"/>
      <c r="AB730" s="70"/>
      <c r="AC730" s="70"/>
      <c r="AD730" s="70"/>
      <c r="AE730" s="70"/>
      <c r="AF730" s="70"/>
      <c r="AG730" s="70"/>
      <c r="AH730" s="70"/>
      <c r="AI730" s="70"/>
      <c r="AJ730" s="70"/>
      <c r="AK730" s="70"/>
      <c r="AL730" s="70"/>
      <c r="AM730" s="70"/>
      <c r="AN730" s="70"/>
      <c r="AO730" s="70"/>
      <c r="AP730" s="70"/>
      <c r="AQ730" s="70"/>
      <c r="AR730" s="70"/>
      <c r="AS730" s="70"/>
      <c r="AT730" s="70"/>
    </row>
    <row r="731" ht="15.75" customHeight="1">
      <c r="A731" s="70"/>
      <c r="B731" s="70"/>
      <c r="C731" s="70"/>
      <c r="D731" s="80"/>
      <c r="E731" s="70"/>
      <c r="F731" s="70"/>
      <c r="G731" s="70"/>
      <c r="H731" s="70"/>
      <c r="I731" s="70"/>
      <c r="J731" s="70"/>
      <c r="K731" s="70"/>
      <c r="L731" s="70"/>
      <c r="M731" s="70"/>
      <c r="N731" s="70"/>
      <c r="O731" s="70"/>
      <c r="P731" s="70"/>
      <c r="Q731" s="70"/>
      <c r="R731" s="70"/>
      <c r="S731" s="70"/>
      <c r="T731" s="91"/>
      <c r="U731" s="91"/>
      <c r="V731" s="70"/>
      <c r="W731" s="58"/>
      <c r="X731" s="58"/>
      <c r="Y731" s="70"/>
      <c r="Z731" s="83"/>
      <c r="AA731" s="70"/>
      <c r="AB731" s="70"/>
      <c r="AC731" s="70"/>
      <c r="AD731" s="70"/>
      <c r="AE731" s="70"/>
      <c r="AF731" s="70"/>
      <c r="AG731" s="70"/>
      <c r="AH731" s="70"/>
      <c r="AI731" s="70"/>
      <c r="AJ731" s="70"/>
      <c r="AK731" s="70"/>
      <c r="AL731" s="70"/>
      <c r="AM731" s="70"/>
      <c r="AN731" s="70"/>
      <c r="AO731" s="70"/>
      <c r="AP731" s="70"/>
      <c r="AQ731" s="70"/>
      <c r="AR731" s="70"/>
      <c r="AS731" s="70"/>
      <c r="AT731" s="70"/>
    </row>
    <row r="732" ht="15.75" customHeight="1">
      <c r="A732" s="70"/>
      <c r="B732" s="70"/>
      <c r="C732" s="70"/>
      <c r="D732" s="80"/>
      <c r="E732" s="70"/>
      <c r="F732" s="70"/>
      <c r="G732" s="70"/>
      <c r="H732" s="70"/>
      <c r="I732" s="70"/>
      <c r="J732" s="70"/>
      <c r="K732" s="70"/>
      <c r="L732" s="70"/>
      <c r="M732" s="70"/>
      <c r="N732" s="70"/>
      <c r="O732" s="70"/>
      <c r="P732" s="70"/>
      <c r="Q732" s="70"/>
      <c r="R732" s="70"/>
      <c r="S732" s="70"/>
      <c r="T732" s="91"/>
      <c r="U732" s="91"/>
      <c r="V732" s="70"/>
      <c r="W732" s="58"/>
      <c r="X732" s="58"/>
      <c r="Y732" s="70"/>
      <c r="Z732" s="83"/>
      <c r="AA732" s="70"/>
      <c r="AB732" s="70"/>
      <c r="AC732" s="70"/>
      <c r="AD732" s="70"/>
      <c r="AE732" s="70"/>
      <c r="AF732" s="70"/>
      <c r="AG732" s="70"/>
      <c r="AH732" s="70"/>
      <c r="AI732" s="70"/>
      <c r="AJ732" s="70"/>
      <c r="AK732" s="70"/>
      <c r="AL732" s="70"/>
      <c r="AM732" s="70"/>
      <c r="AN732" s="70"/>
      <c r="AO732" s="70"/>
      <c r="AP732" s="70"/>
      <c r="AQ732" s="70"/>
      <c r="AR732" s="70"/>
      <c r="AS732" s="70"/>
      <c r="AT732" s="70"/>
    </row>
    <row r="733" ht="15.75" customHeight="1">
      <c r="A733" s="70"/>
      <c r="B733" s="70"/>
      <c r="C733" s="70"/>
      <c r="D733" s="80"/>
      <c r="E733" s="70"/>
      <c r="F733" s="70"/>
      <c r="G733" s="70"/>
      <c r="H733" s="70"/>
      <c r="I733" s="70"/>
      <c r="J733" s="70"/>
      <c r="K733" s="70"/>
      <c r="L733" s="70"/>
      <c r="M733" s="70"/>
      <c r="N733" s="70"/>
      <c r="O733" s="70"/>
      <c r="P733" s="70"/>
      <c r="Q733" s="70"/>
      <c r="R733" s="70"/>
      <c r="S733" s="70"/>
      <c r="T733" s="91"/>
      <c r="U733" s="91"/>
      <c r="V733" s="70"/>
      <c r="W733" s="58"/>
      <c r="X733" s="58"/>
      <c r="Y733" s="70"/>
      <c r="Z733" s="83"/>
      <c r="AA733" s="70"/>
      <c r="AB733" s="70"/>
      <c r="AC733" s="70"/>
      <c r="AD733" s="70"/>
      <c r="AE733" s="70"/>
      <c r="AF733" s="70"/>
      <c r="AG733" s="70"/>
      <c r="AH733" s="70"/>
      <c r="AI733" s="70"/>
      <c r="AJ733" s="70"/>
      <c r="AK733" s="70"/>
      <c r="AL733" s="70"/>
      <c r="AM733" s="70"/>
      <c r="AN733" s="70"/>
      <c r="AO733" s="70"/>
      <c r="AP733" s="70"/>
      <c r="AQ733" s="70"/>
      <c r="AR733" s="70"/>
      <c r="AS733" s="70"/>
      <c r="AT733" s="70"/>
    </row>
    <row r="734" ht="15.75" customHeight="1">
      <c r="A734" s="70"/>
      <c r="B734" s="70"/>
      <c r="C734" s="70"/>
      <c r="D734" s="80"/>
      <c r="E734" s="70"/>
      <c r="F734" s="70"/>
      <c r="G734" s="70"/>
      <c r="H734" s="70"/>
      <c r="I734" s="70"/>
      <c r="J734" s="70"/>
      <c r="K734" s="70"/>
      <c r="L734" s="70"/>
      <c r="M734" s="70"/>
      <c r="N734" s="70"/>
      <c r="O734" s="70"/>
      <c r="P734" s="70"/>
      <c r="Q734" s="70"/>
      <c r="R734" s="70"/>
      <c r="S734" s="70"/>
      <c r="T734" s="91"/>
      <c r="U734" s="91"/>
      <c r="V734" s="70"/>
      <c r="W734" s="58"/>
      <c r="X734" s="58"/>
      <c r="Y734" s="70"/>
      <c r="Z734" s="83"/>
      <c r="AA734" s="70"/>
      <c r="AB734" s="70"/>
      <c r="AC734" s="70"/>
      <c r="AD734" s="70"/>
      <c r="AE734" s="70"/>
      <c r="AF734" s="70"/>
      <c r="AG734" s="70"/>
      <c r="AH734" s="70"/>
      <c r="AI734" s="70"/>
      <c r="AJ734" s="70"/>
      <c r="AK734" s="70"/>
      <c r="AL734" s="70"/>
      <c r="AM734" s="70"/>
      <c r="AN734" s="70"/>
      <c r="AO734" s="70"/>
      <c r="AP734" s="70"/>
      <c r="AQ734" s="70"/>
      <c r="AR734" s="70"/>
      <c r="AS734" s="70"/>
      <c r="AT734" s="70"/>
    </row>
    <row r="735" ht="15.75" customHeight="1">
      <c r="A735" s="70"/>
      <c r="B735" s="70"/>
      <c r="C735" s="70"/>
      <c r="D735" s="80"/>
      <c r="E735" s="70"/>
      <c r="F735" s="70"/>
      <c r="G735" s="70"/>
      <c r="H735" s="70"/>
      <c r="I735" s="70"/>
      <c r="J735" s="70"/>
      <c r="K735" s="70"/>
      <c r="L735" s="70"/>
      <c r="M735" s="70"/>
      <c r="N735" s="70"/>
      <c r="O735" s="70"/>
      <c r="P735" s="70"/>
      <c r="Q735" s="70"/>
      <c r="R735" s="70"/>
      <c r="S735" s="70"/>
      <c r="T735" s="91"/>
      <c r="U735" s="91"/>
      <c r="V735" s="70"/>
      <c r="W735" s="58"/>
      <c r="X735" s="58"/>
      <c r="Y735" s="70"/>
      <c r="Z735" s="83"/>
      <c r="AA735" s="70"/>
      <c r="AB735" s="70"/>
      <c r="AC735" s="70"/>
      <c r="AD735" s="70"/>
      <c r="AE735" s="70"/>
      <c r="AF735" s="70"/>
      <c r="AG735" s="70"/>
      <c r="AH735" s="70"/>
      <c r="AI735" s="70"/>
      <c r="AJ735" s="70"/>
      <c r="AK735" s="70"/>
      <c r="AL735" s="70"/>
      <c r="AM735" s="70"/>
      <c r="AN735" s="70"/>
      <c r="AO735" s="70"/>
      <c r="AP735" s="70"/>
      <c r="AQ735" s="70"/>
      <c r="AR735" s="70"/>
      <c r="AS735" s="70"/>
      <c r="AT735" s="70"/>
    </row>
    <row r="736" ht="15.75" customHeight="1">
      <c r="A736" s="70"/>
      <c r="B736" s="70"/>
      <c r="C736" s="70"/>
      <c r="D736" s="80"/>
      <c r="E736" s="70"/>
      <c r="F736" s="70"/>
      <c r="G736" s="70"/>
      <c r="H736" s="70"/>
      <c r="I736" s="70"/>
      <c r="J736" s="70"/>
      <c r="K736" s="70"/>
      <c r="L736" s="70"/>
      <c r="M736" s="70"/>
      <c r="N736" s="70"/>
      <c r="O736" s="70"/>
      <c r="P736" s="70"/>
      <c r="Q736" s="70"/>
      <c r="R736" s="70"/>
      <c r="S736" s="70"/>
      <c r="T736" s="91"/>
      <c r="U736" s="91"/>
      <c r="V736" s="70"/>
      <c r="W736" s="58"/>
      <c r="X736" s="58"/>
      <c r="Y736" s="70"/>
      <c r="Z736" s="83"/>
      <c r="AA736" s="70"/>
      <c r="AB736" s="70"/>
      <c r="AC736" s="70"/>
      <c r="AD736" s="70"/>
      <c r="AE736" s="70"/>
      <c r="AF736" s="70"/>
      <c r="AG736" s="70"/>
      <c r="AH736" s="70"/>
      <c r="AI736" s="70"/>
      <c r="AJ736" s="70"/>
      <c r="AK736" s="70"/>
      <c r="AL736" s="70"/>
      <c r="AM736" s="70"/>
      <c r="AN736" s="70"/>
      <c r="AO736" s="70"/>
      <c r="AP736" s="70"/>
      <c r="AQ736" s="70"/>
      <c r="AR736" s="70"/>
      <c r="AS736" s="70"/>
      <c r="AT736" s="70"/>
    </row>
    <row r="737" ht="15.75" customHeight="1">
      <c r="A737" s="70"/>
      <c r="B737" s="70"/>
      <c r="C737" s="70"/>
      <c r="D737" s="80"/>
      <c r="E737" s="70"/>
      <c r="F737" s="70"/>
      <c r="G737" s="70"/>
      <c r="H737" s="70"/>
      <c r="I737" s="70"/>
      <c r="J737" s="70"/>
      <c r="K737" s="70"/>
      <c r="L737" s="70"/>
      <c r="M737" s="70"/>
      <c r="N737" s="70"/>
      <c r="O737" s="70"/>
      <c r="P737" s="70"/>
      <c r="Q737" s="70"/>
      <c r="R737" s="70"/>
      <c r="S737" s="70"/>
      <c r="T737" s="91"/>
      <c r="U737" s="91"/>
      <c r="V737" s="70"/>
      <c r="W737" s="58"/>
      <c r="X737" s="58"/>
      <c r="Y737" s="70"/>
      <c r="Z737" s="83"/>
      <c r="AA737" s="70"/>
      <c r="AB737" s="70"/>
      <c r="AC737" s="70"/>
      <c r="AD737" s="70"/>
      <c r="AE737" s="70"/>
      <c r="AF737" s="70"/>
      <c r="AG737" s="70"/>
      <c r="AH737" s="70"/>
      <c r="AI737" s="70"/>
      <c r="AJ737" s="70"/>
      <c r="AK737" s="70"/>
      <c r="AL737" s="70"/>
      <c r="AM737" s="70"/>
      <c r="AN737" s="70"/>
      <c r="AO737" s="70"/>
      <c r="AP737" s="70"/>
      <c r="AQ737" s="70"/>
      <c r="AR737" s="70"/>
      <c r="AS737" s="70"/>
      <c r="AT737" s="70"/>
    </row>
    <row r="738" ht="15.75" customHeight="1">
      <c r="A738" s="70"/>
      <c r="B738" s="70"/>
      <c r="C738" s="70"/>
      <c r="D738" s="80"/>
      <c r="E738" s="70"/>
      <c r="F738" s="70"/>
      <c r="G738" s="70"/>
      <c r="H738" s="70"/>
      <c r="I738" s="70"/>
      <c r="J738" s="70"/>
      <c r="K738" s="70"/>
      <c r="L738" s="70"/>
      <c r="M738" s="70"/>
      <c r="N738" s="70"/>
      <c r="O738" s="70"/>
      <c r="P738" s="70"/>
      <c r="Q738" s="70"/>
      <c r="R738" s="70"/>
      <c r="S738" s="70"/>
      <c r="T738" s="91"/>
      <c r="U738" s="91"/>
      <c r="V738" s="70"/>
      <c r="W738" s="58"/>
      <c r="X738" s="58"/>
      <c r="Y738" s="70"/>
      <c r="Z738" s="83"/>
      <c r="AA738" s="70"/>
      <c r="AB738" s="70"/>
      <c r="AC738" s="70"/>
      <c r="AD738" s="70"/>
      <c r="AE738" s="70"/>
      <c r="AF738" s="70"/>
      <c r="AG738" s="70"/>
      <c r="AH738" s="70"/>
      <c r="AI738" s="70"/>
      <c r="AJ738" s="70"/>
      <c r="AK738" s="70"/>
      <c r="AL738" s="70"/>
      <c r="AM738" s="70"/>
      <c r="AN738" s="70"/>
      <c r="AO738" s="70"/>
      <c r="AP738" s="70"/>
      <c r="AQ738" s="70"/>
      <c r="AR738" s="70"/>
      <c r="AS738" s="70"/>
      <c r="AT738" s="70"/>
    </row>
    <row r="739" ht="15.75" customHeight="1">
      <c r="A739" s="70"/>
      <c r="B739" s="70"/>
      <c r="C739" s="70"/>
      <c r="D739" s="80"/>
      <c r="E739" s="70"/>
      <c r="F739" s="70"/>
      <c r="G739" s="70"/>
      <c r="H739" s="70"/>
      <c r="I739" s="70"/>
      <c r="J739" s="70"/>
      <c r="K739" s="70"/>
      <c r="L739" s="70"/>
      <c r="M739" s="70"/>
      <c r="N739" s="70"/>
      <c r="O739" s="70"/>
      <c r="P739" s="70"/>
      <c r="Q739" s="70"/>
      <c r="R739" s="70"/>
      <c r="S739" s="70"/>
      <c r="T739" s="91"/>
      <c r="U739" s="91"/>
      <c r="V739" s="70"/>
      <c r="W739" s="58"/>
      <c r="X739" s="58"/>
      <c r="Y739" s="70"/>
      <c r="Z739" s="83"/>
      <c r="AA739" s="70"/>
      <c r="AB739" s="70"/>
      <c r="AC739" s="70"/>
      <c r="AD739" s="70"/>
      <c r="AE739" s="70"/>
      <c r="AF739" s="70"/>
      <c r="AG739" s="70"/>
      <c r="AH739" s="70"/>
      <c r="AI739" s="70"/>
      <c r="AJ739" s="70"/>
      <c r="AK739" s="70"/>
      <c r="AL739" s="70"/>
      <c r="AM739" s="70"/>
      <c r="AN739" s="70"/>
      <c r="AO739" s="70"/>
      <c r="AP739" s="70"/>
      <c r="AQ739" s="70"/>
      <c r="AR739" s="70"/>
      <c r="AS739" s="70"/>
      <c r="AT739" s="70"/>
    </row>
    <row r="740" ht="15.75" customHeight="1">
      <c r="A740" s="70"/>
      <c r="B740" s="70"/>
      <c r="C740" s="70"/>
      <c r="D740" s="80"/>
      <c r="E740" s="70"/>
      <c r="F740" s="70"/>
      <c r="G740" s="70"/>
      <c r="H740" s="70"/>
      <c r="I740" s="70"/>
      <c r="J740" s="70"/>
      <c r="K740" s="70"/>
      <c r="L740" s="70"/>
      <c r="M740" s="70"/>
      <c r="N740" s="70"/>
      <c r="O740" s="70"/>
      <c r="P740" s="70"/>
      <c r="Q740" s="70"/>
      <c r="R740" s="70"/>
      <c r="S740" s="70"/>
      <c r="T740" s="91"/>
      <c r="U740" s="91"/>
      <c r="V740" s="70"/>
      <c r="W740" s="58"/>
      <c r="X740" s="58"/>
      <c r="Y740" s="70"/>
      <c r="Z740" s="83"/>
      <c r="AA740" s="70"/>
      <c r="AB740" s="70"/>
      <c r="AC740" s="70"/>
      <c r="AD740" s="70"/>
      <c r="AE740" s="70"/>
      <c r="AF740" s="70"/>
      <c r="AG740" s="70"/>
      <c r="AH740" s="70"/>
      <c r="AI740" s="70"/>
      <c r="AJ740" s="70"/>
      <c r="AK740" s="70"/>
      <c r="AL740" s="70"/>
      <c r="AM740" s="70"/>
      <c r="AN740" s="70"/>
      <c r="AO740" s="70"/>
      <c r="AP740" s="70"/>
      <c r="AQ740" s="70"/>
      <c r="AR740" s="70"/>
      <c r="AS740" s="70"/>
      <c r="AT740" s="70"/>
    </row>
    <row r="741" ht="15.75" customHeight="1">
      <c r="A741" s="70"/>
      <c r="B741" s="70"/>
      <c r="C741" s="70"/>
      <c r="D741" s="80"/>
      <c r="E741" s="70"/>
      <c r="F741" s="70"/>
      <c r="G741" s="70"/>
      <c r="H741" s="70"/>
      <c r="I741" s="70"/>
      <c r="J741" s="70"/>
      <c r="K741" s="70"/>
      <c r="L741" s="70"/>
      <c r="M741" s="70"/>
      <c r="N741" s="70"/>
      <c r="O741" s="70"/>
      <c r="P741" s="70"/>
      <c r="Q741" s="70"/>
      <c r="R741" s="70"/>
      <c r="S741" s="70"/>
      <c r="T741" s="91"/>
      <c r="U741" s="91"/>
      <c r="V741" s="70"/>
      <c r="W741" s="58"/>
      <c r="X741" s="58"/>
      <c r="Y741" s="70"/>
      <c r="Z741" s="83"/>
      <c r="AA741" s="70"/>
      <c r="AB741" s="70"/>
      <c r="AC741" s="70"/>
      <c r="AD741" s="70"/>
      <c r="AE741" s="70"/>
      <c r="AF741" s="70"/>
      <c r="AG741" s="70"/>
      <c r="AH741" s="70"/>
      <c r="AI741" s="70"/>
      <c r="AJ741" s="70"/>
      <c r="AK741" s="70"/>
      <c r="AL741" s="70"/>
      <c r="AM741" s="70"/>
      <c r="AN741" s="70"/>
      <c r="AO741" s="70"/>
      <c r="AP741" s="70"/>
      <c r="AQ741" s="70"/>
      <c r="AR741" s="70"/>
      <c r="AS741" s="70"/>
      <c r="AT741" s="70"/>
    </row>
    <row r="742" ht="15.75" customHeight="1">
      <c r="A742" s="70"/>
      <c r="B742" s="70"/>
      <c r="C742" s="70"/>
      <c r="D742" s="80"/>
      <c r="E742" s="70"/>
      <c r="F742" s="70"/>
      <c r="G742" s="70"/>
      <c r="H742" s="70"/>
      <c r="I742" s="70"/>
      <c r="J742" s="70"/>
      <c r="K742" s="70"/>
      <c r="L742" s="70"/>
      <c r="M742" s="70"/>
      <c r="N742" s="70"/>
      <c r="O742" s="70"/>
      <c r="P742" s="70"/>
      <c r="Q742" s="70"/>
      <c r="R742" s="70"/>
      <c r="S742" s="70"/>
      <c r="T742" s="91"/>
      <c r="U742" s="91"/>
      <c r="V742" s="70"/>
      <c r="W742" s="58"/>
      <c r="X742" s="58"/>
      <c r="Y742" s="70"/>
      <c r="Z742" s="83"/>
      <c r="AA742" s="70"/>
      <c r="AB742" s="70"/>
      <c r="AC742" s="70"/>
      <c r="AD742" s="70"/>
      <c r="AE742" s="70"/>
      <c r="AF742" s="70"/>
      <c r="AG742" s="70"/>
      <c r="AH742" s="70"/>
      <c r="AI742" s="70"/>
      <c r="AJ742" s="70"/>
      <c r="AK742" s="70"/>
      <c r="AL742" s="70"/>
      <c r="AM742" s="70"/>
      <c r="AN742" s="70"/>
      <c r="AO742" s="70"/>
      <c r="AP742" s="70"/>
      <c r="AQ742" s="70"/>
      <c r="AR742" s="70"/>
      <c r="AS742" s="70"/>
      <c r="AT742" s="70"/>
    </row>
    <row r="743" ht="15.75" customHeight="1">
      <c r="A743" s="70"/>
      <c r="B743" s="70"/>
      <c r="C743" s="70"/>
      <c r="D743" s="80"/>
      <c r="E743" s="70"/>
      <c r="F743" s="70"/>
      <c r="G743" s="70"/>
      <c r="H743" s="70"/>
      <c r="I743" s="70"/>
      <c r="J743" s="70"/>
      <c r="K743" s="70"/>
      <c r="L743" s="70"/>
      <c r="M743" s="70"/>
      <c r="N743" s="70"/>
      <c r="O743" s="70"/>
      <c r="P743" s="70"/>
      <c r="Q743" s="70"/>
      <c r="R743" s="70"/>
      <c r="S743" s="70"/>
      <c r="T743" s="91"/>
      <c r="U743" s="91"/>
      <c r="V743" s="70"/>
      <c r="W743" s="58"/>
      <c r="X743" s="58"/>
      <c r="Y743" s="70"/>
      <c r="Z743" s="83"/>
      <c r="AA743" s="70"/>
      <c r="AB743" s="70"/>
      <c r="AC743" s="70"/>
      <c r="AD743" s="70"/>
      <c r="AE743" s="70"/>
      <c r="AF743" s="70"/>
      <c r="AG743" s="70"/>
      <c r="AH743" s="70"/>
      <c r="AI743" s="70"/>
      <c r="AJ743" s="70"/>
      <c r="AK743" s="70"/>
      <c r="AL743" s="70"/>
      <c r="AM743" s="70"/>
      <c r="AN743" s="70"/>
      <c r="AO743" s="70"/>
      <c r="AP743" s="70"/>
      <c r="AQ743" s="70"/>
      <c r="AR743" s="70"/>
      <c r="AS743" s="70"/>
      <c r="AT743" s="70"/>
    </row>
    <row r="744" ht="15.75" customHeight="1">
      <c r="A744" s="70"/>
      <c r="B744" s="70"/>
      <c r="C744" s="70"/>
      <c r="D744" s="80"/>
      <c r="E744" s="70"/>
      <c r="F744" s="70"/>
      <c r="G744" s="70"/>
      <c r="H744" s="70"/>
      <c r="I744" s="70"/>
      <c r="J744" s="70"/>
      <c r="K744" s="70"/>
      <c r="L744" s="70"/>
      <c r="M744" s="70"/>
      <c r="N744" s="70"/>
      <c r="O744" s="70"/>
      <c r="P744" s="70"/>
      <c r="Q744" s="70"/>
      <c r="R744" s="70"/>
      <c r="S744" s="70"/>
      <c r="T744" s="91"/>
      <c r="U744" s="91"/>
      <c r="V744" s="70"/>
      <c r="W744" s="58"/>
      <c r="X744" s="58"/>
      <c r="Y744" s="70"/>
      <c r="Z744" s="83"/>
      <c r="AA744" s="70"/>
      <c r="AB744" s="70"/>
      <c r="AC744" s="70"/>
      <c r="AD744" s="70"/>
      <c r="AE744" s="70"/>
      <c r="AF744" s="70"/>
      <c r="AG744" s="70"/>
      <c r="AH744" s="70"/>
      <c r="AI744" s="70"/>
      <c r="AJ744" s="70"/>
      <c r="AK744" s="70"/>
      <c r="AL744" s="70"/>
      <c r="AM744" s="70"/>
      <c r="AN744" s="70"/>
      <c r="AO744" s="70"/>
      <c r="AP744" s="70"/>
      <c r="AQ744" s="70"/>
      <c r="AR744" s="70"/>
      <c r="AS744" s="70"/>
      <c r="AT744" s="70"/>
    </row>
    <row r="745" ht="15.75" customHeight="1">
      <c r="A745" s="70"/>
      <c r="B745" s="70"/>
      <c r="C745" s="70"/>
      <c r="D745" s="80"/>
      <c r="E745" s="70"/>
      <c r="F745" s="70"/>
      <c r="G745" s="70"/>
      <c r="H745" s="70"/>
      <c r="I745" s="70"/>
      <c r="J745" s="70"/>
      <c r="K745" s="70"/>
      <c r="L745" s="70"/>
      <c r="M745" s="70"/>
      <c r="N745" s="70"/>
      <c r="O745" s="70"/>
      <c r="P745" s="70"/>
      <c r="Q745" s="70"/>
      <c r="R745" s="70"/>
      <c r="S745" s="70"/>
      <c r="T745" s="91"/>
      <c r="U745" s="91"/>
      <c r="V745" s="70"/>
      <c r="W745" s="58"/>
      <c r="X745" s="58"/>
      <c r="Y745" s="70"/>
      <c r="Z745" s="83"/>
      <c r="AA745" s="70"/>
      <c r="AB745" s="70"/>
      <c r="AC745" s="70"/>
      <c r="AD745" s="70"/>
      <c r="AE745" s="70"/>
      <c r="AF745" s="70"/>
      <c r="AG745" s="70"/>
      <c r="AH745" s="70"/>
      <c r="AI745" s="70"/>
      <c r="AJ745" s="70"/>
      <c r="AK745" s="70"/>
      <c r="AL745" s="70"/>
      <c r="AM745" s="70"/>
      <c r="AN745" s="70"/>
      <c r="AO745" s="70"/>
      <c r="AP745" s="70"/>
      <c r="AQ745" s="70"/>
      <c r="AR745" s="70"/>
      <c r="AS745" s="70"/>
      <c r="AT745" s="70"/>
    </row>
    <row r="746" ht="15.75" customHeight="1">
      <c r="A746" s="70"/>
      <c r="B746" s="70"/>
      <c r="C746" s="70"/>
      <c r="D746" s="80"/>
      <c r="E746" s="70"/>
      <c r="F746" s="70"/>
      <c r="G746" s="70"/>
      <c r="H746" s="70"/>
      <c r="I746" s="70"/>
      <c r="J746" s="70"/>
      <c r="K746" s="70"/>
      <c r="L746" s="70"/>
      <c r="M746" s="70"/>
      <c r="N746" s="70"/>
      <c r="O746" s="70"/>
      <c r="P746" s="70"/>
      <c r="Q746" s="70"/>
      <c r="R746" s="70"/>
      <c r="S746" s="70"/>
      <c r="T746" s="91"/>
      <c r="U746" s="91"/>
      <c r="V746" s="70"/>
      <c r="W746" s="58"/>
      <c r="X746" s="58"/>
      <c r="Y746" s="70"/>
      <c r="Z746" s="83"/>
      <c r="AA746" s="70"/>
      <c r="AB746" s="70"/>
      <c r="AC746" s="70"/>
      <c r="AD746" s="70"/>
      <c r="AE746" s="70"/>
      <c r="AF746" s="70"/>
      <c r="AG746" s="70"/>
      <c r="AH746" s="70"/>
      <c r="AI746" s="70"/>
      <c r="AJ746" s="70"/>
      <c r="AK746" s="70"/>
      <c r="AL746" s="70"/>
      <c r="AM746" s="70"/>
      <c r="AN746" s="70"/>
      <c r="AO746" s="70"/>
      <c r="AP746" s="70"/>
      <c r="AQ746" s="70"/>
      <c r="AR746" s="70"/>
      <c r="AS746" s="70"/>
      <c r="AT746" s="70"/>
    </row>
    <row r="747" ht="15.75" customHeight="1">
      <c r="A747" s="70"/>
      <c r="B747" s="70"/>
      <c r="C747" s="70"/>
      <c r="D747" s="80"/>
      <c r="E747" s="70"/>
      <c r="F747" s="70"/>
      <c r="G747" s="70"/>
      <c r="H747" s="70"/>
      <c r="I747" s="70"/>
      <c r="J747" s="70"/>
      <c r="K747" s="70"/>
      <c r="L747" s="70"/>
      <c r="M747" s="70"/>
      <c r="N747" s="70"/>
      <c r="O747" s="70"/>
      <c r="P747" s="70"/>
      <c r="Q747" s="70"/>
      <c r="R747" s="70"/>
      <c r="S747" s="70"/>
      <c r="T747" s="91"/>
      <c r="U747" s="91"/>
      <c r="V747" s="70"/>
      <c r="W747" s="58"/>
      <c r="X747" s="58"/>
      <c r="Y747" s="70"/>
      <c r="Z747" s="83"/>
      <c r="AA747" s="70"/>
      <c r="AB747" s="70"/>
      <c r="AC747" s="70"/>
      <c r="AD747" s="70"/>
      <c r="AE747" s="70"/>
      <c r="AF747" s="70"/>
      <c r="AG747" s="70"/>
      <c r="AH747" s="70"/>
      <c r="AI747" s="70"/>
      <c r="AJ747" s="70"/>
      <c r="AK747" s="70"/>
      <c r="AL747" s="70"/>
      <c r="AM747" s="70"/>
      <c r="AN747" s="70"/>
      <c r="AO747" s="70"/>
      <c r="AP747" s="70"/>
      <c r="AQ747" s="70"/>
      <c r="AR747" s="70"/>
      <c r="AS747" s="70"/>
      <c r="AT747" s="70"/>
    </row>
    <row r="748" ht="15.75" customHeight="1">
      <c r="A748" s="70"/>
      <c r="B748" s="70"/>
      <c r="C748" s="70"/>
      <c r="D748" s="80"/>
      <c r="E748" s="70"/>
      <c r="F748" s="70"/>
      <c r="G748" s="70"/>
      <c r="H748" s="70"/>
      <c r="I748" s="70"/>
      <c r="J748" s="70"/>
      <c r="K748" s="70"/>
      <c r="L748" s="70"/>
      <c r="M748" s="70"/>
      <c r="N748" s="70"/>
      <c r="O748" s="70"/>
      <c r="P748" s="70"/>
      <c r="Q748" s="70"/>
      <c r="R748" s="70"/>
      <c r="S748" s="70"/>
      <c r="T748" s="91"/>
      <c r="U748" s="91"/>
      <c r="V748" s="70"/>
      <c r="W748" s="58"/>
      <c r="X748" s="58"/>
      <c r="Y748" s="70"/>
      <c r="Z748" s="83"/>
      <c r="AA748" s="70"/>
      <c r="AB748" s="70"/>
      <c r="AC748" s="70"/>
      <c r="AD748" s="70"/>
      <c r="AE748" s="70"/>
      <c r="AF748" s="70"/>
      <c r="AG748" s="70"/>
      <c r="AH748" s="70"/>
      <c r="AI748" s="70"/>
      <c r="AJ748" s="70"/>
      <c r="AK748" s="70"/>
      <c r="AL748" s="70"/>
      <c r="AM748" s="70"/>
      <c r="AN748" s="70"/>
      <c r="AO748" s="70"/>
      <c r="AP748" s="70"/>
      <c r="AQ748" s="70"/>
      <c r="AR748" s="70"/>
      <c r="AS748" s="70"/>
      <c r="AT748" s="70"/>
    </row>
    <row r="749" ht="15.75" customHeight="1">
      <c r="A749" s="70"/>
      <c r="B749" s="70"/>
      <c r="C749" s="70"/>
      <c r="D749" s="80"/>
      <c r="E749" s="70"/>
      <c r="F749" s="70"/>
      <c r="G749" s="70"/>
      <c r="H749" s="70"/>
      <c r="I749" s="70"/>
      <c r="J749" s="70"/>
      <c r="K749" s="70"/>
      <c r="L749" s="70"/>
      <c r="M749" s="70"/>
      <c r="N749" s="70"/>
      <c r="O749" s="70"/>
      <c r="P749" s="70"/>
      <c r="Q749" s="70"/>
      <c r="R749" s="70"/>
      <c r="S749" s="70"/>
      <c r="T749" s="91"/>
      <c r="U749" s="91"/>
      <c r="V749" s="70"/>
      <c r="W749" s="58"/>
      <c r="X749" s="58"/>
      <c r="Y749" s="70"/>
      <c r="Z749" s="83"/>
      <c r="AA749" s="70"/>
      <c r="AB749" s="70"/>
      <c r="AC749" s="70"/>
      <c r="AD749" s="70"/>
      <c r="AE749" s="70"/>
      <c r="AF749" s="70"/>
      <c r="AG749" s="70"/>
      <c r="AH749" s="70"/>
      <c r="AI749" s="70"/>
      <c r="AJ749" s="70"/>
      <c r="AK749" s="70"/>
      <c r="AL749" s="70"/>
      <c r="AM749" s="70"/>
      <c r="AN749" s="70"/>
      <c r="AO749" s="70"/>
      <c r="AP749" s="70"/>
      <c r="AQ749" s="70"/>
      <c r="AR749" s="70"/>
      <c r="AS749" s="70"/>
      <c r="AT749" s="70"/>
    </row>
    <row r="750" ht="15.75" customHeight="1">
      <c r="A750" s="70"/>
      <c r="B750" s="70"/>
      <c r="C750" s="70"/>
      <c r="D750" s="80"/>
      <c r="E750" s="70"/>
      <c r="F750" s="70"/>
      <c r="G750" s="70"/>
      <c r="H750" s="70"/>
      <c r="I750" s="70"/>
      <c r="J750" s="70"/>
      <c r="K750" s="70"/>
      <c r="L750" s="70"/>
      <c r="M750" s="70"/>
      <c r="N750" s="70"/>
      <c r="O750" s="70"/>
      <c r="P750" s="70"/>
      <c r="Q750" s="70"/>
      <c r="R750" s="70"/>
      <c r="S750" s="70"/>
      <c r="T750" s="91"/>
      <c r="U750" s="91"/>
      <c r="V750" s="70"/>
      <c r="W750" s="58"/>
      <c r="X750" s="58"/>
      <c r="Y750" s="70"/>
      <c r="Z750" s="83"/>
      <c r="AA750" s="70"/>
      <c r="AB750" s="70"/>
      <c r="AC750" s="70"/>
      <c r="AD750" s="70"/>
      <c r="AE750" s="70"/>
      <c r="AF750" s="70"/>
      <c r="AG750" s="70"/>
      <c r="AH750" s="70"/>
      <c r="AI750" s="70"/>
      <c r="AJ750" s="70"/>
      <c r="AK750" s="70"/>
      <c r="AL750" s="70"/>
      <c r="AM750" s="70"/>
      <c r="AN750" s="70"/>
      <c r="AO750" s="70"/>
      <c r="AP750" s="70"/>
      <c r="AQ750" s="70"/>
      <c r="AR750" s="70"/>
      <c r="AS750" s="70"/>
      <c r="AT750" s="70"/>
    </row>
    <row r="751" ht="15.75" customHeight="1">
      <c r="A751" s="70"/>
      <c r="B751" s="70"/>
      <c r="C751" s="70"/>
      <c r="D751" s="80"/>
      <c r="E751" s="70"/>
      <c r="F751" s="70"/>
      <c r="G751" s="70"/>
      <c r="H751" s="70"/>
      <c r="I751" s="70"/>
      <c r="J751" s="70"/>
      <c r="K751" s="70"/>
      <c r="L751" s="70"/>
      <c r="M751" s="70"/>
      <c r="N751" s="70"/>
      <c r="O751" s="70"/>
      <c r="P751" s="70"/>
      <c r="Q751" s="70"/>
      <c r="R751" s="70"/>
      <c r="S751" s="70"/>
      <c r="T751" s="91"/>
      <c r="U751" s="91"/>
      <c r="V751" s="70"/>
      <c r="W751" s="58"/>
      <c r="X751" s="58"/>
      <c r="Y751" s="70"/>
      <c r="Z751" s="83"/>
      <c r="AA751" s="70"/>
      <c r="AB751" s="70"/>
      <c r="AC751" s="70"/>
      <c r="AD751" s="70"/>
      <c r="AE751" s="70"/>
      <c r="AF751" s="70"/>
      <c r="AG751" s="70"/>
      <c r="AH751" s="70"/>
      <c r="AI751" s="70"/>
      <c r="AJ751" s="70"/>
      <c r="AK751" s="70"/>
      <c r="AL751" s="70"/>
      <c r="AM751" s="70"/>
      <c r="AN751" s="70"/>
      <c r="AO751" s="70"/>
      <c r="AP751" s="70"/>
      <c r="AQ751" s="70"/>
      <c r="AR751" s="70"/>
      <c r="AS751" s="70"/>
      <c r="AT751" s="70"/>
    </row>
    <row r="752" ht="15.75" customHeight="1">
      <c r="A752" s="70"/>
      <c r="B752" s="70"/>
      <c r="C752" s="70"/>
      <c r="D752" s="80"/>
      <c r="E752" s="70"/>
      <c r="F752" s="70"/>
      <c r="G752" s="70"/>
      <c r="H752" s="70"/>
      <c r="I752" s="70"/>
      <c r="J752" s="70"/>
      <c r="K752" s="70"/>
      <c r="L752" s="70"/>
      <c r="M752" s="70"/>
      <c r="N752" s="70"/>
      <c r="O752" s="70"/>
      <c r="P752" s="70"/>
      <c r="Q752" s="70"/>
      <c r="R752" s="70"/>
      <c r="S752" s="70"/>
      <c r="T752" s="91"/>
      <c r="U752" s="91"/>
      <c r="V752" s="70"/>
      <c r="W752" s="58"/>
      <c r="X752" s="58"/>
      <c r="Y752" s="70"/>
      <c r="Z752" s="83"/>
      <c r="AA752" s="70"/>
      <c r="AB752" s="70"/>
      <c r="AC752" s="70"/>
      <c r="AD752" s="70"/>
      <c r="AE752" s="70"/>
      <c r="AF752" s="70"/>
      <c r="AG752" s="70"/>
      <c r="AH752" s="70"/>
      <c r="AI752" s="70"/>
      <c r="AJ752" s="70"/>
      <c r="AK752" s="70"/>
      <c r="AL752" s="70"/>
      <c r="AM752" s="70"/>
      <c r="AN752" s="70"/>
      <c r="AO752" s="70"/>
      <c r="AP752" s="70"/>
      <c r="AQ752" s="70"/>
      <c r="AR752" s="70"/>
      <c r="AS752" s="70"/>
      <c r="AT752" s="70"/>
    </row>
    <row r="753" ht="15.75" customHeight="1">
      <c r="A753" s="70"/>
      <c r="B753" s="70"/>
      <c r="C753" s="70"/>
      <c r="D753" s="80"/>
      <c r="E753" s="70"/>
      <c r="F753" s="70"/>
      <c r="G753" s="70"/>
      <c r="H753" s="70"/>
      <c r="I753" s="70"/>
      <c r="J753" s="70"/>
      <c r="K753" s="70"/>
      <c r="L753" s="70"/>
      <c r="M753" s="70"/>
      <c r="N753" s="70"/>
      <c r="O753" s="70"/>
      <c r="P753" s="70"/>
      <c r="Q753" s="70"/>
      <c r="R753" s="70"/>
      <c r="S753" s="70"/>
      <c r="T753" s="91"/>
      <c r="U753" s="91"/>
      <c r="V753" s="70"/>
      <c r="W753" s="58"/>
      <c r="X753" s="58"/>
      <c r="Y753" s="70"/>
      <c r="Z753" s="83"/>
      <c r="AA753" s="70"/>
      <c r="AB753" s="70"/>
      <c r="AC753" s="70"/>
      <c r="AD753" s="70"/>
      <c r="AE753" s="70"/>
      <c r="AF753" s="70"/>
      <c r="AG753" s="70"/>
      <c r="AH753" s="70"/>
      <c r="AI753" s="70"/>
      <c r="AJ753" s="70"/>
      <c r="AK753" s="70"/>
      <c r="AL753" s="70"/>
      <c r="AM753" s="70"/>
      <c r="AN753" s="70"/>
      <c r="AO753" s="70"/>
      <c r="AP753" s="70"/>
      <c r="AQ753" s="70"/>
      <c r="AR753" s="70"/>
      <c r="AS753" s="70"/>
      <c r="AT753" s="70"/>
    </row>
    <row r="754" ht="15.75" customHeight="1">
      <c r="A754" s="70"/>
      <c r="B754" s="70"/>
      <c r="C754" s="70"/>
      <c r="D754" s="80"/>
      <c r="E754" s="70"/>
      <c r="F754" s="70"/>
      <c r="G754" s="70"/>
      <c r="H754" s="70"/>
      <c r="I754" s="70"/>
      <c r="J754" s="70"/>
      <c r="K754" s="70"/>
      <c r="L754" s="70"/>
      <c r="M754" s="70"/>
      <c r="N754" s="70"/>
      <c r="O754" s="70"/>
      <c r="P754" s="70"/>
      <c r="Q754" s="70"/>
      <c r="R754" s="70"/>
      <c r="S754" s="70"/>
      <c r="T754" s="91"/>
      <c r="U754" s="91"/>
      <c r="V754" s="70"/>
      <c r="W754" s="58"/>
      <c r="X754" s="58"/>
      <c r="Y754" s="70"/>
      <c r="Z754" s="83"/>
      <c r="AA754" s="70"/>
      <c r="AB754" s="70"/>
      <c r="AC754" s="70"/>
      <c r="AD754" s="70"/>
      <c r="AE754" s="70"/>
      <c r="AF754" s="70"/>
      <c r="AG754" s="70"/>
      <c r="AH754" s="70"/>
      <c r="AI754" s="70"/>
      <c r="AJ754" s="70"/>
      <c r="AK754" s="70"/>
      <c r="AL754" s="70"/>
      <c r="AM754" s="70"/>
      <c r="AN754" s="70"/>
      <c r="AO754" s="70"/>
      <c r="AP754" s="70"/>
      <c r="AQ754" s="70"/>
      <c r="AR754" s="70"/>
      <c r="AS754" s="70"/>
      <c r="AT754" s="70"/>
    </row>
    <row r="755" ht="15.75" customHeight="1">
      <c r="A755" s="70"/>
      <c r="B755" s="70"/>
      <c r="C755" s="70"/>
      <c r="D755" s="80"/>
      <c r="E755" s="70"/>
      <c r="F755" s="70"/>
      <c r="G755" s="70"/>
      <c r="H755" s="70"/>
      <c r="I755" s="70"/>
      <c r="J755" s="70"/>
      <c r="K755" s="70"/>
      <c r="L755" s="70"/>
      <c r="M755" s="70"/>
      <c r="N755" s="70"/>
      <c r="O755" s="70"/>
      <c r="P755" s="70"/>
      <c r="Q755" s="70"/>
      <c r="R755" s="70"/>
      <c r="S755" s="70"/>
      <c r="T755" s="91"/>
      <c r="U755" s="91"/>
      <c r="V755" s="70"/>
      <c r="W755" s="58"/>
      <c r="X755" s="58"/>
      <c r="Y755" s="70"/>
      <c r="Z755" s="83"/>
      <c r="AA755" s="70"/>
      <c r="AB755" s="70"/>
      <c r="AC755" s="70"/>
      <c r="AD755" s="70"/>
      <c r="AE755" s="70"/>
      <c r="AF755" s="70"/>
      <c r="AG755" s="70"/>
      <c r="AH755" s="70"/>
      <c r="AI755" s="70"/>
      <c r="AJ755" s="70"/>
      <c r="AK755" s="70"/>
      <c r="AL755" s="70"/>
      <c r="AM755" s="70"/>
      <c r="AN755" s="70"/>
      <c r="AO755" s="70"/>
      <c r="AP755" s="70"/>
      <c r="AQ755" s="70"/>
      <c r="AR755" s="70"/>
      <c r="AS755" s="70"/>
      <c r="AT755" s="70"/>
    </row>
    <row r="756" ht="15.75" customHeight="1">
      <c r="A756" s="70"/>
      <c r="B756" s="70"/>
      <c r="C756" s="70"/>
      <c r="D756" s="80"/>
      <c r="E756" s="70"/>
      <c r="F756" s="70"/>
      <c r="G756" s="70"/>
      <c r="H756" s="70"/>
      <c r="I756" s="70"/>
      <c r="J756" s="70"/>
      <c r="K756" s="70"/>
      <c r="L756" s="70"/>
      <c r="M756" s="70"/>
      <c r="N756" s="70"/>
      <c r="O756" s="70"/>
      <c r="P756" s="70"/>
      <c r="Q756" s="70"/>
      <c r="R756" s="70"/>
      <c r="S756" s="70"/>
      <c r="T756" s="91"/>
      <c r="U756" s="91"/>
      <c r="V756" s="70"/>
      <c r="W756" s="58"/>
      <c r="X756" s="58"/>
      <c r="Y756" s="70"/>
      <c r="Z756" s="83"/>
      <c r="AA756" s="70"/>
      <c r="AB756" s="70"/>
      <c r="AC756" s="70"/>
      <c r="AD756" s="70"/>
      <c r="AE756" s="70"/>
      <c r="AF756" s="70"/>
      <c r="AG756" s="70"/>
      <c r="AH756" s="70"/>
      <c r="AI756" s="70"/>
      <c r="AJ756" s="70"/>
      <c r="AK756" s="70"/>
      <c r="AL756" s="70"/>
      <c r="AM756" s="70"/>
      <c r="AN756" s="70"/>
      <c r="AO756" s="70"/>
      <c r="AP756" s="70"/>
      <c r="AQ756" s="70"/>
      <c r="AR756" s="70"/>
      <c r="AS756" s="70"/>
      <c r="AT756" s="70"/>
    </row>
    <row r="757" ht="15.75" customHeight="1">
      <c r="A757" s="70"/>
      <c r="B757" s="70"/>
      <c r="C757" s="70"/>
      <c r="D757" s="80"/>
      <c r="E757" s="70"/>
      <c r="F757" s="70"/>
      <c r="G757" s="70"/>
      <c r="H757" s="70"/>
      <c r="I757" s="70"/>
      <c r="J757" s="70"/>
      <c r="K757" s="70"/>
      <c r="L757" s="70"/>
      <c r="M757" s="70"/>
      <c r="N757" s="70"/>
      <c r="O757" s="70"/>
      <c r="P757" s="70"/>
      <c r="Q757" s="70"/>
      <c r="R757" s="70"/>
      <c r="S757" s="70"/>
      <c r="T757" s="91"/>
      <c r="U757" s="91"/>
      <c r="V757" s="70"/>
      <c r="W757" s="58"/>
      <c r="X757" s="58"/>
      <c r="Y757" s="70"/>
      <c r="Z757" s="83"/>
      <c r="AA757" s="70"/>
      <c r="AB757" s="70"/>
      <c r="AC757" s="70"/>
      <c r="AD757" s="70"/>
      <c r="AE757" s="70"/>
      <c r="AF757" s="70"/>
      <c r="AG757" s="70"/>
      <c r="AH757" s="70"/>
      <c r="AI757" s="70"/>
      <c r="AJ757" s="70"/>
      <c r="AK757" s="70"/>
      <c r="AL757" s="70"/>
      <c r="AM757" s="70"/>
      <c r="AN757" s="70"/>
      <c r="AO757" s="70"/>
      <c r="AP757" s="70"/>
      <c r="AQ757" s="70"/>
      <c r="AR757" s="70"/>
      <c r="AS757" s="70"/>
      <c r="AT757" s="70"/>
    </row>
    <row r="758" ht="15.75" customHeight="1">
      <c r="A758" s="70"/>
      <c r="B758" s="70"/>
      <c r="C758" s="70"/>
      <c r="D758" s="80"/>
      <c r="E758" s="70"/>
      <c r="F758" s="70"/>
      <c r="G758" s="70"/>
      <c r="H758" s="70"/>
      <c r="I758" s="70"/>
      <c r="J758" s="70"/>
      <c r="K758" s="70"/>
      <c r="L758" s="70"/>
      <c r="M758" s="70"/>
      <c r="N758" s="70"/>
      <c r="O758" s="70"/>
      <c r="P758" s="70"/>
      <c r="Q758" s="70"/>
      <c r="R758" s="70"/>
      <c r="S758" s="70"/>
      <c r="T758" s="91"/>
      <c r="U758" s="91"/>
      <c r="V758" s="70"/>
      <c r="W758" s="58"/>
      <c r="X758" s="58"/>
      <c r="Y758" s="70"/>
      <c r="Z758" s="83"/>
      <c r="AA758" s="70"/>
      <c r="AB758" s="70"/>
      <c r="AC758" s="70"/>
      <c r="AD758" s="70"/>
      <c r="AE758" s="70"/>
      <c r="AF758" s="70"/>
      <c r="AG758" s="70"/>
      <c r="AH758" s="70"/>
      <c r="AI758" s="70"/>
      <c r="AJ758" s="70"/>
      <c r="AK758" s="70"/>
      <c r="AL758" s="70"/>
      <c r="AM758" s="70"/>
      <c r="AN758" s="70"/>
      <c r="AO758" s="70"/>
      <c r="AP758" s="70"/>
      <c r="AQ758" s="70"/>
      <c r="AR758" s="70"/>
      <c r="AS758" s="70"/>
      <c r="AT758" s="70"/>
    </row>
    <row r="759" ht="15.75" customHeight="1">
      <c r="A759" s="70"/>
      <c r="B759" s="70"/>
      <c r="C759" s="70"/>
      <c r="D759" s="80"/>
      <c r="E759" s="70"/>
      <c r="F759" s="70"/>
      <c r="G759" s="70"/>
      <c r="H759" s="70"/>
      <c r="I759" s="70"/>
      <c r="J759" s="70"/>
      <c r="K759" s="70"/>
      <c r="L759" s="70"/>
      <c r="M759" s="70"/>
      <c r="N759" s="70"/>
      <c r="O759" s="70"/>
      <c r="P759" s="70"/>
      <c r="Q759" s="70"/>
      <c r="R759" s="70"/>
      <c r="S759" s="70"/>
      <c r="T759" s="91"/>
      <c r="U759" s="91"/>
      <c r="V759" s="70"/>
      <c r="W759" s="58"/>
      <c r="X759" s="58"/>
      <c r="Y759" s="70"/>
      <c r="Z759" s="83"/>
      <c r="AA759" s="70"/>
      <c r="AB759" s="70"/>
      <c r="AC759" s="70"/>
      <c r="AD759" s="70"/>
      <c r="AE759" s="70"/>
      <c r="AF759" s="70"/>
      <c r="AG759" s="70"/>
      <c r="AH759" s="70"/>
      <c r="AI759" s="70"/>
      <c r="AJ759" s="70"/>
      <c r="AK759" s="70"/>
      <c r="AL759" s="70"/>
      <c r="AM759" s="70"/>
      <c r="AN759" s="70"/>
      <c r="AO759" s="70"/>
      <c r="AP759" s="70"/>
      <c r="AQ759" s="70"/>
      <c r="AR759" s="70"/>
      <c r="AS759" s="70"/>
      <c r="AT759" s="70"/>
    </row>
    <row r="760" ht="15.75" customHeight="1">
      <c r="A760" s="70"/>
      <c r="B760" s="70"/>
      <c r="C760" s="70"/>
      <c r="D760" s="80"/>
      <c r="E760" s="70"/>
      <c r="F760" s="70"/>
      <c r="G760" s="70"/>
      <c r="H760" s="70"/>
      <c r="I760" s="70"/>
      <c r="J760" s="70"/>
      <c r="K760" s="70"/>
      <c r="L760" s="70"/>
      <c r="M760" s="70"/>
      <c r="N760" s="70"/>
      <c r="O760" s="70"/>
      <c r="P760" s="70"/>
      <c r="Q760" s="70"/>
      <c r="R760" s="70"/>
      <c r="S760" s="70"/>
      <c r="T760" s="91"/>
      <c r="U760" s="91"/>
      <c r="V760" s="70"/>
      <c r="W760" s="58"/>
      <c r="X760" s="58"/>
      <c r="Y760" s="70"/>
      <c r="Z760" s="83"/>
      <c r="AA760" s="70"/>
      <c r="AB760" s="70"/>
      <c r="AC760" s="70"/>
      <c r="AD760" s="70"/>
      <c r="AE760" s="70"/>
      <c r="AF760" s="70"/>
      <c r="AG760" s="70"/>
      <c r="AH760" s="70"/>
      <c r="AI760" s="70"/>
      <c r="AJ760" s="70"/>
      <c r="AK760" s="70"/>
      <c r="AL760" s="70"/>
      <c r="AM760" s="70"/>
      <c r="AN760" s="70"/>
      <c r="AO760" s="70"/>
      <c r="AP760" s="70"/>
      <c r="AQ760" s="70"/>
      <c r="AR760" s="70"/>
      <c r="AS760" s="70"/>
      <c r="AT760" s="70"/>
    </row>
    <row r="761" ht="15.75" customHeight="1">
      <c r="A761" s="70"/>
      <c r="B761" s="70"/>
      <c r="C761" s="70"/>
      <c r="D761" s="80"/>
      <c r="E761" s="70"/>
      <c r="F761" s="70"/>
      <c r="G761" s="70"/>
      <c r="H761" s="70"/>
      <c r="I761" s="70"/>
      <c r="J761" s="70"/>
      <c r="K761" s="70"/>
      <c r="L761" s="70"/>
      <c r="M761" s="70"/>
      <c r="N761" s="70"/>
      <c r="O761" s="70"/>
      <c r="P761" s="70"/>
      <c r="Q761" s="70"/>
      <c r="R761" s="70"/>
      <c r="S761" s="70"/>
      <c r="T761" s="91"/>
      <c r="U761" s="91"/>
      <c r="V761" s="70"/>
      <c r="W761" s="58"/>
      <c r="X761" s="58"/>
      <c r="Y761" s="70"/>
      <c r="Z761" s="83"/>
      <c r="AA761" s="70"/>
      <c r="AB761" s="70"/>
      <c r="AC761" s="70"/>
      <c r="AD761" s="70"/>
      <c r="AE761" s="70"/>
      <c r="AF761" s="70"/>
      <c r="AG761" s="70"/>
      <c r="AH761" s="70"/>
      <c r="AI761" s="70"/>
      <c r="AJ761" s="70"/>
      <c r="AK761" s="70"/>
      <c r="AL761" s="70"/>
      <c r="AM761" s="70"/>
      <c r="AN761" s="70"/>
      <c r="AO761" s="70"/>
      <c r="AP761" s="70"/>
      <c r="AQ761" s="70"/>
      <c r="AR761" s="70"/>
      <c r="AS761" s="70"/>
      <c r="AT761" s="70"/>
    </row>
    <row r="762" ht="15.75" customHeight="1">
      <c r="A762" s="70"/>
      <c r="B762" s="70"/>
      <c r="C762" s="70"/>
      <c r="D762" s="80"/>
      <c r="E762" s="70"/>
      <c r="F762" s="70"/>
      <c r="G762" s="70"/>
      <c r="H762" s="70"/>
      <c r="I762" s="70"/>
      <c r="J762" s="70"/>
      <c r="K762" s="70"/>
      <c r="L762" s="70"/>
      <c r="M762" s="70"/>
      <c r="N762" s="70"/>
      <c r="O762" s="70"/>
      <c r="P762" s="70"/>
      <c r="Q762" s="70"/>
      <c r="R762" s="70"/>
      <c r="S762" s="70"/>
      <c r="T762" s="91"/>
      <c r="U762" s="91"/>
      <c r="V762" s="70"/>
      <c r="W762" s="58"/>
      <c r="X762" s="58"/>
      <c r="Y762" s="70"/>
      <c r="Z762" s="83"/>
      <c r="AA762" s="70"/>
      <c r="AB762" s="70"/>
      <c r="AC762" s="70"/>
      <c r="AD762" s="70"/>
      <c r="AE762" s="70"/>
      <c r="AF762" s="70"/>
      <c r="AG762" s="70"/>
      <c r="AH762" s="70"/>
      <c r="AI762" s="70"/>
      <c r="AJ762" s="70"/>
      <c r="AK762" s="70"/>
      <c r="AL762" s="70"/>
      <c r="AM762" s="70"/>
      <c r="AN762" s="70"/>
      <c r="AO762" s="70"/>
      <c r="AP762" s="70"/>
      <c r="AQ762" s="70"/>
      <c r="AR762" s="70"/>
      <c r="AS762" s="70"/>
      <c r="AT762" s="70"/>
    </row>
    <row r="763" ht="15.75" customHeight="1">
      <c r="A763" s="70"/>
      <c r="B763" s="70"/>
      <c r="C763" s="70"/>
      <c r="D763" s="80"/>
      <c r="E763" s="70"/>
      <c r="F763" s="70"/>
      <c r="G763" s="70"/>
      <c r="H763" s="70"/>
      <c r="I763" s="70"/>
      <c r="J763" s="70"/>
      <c r="K763" s="70"/>
      <c r="L763" s="70"/>
      <c r="M763" s="70"/>
      <c r="N763" s="70"/>
      <c r="O763" s="70"/>
      <c r="P763" s="70"/>
      <c r="Q763" s="70"/>
      <c r="R763" s="70"/>
      <c r="S763" s="70"/>
      <c r="T763" s="91"/>
      <c r="U763" s="91"/>
      <c r="V763" s="70"/>
      <c r="W763" s="58"/>
      <c r="X763" s="58"/>
      <c r="Y763" s="70"/>
      <c r="Z763" s="83"/>
      <c r="AA763" s="70"/>
      <c r="AB763" s="70"/>
      <c r="AC763" s="70"/>
      <c r="AD763" s="70"/>
      <c r="AE763" s="70"/>
      <c r="AF763" s="70"/>
      <c r="AG763" s="70"/>
      <c r="AH763" s="70"/>
      <c r="AI763" s="70"/>
      <c r="AJ763" s="70"/>
      <c r="AK763" s="70"/>
      <c r="AL763" s="70"/>
      <c r="AM763" s="70"/>
      <c r="AN763" s="70"/>
      <c r="AO763" s="70"/>
      <c r="AP763" s="70"/>
      <c r="AQ763" s="70"/>
      <c r="AR763" s="70"/>
      <c r="AS763" s="70"/>
      <c r="AT763" s="70"/>
    </row>
    <row r="764" ht="15.75" customHeight="1">
      <c r="A764" s="70"/>
      <c r="B764" s="70"/>
      <c r="C764" s="70"/>
      <c r="D764" s="80"/>
      <c r="E764" s="70"/>
      <c r="F764" s="70"/>
      <c r="G764" s="70"/>
      <c r="H764" s="70"/>
      <c r="I764" s="70"/>
      <c r="J764" s="70"/>
      <c r="K764" s="70"/>
      <c r="L764" s="70"/>
      <c r="M764" s="70"/>
      <c r="N764" s="70"/>
      <c r="O764" s="70"/>
      <c r="P764" s="70"/>
      <c r="Q764" s="70"/>
      <c r="R764" s="70"/>
      <c r="S764" s="70"/>
      <c r="T764" s="91"/>
      <c r="U764" s="91"/>
      <c r="V764" s="70"/>
      <c r="W764" s="58"/>
      <c r="X764" s="58"/>
      <c r="Y764" s="70"/>
      <c r="Z764" s="83"/>
      <c r="AA764" s="70"/>
      <c r="AB764" s="70"/>
      <c r="AC764" s="70"/>
      <c r="AD764" s="70"/>
      <c r="AE764" s="70"/>
      <c r="AF764" s="70"/>
      <c r="AG764" s="70"/>
      <c r="AH764" s="70"/>
      <c r="AI764" s="70"/>
      <c r="AJ764" s="70"/>
      <c r="AK764" s="70"/>
      <c r="AL764" s="70"/>
      <c r="AM764" s="70"/>
      <c r="AN764" s="70"/>
      <c r="AO764" s="70"/>
      <c r="AP764" s="70"/>
      <c r="AQ764" s="70"/>
      <c r="AR764" s="70"/>
      <c r="AS764" s="70"/>
      <c r="AT764" s="70"/>
    </row>
    <row r="765" ht="15.75" customHeight="1">
      <c r="A765" s="70"/>
      <c r="B765" s="70"/>
      <c r="C765" s="70"/>
      <c r="D765" s="80"/>
      <c r="E765" s="70"/>
      <c r="F765" s="70"/>
      <c r="G765" s="70"/>
      <c r="H765" s="70"/>
      <c r="I765" s="70"/>
      <c r="J765" s="70"/>
      <c r="K765" s="70"/>
      <c r="L765" s="70"/>
      <c r="M765" s="70"/>
      <c r="N765" s="70"/>
      <c r="O765" s="70"/>
      <c r="P765" s="70"/>
      <c r="Q765" s="70"/>
      <c r="R765" s="70"/>
      <c r="S765" s="70"/>
      <c r="T765" s="91"/>
      <c r="U765" s="91"/>
      <c r="V765" s="70"/>
      <c r="W765" s="58"/>
      <c r="X765" s="58"/>
      <c r="Y765" s="70"/>
      <c r="Z765" s="83"/>
      <c r="AA765" s="70"/>
      <c r="AB765" s="70"/>
      <c r="AC765" s="70"/>
      <c r="AD765" s="70"/>
      <c r="AE765" s="70"/>
      <c r="AF765" s="70"/>
      <c r="AG765" s="70"/>
      <c r="AH765" s="70"/>
      <c r="AI765" s="70"/>
      <c r="AJ765" s="70"/>
      <c r="AK765" s="70"/>
      <c r="AL765" s="70"/>
      <c r="AM765" s="70"/>
      <c r="AN765" s="70"/>
      <c r="AO765" s="70"/>
      <c r="AP765" s="70"/>
      <c r="AQ765" s="70"/>
      <c r="AR765" s="70"/>
      <c r="AS765" s="70"/>
      <c r="AT765" s="70"/>
    </row>
    <row r="766" ht="15.75" customHeight="1">
      <c r="A766" s="70"/>
      <c r="B766" s="70"/>
      <c r="C766" s="70"/>
      <c r="D766" s="80"/>
      <c r="E766" s="70"/>
      <c r="F766" s="70"/>
      <c r="G766" s="70"/>
      <c r="H766" s="70"/>
      <c r="I766" s="70"/>
      <c r="J766" s="70"/>
      <c r="K766" s="70"/>
      <c r="L766" s="70"/>
      <c r="M766" s="70"/>
      <c r="N766" s="70"/>
      <c r="O766" s="70"/>
      <c r="P766" s="70"/>
      <c r="Q766" s="70"/>
      <c r="R766" s="70"/>
      <c r="S766" s="70"/>
      <c r="T766" s="91"/>
      <c r="U766" s="91"/>
      <c r="V766" s="70"/>
      <c r="W766" s="58"/>
      <c r="X766" s="58"/>
      <c r="Y766" s="70"/>
      <c r="Z766" s="83"/>
      <c r="AA766" s="70"/>
      <c r="AB766" s="70"/>
      <c r="AC766" s="70"/>
      <c r="AD766" s="70"/>
      <c r="AE766" s="70"/>
      <c r="AF766" s="70"/>
      <c r="AG766" s="70"/>
      <c r="AH766" s="70"/>
      <c r="AI766" s="70"/>
      <c r="AJ766" s="70"/>
      <c r="AK766" s="70"/>
      <c r="AL766" s="70"/>
      <c r="AM766" s="70"/>
      <c r="AN766" s="70"/>
      <c r="AO766" s="70"/>
      <c r="AP766" s="70"/>
      <c r="AQ766" s="70"/>
      <c r="AR766" s="70"/>
      <c r="AS766" s="70"/>
      <c r="AT766" s="70"/>
    </row>
    <row r="767" ht="15.75" customHeight="1">
      <c r="A767" s="70"/>
      <c r="B767" s="70"/>
      <c r="C767" s="70"/>
      <c r="D767" s="80"/>
      <c r="E767" s="70"/>
      <c r="F767" s="70"/>
      <c r="G767" s="70"/>
      <c r="H767" s="70"/>
      <c r="I767" s="70"/>
      <c r="J767" s="70"/>
      <c r="K767" s="70"/>
      <c r="L767" s="70"/>
      <c r="M767" s="70"/>
      <c r="N767" s="70"/>
      <c r="O767" s="70"/>
      <c r="P767" s="70"/>
      <c r="Q767" s="70"/>
      <c r="R767" s="70"/>
      <c r="S767" s="70"/>
      <c r="T767" s="91"/>
      <c r="U767" s="91"/>
      <c r="V767" s="70"/>
      <c r="W767" s="58"/>
      <c r="X767" s="58"/>
      <c r="Y767" s="70"/>
      <c r="Z767" s="83"/>
      <c r="AA767" s="70"/>
      <c r="AB767" s="70"/>
      <c r="AC767" s="70"/>
      <c r="AD767" s="70"/>
      <c r="AE767" s="70"/>
      <c r="AF767" s="70"/>
      <c r="AG767" s="70"/>
      <c r="AH767" s="70"/>
      <c r="AI767" s="70"/>
      <c r="AJ767" s="70"/>
      <c r="AK767" s="70"/>
      <c r="AL767" s="70"/>
      <c r="AM767" s="70"/>
      <c r="AN767" s="70"/>
      <c r="AO767" s="70"/>
      <c r="AP767" s="70"/>
      <c r="AQ767" s="70"/>
      <c r="AR767" s="70"/>
      <c r="AS767" s="70"/>
      <c r="AT767" s="70"/>
    </row>
    <row r="768" ht="15.75" customHeight="1">
      <c r="A768" s="70"/>
      <c r="B768" s="70"/>
      <c r="C768" s="70"/>
      <c r="D768" s="80"/>
      <c r="E768" s="70"/>
      <c r="F768" s="70"/>
      <c r="G768" s="70"/>
      <c r="H768" s="70"/>
      <c r="I768" s="70"/>
      <c r="J768" s="70"/>
      <c r="K768" s="70"/>
      <c r="L768" s="70"/>
      <c r="M768" s="70"/>
      <c r="N768" s="70"/>
      <c r="O768" s="70"/>
      <c r="P768" s="70"/>
      <c r="Q768" s="70"/>
      <c r="R768" s="70"/>
      <c r="S768" s="70"/>
      <c r="T768" s="91"/>
      <c r="U768" s="91"/>
      <c r="V768" s="70"/>
      <c r="W768" s="58"/>
      <c r="X768" s="58"/>
      <c r="Y768" s="70"/>
      <c r="Z768" s="83"/>
      <c r="AA768" s="70"/>
      <c r="AB768" s="70"/>
      <c r="AC768" s="70"/>
      <c r="AD768" s="70"/>
      <c r="AE768" s="70"/>
      <c r="AF768" s="70"/>
      <c r="AG768" s="70"/>
      <c r="AH768" s="70"/>
      <c r="AI768" s="70"/>
      <c r="AJ768" s="70"/>
      <c r="AK768" s="70"/>
      <c r="AL768" s="70"/>
      <c r="AM768" s="70"/>
      <c r="AN768" s="70"/>
      <c r="AO768" s="70"/>
      <c r="AP768" s="70"/>
      <c r="AQ768" s="70"/>
      <c r="AR768" s="70"/>
      <c r="AS768" s="70"/>
      <c r="AT768" s="70"/>
    </row>
    <row r="769" ht="15.75" customHeight="1">
      <c r="A769" s="70"/>
      <c r="B769" s="70"/>
      <c r="C769" s="70"/>
      <c r="D769" s="80"/>
      <c r="E769" s="70"/>
      <c r="F769" s="70"/>
      <c r="G769" s="70"/>
      <c r="H769" s="70"/>
      <c r="I769" s="70"/>
      <c r="J769" s="70"/>
      <c r="K769" s="70"/>
      <c r="L769" s="70"/>
      <c r="M769" s="70"/>
      <c r="N769" s="70"/>
      <c r="O769" s="70"/>
      <c r="P769" s="70"/>
      <c r="Q769" s="70"/>
      <c r="R769" s="70"/>
      <c r="S769" s="70"/>
      <c r="T769" s="91"/>
      <c r="U769" s="91"/>
      <c r="V769" s="70"/>
      <c r="W769" s="58"/>
      <c r="X769" s="58"/>
      <c r="Y769" s="70"/>
      <c r="Z769" s="83"/>
      <c r="AA769" s="70"/>
      <c r="AB769" s="70"/>
      <c r="AC769" s="70"/>
      <c r="AD769" s="70"/>
      <c r="AE769" s="70"/>
      <c r="AF769" s="70"/>
      <c r="AG769" s="70"/>
      <c r="AH769" s="70"/>
      <c r="AI769" s="70"/>
      <c r="AJ769" s="70"/>
      <c r="AK769" s="70"/>
      <c r="AL769" s="70"/>
      <c r="AM769" s="70"/>
      <c r="AN769" s="70"/>
      <c r="AO769" s="70"/>
      <c r="AP769" s="70"/>
      <c r="AQ769" s="70"/>
      <c r="AR769" s="70"/>
      <c r="AS769" s="70"/>
      <c r="AT769" s="70"/>
    </row>
    <row r="770" ht="15.75" customHeight="1">
      <c r="A770" s="70"/>
      <c r="B770" s="70"/>
      <c r="C770" s="70"/>
      <c r="D770" s="80"/>
      <c r="E770" s="70"/>
      <c r="F770" s="70"/>
      <c r="G770" s="70"/>
      <c r="H770" s="70"/>
      <c r="I770" s="70"/>
      <c r="J770" s="70"/>
      <c r="K770" s="70"/>
      <c r="L770" s="70"/>
      <c r="M770" s="70"/>
      <c r="N770" s="70"/>
      <c r="O770" s="70"/>
      <c r="P770" s="70"/>
      <c r="Q770" s="70"/>
      <c r="R770" s="70"/>
      <c r="S770" s="70"/>
      <c r="T770" s="91"/>
      <c r="U770" s="91"/>
      <c r="V770" s="70"/>
      <c r="W770" s="58"/>
      <c r="X770" s="58"/>
      <c r="Y770" s="70"/>
      <c r="Z770" s="83"/>
      <c r="AA770" s="70"/>
      <c r="AB770" s="70"/>
      <c r="AC770" s="70"/>
      <c r="AD770" s="70"/>
      <c r="AE770" s="70"/>
      <c r="AF770" s="70"/>
      <c r="AG770" s="70"/>
      <c r="AH770" s="70"/>
      <c r="AI770" s="70"/>
      <c r="AJ770" s="70"/>
      <c r="AK770" s="70"/>
      <c r="AL770" s="70"/>
      <c r="AM770" s="70"/>
      <c r="AN770" s="70"/>
      <c r="AO770" s="70"/>
      <c r="AP770" s="70"/>
      <c r="AQ770" s="70"/>
      <c r="AR770" s="70"/>
      <c r="AS770" s="70"/>
      <c r="AT770" s="70"/>
    </row>
    <row r="771" ht="15.75" customHeight="1">
      <c r="A771" s="70"/>
      <c r="B771" s="70"/>
      <c r="C771" s="70"/>
      <c r="D771" s="80"/>
      <c r="E771" s="70"/>
      <c r="F771" s="70"/>
      <c r="G771" s="70"/>
      <c r="H771" s="70"/>
      <c r="I771" s="70"/>
      <c r="J771" s="70"/>
      <c r="K771" s="70"/>
      <c r="L771" s="70"/>
      <c r="M771" s="70"/>
      <c r="N771" s="70"/>
      <c r="O771" s="70"/>
      <c r="P771" s="70"/>
      <c r="Q771" s="70"/>
      <c r="R771" s="70"/>
      <c r="S771" s="70"/>
      <c r="T771" s="91"/>
      <c r="U771" s="91"/>
      <c r="V771" s="70"/>
      <c r="W771" s="58"/>
      <c r="X771" s="58"/>
      <c r="Y771" s="70"/>
      <c r="Z771" s="83"/>
      <c r="AA771" s="70"/>
      <c r="AB771" s="70"/>
      <c r="AC771" s="70"/>
      <c r="AD771" s="70"/>
      <c r="AE771" s="70"/>
      <c r="AF771" s="70"/>
      <c r="AG771" s="70"/>
      <c r="AH771" s="70"/>
      <c r="AI771" s="70"/>
      <c r="AJ771" s="70"/>
      <c r="AK771" s="70"/>
      <c r="AL771" s="70"/>
      <c r="AM771" s="70"/>
      <c r="AN771" s="70"/>
      <c r="AO771" s="70"/>
      <c r="AP771" s="70"/>
      <c r="AQ771" s="70"/>
      <c r="AR771" s="70"/>
      <c r="AS771" s="70"/>
      <c r="AT771" s="70"/>
    </row>
    <row r="772" ht="15.75" customHeight="1">
      <c r="A772" s="70"/>
      <c r="B772" s="70"/>
      <c r="C772" s="70"/>
      <c r="D772" s="80"/>
      <c r="E772" s="70"/>
      <c r="F772" s="70"/>
      <c r="G772" s="70"/>
      <c r="H772" s="70"/>
      <c r="I772" s="70"/>
      <c r="J772" s="70"/>
      <c r="K772" s="70"/>
      <c r="L772" s="70"/>
      <c r="M772" s="70"/>
      <c r="N772" s="70"/>
      <c r="O772" s="70"/>
      <c r="P772" s="70"/>
      <c r="Q772" s="70"/>
      <c r="R772" s="70"/>
      <c r="S772" s="70"/>
      <c r="T772" s="91"/>
      <c r="U772" s="91"/>
      <c r="V772" s="70"/>
      <c r="W772" s="58"/>
      <c r="X772" s="58"/>
      <c r="Y772" s="70"/>
      <c r="Z772" s="83"/>
      <c r="AA772" s="70"/>
      <c r="AB772" s="70"/>
      <c r="AC772" s="70"/>
      <c r="AD772" s="70"/>
      <c r="AE772" s="70"/>
      <c r="AF772" s="70"/>
      <c r="AG772" s="70"/>
      <c r="AH772" s="70"/>
      <c r="AI772" s="70"/>
      <c r="AJ772" s="70"/>
      <c r="AK772" s="70"/>
      <c r="AL772" s="70"/>
      <c r="AM772" s="70"/>
      <c r="AN772" s="70"/>
      <c r="AO772" s="70"/>
      <c r="AP772" s="70"/>
      <c r="AQ772" s="70"/>
      <c r="AR772" s="70"/>
      <c r="AS772" s="70"/>
      <c r="AT772" s="70"/>
    </row>
    <row r="773" ht="15.75" customHeight="1">
      <c r="A773" s="70"/>
      <c r="B773" s="70"/>
      <c r="C773" s="70"/>
      <c r="D773" s="80"/>
      <c r="E773" s="70"/>
      <c r="F773" s="70"/>
      <c r="G773" s="70"/>
      <c r="H773" s="70"/>
      <c r="I773" s="70"/>
      <c r="J773" s="70"/>
      <c r="K773" s="70"/>
      <c r="L773" s="70"/>
      <c r="M773" s="70"/>
      <c r="N773" s="70"/>
      <c r="O773" s="70"/>
      <c r="P773" s="70"/>
      <c r="Q773" s="70"/>
      <c r="R773" s="70"/>
      <c r="S773" s="70"/>
      <c r="T773" s="91"/>
      <c r="U773" s="91"/>
      <c r="V773" s="70"/>
      <c r="W773" s="58"/>
      <c r="X773" s="58"/>
      <c r="Y773" s="70"/>
      <c r="Z773" s="83"/>
      <c r="AA773" s="70"/>
      <c r="AB773" s="70"/>
      <c r="AC773" s="70"/>
      <c r="AD773" s="70"/>
      <c r="AE773" s="70"/>
      <c r="AF773" s="70"/>
      <c r="AG773" s="70"/>
      <c r="AH773" s="70"/>
      <c r="AI773" s="70"/>
      <c r="AJ773" s="70"/>
      <c r="AK773" s="70"/>
      <c r="AL773" s="70"/>
      <c r="AM773" s="70"/>
      <c r="AN773" s="70"/>
      <c r="AO773" s="70"/>
      <c r="AP773" s="70"/>
      <c r="AQ773" s="70"/>
      <c r="AR773" s="70"/>
      <c r="AS773" s="70"/>
      <c r="AT773" s="70"/>
    </row>
    <row r="774" ht="15.75" customHeight="1">
      <c r="A774" s="70"/>
      <c r="B774" s="70"/>
      <c r="C774" s="70"/>
      <c r="D774" s="80"/>
      <c r="E774" s="70"/>
      <c r="F774" s="70"/>
      <c r="G774" s="70"/>
      <c r="H774" s="70"/>
      <c r="I774" s="70"/>
      <c r="J774" s="70"/>
      <c r="K774" s="70"/>
      <c r="L774" s="70"/>
      <c r="M774" s="70"/>
      <c r="N774" s="70"/>
      <c r="O774" s="70"/>
      <c r="P774" s="70"/>
      <c r="Q774" s="70"/>
      <c r="R774" s="70"/>
      <c r="S774" s="70"/>
      <c r="T774" s="91"/>
      <c r="U774" s="91"/>
      <c r="V774" s="70"/>
      <c r="W774" s="58"/>
      <c r="X774" s="58"/>
      <c r="Y774" s="70"/>
      <c r="Z774" s="83"/>
      <c r="AA774" s="70"/>
      <c r="AB774" s="70"/>
      <c r="AC774" s="70"/>
      <c r="AD774" s="70"/>
      <c r="AE774" s="70"/>
      <c r="AF774" s="70"/>
      <c r="AG774" s="70"/>
      <c r="AH774" s="70"/>
      <c r="AI774" s="70"/>
      <c r="AJ774" s="70"/>
      <c r="AK774" s="70"/>
      <c r="AL774" s="70"/>
      <c r="AM774" s="70"/>
      <c r="AN774" s="70"/>
      <c r="AO774" s="70"/>
      <c r="AP774" s="70"/>
      <c r="AQ774" s="70"/>
      <c r="AR774" s="70"/>
      <c r="AS774" s="70"/>
      <c r="AT774" s="70"/>
    </row>
    <row r="775" ht="15.75" customHeight="1">
      <c r="A775" s="70"/>
      <c r="B775" s="70"/>
      <c r="C775" s="70"/>
      <c r="D775" s="80"/>
      <c r="E775" s="70"/>
      <c r="F775" s="70"/>
      <c r="G775" s="70"/>
      <c r="H775" s="70"/>
      <c r="I775" s="70"/>
      <c r="J775" s="70"/>
      <c r="K775" s="70"/>
      <c r="L775" s="70"/>
      <c r="M775" s="70"/>
      <c r="N775" s="70"/>
      <c r="O775" s="70"/>
      <c r="P775" s="70"/>
      <c r="Q775" s="70"/>
      <c r="R775" s="70"/>
      <c r="S775" s="70"/>
      <c r="T775" s="91"/>
      <c r="U775" s="91"/>
      <c r="V775" s="70"/>
      <c r="W775" s="58"/>
      <c r="X775" s="58"/>
      <c r="Y775" s="70"/>
      <c r="Z775" s="83"/>
      <c r="AA775" s="70"/>
      <c r="AB775" s="70"/>
      <c r="AC775" s="70"/>
      <c r="AD775" s="70"/>
      <c r="AE775" s="70"/>
      <c r="AF775" s="70"/>
      <c r="AG775" s="70"/>
      <c r="AH775" s="70"/>
      <c r="AI775" s="70"/>
      <c r="AJ775" s="70"/>
      <c r="AK775" s="70"/>
      <c r="AL775" s="70"/>
      <c r="AM775" s="70"/>
      <c r="AN775" s="70"/>
      <c r="AO775" s="70"/>
      <c r="AP775" s="70"/>
      <c r="AQ775" s="70"/>
      <c r="AR775" s="70"/>
      <c r="AS775" s="70"/>
      <c r="AT775" s="70"/>
    </row>
    <row r="776" ht="15.75" customHeight="1">
      <c r="A776" s="70"/>
      <c r="B776" s="70"/>
      <c r="C776" s="70"/>
      <c r="D776" s="80"/>
      <c r="E776" s="70"/>
      <c r="F776" s="70"/>
      <c r="G776" s="70"/>
      <c r="H776" s="70"/>
      <c r="I776" s="70"/>
      <c r="J776" s="70"/>
      <c r="K776" s="70"/>
      <c r="L776" s="70"/>
      <c r="M776" s="70"/>
      <c r="N776" s="70"/>
      <c r="O776" s="70"/>
      <c r="P776" s="70"/>
      <c r="Q776" s="70"/>
      <c r="R776" s="70"/>
      <c r="S776" s="70"/>
      <c r="T776" s="91"/>
      <c r="U776" s="91"/>
      <c r="V776" s="70"/>
      <c r="W776" s="58"/>
      <c r="X776" s="58"/>
      <c r="Y776" s="70"/>
      <c r="Z776" s="83"/>
      <c r="AA776" s="70"/>
      <c r="AB776" s="70"/>
      <c r="AC776" s="70"/>
      <c r="AD776" s="70"/>
      <c r="AE776" s="70"/>
      <c r="AF776" s="70"/>
      <c r="AG776" s="70"/>
      <c r="AH776" s="70"/>
      <c r="AI776" s="70"/>
      <c r="AJ776" s="70"/>
      <c r="AK776" s="70"/>
      <c r="AL776" s="70"/>
      <c r="AM776" s="70"/>
      <c r="AN776" s="70"/>
      <c r="AO776" s="70"/>
      <c r="AP776" s="70"/>
      <c r="AQ776" s="70"/>
      <c r="AR776" s="70"/>
      <c r="AS776" s="70"/>
      <c r="AT776" s="70"/>
    </row>
    <row r="777" ht="15.75" customHeight="1">
      <c r="A777" s="70"/>
      <c r="B777" s="70"/>
      <c r="C777" s="70"/>
      <c r="D777" s="80"/>
      <c r="E777" s="70"/>
      <c r="F777" s="70"/>
      <c r="G777" s="70"/>
      <c r="H777" s="70"/>
      <c r="I777" s="70"/>
      <c r="J777" s="70"/>
      <c r="K777" s="70"/>
      <c r="L777" s="70"/>
      <c r="M777" s="70"/>
      <c r="N777" s="70"/>
      <c r="O777" s="70"/>
      <c r="P777" s="70"/>
      <c r="Q777" s="70"/>
      <c r="R777" s="70"/>
      <c r="S777" s="70"/>
      <c r="T777" s="91"/>
      <c r="U777" s="91"/>
      <c r="V777" s="70"/>
      <c r="W777" s="58"/>
      <c r="X777" s="58"/>
      <c r="Y777" s="70"/>
      <c r="Z777" s="83"/>
      <c r="AA777" s="70"/>
      <c r="AB777" s="70"/>
      <c r="AC777" s="70"/>
      <c r="AD777" s="70"/>
      <c r="AE777" s="70"/>
      <c r="AF777" s="70"/>
      <c r="AG777" s="70"/>
      <c r="AH777" s="70"/>
      <c r="AI777" s="70"/>
      <c r="AJ777" s="70"/>
      <c r="AK777" s="70"/>
      <c r="AL777" s="70"/>
      <c r="AM777" s="70"/>
      <c r="AN777" s="70"/>
      <c r="AO777" s="70"/>
      <c r="AP777" s="70"/>
      <c r="AQ777" s="70"/>
      <c r="AR777" s="70"/>
      <c r="AS777" s="70"/>
      <c r="AT777" s="70"/>
    </row>
    <row r="778" ht="15.75" customHeight="1">
      <c r="A778" s="70"/>
      <c r="B778" s="70"/>
      <c r="C778" s="70"/>
      <c r="D778" s="80"/>
      <c r="E778" s="70"/>
      <c r="F778" s="70"/>
      <c r="G778" s="70"/>
      <c r="H778" s="70"/>
      <c r="I778" s="70"/>
      <c r="J778" s="70"/>
      <c r="K778" s="70"/>
      <c r="L778" s="70"/>
      <c r="M778" s="70"/>
      <c r="N778" s="70"/>
      <c r="O778" s="70"/>
      <c r="P778" s="70"/>
      <c r="Q778" s="70"/>
      <c r="R778" s="70"/>
      <c r="S778" s="70"/>
      <c r="T778" s="91"/>
      <c r="U778" s="91"/>
      <c r="V778" s="70"/>
      <c r="W778" s="58"/>
      <c r="X778" s="58"/>
      <c r="Y778" s="70"/>
      <c r="Z778" s="83"/>
      <c r="AA778" s="70"/>
      <c r="AB778" s="70"/>
      <c r="AC778" s="70"/>
      <c r="AD778" s="70"/>
      <c r="AE778" s="70"/>
      <c r="AF778" s="70"/>
      <c r="AG778" s="70"/>
      <c r="AH778" s="70"/>
      <c r="AI778" s="70"/>
      <c r="AJ778" s="70"/>
      <c r="AK778" s="70"/>
      <c r="AL778" s="70"/>
      <c r="AM778" s="70"/>
      <c r="AN778" s="70"/>
      <c r="AO778" s="70"/>
      <c r="AP778" s="70"/>
      <c r="AQ778" s="70"/>
      <c r="AR778" s="70"/>
      <c r="AS778" s="70"/>
      <c r="AT778" s="70"/>
    </row>
    <row r="779" ht="15.75" customHeight="1">
      <c r="A779" s="70"/>
      <c r="B779" s="70"/>
      <c r="C779" s="70"/>
      <c r="D779" s="80"/>
      <c r="E779" s="70"/>
      <c r="F779" s="70"/>
      <c r="G779" s="70"/>
      <c r="H779" s="70"/>
      <c r="I779" s="70"/>
      <c r="J779" s="70"/>
      <c r="K779" s="70"/>
      <c r="L779" s="70"/>
      <c r="M779" s="70"/>
      <c r="N779" s="70"/>
      <c r="O779" s="70"/>
      <c r="P779" s="70"/>
      <c r="Q779" s="70"/>
      <c r="R779" s="70"/>
      <c r="S779" s="70"/>
      <c r="T779" s="91"/>
      <c r="U779" s="91"/>
      <c r="V779" s="70"/>
      <c r="W779" s="58"/>
      <c r="X779" s="58"/>
      <c r="Y779" s="70"/>
      <c r="Z779" s="83"/>
      <c r="AA779" s="70"/>
      <c r="AB779" s="70"/>
      <c r="AC779" s="70"/>
      <c r="AD779" s="70"/>
      <c r="AE779" s="70"/>
      <c r="AF779" s="70"/>
      <c r="AG779" s="70"/>
      <c r="AH779" s="70"/>
      <c r="AI779" s="70"/>
      <c r="AJ779" s="70"/>
      <c r="AK779" s="70"/>
      <c r="AL779" s="70"/>
      <c r="AM779" s="70"/>
      <c r="AN779" s="70"/>
      <c r="AO779" s="70"/>
      <c r="AP779" s="70"/>
      <c r="AQ779" s="70"/>
      <c r="AR779" s="70"/>
      <c r="AS779" s="70"/>
      <c r="AT779" s="70"/>
    </row>
    <row r="780" ht="15.75" customHeight="1">
      <c r="A780" s="70"/>
      <c r="B780" s="70"/>
      <c r="C780" s="70"/>
      <c r="D780" s="80"/>
      <c r="E780" s="70"/>
      <c r="F780" s="70"/>
      <c r="G780" s="70"/>
      <c r="H780" s="70"/>
      <c r="I780" s="70"/>
      <c r="J780" s="70"/>
      <c r="K780" s="70"/>
      <c r="L780" s="70"/>
      <c r="M780" s="70"/>
      <c r="N780" s="70"/>
      <c r="O780" s="70"/>
      <c r="P780" s="70"/>
      <c r="Q780" s="70"/>
      <c r="R780" s="70"/>
      <c r="S780" s="70"/>
      <c r="T780" s="91"/>
      <c r="U780" s="91"/>
      <c r="V780" s="70"/>
      <c r="W780" s="58"/>
      <c r="X780" s="58"/>
      <c r="Y780" s="70"/>
      <c r="Z780" s="83"/>
      <c r="AA780" s="70"/>
      <c r="AB780" s="70"/>
      <c r="AC780" s="70"/>
      <c r="AD780" s="70"/>
      <c r="AE780" s="70"/>
      <c r="AF780" s="70"/>
      <c r="AG780" s="70"/>
      <c r="AH780" s="70"/>
      <c r="AI780" s="70"/>
      <c r="AJ780" s="70"/>
      <c r="AK780" s="70"/>
      <c r="AL780" s="70"/>
      <c r="AM780" s="70"/>
      <c r="AN780" s="70"/>
      <c r="AO780" s="70"/>
      <c r="AP780" s="70"/>
      <c r="AQ780" s="70"/>
      <c r="AR780" s="70"/>
      <c r="AS780" s="70"/>
      <c r="AT780" s="70"/>
    </row>
    <row r="781" ht="15.75" customHeight="1">
      <c r="A781" s="70"/>
      <c r="B781" s="70"/>
      <c r="C781" s="70"/>
      <c r="D781" s="80"/>
      <c r="E781" s="70"/>
      <c r="F781" s="70"/>
      <c r="G781" s="70"/>
      <c r="H781" s="70"/>
      <c r="I781" s="70"/>
      <c r="J781" s="70"/>
      <c r="K781" s="70"/>
      <c r="L781" s="70"/>
      <c r="M781" s="70"/>
      <c r="N781" s="70"/>
      <c r="O781" s="70"/>
      <c r="P781" s="70"/>
      <c r="Q781" s="70"/>
      <c r="R781" s="70"/>
      <c r="S781" s="70"/>
      <c r="T781" s="91"/>
      <c r="U781" s="91"/>
      <c r="V781" s="70"/>
      <c r="W781" s="58"/>
      <c r="X781" s="58"/>
      <c r="Y781" s="70"/>
      <c r="Z781" s="83"/>
      <c r="AA781" s="70"/>
      <c r="AB781" s="70"/>
      <c r="AC781" s="70"/>
      <c r="AD781" s="70"/>
      <c r="AE781" s="70"/>
      <c r="AF781" s="70"/>
      <c r="AG781" s="70"/>
      <c r="AH781" s="70"/>
      <c r="AI781" s="70"/>
      <c r="AJ781" s="70"/>
      <c r="AK781" s="70"/>
      <c r="AL781" s="70"/>
      <c r="AM781" s="70"/>
      <c r="AN781" s="70"/>
      <c r="AO781" s="70"/>
      <c r="AP781" s="70"/>
      <c r="AQ781" s="70"/>
      <c r="AR781" s="70"/>
      <c r="AS781" s="70"/>
      <c r="AT781" s="70"/>
    </row>
    <row r="782" ht="15.75" customHeight="1">
      <c r="A782" s="70"/>
      <c r="B782" s="70"/>
      <c r="C782" s="70"/>
      <c r="D782" s="80"/>
      <c r="E782" s="70"/>
      <c r="F782" s="70"/>
      <c r="G782" s="70"/>
      <c r="H782" s="70"/>
      <c r="I782" s="70"/>
      <c r="J782" s="70"/>
      <c r="K782" s="70"/>
      <c r="L782" s="70"/>
      <c r="M782" s="70"/>
      <c r="N782" s="70"/>
      <c r="O782" s="70"/>
      <c r="P782" s="70"/>
      <c r="Q782" s="70"/>
      <c r="R782" s="70"/>
      <c r="S782" s="70"/>
      <c r="T782" s="91"/>
      <c r="U782" s="91"/>
      <c r="V782" s="70"/>
      <c r="W782" s="58"/>
      <c r="X782" s="58"/>
      <c r="Y782" s="70"/>
      <c r="Z782" s="83"/>
      <c r="AA782" s="70"/>
      <c r="AB782" s="70"/>
      <c r="AC782" s="70"/>
      <c r="AD782" s="70"/>
      <c r="AE782" s="70"/>
      <c r="AF782" s="70"/>
      <c r="AG782" s="70"/>
      <c r="AH782" s="70"/>
      <c r="AI782" s="70"/>
      <c r="AJ782" s="70"/>
      <c r="AK782" s="70"/>
      <c r="AL782" s="70"/>
      <c r="AM782" s="70"/>
      <c r="AN782" s="70"/>
      <c r="AO782" s="70"/>
      <c r="AP782" s="70"/>
      <c r="AQ782" s="70"/>
      <c r="AR782" s="70"/>
      <c r="AS782" s="70"/>
      <c r="AT782" s="70"/>
    </row>
    <row r="783" ht="15.75" customHeight="1">
      <c r="A783" s="70"/>
      <c r="B783" s="70"/>
      <c r="C783" s="70"/>
      <c r="D783" s="80"/>
      <c r="E783" s="70"/>
      <c r="F783" s="70"/>
      <c r="G783" s="70"/>
      <c r="H783" s="70"/>
      <c r="I783" s="70"/>
      <c r="J783" s="70"/>
      <c r="K783" s="70"/>
      <c r="L783" s="70"/>
      <c r="M783" s="70"/>
      <c r="N783" s="70"/>
      <c r="O783" s="70"/>
      <c r="P783" s="70"/>
      <c r="Q783" s="70"/>
      <c r="R783" s="70"/>
      <c r="S783" s="70"/>
      <c r="T783" s="91"/>
      <c r="U783" s="91"/>
      <c r="V783" s="70"/>
      <c r="W783" s="58"/>
      <c r="X783" s="58"/>
      <c r="Y783" s="70"/>
      <c r="Z783" s="83"/>
      <c r="AA783" s="70"/>
      <c r="AB783" s="70"/>
      <c r="AC783" s="70"/>
      <c r="AD783" s="70"/>
      <c r="AE783" s="70"/>
      <c r="AF783" s="70"/>
      <c r="AG783" s="70"/>
      <c r="AH783" s="70"/>
      <c r="AI783" s="70"/>
      <c r="AJ783" s="70"/>
      <c r="AK783" s="70"/>
      <c r="AL783" s="70"/>
      <c r="AM783" s="70"/>
      <c r="AN783" s="70"/>
      <c r="AO783" s="70"/>
      <c r="AP783" s="70"/>
      <c r="AQ783" s="70"/>
      <c r="AR783" s="70"/>
      <c r="AS783" s="70"/>
      <c r="AT783" s="70"/>
    </row>
    <row r="784" ht="15.75" customHeight="1">
      <c r="A784" s="70"/>
      <c r="B784" s="70"/>
      <c r="C784" s="70"/>
      <c r="D784" s="80"/>
      <c r="E784" s="70"/>
      <c r="F784" s="70"/>
      <c r="G784" s="70"/>
      <c r="H784" s="70"/>
      <c r="I784" s="70"/>
      <c r="J784" s="70"/>
      <c r="K784" s="70"/>
      <c r="L784" s="70"/>
      <c r="M784" s="70"/>
      <c r="N784" s="70"/>
      <c r="O784" s="70"/>
      <c r="P784" s="70"/>
      <c r="Q784" s="70"/>
      <c r="R784" s="70"/>
      <c r="S784" s="70"/>
      <c r="T784" s="91"/>
      <c r="U784" s="91"/>
      <c r="V784" s="70"/>
      <c r="W784" s="58"/>
      <c r="X784" s="58"/>
      <c r="Y784" s="70"/>
      <c r="Z784" s="83"/>
      <c r="AA784" s="70"/>
      <c r="AB784" s="70"/>
      <c r="AC784" s="70"/>
      <c r="AD784" s="70"/>
      <c r="AE784" s="70"/>
      <c r="AF784" s="70"/>
      <c r="AG784" s="70"/>
      <c r="AH784" s="70"/>
      <c r="AI784" s="70"/>
      <c r="AJ784" s="70"/>
      <c r="AK784" s="70"/>
      <c r="AL784" s="70"/>
      <c r="AM784" s="70"/>
      <c r="AN784" s="70"/>
      <c r="AO784" s="70"/>
      <c r="AP784" s="70"/>
      <c r="AQ784" s="70"/>
      <c r="AR784" s="70"/>
      <c r="AS784" s="70"/>
      <c r="AT784" s="70"/>
    </row>
    <row r="785" ht="15.75" customHeight="1">
      <c r="A785" s="70"/>
      <c r="B785" s="70"/>
      <c r="C785" s="70"/>
      <c r="D785" s="80"/>
      <c r="E785" s="70"/>
      <c r="F785" s="70"/>
      <c r="G785" s="70"/>
      <c r="H785" s="70"/>
      <c r="I785" s="70"/>
      <c r="J785" s="70"/>
      <c r="K785" s="70"/>
      <c r="L785" s="70"/>
      <c r="M785" s="70"/>
      <c r="N785" s="70"/>
      <c r="O785" s="70"/>
      <c r="P785" s="70"/>
      <c r="Q785" s="70"/>
      <c r="R785" s="70"/>
      <c r="S785" s="70"/>
      <c r="T785" s="91"/>
      <c r="U785" s="91"/>
      <c r="V785" s="70"/>
      <c r="W785" s="58"/>
      <c r="X785" s="58"/>
      <c r="Y785" s="70"/>
      <c r="Z785" s="83"/>
      <c r="AA785" s="70"/>
      <c r="AB785" s="70"/>
      <c r="AC785" s="70"/>
      <c r="AD785" s="70"/>
      <c r="AE785" s="70"/>
      <c r="AF785" s="70"/>
      <c r="AG785" s="70"/>
      <c r="AH785" s="70"/>
      <c r="AI785" s="70"/>
      <c r="AJ785" s="70"/>
      <c r="AK785" s="70"/>
      <c r="AL785" s="70"/>
      <c r="AM785" s="70"/>
      <c r="AN785" s="70"/>
      <c r="AO785" s="70"/>
      <c r="AP785" s="70"/>
      <c r="AQ785" s="70"/>
      <c r="AR785" s="70"/>
      <c r="AS785" s="70"/>
      <c r="AT785" s="70"/>
    </row>
    <row r="786" ht="15.75" customHeight="1">
      <c r="A786" s="70"/>
      <c r="B786" s="70"/>
      <c r="C786" s="70"/>
      <c r="D786" s="80"/>
      <c r="E786" s="70"/>
      <c r="F786" s="70"/>
      <c r="G786" s="70"/>
      <c r="H786" s="70"/>
      <c r="I786" s="70"/>
      <c r="J786" s="70"/>
      <c r="K786" s="70"/>
      <c r="L786" s="70"/>
      <c r="M786" s="70"/>
      <c r="N786" s="70"/>
      <c r="O786" s="70"/>
      <c r="P786" s="70"/>
      <c r="Q786" s="70"/>
      <c r="R786" s="70"/>
      <c r="S786" s="70"/>
      <c r="T786" s="91"/>
      <c r="U786" s="91"/>
      <c r="V786" s="70"/>
      <c r="W786" s="58"/>
      <c r="X786" s="58"/>
      <c r="Y786" s="70"/>
      <c r="Z786" s="83"/>
      <c r="AA786" s="70"/>
      <c r="AB786" s="70"/>
      <c r="AC786" s="70"/>
      <c r="AD786" s="70"/>
      <c r="AE786" s="70"/>
      <c r="AF786" s="70"/>
      <c r="AG786" s="70"/>
      <c r="AH786" s="70"/>
      <c r="AI786" s="70"/>
      <c r="AJ786" s="70"/>
      <c r="AK786" s="70"/>
      <c r="AL786" s="70"/>
      <c r="AM786" s="70"/>
      <c r="AN786" s="70"/>
      <c r="AO786" s="70"/>
      <c r="AP786" s="70"/>
      <c r="AQ786" s="70"/>
      <c r="AR786" s="70"/>
      <c r="AS786" s="70"/>
      <c r="AT786" s="70"/>
    </row>
    <row r="787" ht="15.75" customHeight="1">
      <c r="A787" s="70"/>
      <c r="B787" s="70"/>
      <c r="C787" s="70"/>
      <c r="D787" s="80"/>
      <c r="E787" s="70"/>
      <c r="F787" s="70"/>
      <c r="G787" s="70"/>
      <c r="H787" s="70"/>
      <c r="I787" s="70"/>
      <c r="J787" s="70"/>
      <c r="K787" s="70"/>
      <c r="L787" s="70"/>
      <c r="M787" s="70"/>
      <c r="N787" s="70"/>
      <c r="O787" s="70"/>
      <c r="P787" s="70"/>
      <c r="Q787" s="70"/>
      <c r="R787" s="70"/>
      <c r="S787" s="70"/>
      <c r="T787" s="91"/>
      <c r="U787" s="91"/>
      <c r="V787" s="70"/>
      <c r="W787" s="58"/>
      <c r="X787" s="58"/>
      <c r="Y787" s="70"/>
      <c r="Z787" s="83"/>
      <c r="AA787" s="70"/>
      <c r="AB787" s="70"/>
      <c r="AC787" s="70"/>
      <c r="AD787" s="70"/>
      <c r="AE787" s="70"/>
      <c r="AF787" s="70"/>
      <c r="AG787" s="70"/>
      <c r="AH787" s="70"/>
      <c r="AI787" s="70"/>
      <c r="AJ787" s="70"/>
      <c r="AK787" s="70"/>
      <c r="AL787" s="70"/>
      <c r="AM787" s="70"/>
      <c r="AN787" s="70"/>
      <c r="AO787" s="70"/>
      <c r="AP787" s="70"/>
      <c r="AQ787" s="70"/>
      <c r="AR787" s="70"/>
      <c r="AS787" s="70"/>
      <c r="AT787" s="70"/>
    </row>
    <row r="788" ht="15.75" customHeight="1">
      <c r="A788" s="70"/>
      <c r="B788" s="70"/>
      <c r="C788" s="70"/>
      <c r="D788" s="80"/>
      <c r="E788" s="70"/>
      <c r="F788" s="70"/>
      <c r="G788" s="70"/>
      <c r="H788" s="70"/>
      <c r="I788" s="70"/>
      <c r="J788" s="70"/>
      <c r="K788" s="70"/>
      <c r="L788" s="70"/>
      <c r="M788" s="70"/>
      <c r="N788" s="70"/>
      <c r="O788" s="70"/>
      <c r="P788" s="70"/>
      <c r="Q788" s="70"/>
      <c r="R788" s="70"/>
      <c r="S788" s="70"/>
      <c r="T788" s="91"/>
      <c r="U788" s="91"/>
      <c r="V788" s="70"/>
      <c r="W788" s="58"/>
      <c r="X788" s="58"/>
      <c r="Y788" s="70"/>
      <c r="Z788" s="83"/>
      <c r="AA788" s="70"/>
      <c r="AB788" s="70"/>
      <c r="AC788" s="70"/>
      <c r="AD788" s="70"/>
      <c r="AE788" s="70"/>
      <c r="AF788" s="70"/>
      <c r="AG788" s="70"/>
      <c r="AH788" s="70"/>
      <c r="AI788" s="70"/>
      <c r="AJ788" s="70"/>
      <c r="AK788" s="70"/>
      <c r="AL788" s="70"/>
      <c r="AM788" s="70"/>
      <c r="AN788" s="70"/>
      <c r="AO788" s="70"/>
      <c r="AP788" s="70"/>
      <c r="AQ788" s="70"/>
      <c r="AR788" s="70"/>
      <c r="AS788" s="70"/>
      <c r="AT788" s="70"/>
    </row>
    <row r="789" ht="15.75" customHeight="1">
      <c r="A789" s="70"/>
      <c r="B789" s="70"/>
      <c r="C789" s="70"/>
      <c r="D789" s="80"/>
      <c r="E789" s="70"/>
      <c r="F789" s="70"/>
      <c r="G789" s="70"/>
      <c r="H789" s="70"/>
      <c r="I789" s="70"/>
      <c r="J789" s="70"/>
      <c r="K789" s="70"/>
      <c r="L789" s="70"/>
      <c r="M789" s="70"/>
      <c r="N789" s="70"/>
      <c r="O789" s="70"/>
      <c r="P789" s="70"/>
      <c r="Q789" s="70"/>
      <c r="R789" s="70"/>
      <c r="S789" s="70"/>
      <c r="T789" s="91"/>
      <c r="U789" s="91"/>
      <c r="V789" s="70"/>
      <c r="W789" s="58"/>
      <c r="X789" s="58"/>
      <c r="Y789" s="70"/>
      <c r="Z789" s="83"/>
      <c r="AA789" s="70"/>
      <c r="AB789" s="70"/>
      <c r="AC789" s="70"/>
      <c r="AD789" s="70"/>
      <c r="AE789" s="70"/>
      <c r="AF789" s="70"/>
      <c r="AG789" s="70"/>
      <c r="AH789" s="70"/>
      <c r="AI789" s="70"/>
      <c r="AJ789" s="70"/>
      <c r="AK789" s="70"/>
      <c r="AL789" s="70"/>
      <c r="AM789" s="70"/>
      <c r="AN789" s="70"/>
      <c r="AO789" s="70"/>
      <c r="AP789" s="70"/>
      <c r="AQ789" s="70"/>
      <c r="AR789" s="70"/>
      <c r="AS789" s="70"/>
      <c r="AT789" s="70"/>
    </row>
    <row r="790" ht="15.75" customHeight="1">
      <c r="A790" s="70"/>
      <c r="B790" s="70"/>
      <c r="C790" s="70"/>
      <c r="D790" s="80"/>
      <c r="E790" s="70"/>
      <c r="F790" s="70"/>
      <c r="G790" s="70"/>
      <c r="H790" s="70"/>
      <c r="I790" s="70"/>
      <c r="J790" s="70"/>
      <c r="K790" s="70"/>
      <c r="L790" s="70"/>
      <c r="M790" s="70"/>
      <c r="N790" s="70"/>
      <c r="O790" s="70"/>
      <c r="P790" s="70"/>
      <c r="Q790" s="70"/>
      <c r="R790" s="70"/>
      <c r="S790" s="70"/>
      <c r="T790" s="91"/>
      <c r="U790" s="91"/>
      <c r="V790" s="70"/>
      <c r="W790" s="58"/>
      <c r="X790" s="58"/>
      <c r="Y790" s="70"/>
      <c r="Z790" s="83"/>
      <c r="AA790" s="70"/>
      <c r="AB790" s="70"/>
      <c r="AC790" s="70"/>
      <c r="AD790" s="70"/>
      <c r="AE790" s="70"/>
      <c r="AF790" s="70"/>
      <c r="AG790" s="70"/>
      <c r="AH790" s="70"/>
      <c r="AI790" s="70"/>
      <c r="AJ790" s="70"/>
      <c r="AK790" s="70"/>
      <c r="AL790" s="70"/>
      <c r="AM790" s="70"/>
      <c r="AN790" s="70"/>
      <c r="AO790" s="70"/>
      <c r="AP790" s="70"/>
      <c r="AQ790" s="70"/>
      <c r="AR790" s="70"/>
      <c r="AS790" s="70"/>
      <c r="AT790" s="70"/>
    </row>
    <row r="791" ht="15.75" customHeight="1">
      <c r="A791" s="70"/>
      <c r="B791" s="70"/>
      <c r="C791" s="70"/>
      <c r="D791" s="80"/>
      <c r="E791" s="70"/>
      <c r="F791" s="70"/>
      <c r="G791" s="70"/>
      <c r="H791" s="70"/>
      <c r="I791" s="70"/>
      <c r="J791" s="70"/>
      <c r="K791" s="70"/>
      <c r="L791" s="70"/>
      <c r="M791" s="70"/>
      <c r="N791" s="70"/>
      <c r="O791" s="70"/>
      <c r="P791" s="70"/>
      <c r="Q791" s="70"/>
      <c r="R791" s="70"/>
      <c r="S791" s="70"/>
      <c r="T791" s="91"/>
      <c r="U791" s="91"/>
      <c r="V791" s="70"/>
      <c r="W791" s="58"/>
      <c r="X791" s="58"/>
      <c r="Y791" s="70"/>
      <c r="Z791" s="83"/>
      <c r="AA791" s="70"/>
      <c r="AB791" s="70"/>
      <c r="AC791" s="70"/>
      <c r="AD791" s="70"/>
      <c r="AE791" s="70"/>
      <c r="AF791" s="70"/>
      <c r="AG791" s="70"/>
      <c r="AH791" s="70"/>
      <c r="AI791" s="70"/>
      <c r="AJ791" s="70"/>
      <c r="AK791" s="70"/>
      <c r="AL791" s="70"/>
      <c r="AM791" s="70"/>
      <c r="AN791" s="70"/>
      <c r="AO791" s="70"/>
      <c r="AP791" s="70"/>
      <c r="AQ791" s="70"/>
      <c r="AR791" s="70"/>
      <c r="AS791" s="70"/>
      <c r="AT791" s="70"/>
    </row>
    <row r="792" ht="15.75" customHeight="1">
      <c r="A792" s="70"/>
      <c r="B792" s="70"/>
      <c r="C792" s="70"/>
      <c r="D792" s="80"/>
      <c r="E792" s="70"/>
      <c r="F792" s="70"/>
      <c r="G792" s="70"/>
      <c r="H792" s="70"/>
      <c r="I792" s="70"/>
      <c r="J792" s="70"/>
      <c r="K792" s="70"/>
      <c r="L792" s="70"/>
      <c r="M792" s="70"/>
      <c r="N792" s="70"/>
      <c r="O792" s="70"/>
      <c r="P792" s="70"/>
      <c r="Q792" s="70"/>
      <c r="R792" s="70"/>
      <c r="S792" s="70"/>
      <c r="T792" s="91"/>
      <c r="U792" s="91"/>
      <c r="V792" s="70"/>
      <c r="W792" s="58"/>
      <c r="X792" s="58"/>
      <c r="Y792" s="70"/>
      <c r="Z792" s="83"/>
      <c r="AA792" s="70"/>
      <c r="AB792" s="70"/>
      <c r="AC792" s="70"/>
      <c r="AD792" s="70"/>
      <c r="AE792" s="70"/>
      <c r="AF792" s="70"/>
      <c r="AG792" s="70"/>
      <c r="AH792" s="70"/>
      <c r="AI792" s="70"/>
      <c r="AJ792" s="70"/>
      <c r="AK792" s="70"/>
      <c r="AL792" s="70"/>
      <c r="AM792" s="70"/>
      <c r="AN792" s="70"/>
      <c r="AO792" s="70"/>
      <c r="AP792" s="70"/>
      <c r="AQ792" s="70"/>
      <c r="AR792" s="70"/>
      <c r="AS792" s="70"/>
      <c r="AT792" s="70"/>
    </row>
    <row r="793" ht="15.75" customHeight="1">
      <c r="A793" s="70"/>
      <c r="B793" s="70"/>
      <c r="C793" s="70"/>
      <c r="D793" s="80"/>
      <c r="E793" s="70"/>
      <c r="F793" s="70"/>
      <c r="G793" s="70"/>
      <c r="H793" s="70"/>
      <c r="I793" s="70"/>
      <c r="J793" s="70"/>
      <c r="K793" s="70"/>
      <c r="L793" s="70"/>
      <c r="M793" s="70"/>
      <c r="N793" s="70"/>
      <c r="O793" s="70"/>
      <c r="P793" s="70"/>
      <c r="Q793" s="70"/>
      <c r="R793" s="70"/>
      <c r="S793" s="70"/>
      <c r="T793" s="91"/>
      <c r="U793" s="91"/>
      <c r="V793" s="70"/>
      <c r="W793" s="58"/>
      <c r="X793" s="58"/>
      <c r="Y793" s="70"/>
      <c r="Z793" s="83"/>
      <c r="AA793" s="70"/>
      <c r="AB793" s="70"/>
      <c r="AC793" s="70"/>
      <c r="AD793" s="70"/>
      <c r="AE793" s="70"/>
      <c r="AF793" s="70"/>
      <c r="AG793" s="70"/>
      <c r="AH793" s="70"/>
      <c r="AI793" s="70"/>
      <c r="AJ793" s="70"/>
      <c r="AK793" s="70"/>
      <c r="AL793" s="70"/>
      <c r="AM793" s="70"/>
      <c r="AN793" s="70"/>
      <c r="AO793" s="70"/>
      <c r="AP793" s="70"/>
      <c r="AQ793" s="70"/>
      <c r="AR793" s="70"/>
      <c r="AS793" s="70"/>
      <c r="AT793" s="70"/>
    </row>
    <row r="794" ht="15.75" customHeight="1">
      <c r="A794" s="70"/>
      <c r="B794" s="70"/>
      <c r="C794" s="70"/>
      <c r="D794" s="80"/>
      <c r="E794" s="70"/>
      <c r="F794" s="70"/>
      <c r="G794" s="70"/>
      <c r="H794" s="70"/>
      <c r="I794" s="70"/>
      <c r="J794" s="70"/>
      <c r="K794" s="70"/>
      <c r="L794" s="70"/>
      <c r="M794" s="70"/>
      <c r="N794" s="70"/>
      <c r="O794" s="70"/>
      <c r="P794" s="70"/>
      <c r="Q794" s="70"/>
      <c r="R794" s="70"/>
      <c r="S794" s="70"/>
      <c r="T794" s="91"/>
      <c r="U794" s="91"/>
      <c r="V794" s="70"/>
      <c r="W794" s="58"/>
      <c r="X794" s="58"/>
      <c r="Y794" s="70"/>
      <c r="Z794" s="83"/>
      <c r="AA794" s="70"/>
      <c r="AB794" s="70"/>
      <c r="AC794" s="70"/>
      <c r="AD794" s="70"/>
      <c r="AE794" s="70"/>
      <c r="AF794" s="70"/>
      <c r="AG794" s="70"/>
      <c r="AH794" s="70"/>
      <c r="AI794" s="70"/>
      <c r="AJ794" s="70"/>
      <c r="AK794" s="70"/>
      <c r="AL794" s="70"/>
      <c r="AM794" s="70"/>
      <c r="AN794" s="70"/>
      <c r="AO794" s="70"/>
      <c r="AP794" s="70"/>
      <c r="AQ794" s="70"/>
      <c r="AR794" s="70"/>
      <c r="AS794" s="70"/>
      <c r="AT794" s="70"/>
    </row>
    <row r="795" ht="15.75" customHeight="1">
      <c r="A795" s="70"/>
      <c r="B795" s="70"/>
      <c r="C795" s="70"/>
      <c r="D795" s="80"/>
      <c r="E795" s="70"/>
      <c r="F795" s="70"/>
      <c r="G795" s="70"/>
      <c r="H795" s="70"/>
      <c r="I795" s="70"/>
      <c r="J795" s="70"/>
      <c r="K795" s="70"/>
      <c r="L795" s="70"/>
      <c r="M795" s="70"/>
      <c r="N795" s="70"/>
      <c r="O795" s="70"/>
      <c r="P795" s="70"/>
      <c r="Q795" s="70"/>
      <c r="R795" s="70"/>
      <c r="S795" s="70"/>
      <c r="T795" s="91"/>
      <c r="U795" s="91"/>
      <c r="V795" s="70"/>
      <c r="W795" s="58"/>
      <c r="X795" s="58"/>
      <c r="Y795" s="70"/>
      <c r="Z795" s="83"/>
      <c r="AA795" s="70"/>
      <c r="AB795" s="70"/>
      <c r="AC795" s="70"/>
      <c r="AD795" s="70"/>
      <c r="AE795" s="70"/>
      <c r="AF795" s="70"/>
      <c r="AG795" s="70"/>
      <c r="AH795" s="70"/>
      <c r="AI795" s="70"/>
      <c r="AJ795" s="70"/>
      <c r="AK795" s="70"/>
      <c r="AL795" s="70"/>
      <c r="AM795" s="70"/>
      <c r="AN795" s="70"/>
      <c r="AO795" s="70"/>
      <c r="AP795" s="70"/>
      <c r="AQ795" s="70"/>
      <c r="AR795" s="70"/>
      <c r="AS795" s="70"/>
      <c r="AT795" s="70"/>
    </row>
    <row r="796" ht="15.75" customHeight="1">
      <c r="A796" s="70"/>
      <c r="B796" s="70"/>
      <c r="C796" s="70"/>
      <c r="D796" s="80"/>
      <c r="E796" s="70"/>
      <c r="F796" s="70"/>
      <c r="G796" s="70"/>
      <c r="H796" s="70"/>
      <c r="I796" s="70"/>
      <c r="J796" s="70"/>
      <c r="K796" s="70"/>
      <c r="L796" s="70"/>
      <c r="M796" s="70"/>
      <c r="N796" s="70"/>
      <c r="O796" s="70"/>
      <c r="P796" s="70"/>
      <c r="Q796" s="70"/>
      <c r="R796" s="70"/>
      <c r="S796" s="70"/>
      <c r="T796" s="91"/>
      <c r="U796" s="91"/>
      <c r="V796" s="70"/>
      <c r="W796" s="58"/>
      <c r="X796" s="58"/>
      <c r="Y796" s="70"/>
      <c r="Z796" s="83"/>
      <c r="AA796" s="70"/>
      <c r="AB796" s="70"/>
      <c r="AC796" s="70"/>
      <c r="AD796" s="70"/>
      <c r="AE796" s="70"/>
      <c r="AF796" s="70"/>
      <c r="AG796" s="70"/>
      <c r="AH796" s="70"/>
      <c r="AI796" s="70"/>
      <c r="AJ796" s="70"/>
      <c r="AK796" s="70"/>
      <c r="AL796" s="70"/>
      <c r="AM796" s="70"/>
      <c r="AN796" s="70"/>
      <c r="AO796" s="70"/>
      <c r="AP796" s="70"/>
      <c r="AQ796" s="70"/>
      <c r="AR796" s="70"/>
      <c r="AS796" s="70"/>
      <c r="AT796" s="70"/>
    </row>
    <row r="797" ht="15.75" customHeight="1">
      <c r="A797" s="70"/>
      <c r="B797" s="70"/>
      <c r="C797" s="70"/>
      <c r="D797" s="80"/>
      <c r="E797" s="70"/>
      <c r="F797" s="70"/>
      <c r="G797" s="70"/>
      <c r="H797" s="70"/>
      <c r="I797" s="70"/>
      <c r="J797" s="70"/>
      <c r="K797" s="70"/>
      <c r="L797" s="70"/>
      <c r="M797" s="70"/>
      <c r="N797" s="70"/>
      <c r="O797" s="70"/>
      <c r="P797" s="70"/>
      <c r="Q797" s="70"/>
      <c r="R797" s="70"/>
      <c r="S797" s="70"/>
      <c r="T797" s="91"/>
      <c r="U797" s="91"/>
      <c r="V797" s="70"/>
      <c r="W797" s="58"/>
      <c r="X797" s="58"/>
      <c r="Y797" s="70"/>
      <c r="Z797" s="83"/>
      <c r="AA797" s="70"/>
      <c r="AB797" s="70"/>
      <c r="AC797" s="70"/>
      <c r="AD797" s="70"/>
      <c r="AE797" s="70"/>
      <c r="AF797" s="70"/>
      <c r="AG797" s="70"/>
      <c r="AH797" s="70"/>
      <c r="AI797" s="70"/>
      <c r="AJ797" s="70"/>
      <c r="AK797" s="70"/>
      <c r="AL797" s="70"/>
      <c r="AM797" s="70"/>
      <c r="AN797" s="70"/>
      <c r="AO797" s="70"/>
      <c r="AP797" s="70"/>
      <c r="AQ797" s="70"/>
      <c r="AR797" s="70"/>
      <c r="AS797" s="70"/>
      <c r="AT797" s="70"/>
    </row>
    <row r="798" ht="15.75" customHeight="1">
      <c r="A798" s="70"/>
      <c r="B798" s="70"/>
      <c r="C798" s="70"/>
      <c r="D798" s="80"/>
      <c r="E798" s="70"/>
      <c r="F798" s="70"/>
      <c r="G798" s="70"/>
      <c r="H798" s="70"/>
      <c r="I798" s="70"/>
      <c r="J798" s="70"/>
      <c r="K798" s="70"/>
      <c r="L798" s="70"/>
      <c r="M798" s="70"/>
      <c r="N798" s="70"/>
      <c r="O798" s="70"/>
      <c r="P798" s="70"/>
      <c r="Q798" s="70"/>
      <c r="R798" s="70"/>
      <c r="S798" s="70"/>
      <c r="T798" s="91"/>
      <c r="U798" s="91"/>
      <c r="V798" s="70"/>
      <c r="W798" s="58"/>
      <c r="X798" s="58"/>
      <c r="Y798" s="70"/>
      <c r="Z798" s="83"/>
      <c r="AA798" s="70"/>
      <c r="AB798" s="70"/>
      <c r="AC798" s="70"/>
      <c r="AD798" s="70"/>
      <c r="AE798" s="70"/>
      <c r="AF798" s="70"/>
      <c r="AG798" s="70"/>
      <c r="AH798" s="70"/>
      <c r="AI798" s="70"/>
      <c r="AJ798" s="70"/>
      <c r="AK798" s="70"/>
      <c r="AL798" s="70"/>
      <c r="AM798" s="70"/>
      <c r="AN798" s="70"/>
      <c r="AO798" s="70"/>
      <c r="AP798" s="70"/>
      <c r="AQ798" s="70"/>
      <c r="AR798" s="70"/>
      <c r="AS798" s="70"/>
      <c r="AT798" s="70"/>
    </row>
    <row r="799" ht="15.75" customHeight="1">
      <c r="A799" s="70"/>
      <c r="B799" s="70"/>
      <c r="C799" s="70"/>
      <c r="D799" s="80"/>
      <c r="E799" s="70"/>
      <c r="F799" s="70"/>
      <c r="G799" s="70"/>
      <c r="H799" s="70"/>
      <c r="I799" s="70"/>
      <c r="J799" s="70"/>
      <c r="K799" s="70"/>
      <c r="L799" s="70"/>
      <c r="M799" s="70"/>
      <c r="N799" s="70"/>
      <c r="O799" s="70"/>
      <c r="P799" s="70"/>
      <c r="Q799" s="70"/>
      <c r="R799" s="70"/>
      <c r="S799" s="70"/>
      <c r="T799" s="91"/>
      <c r="U799" s="91"/>
      <c r="V799" s="70"/>
      <c r="W799" s="58"/>
      <c r="X799" s="58"/>
      <c r="Y799" s="70"/>
      <c r="Z799" s="83"/>
      <c r="AA799" s="70"/>
      <c r="AB799" s="70"/>
      <c r="AC799" s="70"/>
      <c r="AD799" s="70"/>
      <c r="AE799" s="70"/>
      <c r="AF799" s="70"/>
      <c r="AG799" s="70"/>
      <c r="AH799" s="70"/>
      <c r="AI799" s="70"/>
      <c r="AJ799" s="70"/>
      <c r="AK799" s="70"/>
      <c r="AL799" s="70"/>
      <c r="AM799" s="70"/>
      <c r="AN799" s="70"/>
      <c r="AO799" s="70"/>
      <c r="AP799" s="70"/>
      <c r="AQ799" s="70"/>
      <c r="AR799" s="70"/>
      <c r="AS799" s="70"/>
      <c r="AT799" s="70"/>
    </row>
    <row r="800" ht="15.75" customHeight="1">
      <c r="A800" s="70"/>
      <c r="B800" s="70"/>
      <c r="C800" s="70"/>
      <c r="D800" s="80"/>
      <c r="E800" s="70"/>
      <c r="F800" s="70"/>
      <c r="G800" s="70"/>
      <c r="H800" s="70"/>
      <c r="I800" s="70"/>
      <c r="J800" s="70"/>
      <c r="K800" s="70"/>
      <c r="L800" s="70"/>
      <c r="M800" s="70"/>
      <c r="N800" s="70"/>
      <c r="O800" s="70"/>
      <c r="P800" s="70"/>
      <c r="Q800" s="70"/>
      <c r="R800" s="70"/>
      <c r="S800" s="70"/>
      <c r="T800" s="91"/>
      <c r="U800" s="91"/>
      <c r="V800" s="70"/>
      <c r="W800" s="58"/>
      <c r="X800" s="58"/>
      <c r="Y800" s="70"/>
      <c r="Z800" s="83"/>
      <c r="AA800" s="70"/>
      <c r="AB800" s="70"/>
      <c r="AC800" s="70"/>
      <c r="AD800" s="70"/>
      <c r="AE800" s="70"/>
      <c r="AF800" s="70"/>
      <c r="AG800" s="70"/>
      <c r="AH800" s="70"/>
      <c r="AI800" s="70"/>
      <c r="AJ800" s="70"/>
      <c r="AK800" s="70"/>
      <c r="AL800" s="70"/>
      <c r="AM800" s="70"/>
      <c r="AN800" s="70"/>
      <c r="AO800" s="70"/>
      <c r="AP800" s="70"/>
      <c r="AQ800" s="70"/>
      <c r="AR800" s="70"/>
      <c r="AS800" s="70"/>
      <c r="AT800" s="70"/>
    </row>
    <row r="801" ht="15.75" customHeight="1">
      <c r="A801" s="70"/>
      <c r="B801" s="70"/>
      <c r="C801" s="70"/>
      <c r="D801" s="80"/>
      <c r="E801" s="70"/>
      <c r="F801" s="70"/>
      <c r="G801" s="70"/>
      <c r="H801" s="70"/>
      <c r="I801" s="70"/>
      <c r="J801" s="70"/>
      <c r="K801" s="70"/>
      <c r="L801" s="70"/>
      <c r="M801" s="70"/>
      <c r="N801" s="70"/>
      <c r="O801" s="70"/>
      <c r="P801" s="70"/>
      <c r="Q801" s="70"/>
      <c r="R801" s="70"/>
      <c r="S801" s="70"/>
      <c r="T801" s="91"/>
      <c r="U801" s="91"/>
      <c r="V801" s="70"/>
      <c r="W801" s="58"/>
      <c r="X801" s="58"/>
      <c r="Y801" s="70"/>
      <c r="Z801" s="83"/>
      <c r="AA801" s="70"/>
      <c r="AB801" s="70"/>
      <c r="AC801" s="70"/>
      <c r="AD801" s="70"/>
      <c r="AE801" s="70"/>
      <c r="AF801" s="70"/>
      <c r="AG801" s="70"/>
      <c r="AH801" s="70"/>
      <c r="AI801" s="70"/>
      <c r="AJ801" s="70"/>
      <c r="AK801" s="70"/>
      <c r="AL801" s="70"/>
      <c r="AM801" s="70"/>
      <c r="AN801" s="70"/>
      <c r="AO801" s="70"/>
      <c r="AP801" s="70"/>
      <c r="AQ801" s="70"/>
      <c r="AR801" s="70"/>
      <c r="AS801" s="70"/>
      <c r="AT801" s="70"/>
    </row>
    <row r="802" ht="15.75" customHeight="1">
      <c r="A802" s="70"/>
      <c r="B802" s="70"/>
      <c r="C802" s="70"/>
      <c r="D802" s="80"/>
      <c r="E802" s="70"/>
      <c r="F802" s="70"/>
      <c r="G802" s="70"/>
      <c r="H802" s="70"/>
      <c r="I802" s="70"/>
      <c r="J802" s="70"/>
      <c r="K802" s="70"/>
      <c r="L802" s="70"/>
      <c r="M802" s="70"/>
      <c r="N802" s="70"/>
      <c r="O802" s="70"/>
      <c r="P802" s="70"/>
      <c r="Q802" s="70"/>
      <c r="R802" s="70"/>
      <c r="S802" s="70"/>
      <c r="T802" s="91"/>
      <c r="U802" s="91"/>
      <c r="V802" s="70"/>
      <c r="W802" s="58"/>
      <c r="X802" s="58"/>
      <c r="Y802" s="70"/>
      <c r="Z802" s="83"/>
      <c r="AA802" s="70"/>
      <c r="AB802" s="70"/>
      <c r="AC802" s="70"/>
      <c r="AD802" s="70"/>
      <c r="AE802" s="70"/>
      <c r="AF802" s="70"/>
      <c r="AG802" s="70"/>
      <c r="AH802" s="70"/>
      <c r="AI802" s="70"/>
      <c r="AJ802" s="70"/>
      <c r="AK802" s="70"/>
      <c r="AL802" s="70"/>
      <c r="AM802" s="70"/>
      <c r="AN802" s="70"/>
      <c r="AO802" s="70"/>
      <c r="AP802" s="70"/>
      <c r="AQ802" s="70"/>
      <c r="AR802" s="70"/>
      <c r="AS802" s="70"/>
      <c r="AT802" s="70"/>
    </row>
    <row r="803" ht="15.75" customHeight="1">
      <c r="A803" s="70"/>
      <c r="B803" s="70"/>
      <c r="C803" s="70"/>
      <c r="D803" s="80"/>
      <c r="E803" s="70"/>
      <c r="F803" s="70"/>
      <c r="G803" s="70"/>
      <c r="H803" s="70"/>
      <c r="I803" s="70"/>
      <c r="J803" s="70"/>
      <c r="K803" s="70"/>
      <c r="L803" s="70"/>
      <c r="M803" s="70"/>
      <c r="N803" s="70"/>
      <c r="O803" s="70"/>
      <c r="P803" s="70"/>
      <c r="Q803" s="70"/>
      <c r="R803" s="70"/>
      <c r="S803" s="70"/>
      <c r="T803" s="91"/>
      <c r="U803" s="91"/>
      <c r="V803" s="70"/>
      <c r="W803" s="58"/>
      <c r="X803" s="58"/>
      <c r="Y803" s="70"/>
      <c r="Z803" s="83"/>
      <c r="AA803" s="70"/>
      <c r="AB803" s="70"/>
      <c r="AC803" s="70"/>
      <c r="AD803" s="70"/>
      <c r="AE803" s="70"/>
      <c r="AF803" s="70"/>
      <c r="AG803" s="70"/>
      <c r="AH803" s="70"/>
      <c r="AI803" s="70"/>
      <c r="AJ803" s="70"/>
      <c r="AK803" s="70"/>
      <c r="AL803" s="70"/>
      <c r="AM803" s="70"/>
      <c r="AN803" s="70"/>
      <c r="AO803" s="70"/>
      <c r="AP803" s="70"/>
      <c r="AQ803" s="70"/>
      <c r="AR803" s="70"/>
      <c r="AS803" s="70"/>
      <c r="AT803" s="70"/>
    </row>
    <row r="804" ht="15.75" customHeight="1">
      <c r="A804" s="70"/>
      <c r="B804" s="70"/>
      <c r="C804" s="70"/>
      <c r="D804" s="80"/>
      <c r="E804" s="70"/>
      <c r="F804" s="70"/>
      <c r="G804" s="70"/>
      <c r="H804" s="70"/>
      <c r="I804" s="70"/>
      <c r="J804" s="70"/>
      <c r="K804" s="70"/>
      <c r="L804" s="70"/>
      <c r="M804" s="70"/>
      <c r="N804" s="70"/>
      <c r="O804" s="70"/>
      <c r="P804" s="70"/>
      <c r="Q804" s="70"/>
      <c r="R804" s="70"/>
      <c r="S804" s="70"/>
      <c r="T804" s="91"/>
      <c r="U804" s="91"/>
      <c r="V804" s="70"/>
      <c r="W804" s="58"/>
      <c r="X804" s="58"/>
      <c r="Y804" s="70"/>
      <c r="Z804" s="83"/>
      <c r="AA804" s="70"/>
      <c r="AB804" s="70"/>
      <c r="AC804" s="70"/>
      <c r="AD804" s="70"/>
      <c r="AE804" s="70"/>
      <c r="AF804" s="70"/>
      <c r="AG804" s="70"/>
      <c r="AH804" s="70"/>
      <c r="AI804" s="70"/>
      <c r="AJ804" s="70"/>
      <c r="AK804" s="70"/>
      <c r="AL804" s="70"/>
      <c r="AM804" s="70"/>
      <c r="AN804" s="70"/>
      <c r="AO804" s="70"/>
      <c r="AP804" s="70"/>
      <c r="AQ804" s="70"/>
      <c r="AR804" s="70"/>
      <c r="AS804" s="70"/>
      <c r="AT804" s="70"/>
    </row>
    <row r="805" ht="15.75" customHeight="1">
      <c r="A805" s="70"/>
      <c r="B805" s="70"/>
      <c r="C805" s="70"/>
      <c r="D805" s="80"/>
      <c r="E805" s="70"/>
      <c r="F805" s="70"/>
      <c r="G805" s="70"/>
      <c r="H805" s="70"/>
      <c r="I805" s="70"/>
      <c r="J805" s="70"/>
      <c r="K805" s="70"/>
      <c r="L805" s="70"/>
      <c r="M805" s="70"/>
      <c r="N805" s="70"/>
      <c r="O805" s="70"/>
      <c r="P805" s="70"/>
      <c r="Q805" s="70"/>
      <c r="R805" s="70"/>
      <c r="S805" s="70"/>
      <c r="T805" s="91"/>
      <c r="U805" s="91"/>
      <c r="V805" s="70"/>
      <c r="W805" s="58"/>
      <c r="X805" s="58"/>
      <c r="Y805" s="70"/>
      <c r="Z805" s="83"/>
      <c r="AA805" s="70"/>
      <c r="AB805" s="70"/>
      <c r="AC805" s="70"/>
      <c r="AD805" s="70"/>
      <c r="AE805" s="70"/>
      <c r="AF805" s="70"/>
      <c r="AG805" s="70"/>
      <c r="AH805" s="70"/>
      <c r="AI805" s="70"/>
      <c r="AJ805" s="70"/>
      <c r="AK805" s="70"/>
      <c r="AL805" s="70"/>
      <c r="AM805" s="70"/>
      <c r="AN805" s="70"/>
      <c r="AO805" s="70"/>
      <c r="AP805" s="70"/>
      <c r="AQ805" s="70"/>
      <c r="AR805" s="70"/>
      <c r="AS805" s="70"/>
      <c r="AT805" s="70"/>
    </row>
    <row r="806" ht="15.75" customHeight="1">
      <c r="A806" s="70"/>
      <c r="B806" s="70"/>
      <c r="C806" s="70"/>
      <c r="D806" s="80"/>
      <c r="E806" s="70"/>
      <c r="F806" s="70"/>
      <c r="G806" s="70"/>
      <c r="H806" s="70"/>
      <c r="I806" s="70"/>
      <c r="J806" s="70"/>
      <c r="K806" s="70"/>
      <c r="L806" s="70"/>
      <c r="M806" s="70"/>
      <c r="N806" s="70"/>
      <c r="O806" s="70"/>
      <c r="P806" s="70"/>
      <c r="Q806" s="70"/>
      <c r="R806" s="70"/>
      <c r="S806" s="70"/>
      <c r="T806" s="91"/>
      <c r="U806" s="91"/>
      <c r="V806" s="70"/>
      <c r="W806" s="58"/>
      <c r="X806" s="58"/>
      <c r="Y806" s="70"/>
      <c r="Z806" s="83"/>
      <c r="AA806" s="70"/>
      <c r="AB806" s="70"/>
      <c r="AC806" s="70"/>
      <c r="AD806" s="70"/>
      <c r="AE806" s="70"/>
      <c r="AF806" s="70"/>
      <c r="AG806" s="70"/>
      <c r="AH806" s="70"/>
      <c r="AI806" s="70"/>
      <c r="AJ806" s="70"/>
      <c r="AK806" s="70"/>
      <c r="AL806" s="70"/>
      <c r="AM806" s="70"/>
      <c r="AN806" s="70"/>
      <c r="AO806" s="70"/>
      <c r="AP806" s="70"/>
      <c r="AQ806" s="70"/>
      <c r="AR806" s="70"/>
      <c r="AS806" s="70"/>
      <c r="AT806" s="70"/>
    </row>
    <row r="807" ht="15.75" customHeight="1">
      <c r="A807" s="70"/>
      <c r="B807" s="70"/>
      <c r="C807" s="70"/>
      <c r="D807" s="80"/>
      <c r="E807" s="70"/>
      <c r="F807" s="70"/>
      <c r="G807" s="70"/>
      <c r="H807" s="70"/>
      <c r="I807" s="70"/>
      <c r="J807" s="70"/>
      <c r="K807" s="70"/>
      <c r="L807" s="70"/>
      <c r="M807" s="70"/>
      <c r="N807" s="70"/>
      <c r="O807" s="70"/>
      <c r="P807" s="70"/>
      <c r="Q807" s="70"/>
      <c r="R807" s="70"/>
      <c r="S807" s="70"/>
      <c r="T807" s="91"/>
      <c r="U807" s="91"/>
      <c r="V807" s="70"/>
      <c r="W807" s="58"/>
      <c r="X807" s="58"/>
      <c r="Y807" s="70"/>
      <c r="Z807" s="83"/>
      <c r="AA807" s="70"/>
      <c r="AB807" s="70"/>
      <c r="AC807" s="70"/>
      <c r="AD807" s="70"/>
      <c r="AE807" s="70"/>
      <c r="AF807" s="70"/>
      <c r="AG807" s="70"/>
      <c r="AH807" s="70"/>
      <c r="AI807" s="70"/>
      <c r="AJ807" s="70"/>
      <c r="AK807" s="70"/>
      <c r="AL807" s="70"/>
      <c r="AM807" s="70"/>
      <c r="AN807" s="70"/>
      <c r="AO807" s="70"/>
      <c r="AP807" s="70"/>
      <c r="AQ807" s="70"/>
      <c r="AR807" s="70"/>
      <c r="AS807" s="70"/>
      <c r="AT807" s="70"/>
    </row>
    <row r="808" ht="15.75" customHeight="1">
      <c r="A808" s="70"/>
      <c r="B808" s="70"/>
      <c r="C808" s="70"/>
      <c r="D808" s="80"/>
      <c r="E808" s="70"/>
      <c r="F808" s="70"/>
      <c r="G808" s="70"/>
      <c r="H808" s="70"/>
      <c r="I808" s="70"/>
      <c r="J808" s="70"/>
      <c r="K808" s="70"/>
      <c r="L808" s="70"/>
      <c r="M808" s="70"/>
      <c r="N808" s="70"/>
      <c r="O808" s="70"/>
      <c r="P808" s="70"/>
      <c r="Q808" s="70"/>
      <c r="R808" s="70"/>
      <c r="S808" s="70"/>
      <c r="T808" s="91"/>
      <c r="U808" s="91"/>
      <c r="V808" s="70"/>
      <c r="W808" s="58"/>
      <c r="X808" s="58"/>
      <c r="Y808" s="70"/>
      <c r="Z808" s="83"/>
      <c r="AA808" s="70"/>
      <c r="AB808" s="70"/>
      <c r="AC808" s="70"/>
      <c r="AD808" s="70"/>
      <c r="AE808" s="70"/>
      <c r="AF808" s="70"/>
      <c r="AG808" s="70"/>
      <c r="AH808" s="70"/>
      <c r="AI808" s="70"/>
      <c r="AJ808" s="70"/>
      <c r="AK808" s="70"/>
      <c r="AL808" s="70"/>
      <c r="AM808" s="70"/>
      <c r="AN808" s="70"/>
      <c r="AO808" s="70"/>
      <c r="AP808" s="70"/>
      <c r="AQ808" s="70"/>
      <c r="AR808" s="70"/>
      <c r="AS808" s="70"/>
      <c r="AT808" s="70"/>
    </row>
    <row r="809" ht="15.75" customHeight="1">
      <c r="A809" s="70"/>
      <c r="B809" s="70"/>
      <c r="C809" s="70"/>
      <c r="D809" s="80"/>
      <c r="E809" s="70"/>
      <c r="F809" s="70"/>
      <c r="G809" s="70"/>
      <c r="H809" s="70"/>
      <c r="I809" s="70"/>
      <c r="J809" s="70"/>
      <c r="K809" s="70"/>
      <c r="L809" s="70"/>
      <c r="M809" s="70"/>
      <c r="N809" s="70"/>
      <c r="O809" s="70"/>
      <c r="P809" s="70"/>
      <c r="Q809" s="70"/>
      <c r="R809" s="70"/>
      <c r="S809" s="70"/>
      <c r="T809" s="91"/>
      <c r="U809" s="91"/>
      <c r="V809" s="70"/>
      <c r="W809" s="58"/>
      <c r="X809" s="58"/>
      <c r="Y809" s="70"/>
      <c r="Z809" s="83"/>
      <c r="AA809" s="70"/>
      <c r="AB809" s="70"/>
      <c r="AC809" s="70"/>
      <c r="AD809" s="70"/>
      <c r="AE809" s="70"/>
      <c r="AF809" s="70"/>
      <c r="AG809" s="70"/>
      <c r="AH809" s="70"/>
      <c r="AI809" s="70"/>
      <c r="AJ809" s="70"/>
      <c r="AK809" s="70"/>
      <c r="AL809" s="70"/>
      <c r="AM809" s="70"/>
      <c r="AN809" s="70"/>
      <c r="AO809" s="70"/>
      <c r="AP809" s="70"/>
      <c r="AQ809" s="70"/>
      <c r="AR809" s="70"/>
      <c r="AS809" s="70"/>
      <c r="AT809" s="70"/>
    </row>
    <row r="810" ht="15.75" customHeight="1">
      <c r="A810" s="70"/>
      <c r="B810" s="70"/>
      <c r="C810" s="70"/>
      <c r="D810" s="80"/>
      <c r="E810" s="70"/>
      <c r="F810" s="70"/>
      <c r="G810" s="70"/>
      <c r="H810" s="70"/>
      <c r="I810" s="70"/>
      <c r="J810" s="70"/>
      <c r="K810" s="70"/>
      <c r="L810" s="70"/>
      <c r="M810" s="70"/>
      <c r="N810" s="70"/>
      <c r="O810" s="70"/>
      <c r="P810" s="70"/>
      <c r="Q810" s="70"/>
      <c r="R810" s="70"/>
      <c r="S810" s="70"/>
      <c r="T810" s="91"/>
      <c r="U810" s="91"/>
      <c r="V810" s="70"/>
      <c r="W810" s="58"/>
      <c r="X810" s="58"/>
      <c r="Y810" s="70"/>
      <c r="Z810" s="83"/>
      <c r="AA810" s="70"/>
      <c r="AB810" s="70"/>
      <c r="AC810" s="70"/>
      <c r="AD810" s="70"/>
      <c r="AE810" s="70"/>
      <c r="AF810" s="70"/>
      <c r="AG810" s="70"/>
      <c r="AH810" s="70"/>
      <c r="AI810" s="70"/>
      <c r="AJ810" s="70"/>
      <c r="AK810" s="70"/>
      <c r="AL810" s="70"/>
      <c r="AM810" s="70"/>
      <c r="AN810" s="70"/>
      <c r="AO810" s="70"/>
      <c r="AP810" s="70"/>
      <c r="AQ810" s="70"/>
      <c r="AR810" s="70"/>
      <c r="AS810" s="70"/>
      <c r="AT810" s="70"/>
    </row>
    <row r="811" ht="15.75" customHeight="1">
      <c r="A811" s="70"/>
      <c r="B811" s="70"/>
      <c r="C811" s="70"/>
      <c r="D811" s="80"/>
      <c r="E811" s="70"/>
      <c r="F811" s="70"/>
      <c r="G811" s="70"/>
      <c r="H811" s="70"/>
      <c r="I811" s="70"/>
      <c r="J811" s="70"/>
      <c r="K811" s="70"/>
      <c r="L811" s="70"/>
      <c r="M811" s="70"/>
      <c r="N811" s="70"/>
      <c r="O811" s="70"/>
      <c r="P811" s="70"/>
      <c r="Q811" s="70"/>
      <c r="R811" s="70"/>
      <c r="S811" s="70"/>
      <c r="T811" s="91"/>
      <c r="U811" s="91"/>
      <c r="V811" s="70"/>
      <c r="W811" s="58"/>
      <c r="X811" s="58"/>
      <c r="Y811" s="70"/>
      <c r="Z811" s="83"/>
      <c r="AA811" s="70"/>
      <c r="AB811" s="70"/>
      <c r="AC811" s="70"/>
      <c r="AD811" s="70"/>
      <c r="AE811" s="70"/>
      <c r="AF811" s="70"/>
      <c r="AG811" s="70"/>
      <c r="AH811" s="70"/>
      <c r="AI811" s="70"/>
      <c r="AJ811" s="70"/>
      <c r="AK811" s="70"/>
      <c r="AL811" s="70"/>
      <c r="AM811" s="70"/>
      <c r="AN811" s="70"/>
      <c r="AO811" s="70"/>
      <c r="AP811" s="70"/>
      <c r="AQ811" s="70"/>
      <c r="AR811" s="70"/>
      <c r="AS811" s="70"/>
      <c r="AT811" s="70"/>
    </row>
    <row r="812" ht="15.75" customHeight="1">
      <c r="A812" s="70"/>
      <c r="B812" s="70"/>
      <c r="C812" s="70"/>
      <c r="D812" s="80"/>
      <c r="E812" s="70"/>
      <c r="F812" s="70"/>
      <c r="G812" s="70"/>
      <c r="H812" s="70"/>
      <c r="I812" s="70"/>
      <c r="J812" s="70"/>
      <c r="K812" s="70"/>
      <c r="L812" s="70"/>
      <c r="M812" s="70"/>
      <c r="N812" s="70"/>
      <c r="O812" s="70"/>
      <c r="P812" s="70"/>
      <c r="Q812" s="70"/>
      <c r="R812" s="70"/>
      <c r="S812" s="70"/>
      <c r="T812" s="91"/>
      <c r="U812" s="91"/>
      <c r="V812" s="70"/>
      <c r="W812" s="58"/>
      <c r="X812" s="58"/>
      <c r="Y812" s="70"/>
      <c r="Z812" s="83"/>
      <c r="AA812" s="70"/>
      <c r="AB812" s="70"/>
      <c r="AC812" s="70"/>
      <c r="AD812" s="70"/>
      <c r="AE812" s="70"/>
      <c r="AF812" s="70"/>
      <c r="AG812" s="70"/>
      <c r="AH812" s="70"/>
      <c r="AI812" s="70"/>
      <c r="AJ812" s="70"/>
      <c r="AK812" s="70"/>
      <c r="AL812" s="70"/>
      <c r="AM812" s="70"/>
      <c r="AN812" s="70"/>
      <c r="AO812" s="70"/>
      <c r="AP812" s="70"/>
      <c r="AQ812" s="70"/>
      <c r="AR812" s="70"/>
      <c r="AS812" s="70"/>
      <c r="AT812" s="70"/>
    </row>
    <row r="813" ht="15.75" customHeight="1">
      <c r="A813" s="70"/>
      <c r="B813" s="70"/>
      <c r="C813" s="70"/>
      <c r="D813" s="80"/>
      <c r="E813" s="70"/>
      <c r="F813" s="70"/>
      <c r="G813" s="70"/>
      <c r="H813" s="70"/>
      <c r="I813" s="70"/>
      <c r="J813" s="70"/>
      <c r="K813" s="70"/>
      <c r="L813" s="70"/>
      <c r="M813" s="70"/>
      <c r="N813" s="70"/>
      <c r="O813" s="70"/>
      <c r="P813" s="70"/>
      <c r="Q813" s="70"/>
      <c r="R813" s="70"/>
      <c r="S813" s="70"/>
      <c r="T813" s="91"/>
      <c r="U813" s="91"/>
      <c r="V813" s="70"/>
      <c r="W813" s="58"/>
      <c r="X813" s="58"/>
      <c r="Y813" s="70"/>
      <c r="Z813" s="83"/>
      <c r="AA813" s="70"/>
      <c r="AB813" s="70"/>
      <c r="AC813" s="70"/>
      <c r="AD813" s="70"/>
      <c r="AE813" s="70"/>
      <c r="AF813" s="70"/>
      <c r="AG813" s="70"/>
      <c r="AH813" s="70"/>
      <c r="AI813" s="70"/>
      <c r="AJ813" s="70"/>
      <c r="AK813" s="70"/>
      <c r="AL813" s="70"/>
      <c r="AM813" s="70"/>
      <c r="AN813" s="70"/>
      <c r="AO813" s="70"/>
      <c r="AP813" s="70"/>
      <c r="AQ813" s="70"/>
      <c r="AR813" s="70"/>
      <c r="AS813" s="70"/>
      <c r="AT813" s="70"/>
    </row>
    <row r="814" ht="15.75" customHeight="1">
      <c r="A814" s="70"/>
      <c r="B814" s="70"/>
      <c r="C814" s="70"/>
      <c r="D814" s="80"/>
      <c r="E814" s="70"/>
      <c r="F814" s="70"/>
      <c r="G814" s="70"/>
      <c r="H814" s="70"/>
      <c r="I814" s="70"/>
      <c r="J814" s="70"/>
      <c r="K814" s="70"/>
      <c r="L814" s="70"/>
      <c r="M814" s="70"/>
      <c r="N814" s="70"/>
      <c r="O814" s="70"/>
      <c r="P814" s="70"/>
      <c r="Q814" s="70"/>
      <c r="R814" s="70"/>
      <c r="S814" s="70"/>
      <c r="T814" s="91"/>
      <c r="U814" s="91"/>
      <c r="V814" s="70"/>
      <c r="W814" s="58"/>
      <c r="X814" s="58"/>
      <c r="Y814" s="70"/>
      <c r="Z814" s="83"/>
      <c r="AA814" s="70"/>
      <c r="AB814" s="70"/>
      <c r="AC814" s="70"/>
      <c r="AD814" s="70"/>
      <c r="AE814" s="70"/>
      <c r="AF814" s="70"/>
      <c r="AG814" s="70"/>
      <c r="AH814" s="70"/>
      <c r="AI814" s="70"/>
      <c r="AJ814" s="70"/>
      <c r="AK814" s="70"/>
      <c r="AL814" s="70"/>
      <c r="AM814" s="70"/>
      <c r="AN814" s="70"/>
      <c r="AO814" s="70"/>
      <c r="AP814" s="70"/>
      <c r="AQ814" s="70"/>
      <c r="AR814" s="70"/>
      <c r="AS814" s="70"/>
      <c r="AT814" s="70"/>
    </row>
    <row r="815" ht="15.75" customHeight="1">
      <c r="A815" s="70"/>
      <c r="B815" s="70"/>
      <c r="C815" s="70"/>
      <c r="D815" s="80"/>
      <c r="E815" s="70"/>
      <c r="F815" s="70"/>
      <c r="G815" s="70"/>
      <c r="H815" s="70"/>
      <c r="I815" s="70"/>
      <c r="J815" s="70"/>
      <c r="K815" s="70"/>
      <c r="L815" s="70"/>
      <c r="M815" s="70"/>
      <c r="N815" s="70"/>
      <c r="O815" s="70"/>
      <c r="P815" s="70"/>
      <c r="Q815" s="70"/>
      <c r="R815" s="70"/>
      <c r="S815" s="70"/>
      <c r="T815" s="91"/>
      <c r="U815" s="91"/>
      <c r="V815" s="70"/>
      <c r="W815" s="58"/>
      <c r="X815" s="58"/>
      <c r="Y815" s="70"/>
      <c r="Z815" s="83"/>
      <c r="AA815" s="70"/>
      <c r="AB815" s="70"/>
      <c r="AC815" s="70"/>
      <c r="AD815" s="70"/>
      <c r="AE815" s="70"/>
      <c r="AF815" s="70"/>
      <c r="AG815" s="70"/>
      <c r="AH815" s="70"/>
      <c r="AI815" s="70"/>
      <c r="AJ815" s="70"/>
      <c r="AK815" s="70"/>
      <c r="AL815" s="70"/>
      <c r="AM815" s="70"/>
      <c r="AN815" s="70"/>
      <c r="AO815" s="70"/>
      <c r="AP815" s="70"/>
      <c r="AQ815" s="70"/>
      <c r="AR815" s="70"/>
      <c r="AS815" s="70"/>
      <c r="AT815" s="70"/>
    </row>
    <row r="816" ht="15.75" customHeight="1">
      <c r="A816" s="70"/>
      <c r="B816" s="70"/>
      <c r="C816" s="70"/>
      <c r="D816" s="80"/>
      <c r="E816" s="70"/>
      <c r="F816" s="70"/>
      <c r="G816" s="70"/>
      <c r="H816" s="70"/>
      <c r="I816" s="70"/>
      <c r="J816" s="70"/>
      <c r="K816" s="70"/>
      <c r="L816" s="70"/>
      <c r="M816" s="70"/>
      <c r="N816" s="70"/>
      <c r="O816" s="70"/>
      <c r="P816" s="70"/>
      <c r="Q816" s="70"/>
      <c r="R816" s="70"/>
      <c r="S816" s="70"/>
      <c r="T816" s="91"/>
      <c r="U816" s="91"/>
      <c r="V816" s="70"/>
      <c r="W816" s="58"/>
      <c r="X816" s="58"/>
      <c r="Y816" s="70"/>
      <c r="Z816" s="83"/>
      <c r="AA816" s="70"/>
      <c r="AB816" s="70"/>
      <c r="AC816" s="70"/>
      <c r="AD816" s="70"/>
      <c r="AE816" s="70"/>
      <c r="AF816" s="70"/>
      <c r="AG816" s="70"/>
      <c r="AH816" s="70"/>
      <c r="AI816" s="70"/>
      <c r="AJ816" s="70"/>
      <c r="AK816" s="70"/>
      <c r="AL816" s="70"/>
      <c r="AM816" s="70"/>
      <c r="AN816" s="70"/>
      <c r="AO816" s="70"/>
      <c r="AP816" s="70"/>
      <c r="AQ816" s="70"/>
      <c r="AR816" s="70"/>
      <c r="AS816" s="70"/>
      <c r="AT816" s="70"/>
    </row>
    <row r="817" ht="15.75" customHeight="1">
      <c r="A817" s="70"/>
      <c r="B817" s="70"/>
      <c r="C817" s="70"/>
      <c r="D817" s="80"/>
      <c r="E817" s="70"/>
      <c r="F817" s="70"/>
      <c r="G817" s="70"/>
      <c r="H817" s="70"/>
      <c r="I817" s="70"/>
      <c r="J817" s="70"/>
      <c r="K817" s="70"/>
      <c r="L817" s="70"/>
      <c r="M817" s="70"/>
      <c r="N817" s="70"/>
      <c r="O817" s="70"/>
      <c r="P817" s="70"/>
      <c r="Q817" s="70"/>
      <c r="R817" s="70"/>
      <c r="S817" s="70"/>
      <c r="T817" s="91"/>
      <c r="U817" s="91"/>
      <c r="V817" s="70"/>
      <c r="W817" s="58"/>
      <c r="X817" s="58"/>
      <c r="Y817" s="70"/>
      <c r="Z817" s="83"/>
      <c r="AA817" s="70"/>
      <c r="AB817" s="70"/>
      <c r="AC817" s="70"/>
      <c r="AD817" s="70"/>
      <c r="AE817" s="70"/>
      <c r="AF817" s="70"/>
      <c r="AG817" s="70"/>
      <c r="AH817" s="70"/>
      <c r="AI817" s="70"/>
      <c r="AJ817" s="70"/>
      <c r="AK817" s="70"/>
      <c r="AL817" s="70"/>
      <c r="AM817" s="70"/>
      <c r="AN817" s="70"/>
      <c r="AO817" s="70"/>
      <c r="AP817" s="70"/>
      <c r="AQ817" s="70"/>
      <c r="AR817" s="70"/>
      <c r="AS817" s="70"/>
      <c r="AT817" s="70"/>
    </row>
    <row r="818" ht="15.75" customHeight="1">
      <c r="A818" s="70"/>
      <c r="B818" s="70"/>
      <c r="C818" s="70"/>
      <c r="D818" s="80"/>
      <c r="E818" s="70"/>
      <c r="F818" s="70"/>
      <c r="G818" s="70"/>
      <c r="H818" s="70"/>
      <c r="I818" s="70"/>
      <c r="J818" s="70"/>
      <c r="K818" s="70"/>
      <c r="L818" s="70"/>
      <c r="M818" s="70"/>
      <c r="N818" s="70"/>
      <c r="O818" s="70"/>
      <c r="P818" s="70"/>
      <c r="Q818" s="70"/>
      <c r="R818" s="70"/>
      <c r="S818" s="70"/>
      <c r="T818" s="91"/>
      <c r="U818" s="91"/>
      <c r="V818" s="70"/>
      <c r="W818" s="58"/>
      <c r="X818" s="58"/>
      <c r="Y818" s="70"/>
      <c r="Z818" s="83"/>
      <c r="AA818" s="70"/>
      <c r="AB818" s="70"/>
      <c r="AC818" s="70"/>
      <c r="AD818" s="70"/>
      <c r="AE818" s="70"/>
      <c r="AF818" s="70"/>
      <c r="AG818" s="70"/>
      <c r="AH818" s="70"/>
      <c r="AI818" s="70"/>
      <c r="AJ818" s="70"/>
      <c r="AK818" s="70"/>
      <c r="AL818" s="70"/>
      <c r="AM818" s="70"/>
      <c r="AN818" s="70"/>
      <c r="AO818" s="70"/>
      <c r="AP818" s="70"/>
      <c r="AQ818" s="70"/>
      <c r="AR818" s="70"/>
      <c r="AS818" s="70"/>
      <c r="AT818" s="70"/>
    </row>
    <row r="819" ht="15.75" customHeight="1">
      <c r="A819" s="70"/>
      <c r="B819" s="70"/>
      <c r="C819" s="70"/>
      <c r="D819" s="80"/>
      <c r="E819" s="70"/>
      <c r="F819" s="70"/>
      <c r="G819" s="70"/>
      <c r="H819" s="70"/>
      <c r="I819" s="70"/>
      <c r="J819" s="70"/>
      <c r="K819" s="70"/>
      <c r="L819" s="70"/>
      <c r="M819" s="70"/>
      <c r="N819" s="70"/>
      <c r="O819" s="70"/>
      <c r="P819" s="70"/>
      <c r="Q819" s="70"/>
      <c r="R819" s="70"/>
      <c r="S819" s="70"/>
      <c r="T819" s="91"/>
      <c r="U819" s="91"/>
      <c r="V819" s="70"/>
      <c r="W819" s="58"/>
      <c r="X819" s="58"/>
      <c r="Y819" s="70"/>
      <c r="Z819" s="83"/>
      <c r="AA819" s="70"/>
      <c r="AB819" s="70"/>
      <c r="AC819" s="70"/>
      <c r="AD819" s="70"/>
      <c r="AE819" s="70"/>
      <c r="AF819" s="70"/>
      <c r="AG819" s="70"/>
      <c r="AH819" s="70"/>
      <c r="AI819" s="70"/>
      <c r="AJ819" s="70"/>
      <c r="AK819" s="70"/>
      <c r="AL819" s="70"/>
      <c r="AM819" s="70"/>
      <c r="AN819" s="70"/>
      <c r="AO819" s="70"/>
      <c r="AP819" s="70"/>
      <c r="AQ819" s="70"/>
      <c r="AR819" s="70"/>
      <c r="AS819" s="70"/>
      <c r="AT819" s="70"/>
    </row>
    <row r="820" ht="15.75" customHeight="1">
      <c r="A820" s="70"/>
      <c r="B820" s="70"/>
      <c r="C820" s="70"/>
      <c r="D820" s="80"/>
      <c r="E820" s="70"/>
      <c r="F820" s="70"/>
      <c r="G820" s="70"/>
      <c r="H820" s="70"/>
      <c r="I820" s="70"/>
      <c r="J820" s="70"/>
      <c r="K820" s="70"/>
      <c r="L820" s="70"/>
      <c r="M820" s="70"/>
      <c r="N820" s="70"/>
      <c r="O820" s="70"/>
      <c r="P820" s="70"/>
      <c r="Q820" s="70"/>
      <c r="R820" s="70"/>
      <c r="S820" s="70"/>
      <c r="T820" s="91"/>
      <c r="U820" s="91"/>
      <c r="V820" s="70"/>
      <c r="W820" s="58"/>
      <c r="X820" s="58"/>
      <c r="Y820" s="70"/>
      <c r="Z820" s="83"/>
      <c r="AA820" s="70"/>
      <c r="AB820" s="70"/>
      <c r="AC820" s="70"/>
      <c r="AD820" s="70"/>
      <c r="AE820" s="70"/>
      <c r="AF820" s="70"/>
      <c r="AG820" s="70"/>
      <c r="AH820" s="70"/>
      <c r="AI820" s="70"/>
      <c r="AJ820" s="70"/>
      <c r="AK820" s="70"/>
      <c r="AL820" s="70"/>
      <c r="AM820" s="70"/>
      <c r="AN820" s="70"/>
      <c r="AO820" s="70"/>
      <c r="AP820" s="70"/>
      <c r="AQ820" s="70"/>
      <c r="AR820" s="70"/>
      <c r="AS820" s="70"/>
      <c r="AT820" s="70"/>
    </row>
    <row r="821" ht="15.75" customHeight="1">
      <c r="A821" s="70"/>
      <c r="B821" s="70"/>
      <c r="C821" s="70"/>
      <c r="D821" s="80"/>
      <c r="E821" s="70"/>
      <c r="F821" s="70"/>
      <c r="G821" s="70"/>
      <c r="H821" s="70"/>
      <c r="I821" s="70"/>
      <c r="J821" s="70"/>
      <c r="K821" s="70"/>
      <c r="L821" s="70"/>
      <c r="M821" s="70"/>
      <c r="N821" s="70"/>
      <c r="O821" s="70"/>
      <c r="P821" s="70"/>
      <c r="Q821" s="70"/>
      <c r="R821" s="70"/>
      <c r="S821" s="70"/>
      <c r="T821" s="91"/>
      <c r="U821" s="91"/>
      <c r="V821" s="70"/>
      <c r="W821" s="58"/>
      <c r="X821" s="58"/>
      <c r="Y821" s="70"/>
      <c r="Z821" s="83"/>
      <c r="AA821" s="70"/>
      <c r="AB821" s="70"/>
      <c r="AC821" s="70"/>
      <c r="AD821" s="70"/>
      <c r="AE821" s="70"/>
      <c r="AF821" s="70"/>
      <c r="AG821" s="70"/>
      <c r="AH821" s="70"/>
      <c r="AI821" s="70"/>
      <c r="AJ821" s="70"/>
      <c r="AK821" s="70"/>
      <c r="AL821" s="70"/>
      <c r="AM821" s="70"/>
      <c r="AN821" s="70"/>
      <c r="AO821" s="70"/>
      <c r="AP821" s="70"/>
      <c r="AQ821" s="70"/>
      <c r="AR821" s="70"/>
      <c r="AS821" s="70"/>
      <c r="AT821" s="70"/>
    </row>
    <row r="822" ht="15.75" customHeight="1">
      <c r="A822" s="70"/>
      <c r="B822" s="70"/>
      <c r="C822" s="70"/>
      <c r="D822" s="80"/>
      <c r="E822" s="70"/>
      <c r="F822" s="70"/>
      <c r="G822" s="70"/>
      <c r="H822" s="70"/>
      <c r="I822" s="70"/>
      <c r="J822" s="70"/>
      <c r="K822" s="70"/>
      <c r="L822" s="70"/>
      <c r="M822" s="70"/>
      <c r="N822" s="70"/>
      <c r="O822" s="70"/>
      <c r="P822" s="70"/>
      <c r="Q822" s="70"/>
      <c r="R822" s="70"/>
      <c r="S822" s="70"/>
      <c r="T822" s="91"/>
      <c r="U822" s="91"/>
      <c r="V822" s="70"/>
      <c r="W822" s="58"/>
      <c r="X822" s="58"/>
      <c r="Y822" s="70"/>
      <c r="Z822" s="83"/>
      <c r="AA822" s="70"/>
      <c r="AB822" s="70"/>
      <c r="AC822" s="70"/>
      <c r="AD822" s="70"/>
      <c r="AE822" s="70"/>
      <c r="AF822" s="70"/>
      <c r="AG822" s="70"/>
      <c r="AH822" s="70"/>
      <c r="AI822" s="70"/>
      <c r="AJ822" s="70"/>
      <c r="AK822" s="70"/>
      <c r="AL822" s="70"/>
      <c r="AM822" s="70"/>
      <c r="AN822" s="70"/>
      <c r="AO822" s="70"/>
      <c r="AP822" s="70"/>
      <c r="AQ822" s="70"/>
      <c r="AR822" s="70"/>
      <c r="AS822" s="70"/>
      <c r="AT822" s="70"/>
    </row>
    <row r="823" ht="15.75" customHeight="1">
      <c r="A823" s="70"/>
      <c r="B823" s="70"/>
      <c r="C823" s="70"/>
      <c r="D823" s="80"/>
      <c r="E823" s="70"/>
      <c r="F823" s="70"/>
      <c r="G823" s="70"/>
      <c r="H823" s="70"/>
      <c r="I823" s="70"/>
      <c r="J823" s="70"/>
      <c r="K823" s="70"/>
      <c r="L823" s="70"/>
      <c r="M823" s="70"/>
      <c r="N823" s="70"/>
      <c r="O823" s="70"/>
      <c r="P823" s="70"/>
      <c r="Q823" s="70"/>
      <c r="R823" s="70"/>
      <c r="S823" s="70"/>
      <c r="T823" s="91"/>
      <c r="U823" s="91"/>
      <c r="V823" s="70"/>
      <c r="W823" s="58"/>
      <c r="X823" s="58"/>
      <c r="Y823" s="70"/>
      <c r="Z823" s="83"/>
      <c r="AA823" s="70"/>
      <c r="AB823" s="70"/>
      <c r="AC823" s="70"/>
      <c r="AD823" s="70"/>
      <c r="AE823" s="70"/>
      <c r="AF823" s="70"/>
      <c r="AG823" s="70"/>
      <c r="AH823" s="70"/>
      <c r="AI823" s="70"/>
      <c r="AJ823" s="70"/>
      <c r="AK823" s="70"/>
      <c r="AL823" s="70"/>
      <c r="AM823" s="70"/>
      <c r="AN823" s="70"/>
      <c r="AO823" s="70"/>
      <c r="AP823" s="70"/>
      <c r="AQ823" s="70"/>
      <c r="AR823" s="70"/>
      <c r="AS823" s="70"/>
      <c r="AT823" s="70"/>
    </row>
    <row r="824" ht="15.75" customHeight="1">
      <c r="A824" s="70"/>
      <c r="B824" s="70"/>
      <c r="C824" s="70"/>
      <c r="D824" s="80"/>
      <c r="E824" s="70"/>
      <c r="F824" s="70"/>
      <c r="G824" s="70"/>
      <c r="H824" s="70"/>
      <c r="I824" s="70"/>
      <c r="J824" s="70"/>
      <c r="K824" s="70"/>
      <c r="L824" s="70"/>
      <c r="M824" s="70"/>
      <c r="N824" s="70"/>
      <c r="O824" s="70"/>
      <c r="P824" s="70"/>
      <c r="Q824" s="70"/>
      <c r="R824" s="70"/>
      <c r="S824" s="70"/>
      <c r="T824" s="91"/>
      <c r="U824" s="91"/>
      <c r="V824" s="70"/>
      <c r="W824" s="58"/>
      <c r="X824" s="58"/>
      <c r="Y824" s="70"/>
      <c r="Z824" s="83"/>
      <c r="AA824" s="70"/>
      <c r="AB824" s="70"/>
      <c r="AC824" s="70"/>
      <c r="AD824" s="70"/>
      <c r="AE824" s="70"/>
      <c r="AF824" s="70"/>
      <c r="AG824" s="70"/>
      <c r="AH824" s="70"/>
      <c r="AI824" s="70"/>
      <c r="AJ824" s="70"/>
      <c r="AK824" s="70"/>
      <c r="AL824" s="70"/>
      <c r="AM824" s="70"/>
      <c r="AN824" s="70"/>
      <c r="AO824" s="70"/>
      <c r="AP824" s="70"/>
      <c r="AQ824" s="70"/>
      <c r="AR824" s="70"/>
      <c r="AS824" s="70"/>
      <c r="AT824" s="70"/>
    </row>
    <row r="825" ht="15.75" customHeight="1">
      <c r="A825" s="70"/>
      <c r="B825" s="70"/>
      <c r="C825" s="70"/>
      <c r="D825" s="80"/>
      <c r="E825" s="70"/>
      <c r="F825" s="70"/>
      <c r="G825" s="70"/>
      <c r="H825" s="70"/>
      <c r="I825" s="70"/>
      <c r="J825" s="70"/>
      <c r="K825" s="70"/>
      <c r="L825" s="70"/>
      <c r="M825" s="70"/>
      <c r="N825" s="70"/>
      <c r="O825" s="70"/>
      <c r="P825" s="70"/>
      <c r="Q825" s="70"/>
      <c r="R825" s="70"/>
      <c r="S825" s="70"/>
      <c r="T825" s="91"/>
      <c r="U825" s="91"/>
      <c r="V825" s="70"/>
      <c r="W825" s="58"/>
      <c r="X825" s="58"/>
      <c r="Y825" s="70"/>
      <c r="Z825" s="83"/>
      <c r="AA825" s="70"/>
      <c r="AB825" s="70"/>
      <c r="AC825" s="70"/>
      <c r="AD825" s="70"/>
      <c r="AE825" s="70"/>
      <c r="AF825" s="70"/>
      <c r="AG825" s="70"/>
      <c r="AH825" s="70"/>
      <c r="AI825" s="70"/>
      <c r="AJ825" s="70"/>
      <c r="AK825" s="70"/>
      <c r="AL825" s="70"/>
      <c r="AM825" s="70"/>
      <c r="AN825" s="70"/>
      <c r="AO825" s="70"/>
      <c r="AP825" s="70"/>
      <c r="AQ825" s="70"/>
      <c r="AR825" s="70"/>
      <c r="AS825" s="70"/>
      <c r="AT825" s="70"/>
    </row>
    <row r="826" ht="15.75" customHeight="1">
      <c r="A826" s="70"/>
      <c r="B826" s="70"/>
      <c r="C826" s="70"/>
      <c r="D826" s="80"/>
      <c r="E826" s="70"/>
      <c r="F826" s="70"/>
      <c r="G826" s="70"/>
      <c r="H826" s="70"/>
      <c r="I826" s="70"/>
      <c r="J826" s="70"/>
      <c r="K826" s="70"/>
      <c r="L826" s="70"/>
      <c r="M826" s="70"/>
      <c r="N826" s="70"/>
      <c r="O826" s="70"/>
      <c r="P826" s="70"/>
      <c r="Q826" s="70"/>
      <c r="R826" s="70"/>
      <c r="S826" s="70"/>
      <c r="T826" s="91"/>
      <c r="U826" s="91"/>
      <c r="V826" s="70"/>
      <c r="W826" s="58"/>
      <c r="X826" s="58"/>
      <c r="Y826" s="70"/>
      <c r="Z826" s="83"/>
      <c r="AA826" s="70"/>
      <c r="AB826" s="70"/>
      <c r="AC826" s="70"/>
      <c r="AD826" s="70"/>
      <c r="AE826" s="70"/>
      <c r="AF826" s="70"/>
      <c r="AG826" s="70"/>
      <c r="AH826" s="70"/>
      <c r="AI826" s="70"/>
      <c r="AJ826" s="70"/>
      <c r="AK826" s="70"/>
      <c r="AL826" s="70"/>
      <c r="AM826" s="70"/>
      <c r="AN826" s="70"/>
      <c r="AO826" s="70"/>
      <c r="AP826" s="70"/>
      <c r="AQ826" s="70"/>
      <c r="AR826" s="70"/>
      <c r="AS826" s="70"/>
      <c r="AT826" s="70"/>
    </row>
    <row r="827" ht="15.75" customHeight="1">
      <c r="A827" s="70"/>
      <c r="B827" s="70"/>
      <c r="C827" s="70"/>
      <c r="D827" s="80"/>
      <c r="E827" s="70"/>
      <c r="F827" s="70"/>
      <c r="G827" s="70"/>
      <c r="H827" s="70"/>
      <c r="I827" s="70"/>
      <c r="J827" s="70"/>
      <c r="K827" s="70"/>
      <c r="L827" s="70"/>
      <c r="M827" s="70"/>
      <c r="N827" s="70"/>
      <c r="O827" s="70"/>
      <c r="P827" s="70"/>
      <c r="Q827" s="70"/>
      <c r="R827" s="70"/>
      <c r="S827" s="70"/>
      <c r="T827" s="91"/>
      <c r="U827" s="91"/>
      <c r="V827" s="70"/>
      <c r="W827" s="58"/>
      <c r="X827" s="58"/>
      <c r="Y827" s="70"/>
      <c r="Z827" s="83"/>
      <c r="AA827" s="70"/>
      <c r="AB827" s="70"/>
      <c r="AC827" s="70"/>
      <c r="AD827" s="70"/>
      <c r="AE827" s="70"/>
      <c r="AF827" s="70"/>
      <c r="AG827" s="70"/>
      <c r="AH827" s="70"/>
      <c r="AI827" s="70"/>
      <c r="AJ827" s="70"/>
      <c r="AK827" s="70"/>
      <c r="AL827" s="70"/>
      <c r="AM827" s="70"/>
      <c r="AN827" s="70"/>
      <c r="AO827" s="70"/>
      <c r="AP827" s="70"/>
      <c r="AQ827" s="70"/>
      <c r="AR827" s="70"/>
      <c r="AS827" s="70"/>
      <c r="AT827" s="70"/>
    </row>
    <row r="828" ht="15.75" customHeight="1">
      <c r="A828" s="70"/>
      <c r="B828" s="70"/>
      <c r="C828" s="70"/>
      <c r="D828" s="80"/>
      <c r="E828" s="70"/>
      <c r="F828" s="70"/>
      <c r="G828" s="70"/>
      <c r="H828" s="70"/>
      <c r="I828" s="70"/>
      <c r="J828" s="70"/>
      <c r="K828" s="70"/>
      <c r="L828" s="70"/>
      <c r="M828" s="70"/>
      <c r="N828" s="70"/>
      <c r="O828" s="70"/>
      <c r="P828" s="70"/>
      <c r="Q828" s="70"/>
      <c r="R828" s="70"/>
      <c r="S828" s="70"/>
      <c r="T828" s="91"/>
      <c r="U828" s="91"/>
      <c r="V828" s="70"/>
      <c r="W828" s="58"/>
      <c r="X828" s="58"/>
      <c r="Y828" s="70"/>
      <c r="Z828" s="83"/>
      <c r="AA828" s="70"/>
      <c r="AB828" s="70"/>
      <c r="AC828" s="70"/>
      <c r="AD828" s="70"/>
      <c r="AE828" s="70"/>
      <c r="AF828" s="70"/>
      <c r="AG828" s="70"/>
      <c r="AH828" s="70"/>
      <c r="AI828" s="70"/>
      <c r="AJ828" s="70"/>
      <c r="AK828" s="70"/>
      <c r="AL828" s="70"/>
      <c r="AM828" s="70"/>
      <c r="AN828" s="70"/>
      <c r="AO828" s="70"/>
      <c r="AP828" s="70"/>
      <c r="AQ828" s="70"/>
      <c r="AR828" s="70"/>
      <c r="AS828" s="70"/>
      <c r="AT828" s="70"/>
    </row>
    <row r="829" ht="15.75" customHeight="1">
      <c r="A829" s="70"/>
      <c r="B829" s="70"/>
      <c r="C829" s="70"/>
      <c r="D829" s="80"/>
      <c r="E829" s="70"/>
      <c r="F829" s="70"/>
      <c r="G829" s="70"/>
      <c r="H829" s="70"/>
      <c r="I829" s="70"/>
      <c r="J829" s="70"/>
      <c r="K829" s="70"/>
      <c r="L829" s="70"/>
      <c r="M829" s="70"/>
      <c r="N829" s="70"/>
      <c r="O829" s="70"/>
      <c r="P829" s="70"/>
      <c r="Q829" s="70"/>
      <c r="R829" s="70"/>
      <c r="S829" s="70"/>
      <c r="T829" s="91"/>
      <c r="U829" s="91"/>
      <c r="V829" s="70"/>
      <c r="W829" s="58"/>
      <c r="X829" s="58"/>
      <c r="Y829" s="70"/>
      <c r="Z829" s="83"/>
      <c r="AA829" s="70"/>
      <c r="AB829" s="70"/>
      <c r="AC829" s="70"/>
      <c r="AD829" s="70"/>
      <c r="AE829" s="70"/>
      <c r="AF829" s="70"/>
      <c r="AG829" s="70"/>
      <c r="AH829" s="70"/>
      <c r="AI829" s="70"/>
      <c r="AJ829" s="70"/>
      <c r="AK829" s="70"/>
      <c r="AL829" s="70"/>
      <c r="AM829" s="70"/>
      <c r="AN829" s="70"/>
      <c r="AO829" s="70"/>
      <c r="AP829" s="70"/>
      <c r="AQ829" s="70"/>
      <c r="AR829" s="70"/>
      <c r="AS829" s="70"/>
      <c r="AT829" s="70"/>
    </row>
    <row r="830" ht="15.75" customHeight="1">
      <c r="A830" s="70"/>
      <c r="B830" s="70"/>
      <c r="C830" s="70"/>
      <c r="D830" s="80"/>
      <c r="E830" s="70"/>
      <c r="F830" s="70"/>
      <c r="G830" s="70"/>
      <c r="H830" s="70"/>
      <c r="I830" s="70"/>
      <c r="J830" s="70"/>
      <c r="K830" s="70"/>
      <c r="L830" s="70"/>
      <c r="M830" s="70"/>
      <c r="N830" s="70"/>
      <c r="O830" s="70"/>
      <c r="P830" s="70"/>
      <c r="Q830" s="70"/>
      <c r="R830" s="70"/>
      <c r="S830" s="70"/>
      <c r="T830" s="91"/>
      <c r="U830" s="91"/>
      <c r="V830" s="70"/>
      <c r="W830" s="58"/>
      <c r="X830" s="58"/>
      <c r="Y830" s="70"/>
      <c r="Z830" s="83"/>
      <c r="AA830" s="70"/>
      <c r="AB830" s="70"/>
      <c r="AC830" s="70"/>
      <c r="AD830" s="70"/>
      <c r="AE830" s="70"/>
      <c r="AF830" s="70"/>
      <c r="AG830" s="70"/>
      <c r="AH830" s="70"/>
      <c r="AI830" s="70"/>
      <c r="AJ830" s="70"/>
      <c r="AK830" s="70"/>
      <c r="AL830" s="70"/>
      <c r="AM830" s="70"/>
      <c r="AN830" s="70"/>
      <c r="AO830" s="70"/>
      <c r="AP830" s="70"/>
      <c r="AQ830" s="70"/>
      <c r="AR830" s="70"/>
      <c r="AS830" s="70"/>
      <c r="AT830" s="70"/>
    </row>
    <row r="831" ht="15.75" customHeight="1">
      <c r="A831" s="70"/>
      <c r="B831" s="70"/>
      <c r="C831" s="70"/>
      <c r="D831" s="80"/>
      <c r="E831" s="70"/>
      <c r="F831" s="70"/>
      <c r="G831" s="70"/>
      <c r="H831" s="70"/>
      <c r="I831" s="70"/>
      <c r="J831" s="70"/>
      <c r="K831" s="70"/>
      <c r="L831" s="70"/>
      <c r="M831" s="70"/>
      <c r="N831" s="70"/>
      <c r="O831" s="70"/>
      <c r="P831" s="70"/>
      <c r="Q831" s="70"/>
      <c r="R831" s="70"/>
      <c r="S831" s="70"/>
      <c r="T831" s="91"/>
      <c r="U831" s="91"/>
      <c r="V831" s="70"/>
      <c r="W831" s="58"/>
      <c r="X831" s="58"/>
      <c r="Y831" s="70"/>
      <c r="Z831" s="83"/>
      <c r="AA831" s="70"/>
      <c r="AB831" s="70"/>
      <c r="AC831" s="70"/>
      <c r="AD831" s="70"/>
      <c r="AE831" s="70"/>
      <c r="AF831" s="70"/>
      <c r="AG831" s="70"/>
      <c r="AH831" s="70"/>
      <c r="AI831" s="70"/>
      <c r="AJ831" s="70"/>
      <c r="AK831" s="70"/>
      <c r="AL831" s="70"/>
      <c r="AM831" s="70"/>
      <c r="AN831" s="70"/>
      <c r="AO831" s="70"/>
      <c r="AP831" s="70"/>
      <c r="AQ831" s="70"/>
      <c r="AR831" s="70"/>
      <c r="AS831" s="70"/>
      <c r="AT831" s="70"/>
    </row>
    <row r="832" ht="15.75" customHeight="1">
      <c r="A832" s="70"/>
      <c r="B832" s="70"/>
      <c r="C832" s="70"/>
      <c r="D832" s="80"/>
      <c r="E832" s="70"/>
      <c r="F832" s="70"/>
      <c r="G832" s="70"/>
      <c r="H832" s="70"/>
      <c r="I832" s="70"/>
      <c r="J832" s="70"/>
      <c r="K832" s="70"/>
      <c r="L832" s="70"/>
      <c r="M832" s="70"/>
      <c r="N832" s="70"/>
      <c r="O832" s="70"/>
      <c r="P832" s="70"/>
      <c r="Q832" s="70"/>
      <c r="R832" s="70"/>
      <c r="S832" s="70"/>
      <c r="T832" s="91"/>
      <c r="U832" s="91"/>
      <c r="V832" s="70"/>
      <c r="W832" s="58"/>
      <c r="X832" s="58"/>
      <c r="Y832" s="70"/>
      <c r="Z832" s="83"/>
      <c r="AA832" s="70"/>
      <c r="AB832" s="70"/>
      <c r="AC832" s="70"/>
      <c r="AD832" s="70"/>
      <c r="AE832" s="70"/>
      <c r="AF832" s="70"/>
      <c r="AG832" s="70"/>
      <c r="AH832" s="70"/>
      <c r="AI832" s="70"/>
      <c r="AJ832" s="70"/>
      <c r="AK832" s="70"/>
      <c r="AL832" s="70"/>
      <c r="AM832" s="70"/>
      <c r="AN832" s="70"/>
      <c r="AO832" s="70"/>
      <c r="AP832" s="70"/>
      <c r="AQ832" s="70"/>
      <c r="AR832" s="70"/>
      <c r="AS832" s="70"/>
      <c r="AT832" s="70"/>
    </row>
    <row r="833" ht="15.75" customHeight="1">
      <c r="A833" s="70"/>
      <c r="B833" s="70"/>
      <c r="C833" s="70"/>
      <c r="D833" s="80"/>
      <c r="E833" s="70"/>
      <c r="F833" s="70"/>
      <c r="G833" s="70"/>
      <c r="H833" s="70"/>
      <c r="I833" s="70"/>
      <c r="J833" s="70"/>
      <c r="K833" s="70"/>
      <c r="L833" s="70"/>
      <c r="M833" s="70"/>
      <c r="N833" s="70"/>
      <c r="O833" s="70"/>
      <c r="P833" s="70"/>
      <c r="Q833" s="70"/>
      <c r="R833" s="70"/>
      <c r="S833" s="70"/>
      <c r="T833" s="91"/>
      <c r="U833" s="91"/>
      <c r="V833" s="70"/>
      <c r="W833" s="58"/>
      <c r="X833" s="58"/>
      <c r="Y833" s="70"/>
      <c r="Z833" s="83"/>
      <c r="AA833" s="70"/>
      <c r="AB833" s="70"/>
      <c r="AC833" s="70"/>
      <c r="AD833" s="70"/>
      <c r="AE833" s="70"/>
      <c r="AF833" s="70"/>
      <c r="AG833" s="70"/>
      <c r="AH833" s="70"/>
      <c r="AI833" s="70"/>
      <c r="AJ833" s="70"/>
      <c r="AK833" s="70"/>
      <c r="AL833" s="70"/>
      <c r="AM833" s="70"/>
      <c r="AN833" s="70"/>
      <c r="AO833" s="70"/>
      <c r="AP833" s="70"/>
      <c r="AQ833" s="70"/>
      <c r="AR833" s="70"/>
      <c r="AS833" s="70"/>
      <c r="AT833" s="70"/>
    </row>
    <row r="834" ht="15.75" customHeight="1">
      <c r="A834" s="70"/>
      <c r="B834" s="70"/>
      <c r="C834" s="70"/>
      <c r="D834" s="80"/>
      <c r="E834" s="70"/>
      <c r="F834" s="70"/>
      <c r="G834" s="70"/>
      <c r="H834" s="70"/>
      <c r="I834" s="70"/>
      <c r="J834" s="70"/>
      <c r="K834" s="70"/>
      <c r="L834" s="70"/>
      <c r="M834" s="70"/>
      <c r="N834" s="70"/>
      <c r="O834" s="70"/>
      <c r="P834" s="70"/>
      <c r="Q834" s="70"/>
      <c r="R834" s="70"/>
      <c r="S834" s="70"/>
      <c r="T834" s="91"/>
      <c r="U834" s="91"/>
      <c r="V834" s="70"/>
      <c r="W834" s="58"/>
      <c r="X834" s="58"/>
      <c r="Y834" s="70"/>
      <c r="Z834" s="83"/>
      <c r="AA834" s="70"/>
      <c r="AB834" s="70"/>
      <c r="AC834" s="70"/>
      <c r="AD834" s="70"/>
      <c r="AE834" s="70"/>
      <c r="AF834" s="70"/>
      <c r="AG834" s="70"/>
      <c r="AH834" s="70"/>
      <c r="AI834" s="70"/>
      <c r="AJ834" s="70"/>
      <c r="AK834" s="70"/>
      <c r="AL834" s="70"/>
      <c r="AM834" s="70"/>
      <c r="AN834" s="70"/>
      <c r="AO834" s="70"/>
      <c r="AP834" s="70"/>
      <c r="AQ834" s="70"/>
      <c r="AR834" s="70"/>
      <c r="AS834" s="70"/>
      <c r="AT834" s="70"/>
    </row>
    <row r="835" ht="15.75" customHeight="1">
      <c r="A835" s="70"/>
      <c r="B835" s="70"/>
      <c r="C835" s="70"/>
      <c r="D835" s="80"/>
      <c r="E835" s="70"/>
      <c r="F835" s="70"/>
      <c r="G835" s="70"/>
      <c r="H835" s="70"/>
      <c r="I835" s="70"/>
      <c r="J835" s="70"/>
      <c r="K835" s="70"/>
      <c r="L835" s="70"/>
      <c r="M835" s="70"/>
      <c r="N835" s="70"/>
      <c r="O835" s="70"/>
      <c r="P835" s="70"/>
      <c r="Q835" s="70"/>
      <c r="R835" s="70"/>
      <c r="S835" s="70"/>
      <c r="T835" s="91"/>
      <c r="U835" s="91"/>
      <c r="V835" s="70"/>
      <c r="W835" s="58"/>
      <c r="X835" s="58"/>
      <c r="Y835" s="70"/>
      <c r="Z835" s="83"/>
      <c r="AA835" s="70"/>
      <c r="AB835" s="70"/>
      <c r="AC835" s="70"/>
      <c r="AD835" s="70"/>
      <c r="AE835" s="70"/>
      <c r="AF835" s="70"/>
      <c r="AG835" s="70"/>
      <c r="AH835" s="70"/>
      <c r="AI835" s="70"/>
      <c r="AJ835" s="70"/>
      <c r="AK835" s="70"/>
      <c r="AL835" s="70"/>
      <c r="AM835" s="70"/>
      <c r="AN835" s="70"/>
      <c r="AO835" s="70"/>
      <c r="AP835" s="70"/>
      <c r="AQ835" s="70"/>
      <c r="AR835" s="70"/>
      <c r="AS835" s="70"/>
      <c r="AT835" s="70"/>
    </row>
    <row r="836" ht="15.75" customHeight="1">
      <c r="A836" s="70"/>
      <c r="B836" s="70"/>
      <c r="C836" s="70"/>
      <c r="D836" s="80"/>
      <c r="E836" s="70"/>
      <c r="F836" s="70"/>
      <c r="G836" s="70"/>
      <c r="H836" s="70"/>
      <c r="I836" s="70"/>
      <c r="J836" s="70"/>
      <c r="K836" s="70"/>
      <c r="L836" s="70"/>
      <c r="M836" s="70"/>
      <c r="N836" s="70"/>
      <c r="O836" s="70"/>
      <c r="P836" s="70"/>
      <c r="Q836" s="70"/>
      <c r="R836" s="70"/>
      <c r="S836" s="70"/>
      <c r="T836" s="91"/>
      <c r="U836" s="91"/>
      <c r="V836" s="70"/>
      <c r="W836" s="58"/>
      <c r="X836" s="58"/>
      <c r="Y836" s="70"/>
      <c r="Z836" s="83"/>
      <c r="AA836" s="70"/>
      <c r="AB836" s="70"/>
      <c r="AC836" s="70"/>
      <c r="AD836" s="70"/>
      <c r="AE836" s="70"/>
      <c r="AF836" s="70"/>
      <c r="AG836" s="70"/>
      <c r="AH836" s="70"/>
      <c r="AI836" s="70"/>
      <c r="AJ836" s="70"/>
      <c r="AK836" s="70"/>
      <c r="AL836" s="70"/>
      <c r="AM836" s="70"/>
      <c r="AN836" s="70"/>
      <c r="AO836" s="70"/>
      <c r="AP836" s="70"/>
      <c r="AQ836" s="70"/>
      <c r="AR836" s="70"/>
      <c r="AS836" s="70"/>
      <c r="AT836" s="70"/>
    </row>
    <row r="837" ht="15.75" customHeight="1">
      <c r="A837" s="70"/>
      <c r="B837" s="70"/>
      <c r="C837" s="70"/>
      <c r="D837" s="80"/>
      <c r="E837" s="70"/>
      <c r="F837" s="70"/>
      <c r="G837" s="70"/>
      <c r="H837" s="70"/>
      <c r="I837" s="70"/>
      <c r="J837" s="70"/>
      <c r="K837" s="70"/>
      <c r="L837" s="70"/>
      <c r="M837" s="70"/>
      <c r="N837" s="70"/>
      <c r="O837" s="70"/>
      <c r="P837" s="70"/>
      <c r="Q837" s="70"/>
      <c r="R837" s="70"/>
      <c r="S837" s="70"/>
      <c r="T837" s="91"/>
      <c r="U837" s="91"/>
      <c r="V837" s="70"/>
      <c r="W837" s="58"/>
      <c r="X837" s="58"/>
      <c r="Y837" s="70"/>
      <c r="Z837" s="83"/>
      <c r="AA837" s="70"/>
      <c r="AB837" s="70"/>
      <c r="AC837" s="70"/>
      <c r="AD837" s="70"/>
      <c r="AE837" s="70"/>
      <c r="AF837" s="70"/>
      <c r="AG837" s="70"/>
      <c r="AH837" s="70"/>
      <c r="AI837" s="70"/>
      <c r="AJ837" s="70"/>
      <c r="AK837" s="70"/>
      <c r="AL837" s="70"/>
      <c r="AM837" s="70"/>
      <c r="AN837" s="70"/>
      <c r="AO837" s="70"/>
      <c r="AP837" s="70"/>
      <c r="AQ837" s="70"/>
      <c r="AR837" s="70"/>
      <c r="AS837" s="70"/>
      <c r="AT837" s="70"/>
    </row>
    <row r="838" ht="15.75" customHeight="1">
      <c r="A838" s="70"/>
      <c r="B838" s="70"/>
      <c r="C838" s="70"/>
      <c r="D838" s="80"/>
      <c r="E838" s="70"/>
      <c r="F838" s="70"/>
      <c r="G838" s="70"/>
      <c r="H838" s="70"/>
      <c r="I838" s="70"/>
      <c r="J838" s="70"/>
      <c r="K838" s="70"/>
      <c r="L838" s="70"/>
      <c r="M838" s="70"/>
      <c r="N838" s="70"/>
      <c r="O838" s="70"/>
      <c r="P838" s="70"/>
      <c r="Q838" s="70"/>
      <c r="R838" s="70"/>
      <c r="S838" s="70"/>
      <c r="T838" s="91"/>
      <c r="U838" s="91"/>
      <c r="V838" s="70"/>
      <c r="W838" s="58"/>
      <c r="X838" s="58"/>
      <c r="Y838" s="70"/>
      <c r="Z838" s="83"/>
      <c r="AA838" s="70"/>
      <c r="AB838" s="70"/>
      <c r="AC838" s="70"/>
      <c r="AD838" s="70"/>
      <c r="AE838" s="70"/>
      <c r="AF838" s="70"/>
      <c r="AG838" s="70"/>
      <c r="AH838" s="70"/>
      <c r="AI838" s="70"/>
      <c r="AJ838" s="70"/>
      <c r="AK838" s="70"/>
      <c r="AL838" s="70"/>
      <c r="AM838" s="70"/>
      <c r="AN838" s="70"/>
      <c r="AO838" s="70"/>
      <c r="AP838" s="70"/>
      <c r="AQ838" s="70"/>
      <c r="AR838" s="70"/>
      <c r="AS838" s="70"/>
      <c r="AT838" s="70"/>
    </row>
    <row r="839" ht="15.75" customHeight="1">
      <c r="A839" s="70"/>
      <c r="B839" s="70"/>
      <c r="C839" s="70"/>
      <c r="D839" s="80"/>
      <c r="E839" s="70"/>
      <c r="F839" s="70"/>
      <c r="G839" s="70"/>
      <c r="H839" s="70"/>
      <c r="I839" s="70"/>
      <c r="J839" s="70"/>
      <c r="K839" s="70"/>
      <c r="L839" s="70"/>
      <c r="M839" s="70"/>
      <c r="N839" s="70"/>
      <c r="O839" s="70"/>
      <c r="P839" s="70"/>
      <c r="Q839" s="70"/>
      <c r="R839" s="70"/>
      <c r="S839" s="70"/>
      <c r="T839" s="91"/>
      <c r="U839" s="91"/>
      <c r="V839" s="70"/>
      <c r="W839" s="58"/>
      <c r="X839" s="58"/>
      <c r="Y839" s="70"/>
      <c r="Z839" s="83"/>
      <c r="AA839" s="70"/>
      <c r="AB839" s="70"/>
      <c r="AC839" s="70"/>
      <c r="AD839" s="70"/>
      <c r="AE839" s="70"/>
      <c r="AF839" s="70"/>
      <c r="AG839" s="70"/>
      <c r="AH839" s="70"/>
      <c r="AI839" s="70"/>
      <c r="AJ839" s="70"/>
      <c r="AK839" s="70"/>
      <c r="AL839" s="70"/>
      <c r="AM839" s="70"/>
      <c r="AN839" s="70"/>
      <c r="AO839" s="70"/>
      <c r="AP839" s="70"/>
      <c r="AQ839" s="70"/>
      <c r="AR839" s="70"/>
      <c r="AS839" s="70"/>
      <c r="AT839" s="70"/>
    </row>
    <row r="840" ht="15.75" customHeight="1">
      <c r="A840" s="70"/>
      <c r="B840" s="70"/>
      <c r="C840" s="70"/>
      <c r="D840" s="80"/>
      <c r="E840" s="70"/>
      <c r="F840" s="70"/>
      <c r="G840" s="70"/>
      <c r="H840" s="70"/>
      <c r="I840" s="70"/>
      <c r="J840" s="70"/>
      <c r="K840" s="70"/>
      <c r="L840" s="70"/>
      <c r="M840" s="70"/>
      <c r="N840" s="70"/>
      <c r="O840" s="70"/>
      <c r="P840" s="70"/>
      <c r="Q840" s="70"/>
      <c r="R840" s="70"/>
      <c r="S840" s="70"/>
      <c r="T840" s="91"/>
      <c r="U840" s="91"/>
      <c r="V840" s="70"/>
      <c r="W840" s="58"/>
      <c r="X840" s="58"/>
      <c r="Y840" s="70"/>
      <c r="Z840" s="83"/>
      <c r="AA840" s="70"/>
      <c r="AB840" s="70"/>
      <c r="AC840" s="70"/>
      <c r="AD840" s="70"/>
      <c r="AE840" s="70"/>
      <c r="AF840" s="70"/>
      <c r="AG840" s="70"/>
      <c r="AH840" s="70"/>
      <c r="AI840" s="70"/>
      <c r="AJ840" s="70"/>
      <c r="AK840" s="70"/>
      <c r="AL840" s="70"/>
      <c r="AM840" s="70"/>
      <c r="AN840" s="70"/>
      <c r="AO840" s="70"/>
      <c r="AP840" s="70"/>
      <c r="AQ840" s="70"/>
      <c r="AR840" s="70"/>
      <c r="AS840" s="70"/>
      <c r="AT840" s="70"/>
    </row>
    <row r="841" ht="15.75" customHeight="1">
      <c r="A841" s="70"/>
      <c r="B841" s="70"/>
      <c r="C841" s="70"/>
      <c r="D841" s="80"/>
      <c r="E841" s="70"/>
      <c r="F841" s="70"/>
      <c r="G841" s="70"/>
      <c r="H841" s="70"/>
      <c r="I841" s="70"/>
      <c r="J841" s="70"/>
      <c r="K841" s="70"/>
      <c r="L841" s="70"/>
      <c r="M841" s="70"/>
      <c r="N841" s="70"/>
      <c r="O841" s="70"/>
      <c r="P841" s="70"/>
      <c r="Q841" s="70"/>
      <c r="R841" s="70"/>
      <c r="S841" s="70"/>
      <c r="T841" s="91"/>
      <c r="U841" s="91"/>
      <c r="V841" s="70"/>
      <c r="W841" s="58"/>
      <c r="X841" s="58"/>
      <c r="Y841" s="70"/>
      <c r="Z841" s="83"/>
      <c r="AA841" s="70"/>
      <c r="AB841" s="70"/>
      <c r="AC841" s="70"/>
      <c r="AD841" s="70"/>
      <c r="AE841" s="70"/>
      <c r="AF841" s="70"/>
      <c r="AG841" s="70"/>
      <c r="AH841" s="70"/>
      <c r="AI841" s="70"/>
      <c r="AJ841" s="70"/>
      <c r="AK841" s="70"/>
      <c r="AL841" s="70"/>
      <c r="AM841" s="70"/>
      <c r="AN841" s="70"/>
      <c r="AO841" s="70"/>
      <c r="AP841" s="70"/>
      <c r="AQ841" s="70"/>
      <c r="AR841" s="70"/>
      <c r="AS841" s="70"/>
      <c r="AT841" s="70"/>
    </row>
    <row r="842" ht="15.75" customHeight="1">
      <c r="A842" s="70"/>
      <c r="B842" s="70"/>
      <c r="C842" s="70"/>
      <c r="D842" s="80"/>
      <c r="E842" s="70"/>
      <c r="F842" s="70"/>
      <c r="G842" s="70"/>
      <c r="H842" s="70"/>
      <c r="I842" s="70"/>
      <c r="J842" s="70"/>
      <c r="K842" s="70"/>
      <c r="L842" s="70"/>
      <c r="M842" s="70"/>
      <c r="N842" s="70"/>
      <c r="O842" s="70"/>
      <c r="P842" s="70"/>
      <c r="Q842" s="70"/>
      <c r="R842" s="70"/>
      <c r="S842" s="70"/>
      <c r="T842" s="91"/>
      <c r="U842" s="91"/>
      <c r="V842" s="70"/>
      <c r="W842" s="58"/>
      <c r="X842" s="58"/>
      <c r="Y842" s="70"/>
      <c r="Z842" s="83"/>
      <c r="AA842" s="70"/>
      <c r="AB842" s="70"/>
      <c r="AC842" s="70"/>
      <c r="AD842" s="70"/>
      <c r="AE842" s="70"/>
      <c r="AF842" s="70"/>
      <c r="AG842" s="70"/>
      <c r="AH842" s="70"/>
      <c r="AI842" s="70"/>
      <c r="AJ842" s="70"/>
      <c r="AK842" s="70"/>
      <c r="AL842" s="70"/>
      <c r="AM842" s="70"/>
      <c r="AN842" s="70"/>
      <c r="AO842" s="70"/>
      <c r="AP842" s="70"/>
      <c r="AQ842" s="70"/>
      <c r="AR842" s="70"/>
      <c r="AS842" s="70"/>
      <c r="AT842" s="70"/>
    </row>
    <row r="843" ht="15.75" customHeight="1">
      <c r="A843" s="70"/>
      <c r="B843" s="70"/>
      <c r="C843" s="70"/>
      <c r="D843" s="80"/>
      <c r="E843" s="70"/>
      <c r="F843" s="70"/>
      <c r="G843" s="70"/>
      <c r="H843" s="70"/>
      <c r="I843" s="70"/>
      <c r="J843" s="70"/>
      <c r="K843" s="70"/>
      <c r="L843" s="70"/>
      <c r="M843" s="70"/>
      <c r="N843" s="70"/>
      <c r="O843" s="70"/>
      <c r="P843" s="70"/>
      <c r="Q843" s="70"/>
      <c r="R843" s="70"/>
      <c r="S843" s="70"/>
      <c r="T843" s="91"/>
      <c r="U843" s="91"/>
      <c r="V843" s="70"/>
      <c r="W843" s="58"/>
      <c r="X843" s="58"/>
      <c r="Y843" s="70"/>
      <c r="Z843" s="83"/>
      <c r="AA843" s="70"/>
      <c r="AB843" s="70"/>
      <c r="AC843" s="70"/>
      <c r="AD843" s="70"/>
      <c r="AE843" s="70"/>
      <c r="AF843" s="70"/>
      <c r="AG843" s="70"/>
      <c r="AH843" s="70"/>
      <c r="AI843" s="70"/>
      <c r="AJ843" s="70"/>
      <c r="AK843" s="70"/>
      <c r="AL843" s="70"/>
      <c r="AM843" s="70"/>
      <c r="AN843" s="70"/>
      <c r="AO843" s="70"/>
      <c r="AP843" s="70"/>
      <c r="AQ843" s="70"/>
      <c r="AR843" s="70"/>
      <c r="AS843" s="70"/>
      <c r="AT843" s="70"/>
    </row>
    <row r="844" ht="15.75" customHeight="1">
      <c r="A844" s="70"/>
      <c r="B844" s="70"/>
      <c r="C844" s="70"/>
      <c r="D844" s="80"/>
      <c r="E844" s="70"/>
      <c r="F844" s="70"/>
      <c r="G844" s="70"/>
      <c r="H844" s="70"/>
      <c r="I844" s="70"/>
      <c r="J844" s="70"/>
      <c r="K844" s="70"/>
      <c r="L844" s="70"/>
      <c r="M844" s="70"/>
      <c r="N844" s="70"/>
      <c r="O844" s="70"/>
      <c r="P844" s="70"/>
      <c r="Q844" s="70"/>
      <c r="R844" s="70"/>
      <c r="S844" s="70"/>
      <c r="T844" s="91"/>
      <c r="U844" s="91"/>
      <c r="V844" s="70"/>
      <c r="W844" s="58"/>
      <c r="X844" s="58"/>
      <c r="Y844" s="70"/>
      <c r="Z844" s="83"/>
      <c r="AA844" s="70"/>
      <c r="AB844" s="70"/>
      <c r="AC844" s="70"/>
      <c r="AD844" s="70"/>
      <c r="AE844" s="70"/>
      <c r="AF844" s="70"/>
      <c r="AG844" s="70"/>
      <c r="AH844" s="70"/>
      <c r="AI844" s="70"/>
      <c r="AJ844" s="70"/>
      <c r="AK844" s="70"/>
      <c r="AL844" s="70"/>
      <c r="AM844" s="70"/>
      <c r="AN844" s="70"/>
      <c r="AO844" s="70"/>
      <c r="AP844" s="70"/>
      <c r="AQ844" s="70"/>
      <c r="AR844" s="70"/>
      <c r="AS844" s="70"/>
      <c r="AT844" s="70"/>
    </row>
    <row r="845" ht="15.75" customHeight="1">
      <c r="A845" s="70"/>
      <c r="B845" s="70"/>
      <c r="C845" s="70"/>
      <c r="D845" s="80"/>
      <c r="E845" s="70"/>
      <c r="F845" s="70"/>
      <c r="G845" s="70"/>
      <c r="H845" s="70"/>
      <c r="I845" s="70"/>
      <c r="J845" s="70"/>
      <c r="K845" s="70"/>
      <c r="L845" s="70"/>
      <c r="M845" s="70"/>
      <c r="N845" s="70"/>
      <c r="O845" s="70"/>
      <c r="P845" s="70"/>
      <c r="Q845" s="70"/>
      <c r="R845" s="70"/>
      <c r="S845" s="70"/>
      <c r="T845" s="91"/>
      <c r="U845" s="91"/>
      <c r="V845" s="70"/>
      <c r="W845" s="58"/>
      <c r="X845" s="58"/>
      <c r="Y845" s="70"/>
      <c r="Z845" s="83"/>
      <c r="AA845" s="70"/>
      <c r="AB845" s="70"/>
      <c r="AC845" s="70"/>
      <c r="AD845" s="70"/>
      <c r="AE845" s="70"/>
      <c r="AF845" s="70"/>
      <c r="AG845" s="70"/>
      <c r="AH845" s="70"/>
      <c r="AI845" s="70"/>
      <c r="AJ845" s="70"/>
      <c r="AK845" s="70"/>
      <c r="AL845" s="70"/>
      <c r="AM845" s="70"/>
      <c r="AN845" s="70"/>
      <c r="AO845" s="70"/>
      <c r="AP845" s="70"/>
      <c r="AQ845" s="70"/>
      <c r="AR845" s="70"/>
      <c r="AS845" s="70"/>
      <c r="AT845" s="70"/>
    </row>
    <row r="846" ht="15.75" customHeight="1">
      <c r="A846" s="70"/>
      <c r="B846" s="70"/>
      <c r="C846" s="70"/>
      <c r="D846" s="80"/>
      <c r="E846" s="70"/>
      <c r="F846" s="70"/>
      <c r="G846" s="70"/>
      <c r="H846" s="70"/>
      <c r="I846" s="70"/>
      <c r="J846" s="70"/>
      <c r="K846" s="70"/>
      <c r="L846" s="70"/>
      <c r="M846" s="70"/>
      <c r="N846" s="70"/>
      <c r="O846" s="70"/>
      <c r="P846" s="70"/>
      <c r="Q846" s="70"/>
      <c r="R846" s="70"/>
      <c r="S846" s="70"/>
      <c r="T846" s="91"/>
      <c r="U846" s="91"/>
      <c r="V846" s="70"/>
      <c r="W846" s="58"/>
      <c r="X846" s="58"/>
      <c r="Y846" s="70"/>
      <c r="Z846" s="83"/>
      <c r="AA846" s="70"/>
      <c r="AB846" s="70"/>
      <c r="AC846" s="70"/>
      <c r="AD846" s="70"/>
      <c r="AE846" s="70"/>
      <c r="AF846" s="70"/>
      <c r="AG846" s="70"/>
      <c r="AH846" s="70"/>
      <c r="AI846" s="70"/>
      <c r="AJ846" s="70"/>
      <c r="AK846" s="70"/>
      <c r="AL846" s="70"/>
      <c r="AM846" s="70"/>
      <c r="AN846" s="70"/>
      <c r="AO846" s="70"/>
      <c r="AP846" s="70"/>
      <c r="AQ846" s="70"/>
      <c r="AR846" s="70"/>
      <c r="AS846" s="70"/>
      <c r="AT846" s="70"/>
    </row>
    <row r="847" ht="15.75" customHeight="1">
      <c r="A847" s="70"/>
      <c r="B847" s="70"/>
      <c r="C847" s="70"/>
      <c r="D847" s="80"/>
      <c r="E847" s="70"/>
      <c r="F847" s="70"/>
      <c r="G847" s="70"/>
      <c r="H847" s="70"/>
      <c r="I847" s="70"/>
      <c r="J847" s="70"/>
      <c r="K847" s="70"/>
      <c r="L847" s="70"/>
      <c r="M847" s="70"/>
      <c r="N847" s="70"/>
      <c r="O847" s="70"/>
      <c r="P847" s="70"/>
      <c r="Q847" s="70"/>
      <c r="R847" s="70"/>
      <c r="S847" s="70"/>
      <c r="T847" s="91"/>
      <c r="U847" s="91"/>
      <c r="V847" s="70"/>
      <c r="W847" s="58"/>
      <c r="X847" s="58"/>
      <c r="Y847" s="70"/>
      <c r="Z847" s="83"/>
      <c r="AA847" s="70"/>
      <c r="AB847" s="70"/>
      <c r="AC847" s="70"/>
      <c r="AD847" s="70"/>
      <c r="AE847" s="70"/>
      <c r="AF847" s="70"/>
      <c r="AG847" s="70"/>
      <c r="AH847" s="70"/>
      <c r="AI847" s="70"/>
      <c r="AJ847" s="70"/>
      <c r="AK847" s="70"/>
      <c r="AL847" s="70"/>
      <c r="AM847" s="70"/>
      <c r="AN847" s="70"/>
      <c r="AO847" s="70"/>
      <c r="AP847" s="70"/>
      <c r="AQ847" s="70"/>
      <c r="AR847" s="70"/>
      <c r="AS847" s="70"/>
      <c r="AT847" s="70"/>
    </row>
    <row r="848" ht="15.75" customHeight="1">
      <c r="A848" s="70"/>
      <c r="B848" s="70"/>
      <c r="C848" s="70"/>
      <c r="D848" s="80"/>
      <c r="E848" s="70"/>
      <c r="F848" s="70"/>
      <c r="G848" s="70"/>
      <c r="H848" s="70"/>
      <c r="I848" s="70"/>
      <c r="J848" s="70"/>
      <c r="K848" s="70"/>
      <c r="L848" s="70"/>
      <c r="M848" s="70"/>
      <c r="N848" s="70"/>
      <c r="O848" s="70"/>
      <c r="P848" s="70"/>
      <c r="Q848" s="70"/>
      <c r="R848" s="70"/>
      <c r="S848" s="70"/>
      <c r="T848" s="91"/>
      <c r="U848" s="91"/>
      <c r="V848" s="70"/>
      <c r="W848" s="58"/>
      <c r="X848" s="58"/>
      <c r="Y848" s="70"/>
      <c r="Z848" s="83"/>
      <c r="AA848" s="70"/>
      <c r="AB848" s="70"/>
      <c r="AC848" s="70"/>
      <c r="AD848" s="70"/>
      <c r="AE848" s="70"/>
      <c r="AF848" s="70"/>
      <c r="AG848" s="70"/>
      <c r="AH848" s="70"/>
      <c r="AI848" s="70"/>
      <c r="AJ848" s="70"/>
      <c r="AK848" s="70"/>
      <c r="AL848" s="70"/>
      <c r="AM848" s="70"/>
      <c r="AN848" s="70"/>
      <c r="AO848" s="70"/>
      <c r="AP848" s="70"/>
      <c r="AQ848" s="70"/>
      <c r="AR848" s="70"/>
      <c r="AS848" s="70"/>
      <c r="AT848" s="70"/>
    </row>
    <row r="849" ht="15.75" customHeight="1">
      <c r="A849" s="70"/>
      <c r="B849" s="70"/>
      <c r="C849" s="70"/>
      <c r="D849" s="80"/>
      <c r="E849" s="70"/>
      <c r="F849" s="70"/>
      <c r="G849" s="70"/>
      <c r="H849" s="70"/>
      <c r="I849" s="70"/>
      <c r="J849" s="70"/>
      <c r="K849" s="70"/>
      <c r="L849" s="70"/>
      <c r="M849" s="70"/>
      <c r="N849" s="70"/>
      <c r="O849" s="70"/>
      <c r="P849" s="70"/>
      <c r="Q849" s="70"/>
      <c r="R849" s="70"/>
      <c r="S849" s="70"/>
      <c r="T849" s="91"/>
      <c r="U849" s="91"/>
      <c r="V849" s="70"/>
      <c r="W849" s="58"/>
      <c r="X849" s="58"/>
      <c r="Y849" s="70"/>
      <c r="Z849" s="83"/>
      <c r="AA849" s="70"/>
      <c r="AB849" s="70"/>
      <c r="AC849" s="70"/>
      <c r="AD849" s="70"/>
      <c r="AE849" s="70"/>
      <c r="AF849" s="70"/>
      <c r="AG849" s="70"/>
      <c r="AH849" s="70"/>
      <c r="AI849" s="70"/>
      <c r="AJ849" s="70"/>
      <c r="AK849" s="70"/>
      <c r="AL849" s="70"/>
      <c r="AM849" s="70"/>
      <c r="AN849" s="70"/>
      <c r="AO849" s="70"/>
      <c r="AP849" s="70"/>
      <c r="AQ849" s="70"/>
      <c r="AR849" s="70"/>
      <c r="AS849" s="70"/>
      <c r="AT849" s="70"/>
    </row>
    <row r="850" ht="15.75" customHeight="1">
      <c r="A850" s="70"/>
      <c r="B850" s="70"/>
      <c r="C850" s="70"/>
      <c r="D850" s="80"/>
      <c r="E850" s="70"/>
      <c r="F850" s="70"/>
      <c r="G850" s="70"/>
      <c r="H850" s="70"/>
      <c r="I850" s="70"/>
      <c r="J850" s="70"/>
      <c r="K850" s="70"/>
      <c r="L850" s="70"/>
      <c r="M850" s="70"/>
      <c r="N850" s="70"/>
      <c r="O850" s="70"/>
      <c r="P850" s="70"/>
      <c r="Q850" s="70"/>
      <c r="R850" s="70"/>
      <c r="S850" s="70"/>
      <c r="T850" s="91"/>
      <c r="U850" s="91"/>
      <c r="V850" s="70"/>
      <c r="W850" s="58"/>
      <c r="X850" s="58"/>
      <c r="Y850" s="70"/>
      <c r="Z850" s="83"/>
      <c r="AA850" s="70"/>
      <c r="AB850" s="70"/>
      <c r="AC850" s="70"/>
      <c r="AD850" s="70"/>
      <c r="AE850" s="70"/>
      <c r="AF850" s="70"/>
      <c r="AG850" s="70"/>
      <c r="AH850" s="70"/>
      <c r="AI850" s="70"/>
      <c r="AJ850" s="70"/>
      <c r="AK850" s="70"/>
      <c r="AL850" s="70"/>
      <c r="AM850" s="70"/>
      <c r="AN850" s="70"/>
      <c r="AO850" s="70"/>
      <c r="AP850" s="70"/>
      <c r="AQ850" s="70"/>
      <c r="AR850" s="70"/>
      <c r="AS850" s="70"/>
      <c r="AT850" s="70"/>
    </row>
    <row r="851" ht="15.75" customHeight="1">
      <c r="A851" s="70"/>
      <c r="B851" s="70"/>
      <c r="C851" s="70"/>
      <c r="D851" s="80"/>
      <c r="E851" s="70"/>
      <c r="F851" s="70"/>
      <c r="G851" s="70"/>
      <c r="H851" s="70"/>
      <c r="I851" s="70"/>
      <c r="J851" s="70"/>
      <c r="K851" s="70"/>
      <c r="L851" s="70"/>
      <c r="M851" s="70"/>
      <c r="N851" s="70"/>
      <c r="O851" s="70"/>
      <c r="P851" s="70"/>
      <c r="Q851" s="70"/>
      <c r="R851" s="70"/>
      <c r="S851" s="70"/>
      <c r="T851" s="91"/>
      <c r="U851" s="91"/>
      <c r="V851" s="70"/>
      <c r="W851" s="58"/>
      <c r="X851" s="58"/>
      <c r="Y851" s="70"/>
      <c r="Z851" s="83"/>
      <c r="AA851" s="70"/>
      <c r="AB851" s="70"/>
      <c r="AC851" s="70"/>
      <c r="AD851" s="70"/>
      <c r="AE851" s="70"/>
      <c r="AF851" s="70"/>
      <c r="AG851" s="70"/>
      <c r="AH851" s="70"/>
      <c r="AI851" s="70"/>
      <c r="AJ851" s="70"/>
      <c r="AK851" s="70"/>
      <c r="AL851" s="70"/>
      <c r="AM851" s="70"/>
      <c r="AN851" s="70"/>
      <c r="AO851" s="70"/>
      <c r="AP851" s="70"/>
      <c r="AQ851" s="70"/>
      <c r="AR851" s="70"/>
      <c r="AS851" s="70"/>
      <c r="AT851" s="70"/>
    </row>
    <row r="852" ht="15.75" customHeight="1">
      <c r="A852" s="70"/>
      <c r="B852" s="70"/>
      <c r="C852" s="70"/>
      <c r="D852" s="80"/>
      <c r="E852" s="70"/>
      <c r="F852" s="70"/>
      <c r="G852" s="70"/>
      <c r="H852" s="70"/>
      <c r="I852" s="70"/>
      <c r="J852" s="70"/>
      <c r="K852" s="70"/>
      <c r="L852" s="70"/>
      <c r="M852" s="70"/>
      <c r="N852" s="70"/>
      <c r="O852" s="70"/>
      <c r="P852" s="70"/>
      <c r="Q852" s="70"/>
      <c r="R852" s="70"/>
      <c r="S852" s="70"/>
      <c r="T852" s="91"/>
      <c r="U852" s="91"/>
      <c r="V852" s="70"/>
      <c r="W852" s="58"/>
      <c r="X852" s="58"/>
      <c r="Y852" s="70"/>
      <c r="Z852" s="83"/>
      <c r="AA852" s="70"/>
      <c r="AB852" s="70"/>
      <c r="AC852" s="70"/>
      <c r="AD852" s="70"/>
      <c r="AE852" s="70"/>
      <c r="AF852" s="70"/>
      <c r="AG852" s="70"/>
      <c r="AH852" s="70"/>
      <c r="AI852" s="70"/>
      <c r="AJ852" s="70"/>
      <c r="AK852" s="70"/>
      <c r="AL852" s="70"/>
      <c r="AM852" s="70"/>
      <c r="AN852" s="70"/>
      <c r="AO852" s="70"/>
      <c r="AP852" s="70"/>
      <c r="AQ852" s="70"/>
      <c r="AR852" s="70"/>
      <c r="AS852" s="70"/>
      <c r="AT852" s="70"/>
    </row>
    <row r="853" ht="15.75" customHeight="1">
      <c r="A853" s="70"/>
      <c r="B853" s="70"/>
      <c r="C853" s="70"/>
      <c r="D853" s="80"/>
      <c r="E853" s="70"/>
      <c r="F853" s="70"/>
      <c r="G853" s="70"/>
      <c r="H853" s="70"/>
      <c r="I853" s="70"/>
      <c r="J853" s="70"/>
      <c r="K853" s="70"/>
      <c r="L853" s="70"/>
      <c r="M853" s="70"/>
      <c r="N853" s="70"/>
      <c r="O853" s="70"/>
      <c r="P853" s="70"/>
      <c r="Q853" s="70"/>
      <c r="R853" s="70"/>
      <c r="S853" s="70"/>
      <c r="T853" s="91"/>
      <c r="U853" s="91"/>
      <c r="V853" s="70"/>
      <c r="W853" s="58"/>
      <c r="X853" s="58"/>
      <c r="Y853" s="70"/>
      <c r="Z853" s="83"/>
      <c r="AA853" s="70"/>
      <c r="AB853" s="70"/>
      <c r="AC853" s="70"/>
      <c r="AD853" s="70"/>
      <c r="AE853" s="70"/>
      <c r="AF853" s="70"/>
      <c r="AG853" s="70"/>
      <c r="AH853" s="70"/>
      <c r="AI853" s="70"/>
      <c r="AJ853" s="70"/>
      <c r="AK853" s="70"/>
      <c r="AL853" s="70"/>
      <c r="AM853" s="70"/>
      <c r="AN853" s="70"/>
      <c r="AO853" s="70"/>
      <c r="AP853" s="70"/>
      <c r="AQ853" s="70"/>
      <c r="AR853" s="70"/>
      <c r="AS853" s="70"/>
      <c r="AT853" s="70"/>
    </row>
    <row r="854" ht="15.75" customHeight="1">
      <c r="A854" s="70"/>
      <c r="B854" s="70"/>
      <c r="C854" s="70"/>
      <c r="D854" s="80"/>
      <c r="E854" s="70"/>
      <c r="F854" s="70"/>
      <c r="G854" s="70"/>
      <c r="H854" s="70"/>
      <c r="I854" s="70"/>
      <c r="J854" s="70"/>
      <c r="K854" s="70"/>
      <c r="L854" s="70"/>
      <c r="M854" s="70"/>
      <c r="N854" s="70"/>
      <c r="O854" s="70"/>
      <c r="P854" s="70"/>
      <c r="Q854" s="70"/>
      <c r="R854" s="70"/>
      <c r="S854" s="70"/>
      <c r="T854" s="91"/>
      <c r="U854" s="91"/>
      <c r="V854" s="70"/>
      <c r="W854" s="58"/>
      <c r="X854" s="58"/>
      <c r="Y854" s="70"/>
      <c r="Z854" s="83"/>
      <c r="AA854" s="70"/>
      <c r="AB854" s="70"/>
      <c r="AC854" s="70"/>
      <c r="AD854" s="70"/>
      <c r="AE854" s="70"/>
      <c r="AF854" s="70"/>
      <c r="AG854" s="70"/>
      <c r="AH854" s="70"/>
      <c r="AI854" s="70"/>
      <c r="AJ854" s="70"/>
      <c r="AK854" s="70"/>
      <c r="AL854" s="70"/>
      <c r="AM854" s="70"/>
      <c r="AN854" s="70"/>
      <c r="AO854" s="70"/>
      <c r="AP854" s="70"/>
      <c r="AQ854" s="70"/>
      <c r="AR854" s="70"/>
      <c r="AS854" s="70"/>
      <c r="AT854" s="70"/>
    </row>
    <row r="855" ht="15.75" customHeight="1">
      <c r="A855" s="70"/>
      <c r="B855" s="70"/>
      <c r="C855" s="70"/>
      <c r="D855" s="80"/>
      <c r="E855" s="70"/>
      <c r="F855" s="70"/>
      <c r="G855" s="70"/>
      <c r="H855" s="70"/>
      <c r="I855" s="70"/>
      <c r="J855" s="70"/>
      <c r="K855" s="70"/>
      <c r="L855" s="70"/>
      <c r="M855" s="70"/>
      <c r="N855" s="70"/>
      <c r="O855" s="70"/>
      <c r="P855" s="70"/>
      <c r="Q855" s="70"/>
      <c r="R855" s="70"/>
      <c r="S855" s="70"/>
      <c r="T855" s="91"/>
      <c r="U855" s="91"/>
      <c r="V855" s="70"/>
      <c r="W855" s="58"/>
      <c r="X855" s="58"/>
      <c r="Y855" s="70"/>
      <c r="Z855" s="83"/>
      <c r="AA855" s="70"/>
      <c r="AB855" s="70"/>
      <c r="AC855" s="70"/>
      <c r="AD855" s="70"/>
      <c r="AE855" s="70"/>
      <c r="AF855" s="70"/>
      <c r="AG855" s="70"/>
      <c r="AH855" s="70"/>
      <c r="AI855" s="70"/>
      <c r="AJ855" s="70"/>
      <c r="AK855" s="70"/>
      <c r="AL855" s="70"/>
      <c r="AM855" s="70"/>
      <c r="AN855" s="70"/>
      <c r="AO855" s="70"/>
      <c r="AP855" s="70"/>
      <c r="AQ855" s="70"/>
      <c r="AR855" s="70"/>
      <c r="AS855" s="70"/>
      <c r="AT855" s="70"/>
    </row>
    <row r="856" ht="15.75" customHeight="1">
      <c r="A856" s="70"/>
      <c r="B856" s="70"/>
      <c r="C856" s="70"/>
      <c r="D856" s="80"/>
      <c r="E856" s="70"/>
      <c r="F856" s="70"/>
      <c r="G856" s="70"/>
      <c r="H856" s="70"/>
      <c r="I856" s="70"/>
      <c r="J856" s="70"/>
      <c r="K856" s="70"/>
      <c r="L856" s="70"/>
      <c r="M856" s="70"/>
      <c r="N856" s="70"/>
      <c r="O856" s="70"/>
      <c r="P856" s="70"/>
      <c r="Q856" s="70"/>
      <c r="R856" s="70"/>
      <c r="S856" s="70"/>
      <c r="T856" s="91"/>
      <c r="U856" s="91"/>
      <c r="V856" s="70"/>
      <c r="W856" s="58"/>
      <c r="X856" s="58"/>
      <c r="Y856" s="70"/>
      <c r="Z856" s="83"/>
      <c r="AA856" s="70"/>
      <c r="AB856" s="70"/>
      <c r="AC856" s="70"/>
      <c r="AD856" s="70"/>
      <c r="AE856" s="70"/>
      <c r="AF856" s="70"/>
      <c r="AG856" s="70"/>
      <c r="AH856" s="70"/>
      <c r="AI856" s="70"/>
      <c r="AJ856" s="70"/>
      <c r="AK856" s="70"/>
      <c r="AL856" s="70"/>
      <c r="AM856" s="70"/>
      <c r="AN856" s="70"/>
      <c r="AO856" s="70"/>
      <c r="AP856" s="70"/>
      <c r="AQ856" s="70"/>
      <c r="AR856" s="70"/>
      <c r="AS856" s="70"/>
      <c r="AT856" s="70"/>
    </row>
    <row r="857" ht="15.75" customHeight="1">
      <c r="A857" s="70"/>
      <c r="B857" s="70"/>
      <c r="C857" s="70"/>
      <c r="D857" s="80"/>
      <c r="E857" s="70"/>
      <c r="F857" s="70"/>
      <c r="G857" s="70"/>
      <c r="H857" s="70"/>
      <c r="I857" s="70"/>
      <c r="J857" s="70"/>
      <c r="K857" s="70"/>
      <c r="L857" s="70"/>
      <c r="M857" s="70"/>
      <c r="N857" s="70"/>
      <c r="O857" s="70"/>
      <c r="P857" s="70"/>
      <c r="Q857" s="70"/>
      <c r="R857" s="70"/>
      <c r="S857" s="70"/>
      <c r="T857" s="91"/>
      <c r="U857" s="91"/>
      <c r="V857" s="70"/>
      <c r="W857" s="58"/>
      <c r="X857" s="58"/>
      <c r="Y857" s="70"/>
      <c r="Z857" s="83"/>
      <c r="AA857" s="70"/>
      <c r="AB857" s="70"/>
      <c r="AC857" s="70"/>
      <c r="AD857" s="70"/>
      <c r="AE857" s="70"/>
      <c r="AF857" s="70"/>
      <c r="AG857" s="70"/>
      <c r="AH857" s="70"/>
      <c r="AI857" s="70"/>
      <c r="AJ857" s="70"/>
      <c r="AK857" s="70"/>
      <c r="AL857" s="70"/>
      <c r="AM857" s="70"/>
      <c r="AN857" s="70"/>
      <c r="AO857" s="70"/>
      <c r="AP857" s="70"/>
      <c r="AQ857" s="70"/>
      <c r="AR857" s="70"/>
      <c r="AS857" s="70"/>
      <c r="AT857" s="70"/>
    </row>
    <row r="858" ht="15.75" customHeight="1">
      <c r="A858" s="70"/>
      <c r="B858" s="70"/>
      <c r="C858" s="70"/>
      <c r="D858" s="80"/>
      <c r="E858" s="70"/>
      <c r="F858" s="70"/>
      <c r="G858" s="70"/>
      <c r="H858" s="70"/>
      <c r="I858" s="70"/>
      <c r="J858" s="70"/>
      <c r="K858" s="70"/>
      <c r="L858" s="70"/>
      <c r="M858" s="70"/>
      <c r="N858" s="70"/>
      <c r="O858" s="70"/>
      <c r="P858" s="70"/>
      <c r="Q858" s="70"/>
      <c r="R858" s="70"/>
      <c r="S858" s="70"/>
      <c r="T858" s="91"/>
      <c r="U858" s="91"/>
      <c r="V858" s="70"/>
      <c r="W858" s="58"/>
      <c r="X858" s="58"/>
      <c r="Y858" s="70"/>
      <c r="Z858" s="83"/>
      <c r="AA858" s="70"/>
      <c r="AB858" s="70"/>
      <c r="AC858" s="70"/>
      <c r="AD858" s="70"/>
      <c r="AE858" s="70"/>
      <c r="AF858" s="70"/>
      <c r="AG858" s="70"/>
      <c r="AH858" s="70"/>
      <c r="AI858" s="70"/>
      <c r="AJ858" s="70"/>
      <c r="AK858" s="70"/>
      <c r="AL858" s="70"/>
      <c r="AM858" s="70"/>
      <c r="AN858" s="70"/>
      <c r="AO858" s="70"/>
      <c r="AP858" s="70"/>
      <c r="AQ858" s="70"/>
      <c r="AR858" s="70"/>
      <c r="AS858" s="70"/>
      <c r="AT858" s="70"/>
    </row>
    <row r="859" ht="15.75" customHeight="1">
      <c r="A859" s="70"/>
      <c r="B859" s="70"/>
      <c r="C859" s="70"/>
      <c r="D859" s="80"/>
      <c r="E859" s="70"/>
      <c r="F859" s="70"/>
      <c r="G859" s="70"/>
      <c r="H859" s="70"/>
      <c r="I859" s="70"/>
      <c r="J859" s="70"/>
      <c r="K859" s="70"/>
      <c r="L859" s="70"/>
      <c r="M859" s="70"/>
      <c r="N859" s="70"/>
      <c r="O859" s="70"/>
      <c r="P859" s="70"/>
      <c r="Q859" s="70"/>
      <c r="R859" s="70"/>
      <c r="S859" s="70"/>
      <c r="T859" s="91"/>
      <c r="U859" s="91"/>
      <c r="V859" s="70"/>
      <c r="W859" s="58"/>
      <c r="X859" s="58"/>
      <c r="Y859" s="70"/>
      <c r="Z859" s="83"/>
      <c r="AA859" s="70"/>
      <c r="AB859" s="70"/>
      <c r="AC859" s="70"/>
      <c r="AD859" s="70"/>
      <c r="AE859" s="70"/>
      <c r="AF859" s="70"/>
      <c r="AG859" s="70"/>
      <c r="AH859" s="70"/>
      <c r="AI859" s="70"/>
      <c r="AJ859" s="70"/>
      <c r="AK859" s="70"/>
      <c r="AL859" s="70"/>
      <c r="AM859" s="70"/>
      <c r="AN859" s="70"/>
      <c r="AO859" s="70"/>
      <c r="AP859" s="70"/>
      <c r="AQ859" s="70"/>
      <c r="AR859" s="70"/>
      <c r="AS859" s="70"/>
      <c r="AT859" s="70"/>
    </row>
    <row r="860" ht="15.75" customHeight="1">
      <c r="A860" s="70"/>
      <c r="B860" s="70"/>
      <c r="C860" s="70"/>
      <c r="D860" s="80"/>
      <c r="E860" s="70"/>
      <c r="F860" s="70"/>
      <c r="G860" s="70"/>
      <c r="H860" s="70"/>
      <c r="I860" s="70"/>
      <c r="J860" s="70"/>
      <c r="K860" s="70"/>
      <c r="L860" s="70"/>
      <c r="M860" s="70"/>
      <c r="N860" s="70"/>
      <c r="O860" s="70"/>
      <c r="P860" s="70"/>
      <c r="Q860" s="70"/>
      <c r="R860" s="70"/>
      <c r="S860" s="70"/>
      <c r="T860" s="91"/>
      <c r="U860" s="91"/>
      <c r="V860" s="70"/>
      <c r="W860" s="58"/>
      <c r="X860" s="58"/>
      <c r="Y860" s="70"/>
      <c r="Z860" s="83"/>
      <c r="AA860" s="70"/>
      <c r="AB860" s="70"/>
      <c r="AC860" s="70"/>
      <c r="AD860" s="70"/>
      <c r="AE860" s="70"/>
      <c r="AF860" s="70"/>
      <c r="AG860" s="70"/>
      <c r="AH860" s="70"/>
      <c r="AI860" s="70"/>
      <c r="AJ860" s="70"/>
      <c r="AK860" s="70"/>
      <c r="AL860" s="70"/>
      <c r="AM860" s="70"/>
      <c r="AN860" s="70"/>
      <c r="AO860" s="70"/>
      <c r="AP860" s="70"/>
      <c r="AQ860" s="70"/>
      <c r="AR860" s="70"/>
      <c r="AS860" s="70"/>
      <c r="AT860" s="70"/>
    </row>
    <row r="861" ht="15.75" customHeight="1">
      <c r="A861" s="70"/>
      <c r="B861" s="70"/>
      <c r="C861" s="70"/>
      <c r="D861" s="80"/>
      <c r="E861" s="70"/>
      <c r="F861" s="70"/>
      <c r="G861" s="70"/>
      <c r="H861" s="70"/>
      <c r="I861" s="70"/>
      <c r="J861" s="70"/>
      <c r="K861" s="70"/>
      <c r="L861" s="70"/>
      <c r="M861" s="70"/>
      <c r="N861" s="70"/>
      <c r="O861" s="70"/>
      <c r="P861" s="70"/>
      <c r="Q861" s="70"/>
      <c r="R861" s="70"/>
      <c r="S861" s="70"/>
      <c r="T861" s="91"/>
      <c r="U861" s="91"/>
      <c r="V861" s="70"/>
      <c r="W861" s="58"/>
      <c r="X861" s="58"/>
      <c r="Y861" s="70"/>
      <c r="Z861" s="83"/>
      <c r="AA861" s="70"/>
      <c r="AB861" s="70"/>
      <c r="AC861" s="70"/>
      <c r="AD861" s="70"/>
      <c r="AE861" s="70"/>
      <c r="AF861" s="70"/>
      <c r="AG861" s="70"/>
      <c r="AH861" s="70"/>
      <c r="AI861" s="70"/>
      <c r="AJ861" s="70"/>
      <c r="AK861" s="70"/>
      <c r="AL861" s="70"/>
      <c r="AM861" s="70"/>
      <c r="AN861" s="70"/>
      <c r="AO861" s="70"/>
      <c r="AP861" s="70"/>
      <c r="AQ861" s="70"/>
      <c r="AR861" s="70"/>
      <c r="AS861" s="70"/>
      <c r="AT861" s="70"/>
    </row>
    <row r="862" ht="15.75" customHeight="1">
      <c r="A862" s="70"/>
      <c r="B862" s="70"/>
      <c r="C862" s="70"/>
      <c r="D862" s="80"/>
      <c r="E862" s="70"/>
      <c r="F862" s="70"/>
      <c r="G862" s="70"/>
      <c r="H862" s="70"/>
      <c r="I862" s="70"/>
      <c r="J862" s="70"/>
      <c r="K862" s="70"/>
      <c r="L862" s="70"/>
      <c r="M862" s="70"/>
      <c r="N862" s="70"/>
      <c r="O862" s="70"/>
      <c r="P862" s="70"/>
      <c r="Q862" s="70"/>
      <c r="R862" s="70"/>
      <c r="S862" s="70"/>
      <c r="T862" s="91"/>
      <c r="U862" s="91"/>
      <c r="V862" s="70"/>
      <c r="W862" s="58"/>
      <c r="X862" s="58"/>
      <c r="Y862" s="70"/>
      <c r="Z862" s="83"/>
      <c r="AA862" s="70"/>
      <c r="AB862" s="70"/>
      <c r="AC862" s="70"/>
      <c r="AD862" s="70"/>
      <c r="AE862" s="70"/>
      <c r="AF862" s="70"/>
      <c r="AG862" s="70"/>
      <c r="AH862" s="70"/>
      <c r="AI862" s="70"/>
      <c r="AJ862" s="70"/>
      <c r="AK862" s="70"/>
      <c r="AL862" s="70"/>
      <c r="AM862" s="70"/>
      <c r="AN862" s="70"/>
      <c r="AO862" s="70"/>
      <c r="AP862" s="70"/>
      <c r="AQ862" s="70"/>
      <c r="AR862" s="70"/>
      <c r="AS862" s="70"/>
      <c r="AT862" s="70"/>
    </row>
    <row r="863" ht="15.75" customHeight="1">
      <c r="A863" s="70"/>
      <c r="B863" s="70"/>
      <c r="C863" s="70"/>
      <c r="D863" s="80"/>
      <c r="E863" s="70"/>
      <c r="F863" s="70"/>
      <c r="G863" s="70"/>
      <c r="H863" s="70"/>
      <c r="I863" s="70"/>
      <c r="J863" s="70"/>
      <c r="K863" s="70"/>
      <c r="L863" s="70"/>
      <c r="M863" s="70"/>
      <c r="N863" s="70"/>
      <c r="O863" s="70"/>
      <c r="P863" s="70"/>
      <c r="Q863" s="70"/>
      <c r="R863" s="70"/>
      <c r="S863" s="70"/>
      <c r="T863" s="91"/>
      <c r="U863" s="91"/>
      <c r="V863" s="70"/>
      <c r="W863" s="58"/>
      <c r="X863" s="58"/>
      <c r="Y863" s="70"/>
      <c r="Z863" s="83"/>
      <c r="AA863" s="70"/>
      <c r="AB863" s="70"/>
      <c r="AC863" s="70"/>
      <c r="AD863" s="70"/>
      <c r="AE863" s="70"/>
      <c r="AF863" s="70"/>
      <c r="AG863" s="70"/>
      <c r="AH863" s="70"/>
      <c r="AI863" s="70"/>
      <c r="AJ863" s="70"/>
      <c r="AK863" s="70"/>
      <c r="AL863" s="70"/>
      <c r="AM863" s="70"/>
      <c r="AN863" s="70"/>
      <c r="AO863" s="70"/>
      <c r="AP863" s="70"/>
      <c r="AQ863" s="70"/>
      <c r="AR863" s="70"/>
      <c r="AS863" s="70"/>
      <c r="AT863" s="70"/>
    </row>
    <row r="864" ht="15.75" customHeight="1">
      <c r="A864" s="70"/>
      <c r="B864" s="70"/>
      <c r="C864" s="70"/>
      <c r="D864" s="80"/>
      <c r="E864" s="70"/>
      <c r="F864" s="70"/>
      <c r="G864" s="70"/>
      <c r="H864" s="70"/>
      <c r="I864" s="70"/>
      <c r="J864" s="70"/>
      <c r="K864" s="70"/>
      <c r="L864" s="70"/>
      <c r="M864" s="70"/>
      <c r="N864" s="70"/>
      <c r="O864" s="70"/>
      <c r="P864" s="70"/>
      <c r="Q864" s="70"/>
      <c r="R864" s="70"/>
      <c r="S864" s="70"/>
      <c r="T864" s="91"/>
      <c r="U864" s="91"/>
      <c r="V864" s="70"/>
      <c r="W864" s="58"/>
      <c r="X864" s="58"/>
      <c r="Y864" s="70"/>
      <c r="Z864" s="83"/>
      <c r="AA864" s="70"/>
      <c r="AB864" s="70"/>
      <c r="AC864" s="70"/>
      <c r="AD864" s="70"/>
      <c r="AE864" s="70"/>
      <c r="AF864" s="70"/>
      <c r="AG864" s="70"/>
      <c r="AH864" s="70"/>
      <c r="AI864" s="70"/>
      <c r="AJ864" s="70"/>
      <c r="AK864" s="70"/>
      <c r="AL864" s="70"/>
      <c r="AM864" s="70"/>
      <c r="AN864" s="70"/>
      <c r="AO864" s="70"/>
      <c r="AP864" s="70"/>
      <c r="AQ864" s="70"/>
      <c r="AR864" s="70"/>
      <c r="AS864" s="70"/>
      <c r="AT864" s="70"/>
    </row>
    <row r="865" ht="15.75" customHeight="1">
      <c r="A865" s="70"/>
      <c r="B865" s="70"/>
      <c r="C865" s="70"/>
      <c r="D865" s="80"/>
      <c r="E865" s="70"/>
      <c r="F865" s="70"/>
      <c r="G865" s="70"/>
      <c r="H865" s="70"/>
      <c r="I865" s="70"/>
      <c r="J865" s="70"/>
      <c r="K865" s="70"/>
      <c r="L865" s="70"/>
      <c r="M865" s="70"/>
      <c r="N865" s="70"/>
      <c r="O865" s="70"/>
      <c r="P865" s="70"/>
      <c r="Q865" s="70"/>
      <c r="R865" s="70"/>
      <c r="S865" s="70"/>
      <c r="T865" s="91"/>
      <c r="U865" s="91"/>
      <c r="V865" s="70"/>
      <c r="W865" s="58"/>
      <c r="X865" s="58"/>
      <c r="Y865" s="70"/>
      <c r="Z865" s="83"/>
      <c r="AA865" s="70"/>
      <c r="AB865" s="70"/>
      <c r="AC865" s="70"/>
      <c r="AD865" s="70"/>
      <c r="AE865" s="70"/>
      <c r="AF865" s="70"/>
      <c r="AG865" s="70"/>
      <c r="AH865" s="70"/>
      <c r="AI865" s="70"/>
      <c r="AJ865" s="70"/>
      <c r="AK865" s="70"/>
      <c r="AL865" s="70"/>
      <c r="AM865" s="70"/>
      <c r="AN865" s="70"/>
      <c r="AO865" s="70"/>
      <c r="AP865" s="70"/>
      <c r="AQ865" s="70"/>
      <c r="AR865" s="70"/>
      <c r="AS865" s="70"/>
      <c r="AT865" s="70"/>
    </row>
    <row r="866" ht="15.75" customHeight="1">
      <c r="A866" s="70"/>
      <c r="B866" s="70"/>
      <c r="C866" s="70"/>
      <c r="D866" s="80"/>
      <c r="E866" s="70"/>
      <c r="F866" s="70"/>
      <c r="G866" s="70"/>
      <c r="H866" s="70"/>
      <c r="I866" s="70"/>
      <c r="J866" s="70"/>
      <c r="K866" s="70"/>
      <c r="L866" s="70"/>
      <c r="M866" s="70"/>
      <c r="N866" s="70"/>
      <c r="O866" s="70"/>
      <c r="P866" s="70"/>
      <c r="Q866" s="70"/>
      <c r="R866" s="70"/>
      <c r="S866" s="70"/>
      <c r="T866" s="91"/>
      <c r="U866" s="91"/>
      <c r="V866" s="70"/>
      <c r="W866" s="58"/>
      <c r="X866" s="58"/>
      <c r="Y866" s="70"/>
      <c r="Z866" s="83"/>
      <c r="AA866" s="70"/>
      <c r="AB866" s="70"/>
      <c r="AC866" s="70"/>
      <c r="AD866" s="70"/>
      <c r="AE866" s="70"/>
      <c r="AF866" s="70"/>
      <c r="AG866" s="70"/>
      <c r="AH866" s="70"/>
      <c r="AI866" s="70"/>
      <c r="AJ866" s="70"/>
      <c r="AK866" s="70"/>
      <c r="AL866" s="70"/>
      <c r="AM866" s="70"/>
      <c r="AN866" s="70"/>
      <c r="AO866" s="70"/>
      <c r="AP866" s="70"/>
      <c r="AQ866" s="70"/>
      <c r="AR866" s="70"/>
      <c r="AS866" s="70"/>
      <c r="AT866" s="70"/>
    </row>
    <row r="867" ht="15.75" customHeight="1">
      <c r="A867" s="70"/>
      <c r="B867" s="70"/>
      <c r="C867" s="70"/>
      <c r="D867" s="80"/>
      <c r="E867" s="70"/>
      <c r="F867" s="70"/>
      <c r="G867" s="70"/>
      <c r="H867" s="70"/>
      <c r="I867" s="70"/>
      <c r="J867" s="70"/>
      <c r="K867" s="70"/>
      <c r="L867" s="70"/>
      <c r="M867" s="70"/>
      <c r="N867" s="70"/>
      <c r="O867" s="70"/>
      <c r="P867" s="70"/>
      <c r="Q867" s="70"/>
      <c r="R867" s="70"/>
      <c r="S867" s="70"/>
      <c r="T867" s="91"/>
      <c r="U867" s="91"/>
      <c r="V867" s="70"/>
      <c r="W867" s="58"/>
      <c r="X867" s="58"/>
      <c r="Y867" s="70"/>
      <c r="Z867" s="83"/>
      <c r="AA867" s="70"/>
      <c r="AB867" s="70"/>
      <c r="AC867" s="70"/>
      <c r="AD867" s="70"/>
      <c r="AE867" s="70"/>
      <c r="AF867" s="70"/>
      <c r="AG867" s="70"/>
      <c r="AH867" s="70"/>
      <c r="AI867" s="70"/>
      <c r="AJ867" s="70"/>
      <c r="AK867" s="70"/>
      <c r="AL867" s="70"/>
      <c r="AM867" s="70"/>
      <c r="AN867" s="70"/>
      <c r="AO867" s="70"/>
      <c r="AP867" s="70"/>
      <c r="AQ867" s="70"/>
      <c r="AR867" s="70"/>
      <c r="AS867" s="70"/>
      <c r="AT867" s="70"/>
    </row>
    <row r="868" ht="15.75" customHeight="1">
      <c r="A868" s="70"/>
      <c r="B868" s="70"/>
      <c r="C868" s="70"/>
      <c r="D868" s="80"/>
      <c r="E868" s="70"/>
      <c r="F868" s="70"/>
      <c r="G868" s="70"/>
      <c r="H868" s="70"/>
      <c r="I868" s="70"/>
      <c r="J868" s="70"/>
      <c r="K868" s="70"/>
      <c r="L868" s="70"/>
      <c r="M868" s="70"/>
      <c r="N868" s="70"/>
      <c r="O868" s="70"/>
      <c r="P868" s="70"/>
      <c r="Q868" s="70"/>
      <c r="R868" s="70"/>
      <c r="S868" s="70"/>
      <c r="T868" s="91"/>
      <c r="U868" s="91"/>
      <c r="V868" s="70"/>
      <c r="W868" s="58"/>
      <c r="X868" s="58"/>
      <c r="Y868" s="70"/>
      <c r="Z868" s="83"/>
      <c r="AA868" s="70"/>
      <c r="AB868" s="70"/>
      <c r="AC868" s="70"/>
      <c r="AD868" s="70"/>
      <c r="AE868" s="70"/>
      <c r="AF868" s="70"/>
      <c r="AG868" s="70"/>
      <c r="AH868" s="70"/>
      <c r="AI868" s="70"/>
      <c r="AJ868" s="70"/>
      <c r="AK868" s="70"/>
      <c r="AL868" s="70"/>
      <c r="AM868" s="70"/>
      <c r="AN868" s="70"/>
      <c r="AO868" s="70"/>
      <c r="AP868" s="70"/>
      <c r="AQ868" s="70"/>
      <c r="AR868" s="70"/>
      <c r="AS868" s="70"/>
      <c r="AT868" s="70"/>
    </row>
    <row r="869" ht="15.75" customHeight="1">
      <c r="A869" s="70"/>
      <c r="B869" s="70"/>
      <c r="C869" s="70"/>
      <c r="D869" s="80"/>
      <c r="E869" s="70"/>
      <c r="F869" s="70"/>
      <c r="G869" s="70"/>
      <c r="H869" s="70"/>
      <c r="I869" s="70"/>
      <c r="J869" s="70"/>
      <c r="K869" s="70"/>
      <c r="L869" s="70"/>
      <c r="M869" s="70"/>
      <c r="N869" s="70"/>
      <c r="O869" s="70"/>
      <c r="P869" s="70"/>
      <c r="Q869" s="70"/>
      <c r="R869" s="70"/>
      <c r="S869" s="70"/>
      <c r="T869" s="91"/>
      <c r="U869" s="91"/>
      <c r="V869" s="70"/>
      <c r="W869" s="58"/>
      <c r="X869" s="58"/>
      <c r="Y869" s="70"/>
      <c r="Z869" s="83"/>
      <c r="AA869" s="70"/>
      <c r="AB869" s="70"/>
      <c r="AC869" s="70"/>
      <c r="AD869" s="70"/>
      <c r="AE869" s="70"/>
      <c r="AF869" s="70"/>
      <c r="AG869" s="70"/>
      <c r="AH869" s="70"/>
      <c r="AI869" s="70"/>
      <c r="AJ869" s="70"/>
      <c r="AK869" s="70"/>
      <c r="AL869" s="70"/>
      <c r="AM869" s="70"/>
      <c r="AN869" s="70"/>
      <c r="AO869" s="70"/>
      <c r="AP869" s="70"/>
      <c r="AQ869" s="70"/>
      <c r="AR869" s="70"/>
      <c r="AS869" s="70"/>
      <c r="AT869" s="70"/>
    </row>
    <row r="870" ht="15.75" customHeight="1">
      <c r="A870" s="70"/>
      <c r="B870" s="70"/>
      <c r="C870" s="70"/>
      <c r="D870" s="80"/>
      <c r="E870" s="70"/>
      <c r="F870" s="70"/>
      <c r="G870" s="70"/>
      <c r="H870" s="70"/>
      <c r="I870" s="70"/>
      <c r="J870" s="70"/>
      <c r="K870" s="70"/>
      <c r="L870" s="70"/>
      <c r="M870" s="70"/>
      <c r="N870" s="70"/>
      <c r="O870" s="70"/>
      <c r="P870" s="70"/>
      <c r="Q870" s="70"/>
      <c r="R870" s="70"/>
      <c r="S870" s="70"/>
      <c r="T870" s="91"/>
      <c r="U870" s="91"/>
      <c r="V870" s="70"/>
      <c r="W870" s="58"/>
      <c r="X870" s="58"/>
      <c r="Y870" s="70"/>
      <c r="Z870" s="83"/>
      <c r="AA870" s="70"/>
      <c r="AB870" s="70"/>
      <c r="AC870" s="70"/>
      <c r="AD870" s="70"/>
      <c r="AE870" s="70"/>
      <c r="AF870" s="70"/>
      <c r="AG870" s="70"/>
      <c r="AH870" s="70"/>
      <c r="AI870" s="70"/>
      <c r="AJ870" s="70"/>
      <c r="AK870" s="70"/>
      <c r="AL870" s="70"/>
      <c r="AM870" s="70"/>
      <c r="AN870" s="70"/>
      <c r="AO870" s="70"/>
      <c r="AP870" s="70"/>
      <c r="AQ870" s="70"/>
      <c r="AR870" s="70"/>
      <c r="AS870" s="70"/>
      <c r="AT870" s="70"/>
    </row>
    <row r="871" ht="15.75" customHeight="1">
      <c r="A871" s="70"/>
      <c r="B871" s="70"/>
      <c r="C871" s="70"/>
      <c r="D871" s="80"/>
      <c r="E871" s="70"/>
      <c r="F871" s="70"/>
      <c r="G871" s="70"/>
      <c r="H871" s="70"/>
      <c r="I871" s="70"/>
      <c r="J871" s="70"/>
      <c r="K871" s="70"/>
      <c r="L871" s="70"/>
      <c r="M871" s="70"/>
      <c r="N871" s="70"/>
      <c r="O871" s="70"/>
      <c r="P871" s="70"/>
      <c r="Q871" s="70"/>
      <c r="R871" s="70"/>
      <c r="S871" s="70"/>
      <c r="T871" s="91"/>
      <c r="U871" s="91"/>
      <c r="V871" s="70"/>
      <c r="W871" s="58"/>
      <c r="X871" s="58"/>
      <c r="Y871" s="70"/>
      <c r="Z871" s="83"/>
      <c r="AA871" s="70"/>
      <c r="AB871" s="70"/>
      <c r="AC871" s="70"/>
      <c r="AD871" s="70"/>
      <c r="AE871" s="70"/>
      <c r="AF871" s="70"/>
      <c r="AG871" s="70"/>
      <c r="AH871" s="70"/>
      <c r="AI871" s="70"/>
      <c r="AJ871" s="70"/>
      <c r="AK871" s="70"/>
      <c r="AL871" s="70"/>
      <c r="AM871" s="70"/>
      <c r="AN871" s="70"/>
      <c r="AO871" s="70"/>
      <c r="AP871" s="70"/>
      <c r="AQ871" s="70"/>
      <c r="AR871" s="70"/>
      <c r="AS871" s="70"/>
      <c r="AT871" s="70"/>
    </row>
    <row r="872" ht="15.75" customHeight="1">
      <c r="A872" s="70"/>
      <c r="B872" s="70"/>
      <c r="C872" s="70"/>
      <c r="D872" s="80"/>
      <c r="E872" s="70"/>
      <c r="F872" s="70"/>
      <c r="G872" s="70"/>
      <c r="H872" s="70"/>
      <c r="I872" s="70"/>
      <c r="J872" s="70"/>
      <c r="K872" s="70"/>
      <c r="L872" s="70"/>
      <c r="M872" s="70"/>
      <c r="N872" s="70"/>
      <c r="O872" s="70"/>
      <c r="P872" s="70"/>
      <c r="Q872" s="70"/>
      <c r="R872" s="70"/>
      <c r="S872" s="70"/>
      <c r="T872" s="91"/>
      <c r="U872" s="91"/>
      <c r="V872" s="70"/>
      <c r="W872" s="58"/>
      <c r="X872" s="58"/>
      <c r="Y872" s="70"/>
      <c r="Z872" s="83"/>
      <c r="AA872" s="70"/>
      <c r="AB872" s="70"/>
      <c r="AC872" s="70"/>
      <c r="AD872" s="70"/>
      <c r="AE872" s="70"/>
      <c r="AF872" s="70"/>
      <c r="AG872" s="70"/>
      <c r="AH872" s="70"/>
      <c r="AI872" s="70"/>
      <c r="AJ872" s="70"/>
      <c r="AK872" s="70"/>
      <c r="AL872" s="70"/>
      <c r="AM872" s="70"/>
      <c r="AN872" s="70"/>
      <c r="AO872" s="70"/>
      <c r="AP872" s="70"/>
      <c r="AQ872" s="70"/>
      <c r="AR872" s="70"/>
      <c r="AS872" s="70"/>
      <c r="AT872" s="70"/>
    </row>
    <row r="873" ht="15.75" customHeight="1">
      <c r="A873" s="70"/>
      <c r="B873" s="70"/>
      <c r="C873" s="70"/>
      <c r="D873" s="80"/>
      <c r="E873" s="70"/>
      <c r="F873" s="70"/>
      <c r="G873" s="70"/>
      <c r="H873" s="70"/>
      <c r="I873" s="70"/>
      <c r="J873" s="70"/>
      <c r="K873" s="70"/>
      <c r="L873" s="70"/>
      <c r="M873" s="70"/>
      <c r="N873" s="70"/>
      <c r="O873" s="70"/>
      <c r="P873" s="70"/>
      <c r="Q873" s="70"/>
      <c r="R873" s="70"/>
      <c r="S873" s="70"/>
      <c r="T873" s="91"/>
      <c r="U873" s="91"/>
      <c r="V873" s="70"/>
      <c r="W873" s="58"/>
      <c r="X873" s="58"/>
      <c r="Y873" s="70"/>
      <c r="Z873" s="83"/>
      <c r="AA873" s="70"/>
      <c r="AB873" s="70"/>
      <c r="AC873" s="70"/>
      <c r="AD873" s="70"/>
      <c r="AE873" s="70"/>
      <c r="AF873" s="70"/>
      <c r="AG873" s="70"/>
      <c r="AH873" s="70"/>
      <c r="AI873" s="70"/>
      <c r="AJ873" s="70"/>
      <c r="AK873" s="70"/>
      <c r="AL873" s="70"/>
      <c r="AM873" s="70"/>
      <c r="AN873" s="70"/>
      <c r="AO873" s="70"/>
      <c r="AP873" s="70"/>
      <c r="AQ873" s="70"/>
      <c r="AR873" s="70"/>
      <c r="AS873" s="70"/>
      <c r="AT873" s="70"/>
    </row>
    <row r="874" ht="15.75" customHeight="1">
      <c r="A874" s="70"/>
      <c r="B874" s="70"/>
      <c r="C874" s="70"/>
      <c r="D874" s="80"/>
      <c r="E874" s="70"/>
      <c r="F874" s="70"/>
      <c r="G874" s="70"/>
      <c r="H874" s="70"/>
      <c r="I874" s="70"/>
      <c r="J874" s="70"/>
      <c r="K874" s="70"/>
      <c r="L874" s="70"/>
      <c r="M874" s="70"/>
      <c r="N874" s="70"/>
      <c r="O874" s="70"/>
      <c r="P874" s="70"/>
      <c r="Q874" s="70"/>
      <c r="R874" s="70"/>
      <c r="S874" s="70"/>
      <c r="T874" s="91"/>
      <c r="U874" s="91"/>
      <c r="V874" s="70"/>
      <c r="W874" s="58"/>
      <c r="X874" s="58"/>
      <c r="Y874" s="70"/>
      <c r="Z874" s="83"/>
      <c r="AA874" s="70"/>
      <c r="AB874" s="70"/>
      <c r="AC874" s="70"/>
      <c r="AD874" s="70"/>
      <c r="AE874" s="70"/>
      <c r="AF874" s="70"/>
      <c r="AG874" s="70"/>
      <c r="AH874" s="70"/>
      <c r="AI874" s="70"/>
      <c r="AJ874" s="70"/>
      <c r="AK874" s="70"/>
      <c r="AL874" s="70"/>
      <c r="AM874" s="70"/>
      <c r="AN874" s="70"/>
      <c r="AO874" s="70"/>
      <c r="AP874" s="70"/>
      <c r="AQ874" s="70"/>
      <c r="AR874" s="70"/>
      <c r="AS874" s="70"/>
      <c r="AT874" s="70"/>
    </row>
    <row r="875" ht="15.75" customHeight="1">
      <c r="A875" s="70"/>
      <c r="B875" s="70"/>
      <c r="C875" s="70"/>
      <c r="D875" s="80"/>
      <c r="E875" s="70"/>
      <c r="F875" s="70"/>
      <c r="G875" s="70"/>
      <c r="H875" s="70"/>
      <c r="I875" s="70"/>
      <c r="J875" s="70"/>
      <c r="K875" s="70"/>
      <c r="L875" s="70"/>
      <c r="M875" s="70"/>
      <c r="N875" s="70"/>
      <c r="O875" s="70"/>
      <c r="P875" s="70"/>
      <c r="Q875" s="70"/>
      <c r="R875" s="70"/>
      <c r="S875" s="70"/>
      <c r="T875" s="91"/>
      <c r="U875" s="91"/>
      <c r="V875" s="70"/>
      <c r="W875" s="58"/>
      <c r="X875" s="58"/>
      <c r="Y875" s="70"/>
      <c r="Z875" s="83"/>
      <c r="AA875" s="70"/>
      <c r="AB875" s="70"/>
      <c r="AC875" s="70"/>
      <c r="AD875" s="70"/>
      <c r="AE875" s="70"/>
      <c r="AF875" s="70"/>
      <c r="AG875" s="70"/>
      <c r="AH875" s="70"/>
      <c r="AI875" s="70"/>
      <c r="AJ875" s="70"/>
      <c r="AK875" s="70"/>
      <c r="AL875" s="70"/>
      <c r="AM875" s="70"/>
      <c r="AN875" s="70"/>
      <c r="AO875" s="70"/>
      <c r="AP875" s="70"/>
      <c r="AQ875" s="70"/>
      <c r="AR875" s="70"/>
      <c r="AS875" s="70"/>
      <c r="AT875" s="70"/>
    </row>
    <row r="876" ht="15.75" customHeight="1">
      <c r="A876" s="70"/>
      <c r="B876" s="70"/>
      <c r="C876" s="70"/>
      <c r="D876" s="80"/>
      <c r="E876" s="70"/>
      <c r="F876" s="70"/>
      <c r="G876" s="70"/>
      <c r="H876" s="70"/>
      <c r="I876" s="70"/>
      <c r="J876" s="70"/>
      <c r="K876" s="70"/>
      <c r="L876" s="70"/>
      <c r="M876" s="70"/>
      <c r="N876" s="70"/>
      <c r="O876" s="70"/>
      <c r="P876" s="70"/>
      <c r="Q876" s="70"/>
      <c r="R876" s="70"/>
      <c r="S876" s="70"/>
      <c r="T876" s="91"/>
      <c r="U876" s="91"/>
      <c r="V876" s="70"/>
      <c r="W876" s="58"/>
      <c r="X876" s="58"/>
      <c r="Y876" s="70"/>
      <c r="Z876" s="83"/>
      <c r="AA876" s="70"/>
      <c r="AB876" s="70"/>
      <c r="AC876" s="70"/>
      <c r="AD876" s="70"/>
      <c r="AE876" s="70"/>
      <c r="AF876" s="70"/>
      <c r="AG876" s="70"/>
      <c r="AH876" s="70"/>
      <c r="AI876" s="70"/>
      <c r="AJ876" s="70"/>
      <c r="AK876" s="70"/>
      <c r="AL876" s="70"/>
      <c r="AM876" s="70"/>
      <c r="AN876" s="70"/>
      <c r="AO876" s="70"/>
      <c r="AP876" s="70"/>
      <c r="AQ876" s="70"/>
      <c r="AR876" s="70"/>
      <c r="AS876" s="70"/>
      <c r="AT876" s="70"/>
    </row>
    <row r="877" ht="15.75" customHeight="1">
      <c r="A877" s="70"/>
      <c r="B877" s="70"/>
      <c r="C877" s="70"/>
      <c r="D877" s="80"/>
      <c r="E877" s="70"/>
      <c r="F877" s="70"/>
      <c r="G877" s="70"/>
      <c r="H877" s="70"/>
      <c r="I877" s="70"/>
      <c r="J877" s="70"/>
      <c r="K877" s="70"/>
      <c r="L877" s="70"/>
      <c r="M877" s="70"/>
      <c r="N877" s="70"/>
      <c r="O877" s="70"/>
      <c r="P877" s="70"/>
      <c r="Q877" s="70"/>
      <c r="R877" s="70"/>
      <c r="S877" s="70"/>
      <c r="T877" s="91"/>
      <c r="U877" s="91"/>
      <c r="V877" s="70"/>
      <c r="W877" s="58"/>
      <c r="X877" s="58"/>
      <c r="Y877" s="70"/>
      <c r="Z877" s="83"/>
      <c r="AA877" s="70"/>
      <c r="AB877" s="70"/>
      <c r="AC877" s="70"/>
      <c r="AD877" s="70"/>
      <c r="AE877" s="70"/>
      <c r="AF877" s="70"/>
      <c r="AG877" s="70"/>
      <c r="AH877" s="70"/>
      <c r="AI877" s="70"/>
      <c r="AJ877" s="70"/>
      <c r="AK877" s="70"/>
      <c r="AL877" s="70"/>
      <c r="AM877" s="70"/>
      <c r="AN877" s="70"/>
      <c r="AO877" s="70"/>
      <c r="AP877" s="70"/>
      <c r="AQ877" s="70"/>
      <c r="AR877" s="70"/>
      <c r="AS877" s="70"/>
      <c r="AT877" s="70"/>
    </row>
    <row r="878" ht="15.75" customHeight="1">
      <c r="A878" s="70"/>
      <c r="B878" s="70"/>
      <c r="C878" s="70"/>
      <c r="D878" s="80"/>
      <c r="E878" s="70"/>
      <c r="F878" s="70"/>
      <c r="G878" s="70"/>
      <c r="H878" s="70"/>
      <c r="I878" s="70"/>
      <c r="J878" s="70"/>
      <c r="K878" s="70"/>
      <c r="L878" s="70"/>
      <c r="M878" s="70"/>
      <c r="N878" s="70"/>
      <c r="O878" s="70"/>
      <c r="P878" s="70"/>
      <c r="Q878" s="70"/>
      <c r="R878" s="70"/>
      <c r="S878" s="70"/>
      <c r="T878" s="91"/>
      <c r="U878" s="91"/>
      <c r="V878" s="70"/>
      <c r="W878" s="58"/>
      <c r="X878" s="58"/>
      <c r="Y878" s="70"/>
      <c r="Z878" s="83"/>
      <c r="AA878" s="70"/>
      <c r="AB878" s="70"/>
      <c r="AC878" s="70"/>
      <c r="AD878" s="70"/>
      <c r="AE878" s="70"/>
      <c r="AF878" s="70"/>
      <c r="AG878" s="70"/>
      <c r="AH878" s="70"/>
      <c r="AI878" s="70"/>
      <c r="AJ878" s="70"/>
      <c r="AK878" s="70"/>
      <c r="AL878" s="70"/>
      <c r="AM878" s="70"/>
      <c r="AN878" s="70"/>
      <c r="AO878" s="70"/>
      <c r="AP878" s="70"/>
      <c r="AQ878" s="70"/>
      <c r="AR878" s="70"/>
      <c r="AS878" s="70"/>
      <c r="AT878" s="70"/>
    </row>
    <row r="879" ht="15.75" customHeight="1">
      <c r="A879" s="70"/>
      <c r="B879" s="70"/>
      <c r="C879" s="70"/>
      <c r="D879" s="80"/>
      <c r="E879" s="70"/>
      <c r="F879" s="70"/>
      <c r="G879" s="70"/>
      <c r="H879" s="70"/>
      <c r="I879" s="70"/>
      <c r="J879" s="70"/>
      <c r="K879" s="70"/>
      <c r="L879" s="70"/>
      <c r="M879" s="70"/>
      <c r="N879" s="70"/>
      <c r="O879" s="70"/>
      <c r="P879" s="70"/>
      <c r="Q879" s="70"/>
      <c r="R879" s="70"/>
      <c r="S879" s="70"/>
      <c r="T879" s="91"/>
      <c r="U879" s="91"/>
      <c r="V879" s="70"/>
      <c r="W879" s="58"/>
      <c r="X879" s="58"/>
      <c r="Y879" s="70"/>
      <c r="Z879" s="83"/>
      <c r="AA879" s="70"/>
      <c r="AB879" s="70"/>
      <c r="AC879" s="70"/>
      <c r="AD879" s="70"/>
      <c r="AE879" s="70"/>
      <c r="AF879" s="70"/>
      <c r="AG879" s="70"/>
      <c r="AH879" s="70"/>
      <c r="AI879" s="70"/>
      <c r="AJ879" s="70"/>
      <c r="AK879" s="70"/>
      <c r="AL879" s="70"/>
      <c r="AM879" s="70"/>
      <c r="AN879" s="70"/>
      <c r="AO879" s="70"/>
      <c r="AP879" s="70"/>
      <c r="AQ879" s="70"/>
      <c r="AR879" s="70"/>
      <c r="AS879" s="70"/>
      <c r="AT879" s="70"/>
    </row>
    <row r="880" ht="15.75" customHeight="1">
      <c r="A880" s="70"/>
      <c r="B880" s="70"/>
      <c r="C880" s="70"/>
      <c r="D880" s="80"/>
      <c r="E880" s="70"/>
      <c r="F880" s="70"/>
      <c r="G880" s="70"/>
      <c r="H880" s="70"/>
      <c r="I880" s="70"/>
      <c r="J880" s="70"/>
      <c r="K880" s="70"/>
      <c r="L880" s="70"/>
      <c r="M880" s="70"/>
      <c r="N880" s="70"/>
      <c r="O880" s="70"/>
      <c r="P880" s="70"/>
      <c r="Q880" s="70"/>
      <c r="R880" s="70"/>
      <c r="S880" s="70"/>
      <c r="T880" s="91"/>
      <c r="U880" s="91"/>
      <c r="V880" s="70"/>
      <c r="W880" s="58"/>
      <c r="X880" s="58"/>
      <c r="Y880" s="70"/>
      <c r="Z880" s="83"/>
      <c r="AA880" s="70"/>
      <c r="AB880" s="70"/>
      <c r="AC880" s="70"/>
      <c r="AD880" s="70"/>
      <c r="AE880" s="70"/>
      <c r="AF880" s="70"/>
      <c r="AG880" s="70"/>
      <c r="AH880" s="70"/>
      <c r="AI880" s="70"/>
      <c r="AJ880" s="70"/>
      <c r="AK880" s="70"/>
      <c r="AL880" s="70"/>
      <c r="AM880" s="70"/>
      <c r="AN880" s="70"/>
      <c r="AO880" s="70"/>
      <c r="AP880" s="70"/>
      <c r="AQ880" s="70"/>
      <c r="AR880" s="70"/>
      <c r="AS880" s="70"/>
      <c r="AT880" s="70"/>
    </row>
    <row r="881" ht="15.75" customHeight="1">
      <c r="A881" s="70"/>
      <c r="B881" s="70"/>
      <c r="C881" s="70"/>
      <c r="D881" s="80"/>
      <c r="E881" s="70"/>
      <c r="F881" s="70"/>
      <c r="G881" s="70"/>
      <c r="H881" s="70"/>
      <c r="I881" s="70"/>
      <c r="J881" s="70"/>
      <c r="K881" s="70"/>
      <c r="L881" s="70"/>
      <c r="M881" s="70"/>
      <c r="N881" s="70"/>
      <c r="O881" s="70"/>
      <c r="P881" s="70"/>
      <c r="Q881" s="70"/>
      <c r="R881" s="70"/>
      <c r="S881" s="70"/>
      <c r="T881" s="91"/>
      <c r="U881" s="91"/>
      <c r="V881" s="70"/>
      <c r="W881" s="58"/>
      <c r="X881" s="58"/>
      <c r="Y881" s="70"/>
      <c r="Z881" s="83"/>
      <c r="AA881" s="70"/>
      <c r="AB881" s="70"/>
      <c r="AC881" s="70"/>
      <c r="AD881" s="70"/>
      <c r="AE881" s="70"/>
      <c r="AF881" s="70"/>
      <c r="AG881" s="70"/>
      <c r="AH881" s="70"/>
      <c r="AI881" s="70"/>
      <c r="AJ881" s="70"/>
      <c r="AK881" s="70"/>
      <c r="AL881" s="70"/>
      <c r="AM881" s="70"/>
      <c r="AN881" s="70"/>
      <c r="AO881" s="70"/>
      <c r="AP881" s="70"/>
      <c r="AQ881" s="70"/>
      <c r="AR881" s="70"/>
      <c r="AS881" s="70"/>
      <c r="AT881" s="70"/>
    </row>
    <row r="882" ht="15.75" customHeight="1">
      <c r="A882" s="70"/>
      <c r="B882" s="70"/>
      <c r="C882" s="70"/>
      <c r="D882" s="80"/>
      <c r="E882" s="70"/>
      <c r="F882" s="70"/>
      <c r="G882" s="70"/>
      <c r="H882" s="70"/>
      <c r="I882" s="70"/>
      <c r="J882" s="70"/>
      <c r="K882" s="70"/>
      <c r="L882" s="70"/>
      <c r="M882" s="70"/>
      <c r="N882" s="70"/>
      <c r="O882" s="70"/>
      <c r="P882" s="70"/>
      <c r="Q882" s="70"/>
      <c r="R882" s="70"/>
      <c r="S882" s="70"/>
      <c r="T882" s="91"/>
      <c r="U882" s="91"/>
      <c r="V882" s="70"/>
      <c r="W882" s="58"/>
      <c r="X882" s="58"/>
      <c r="Y882" s="70"/>
      <c r="Z882" s="83"/>
      <c r="AA882" s="70"/>
      <c r="AB882" s="70"/>
      <c r="AC882" s="70"/>
      <c r="AD882" s="70"/>
      <c r="AE882" s="70"/>
      <c r="AF882" s="70"/>
      <c r="AG882" s="70"/>
      <c r="AH882" s="70"/>
      <c r="AI882" s="70"/>
      <c r="AJ882" s="70"/>
      <c r="AK882" s="70"/>
      <c r="AL882" s="70"/>
      <c r="AM882" s="70"/>
      <c r="AN882" s="70"/>
      <c r="AO882" s="70"/>
      <c r="AP882" s="70"/>
      <c r="AQ882" s="70"/>
      <c r="AR882" s="70"/>
      <c r="AS882" s="70"/>
      <c r="AT882" s="70"/>
    </row>
    <row r="883" ht="15.75" customHeight="1">
      <c r="A883" s="70"/>
      <c r="B883" s="70"/>
      <c r="C883" s="70"/>
      <c r="D883" s="80"/>
      <c r="E883" s="70"/>
      <c r="F883" s="70"/>
      <c r="G883" s="70"/>
      <c r="H883" s="70"/>
      <c r="I883" s="70"/>
      <c r="J883" s="70"/>
      <c r="K883" s="70"/>
      <c r="L883" s="70"/>
      <c r="M883" s="70"/>
      <c r="N883" s="70"/>
      <c r="O883" s="70"/>
      <c r="P883" s="70"/>
      <c r="Q883" s="70"/>
      <c r="R883" s="70"/>
      <c r="S883" s="70"/>
      <c r="T883" s="91"/>
      <c r="U883" s="91"/>
      <c r="V883" s="70"/>
      <c r="W883" s="58"/>
      <c r="X883" s="58"/>
      <c r="Y883" s="70"/>
      <c r="Z883" s="83"/>
      <c r="AA883" s="70"/>
      <c r="AB883" s="70"/>
      <c r="AC883" s="70"/>
      <c r="AD883" s="70"/>
      <c r="AE883" s="70"/>
      <c r="AF883" s="70"/>
      <c r="AG883" s="70"/>
      <c r="AH883" s="70"/>
      <c r="AI883" s="70"/>
      <c r="AJ883" s="70"/>
      <c r="AK883" s="70"/>
      <c r="AL883" s="70"/>
      <c r="AM883" s="70"/>
      <c r="AN883" s="70"/>
      <c r="AO883" s="70"/>
      <c r="AP883" s="70"/>
      <c r="AQ883" s="70"/>
      <c r="AR883" s="70"/>
      <c r="AS883" s="70"/>
      <c r="AT883" s="70"/>
    </row>
    <row r="884" ht="15.75" customHeight="1">
      <c r="A884" s="70"/>
      <c r="B884" s="70"/>
      <c r="C884" s="70"/>
      <c r="D884" s="80"/>
      <c r="E884" s="70"/>
      <c r="F884" s="70"/>
      <c r="G884" s="70"/>
      <c r="H884" s="70"/>
      <c r="I884" s="70"/>
      <c r="J884" s="70"/>
      <c r="K884" s="70"/>
      <c r="L884" s="70"/>
      <c r="M884" s="70"/>
      <c r="N884" s="70"/>
      <c r="O884" s="70"/>
      <c r="P884" s="70"/>
      <c r="Q884" s="70"/>
      <c r="R884" s="70"/>
      <c r="S884" s="70"/>
      <c r="T884" s="91"/>
      <c r="U884" s="91"/>
      <c r="V884" s="70"/>
      <c r="W884" s="58"/>
      <c r="X884" s="58"/>
      <c r="Y884" s="70"/>
      <c r="Z884" s="83"/>
      <c r="AA884" s="70"/>
      <c r="AB884" s="70"/>
      <c r="AC884" s="70"/>
      <c r="AD884" s="70"/>
      <c r="AE884" s="70"/>
      <c r="AF884" s="70"/>
      <c r="AG884" s="70"/>
      <c r="AH884" s="70"/>
      <c r="AI884" s="70"/>
      <c r="AJ884" s="70"/>
      <c r="AK884" s="70"/>
      <c r="AL884" s="70"/>
      <c r="AM884" s="70"/>
      <c r="AN884" s="70"/>
      <c r="AO884" s="70"/>
      <c r="AP884" s="70"/>
      <c r="AQ884" s="70"/>
      <c r="AR884" s="70"/>
      <c r="AS884" s="70"/>
      <c r="AT884" s="70"/>
    </row>
    <row r="885" ht="15.75" customHeight="1">
      <c r="A885" s="70"/>
      <c r="B885" s="70"/>
      <c r="C885" s="70"/>
      <c r="D885" s="80"/>
      <c r="E885" s="70"/>
      <c r="F885" s="70"/>
      <c r="G885" s="70"/>
      <c r="H885" s="70"/>
      <c r="I885" s="70"/>
      <c r="J885" s="70"/>
      <c r="K885" s="70"/>
      <c r="L885" s="70"/>
      <c r="M885" s="70"/>
      <c r="N885" s="70"/>
      <c r="O885" s="70"/>
      <c r="P885" s="70"/>
      <c r="Q885" s="70"/>
      <c r="R885" s="70"/>
      <c r="S885" s="70"/>
      <c r="T885" s="91"/>
      <c r="U885" s="91"/>
      <c r="V885" s="70"/>
      <c r="W885" s="58"/>
      <c r="X885" s="58"/>
      <c r="Y885" s="70"/>
      <c r="Z885" s="83"/>
      <c r="AA885" s="70"/>
      <c r="AB885" s="70"/>
      <c r="AC885" s="70"/>
      <c r="AD885" s="70"/>
      <c r="AE885" s="70"/>
      <c r="AF885" s="70"/>
      <c r="AG885" s="70"/>
      <c r="AH885" s="70"/>
      <c r="AI885" s="70"/>
      <c r="AJ885" s="70"/>
      <c r="AK885" s="70"/>
      <c r="AL885" s="70"/>
      <c r="AM885" s="70"/>
      <c r="AN885" s="70"/>
      <c r="AO885" s="70"/>
      <c r="AP885" s="70"/>
      <c r="AQ885" s="70"/>
      <c r="AR885" s="70"/>
      <c r="AS885" s="70"/>
      <c r="AT885" s="70"/>
    </row>
    <row r="886" ht="15.75" customHeight="1">
      <c r="A886" s="70"/>
      <c r="B886" s="70"/>
      <c r="C886" s="70"/>
      <c r="D886" s="80"/>
      <c r="E886" s="70"/>
      <c r="F886" s="70"/>
      <c r="G886" s="70"/>
      <c r="H886" s="70"/>
      <c r="I886" s="70"/>
      <c r="J886" s="70"/>
      <c r="K886" s="70"/>
      <c r="L886" s="70"/>
      <c r="M886" s="70"/>
      <c r="N886" s="70"/>
      <c r="O886" s="70"/>
      <c r="P886" s="70"/>
      <c r="Q886" s="70"/>
      <c r="R886" s="70"/>
      <c r="S886" s="70"/>
      <c r="T886" s="91"/>
      <c r="U886" s="91"/>
      <c r="V886" s="70"/>
      <c r="W886" s="58"/>
      <c r="X886" s="58"/>
      <c r="Y886" s="70"/>
      <c r="Z886" s="83"/>
      <c r="AA886" s="70"/>
      <c r="AB886" s="70"/>
      <c r="AC886" s="70"/>
      <c r="AD886" s="70"/>
      <c r="AE886" s="70"/>
      <c r="AF886" s="70"/>
      <c r="AG886" s="70"/>
      <c r="AH886" s="70"/>
      <c r="AI886" s="70"/>
      <c r="AJ886" s="70"/>
      <c r="AK886" s="70"/>
      <c r="AL886" s="70"/>
      <c r="AM886" s="70"/>
      <c r="AN886" s="70"/>
      <c r="AO886" s="70"/>
      <c r="AP886" s="70"/>
      <c r="AQ886" s="70"/>
      <c r="AR886" s="70"/>
      <c r="AS886" s="70"/>
      <c r="AT886" s="70"/>
    </row>
    <row r="887" ht="15.75" customHeight="1">
      <c r="A887" s="70"/>
      <c r="B887" s="70"/>
      <c r="C887" s="70"/>
      <c r="D887" s="80"/>
      <c r="E887" s="70"/>
      <c r="F887" s="70"/>
      <c r="G887" s="70"/>
      <c r="H887" s="70"/>
      <c r="I887" s="70"/>
      <c r="J887" s="70"/>
      <c r="K887" s="70"/>
      <c r="L887" s="70"/>
      <c r="M887" s="70"/>
      <c r="N887" s="70"/>
      <c r="O887" s="70"/>
      <c r="P887" s="70"/>
      <c r="Q887" s="70"/>
      <c r="R887" s="70"/>
      <c r="S887" s="70"/>
      <c r="T887" s="91"/>
      <c r="U887" s="91"/>
      <c r="V887" s="70"/>
      <c r="W887" s="58"/>
      <c r="X887" s="58"/>
      <c r="Y887" s="70"/>
      <c r="Z887" s="83"/>
      <c r="AA887" s="70"/>
      <c r="AB887" s="70"/>
      <c r="AC887" s="70"/>
      <c r="AD887" s="70"/>
      <c r="AE887" s="70"/>
      <c r="AF887" s="70"/>
      <c r="AG887" s="70"/>
      <c r="AH887" s="70"/>
      <c r="AI887" s="70"/>
      <c r="AJ887" s="70"/>
      <c r="AK887" s="70"/>
      <c r="AL887" s="70"/>
      <c r="AM887" s="70"/>
      <c r="AN887" s="70"/>
      <c r="AO887" s="70"/>
      <c r="AP887" s="70"/>
      <c r="AQ887" s="70"/>
      <c r="AR887" s="70"/>
      <c r="AS887" s="70"/>
      <c r="AT887" s="70"/>
    </row>
    <row r="888" ht="15.75" customHeight="1">
      <c r="A888" s="70"/>
      <c r="B888" s="70"/>
      <c r="C888" s="70"/>
      <c r="D888" s="80"/>
      <c r="E888" s="70"/>
      <c r="F888" s="70"/>
      <c r="G888" s="70"/>
      <c r="H888" s="70"/>
      <c r="I888" s="70"/>
      <c r="J888" s="70"/>
      <c r="K888" s="70"/>
      <c r="L888" s="70"/>
      <c r="M888" s="70"/>
      <c r="N888" s="70"/>
      <c r="O888" s="70"/>
      <c r="P888" s="70"/>
      <c r="Q888" s="70"/>
      <c r="R888" s="70"/>
      <c r="S888" s="70"/>
      <c r="T888" s="91"/>
      <c r="U888" s="91"/>
      <c r="V888" s="70"/>
      <c r="W888" s="58"/>
      <c r="X888" s="58"/>
      <c r="Y888" s="70"/>
      <c r="Z888" s="83"/>
      <c r="AA888" s="70"/>
      <c r="AB888" s="70"/>
      <c r="AC888" s="70"/>
      <c r="AD888" s="70"/>
      <c r="AE888" s="70"/>
      <c r="AF888" s="70"/>
      <c r="AG888" s="70"/>
      <c r="AH888" s="70"/>
      <c r="AI888" s="70"/>
      <c r="AJ888" s="70"/>
      <c r="AK888" s="70"/>
      <c r="AL888" s="70"/>
      <c r="AM888" s="70"/>
      <c r="AN888" s="70"/>
      <c r="AO888" s="70"/>
      <c r="AP888" s="70"/>
      <c r="AQ888" s="70"/>
      <c r="AR888" s="70"/>
      <c r="AS888" s="70"/>
      <c r="AT888" s="70"/>
    </row>
    <row r="889" ht="15.75" customHeight="1">
      <c r="A889" s="70"/>
      <c r="B889" s="70"/>
      <c r="C889" s="70"/>
      <c r="D889" s="80"/>
      <c r="E889" s="70"/>
      <c r="F889" s="70"/>
      <c r="G889" s="70"/>
      <c r="H889" s="70"/>
      <c r="I889" s="70"/>
      <c r="J889" s="70"/>
      <c r="K889" s="70"/>
      <c r="L889" s="70"/>
      <c r="M889" s="70"/>
      <c r="N889" s="70"/>
      <c r="O889" s="70"/>
      <c r="P889" s="70"/>
      <c r="Q889" s="70"/>
      <c r="R889" s="70"/>
      <c r="S889" s="70"/>
      <c r="T889" s="91"/>
      <c r="U889" s="91"/>
      <c r="V889" s="70"/>
      <c r="W889" s="58"/>
      <c r="X889" s="58"/>
      <c r="Y889" s="70"/>
      <c r="Z889" s="83"/>
      <c r="AA889" s="70"/>
      <c r="AB889" s="70"/>
      <c r="AC889" s="70"/>
      <c r="AD889" s="70"/>
      <c r="AE889" s="70"/>
      <c r="AF889" s="70"/>
      <c r="AG889" s="70"/>
      <c r="AH889" s="70"/>
      <c r="AI889" s="70"/>
      <c r="AJ889" s="70"/>
      <c r="AK889" s="70"/>
      <c r="AL889" s="70"/>
      <c r="AM889" s="70"/>
      <c r="AN889" s="70"/>
      <c r="AO889" s="70"/>
      <c r="AP889" s="70"/>
      <c r="AQ889" s="70"/>
      <c r="AR889" s="70"/>
      <c r="AS889" s="70"/>
      <c r="AT889" s="70"/>
    </row>
    <row r="890" ht="15.75" customHeight="1">
      <c r="A890" s="70"/>
      <c r="B890" s="70"/>
      <c r="C890" s="70"/>
      <c r="D890" s="80"/>
      <c r="E890" s="70"/>
      <c r="F890" s="70"/>
      <c r="G890" s="70"/>
      <c r="H890" s="70"/>
      <c r="I890" s="70"/>
      <c r="J890" s="70"/>
      <c r="K890" s="70"/>
      <c r="L890" s="70"/>
      <c r="M890" s="70"/>
      <c r="N890" s="70"/>
      <c r="O890" s="70"/>
      <c r="P890" s="70"/>
      <c r="Q890" s="70"/>
      <c r="R890" s="70"/>
      <c r="S890" s="70"/>
      <c r="T890" s="91"/>
      <c r="U890" s="91"/>
      <c r="V890" s="70"/>
      <c r="W890" s="58"/>
      <c r="X890" s="58"/>
      <c r="Y890" s="70"/>
      <c r="Z890" s="83"/>
      <c r="AA890" s="70"/>
      <c r="AB890" s="70"/>
      <c r="AC890" s="70"/>
      <c r="AD890" s="70"/>
      <c r="AE890" s="70"/>
      <c r="AF890" s="70"/>
      <c r="AG890" s="70"/>
      <c r="AH890" s="70"/>
      <c r="AI890" s="70"/>
      <c r="AJ890" s="70"/>
      <c r="AK890" s="70"/>
      <c r="AL890" s="70"/>
      <c r="AM890" s="70"/>
      <c r="AN890" s="70"/>
      <c r="AO890" s="70"/>
      <c r="AP890" s="70"/>
      <c r="AQ890" s="70"/>
      <c r="AR890" s="70"/>
      <c r="AS890" s="70"/>
      <c r="AT890" s="70"/>
    </row>
    <row r="891" ht="15.75" customHeight="1">
      <c r="A891" s="70"/>
      <c r="B891" s="70"/>
      <c r="C891" s="70"/>
      <c r="D891" s="80"/>
      <c r="E891" s="70"/>
      <c r="F891" s="70"/>
      <c r="G891" s="70"/>
      <c r="H891" s="70"/>
      <c r="I891" s="70"/>
      <c r="J891" s="70"/>
      <c r="K891" s="70"/>
      <c r="L891" s="70"/>
      <c r="M891" s="70"/>
      <c r="N891" s="70"/>
      <c r="O891" s="70"/>
      <c r="P891" s="70"/>
      <c r="Q891" s="70"/>
      <c r="R891" s="70"/>
      <c r="S891" s="70"/>
      <c r="T891" s="91"/>
      <c r="U891" s="91"/>
      <c r="V891" s="70"/>
      <c r="W891" s="58"/>
      <c r="X891" s="58"/>
      <c r="Y891" s="70"/>
      <c r="Z891" s="83"/>
      <c r="AA891" s="70"/>
      <c r="AB891" s="70"/>
      <c r="AC891" s="70"/>
      <c r="AD891" s="70"/>
      <c r="AE891" s="70"/>
      <c r="AF891" s="70"/>
      <c r="AG891" s="70"/>
      <c r="AH891" s="70"/>
      <c r="AI891" s="70"/>
      <c r="AJ891" s="70"/>
      <c r="AK891" s="70"/>
      <c r="AL891" s="70"/>
      <c r="AM891" s="70"/>
      <c r="AN891" s="70"/>
      <c r="AO891" s="70"/>
      <c r="AP891" s="70"/>
      <c r="AQ891" s="70"/>
      <c r="AR891" s="70"/>
      <c r="AS891" s="70"/>
      <c r="AT891" s="70"/>
    </row>
    <row r="892" ht="15.75" customHeight="1">
      <c r="A892" s="70"/>
      <c r="B892" s="70"/>
      <c r="C892" s="70"/>
      <c r="D892" s="80"/>
      <c r="E892" s="70"/>
      <c r="F892" s="70"/>
      <c r="G892" s="70"/>
      <c r="H892" s="70"/>
      <c r="I892" s="70"/>
      <c r="J892" s="70"/>
      <c r="K892" s="70"/>
      <c r="L892" s="70"/>
      <c r="M892" s="70"/>
      <c r="N892" s="70"/>
      <c r="O892" s="70"/>
      <c r="P892" s="70"/>
      <c r="Q892" s="70"/>
      <c r="R892" s="70"/>
      <c r="S892" s="70"/>
      <c r="T892" s="91"/>
      <c r="U892" s="91"/>
      <c r="V892" s="70"/>
      <c r="W892" s="58"/>
      <c r="X892" s="58"/>
      <c r="Y892" s="70"/>
      <c r="Z892" s="83"/>
      <c r="AA892" s="70"/>
      <c r="AB892" s="70"/>
      <c r="AC892" s="70"/>
      <c r="AD892" s="70"/>
      <c r="AE892" s="70"/>
      <c r="AF892" s="70"/>
      <c r="AG892" s="70"/>
      <c r="AH892" s="70"/>
      <c r="AI892" s="70"/>
      <c r="AJ892" s="70"/>
      <c r="AK892" s="70"/>
      <c r="AL892" s="70"/>
      <c r="AM892" s="70"/>
      <c r="AN892" s="70"/>
      <c r="AO892" s="70"/>
      <c r="AP892" s="70"/>
      <c r="AQ892" s="70"/>
      <c r="AR892" s="70"/>
      <c r="AS892" s="70"/>
      <c r="AT892" s="70"/>
    </row>
    <row r="893" ht="15.75" customHeight="1">
      <c r="A893" s="70"/>
      <c r="B893" s="70"/>
      <c r="C893" s="70"/>
      <c r="D893" s="80"/>
      <c r="E893" s="70"/>
      <c r="F893" s="70"/>
      <c r="G893" s="70"/>
      <c r="H893" s="70"/>
      <c r="I893" s="70"/>
      <c r="J893" s="70"/>
      <c r="K893" s="70"/>
      <c r="L893" s="70"/>
      <c r="M893" s="70"/>
      <c r="N893" s="70"/>
      <c r="O893" s="70"/>
      <c r="P893" s="70"/>
      <c r="Q893" s="70"/>
      <c r="R893" s="70"/>
      <c r="S893" s="70"/>
      <c r="T893" s="91"/>
      <c r="U893" s="91"/>
      <c r="V893" s="70"/>
      <c r="W893" s="58"/>
      <c r="X893" s="58"/>
      <c r="Y893" s="70"/>
      <c r="Z893" s="83"/>
      <c r="AA893" s="70"/>
      <c r="AB893" s="70"/>
      <c r="AC893" s="70"/>
      <c r="AD893" s="70"/>
      <c r="AE893" s="70"/>
      <c r="AF893" s="70"/>
      <c r="AG893" s="70"/>
      <c r="AH893" s="70"/>
      <c r="AI893" s="70"/>
      <c r="AJ893" s="70"/>
      <c r="AK893" s="70"/>
      <c r="AL893" s="70"/>
      <c r="AM893" s="70"/>
      <c r="AN893" s="70"/>
      <c r="AO893" s="70"/>
      <c r="AP893" s="70"/>
      <c r="AQ893" s="70"/>
      <c r="AR893" s="70"/>
      <c r="AS893" s="70"/>
      <c r="AT893" s="70"/>
    </row>
    <row r="894" ht="15.75" customHeight="1">
      <c r="A894" s="70"/>
      <c r="B894" s="70"/>
      <c r="C894" s="70"/>
      <c r="D894" s="80"/>
      <c r="E894" s="70"/>
      <c r="F894" s="70"/>
      <c r="G894" s="70"/>
      <c r="H894" s="70"/>
      <c r="I894" s="70"/>
      <c r="J894" s="70"/>
      <c r="K894" s="70"/>
      <c r="L894" s="70"/>
      <c r="M894" s="70"/>
      <c r="N894" s="70"/>
      <c r="O894" s="70"/>
      <c r="P894" s="70"/>
      <c r="Q894" s="70"/>
      <c r="R894" s="70"/>
      <c r="S894" s="70"/>
      <c r="T894" s="91"/>
      <c r="U894" s="91"/>
      <c r="V894" s="70"/>
      <c r="W894" s="58"/>
      <c r="X894" s="58"/>
      <c r="Y894" s="70"/>
      <c r="Z894" s="83"/>
      <c r="AA894" s="70"/>
      <c r="AB894" s="70"/>
      <c r="AC894" s="70"/>
      <c r="AD894" s="70"/>
      <c r="AE894" s="70"/>
      <c r="AF894" s="70"/>
      <c r="AG894" s="70"/>
      <c r="AH894" s="70"/>
      <c r="AI894" s="70"/>
      <c r="AJ894" s="70"/>
      <c r="AK894" s="70"/>
      <c r="AL894" s="70"/>
      <c r="AM894" s="70"/>
      <c r="AN894" s="70"/>
      <c r="AO894" s="70"/>
      <c r="AP894" s="70"/>
      <c r="AQ894" s="70"/>
      <c r="AR894" s="70"/>
      <c r="AS894" s="70"/>
      <c r="AT894" s="70"/>
    </row>
    <row r="895" ht="15.75" customHeight="1">
      <c r="A895" s="70"/>
      <c r="B895" s="70"/>
      <c r="C895" s="70"/>
      <c r="D895" s="80"/>
      <c r="E895" s="70"/>
      <c r="F895" s="70"/>
      <c r="G895" s="70"/>
      <c r="H895" s="70"/>
      <c r="I895" s="70"/>
      <c r="J895" s="70"/>
      <c r="K895" s="70"/>
      <c r="L895" s="70"/>
      <c r="M895" s="70"/>
      <c r="N895" s="70"/>
      <c r="O895" s="70"/>
      <c r="P895" s="70"/>
      <c r="Q895" s="70"/>
      <c r="R895" s="70"/>
      <c r="S895" s="70"/>
      <c r="T895" s="91"/>
      <c r="U895" s="91"/>
      <c r="V895" s="70"/>
      <c r="W895" s="58"/>
      <c r="X895" s="58"/>
      <c r="Y895" s="70"/>
      <c r="Z895" s="83"/>
      <c r="AA895" s="70"/>
      <c r="AB895" s="70"/>
      <c r="AC895" s="70"/>
      <c r="AD895" s="70"/>
      <c r="AE895" s="70"/>
      <c r="AF895" s="70"/>
      <c r="AG895" s="70"/>
      <c r="AH895" s="70"/>
      <c r="AI895" s="70"/>
      <c r="AJ895" s="70"/>
      <c r="AK895" s="70"/>
      <c r="AL895" s="70"/>
      <c r="AM895" s="70"/>
      <c r="AN895" s="70"/>
      <c r="AO895" s="70"/>
      <c r="AP895" s="70"/>
      <c r="AQ895" s="70"/>
      <c r="AR895" s="70"/>
      <c r="AS895" s="70"/>
      <c r="AT895" s="70"/>
    </row>
    <row r="896" ht="15.75" customHeight="1">
      <c r="A896" s="70"/>
      <c r="B896" s="70"/>
      <c r="C896" s="70"/>
      <c r="D896" s="80"/>
      <c r="E896" s="70"/>
      <c r="F896" s="70"/>
      <c r="G896" s="70"/>
      <c r="H896" s="70"/>
      <c r="I896" s="70"/>
      <c r="J896" s="70"/>
      <c r="K896" s="70"/>
      <c r="L896" s="70"/>
      <c r="M896" s="70"/>
      <c r="N896" s="70"/>
      <c r="O896" s="70"/>
      <c r="P896" s="70"/>
      <c r="Q896" s="70"/>
      <c r="R896" s="70"/>
      <c r="S896" s="70"/>
      <c r="T896" s="91"/>
      <c r="U896" s="91"/>
      <c r="V896" s="70"/>
      <c r="W896" s="58"/>
      <c r="X896" s="58"/>
      <c r="Y896" s="70"/>
      <c r="Z896" s="83"/>
      <c r="AA896" s="70"/>
      <c r="AB896" s="70"/>
      <c r="AC896" s="70"/>
      <c r="AD896" s="70"/>
      <c r="AE896" s="70"/>
      <c r="AF896" s="70"/>
      <c r="AG896" s="70"/>
      <c r="AH896" s="70"/>
      <c r="AI896" s="70"/>
      <c r="AJ896" s="70"/>
      <c r="AK896" s="70"/>
      <c r="AL896" s="70"/>
      <c r="AM896" s="70"/>
      <c r="AN896" s="70"/>
      <c r="AO896" s="70"/>
      <c r="AP896" s="70"/>
      <c r="AQ896" s="70"/>
      <c r="AR896" s="70"/>
      <c r="AS896" s="70"/>
      <c r="AT896" s="70"/>
    </row>
    <row r="897" ht="15.75" customHeight="1">
      <c r="A897" s="70"/>
      <c r="B897" s="70"/>
      <c r="C897" s="70"/>
      <c r="D897" s="80"/>
      <c r="E897" s="70"/>
      <c r="F897" s="70"/>
      <c r="G897" s="70"/>
      <c r="H897" s="70"/>
      <c r="I897" s="70"/>
      <c r="J897" s="70"/>
      <c r="K897" s="70"/>
      <c r="L897" s="70"/>
      <c r="M897" s="70"/>
      <c r="N897" s="70"/>
      <c r="O897" s="70"/>
      <c r="P897" s="70"/>
      <c r="Q897" s="70"/>
      <c r="R897" s="70"/>
      <c r="S897" s="70"/>
      <c r="T897" s="91"/>
      <c r="U897" s="91"/>
      <c r="V897" s="70"/>
      <c r="W897" s="58"/>
      <c r="X897" s="58"/>
      <c r="Y897" s="70"/>
      <c r="Z897" s="83"/>
      <c r="AA897" s="70"/>
      <c r="AB897" s="70"/>
      <c r="AC897" s="70"/>
      <c r="AD897" s="70"/>
      <c r="AE897" s="70"/>
      <c r="AF897" s="70"/>
      <c r="AG897" s="70"/>
      <c r="AH897" s="70"/>
      <c r="AI897" s="70"/>
      <c r="AJ897" s="70"/>
      <c r="AK897" s="70"/>
      <c r="AL897" s="70"/>
      <c r="AM897" s="70"/>
      <c r="AN897" s="70"/>
      <c r="AO897" s="70"/>
      <c r="AP897" s="70"/>
      <c r="AQ897" s="70"/>
      <c r="AR897" s="70"/>
      <c r="AS897" s="70"/>
      <c r="AT897" s="70"/>
    </row>
    <row r="898" ht="15.75" customHeight="1">
      <c r="A898" s="70"/>
      <c r="B898" s="70"/>
      <c r="C898" s="70"/>
      <c r="D898" s="80"/>
      <c r="E898" s="70"/>
      <c r="F898" s="70"/>
      <c r="G898" s="70"/>
      <c r="H898" s="70"/>
      <c r="I898" s="70"/>
      <c r="J898" s="70"/>
      <c r="K898" s="70"/>
      <c r="L898" s="70"/>
      <c r="M898" s="70"/>
      <c r="N898" s="70"/>
      <c r="O898" s="70"/>
      <c r="P898" s="70"/>
      <c r="Q898" s="70"/>
      <c r="R898" s="70"/>
      <c r="S898" s="70"/>
      <c r="T898" s="91"/>
      <c r="U898" s="91"/>
      <c r="V898" s="70"/>
      <c r="W898" s="58"/>
      <c r="X898" s="58"/>
      <c r="Y898" s="70"/>
      <c r="Z898" s="83"/>
      <c r="AA898" s="70"/>
      <c r="AB898" s="70"/>
      <c r="AC898" s="70"/>
      <c r="AD898" s="70"/>
      <c r="AE898" s="70"/>
      <c r="AF898" s="70"/>
      <c r="AG898" s="70"/>
      <c r="AH898" s="70"/>
      <c r="AI898" s="70"/>
      <c r="AJ898" s="70"/>
      <c r="AK898" s="70"/>
      <c r="AL898" s="70"/>
      <c r="AM898" s="70"/>
      <c r="AN898" s="70"/>
      <c r="AO898" s="70"/>
      <c r="AP898" s="70"/>
      <c r="AQ898" s="70"/>
      <c r="AR898" s="70"/>
      <c r="AS898" s="70"/>
      <c r="AT898" s="70"/>
    </row>
    <row r="899" ht="15.75" customHeight="1">
      <c r="A899" s="70"/>
      <c r="B899" s="70"/>
      <c r="C899" s="70"/>
      <c r="D899" s="80"/>
      <c r="E899" s="70"/>
      <c r="F899" s="70"/>
      <c r="G899" s="70"/>
      <c r="H899" s="70"/>
      <c r="I899" s="70"/>
      <c r="J899" s="70"/>
      <c r="K899" s="70"/>
      <c r="L899" s="70"/>
      <c r="M899" s="70"/>
      <c r="N899" s="70"/>
      <c r="O899" s="70"/>
      <c r="P899" s="70"/>
      <c r="Q899" s="70"/>
      <c r="R899" s="70"/>
      <c r="S899" s="70"/>
      <c r="T899" s="91"/>
      <c r="U899" s="91"/>
      <c r="V899" s="70"/>
      <c r="W899" s="58"/>
      <c r="X899" s="58"/>
      <c r="Y899" s="70"/>
      <c r="Z899" s="83"/>
      <c r="AA899" s="70"/>
      <c r="AB899" s="70"/>
      <c r="AC899" s="70"/>
      <c r="AD899" s="70"/>
      <c r="AE899" s="70"/>
      <c r="AF899" s="70"/>
      <c r="AG899" s="70"/>
      <c r="AH899" s="70"/>
      <c r="AI899" s="70"/>
      <c r="AJ899" s="70"/>
      <c r="AK899" s="70"/>
      <c r="AL899" s="70"/>
      <c r="AM899" s="70"/>
      <c r="AN899" s="70"/>
      <c r="AO899" s="70"/>
      <c r="AP899" s="70"/>
      <c r="AQ899" s="70"/>
      <c r="AR899" s="70"/>
      <c r="AS899" s="70"/>
      <c r="AT899" s="70"/>
    </row>
    <row r="900" ht="15.75" customHeight="1">
      <c r="A900" s="70"/>
      <c r="B900" s="70"/>
      <c r="C900" s="70"/>
      <c r="D900" s="80"/>
      <c r="E900" s="70"/>
      <c r="F900" s="70"/>
      <c r="G900" s="70"/>
      <c r="H900" s="70"/>
      <c r="I900" s="70"/>
      <c r="J900" s="70"/>
      <c r="K900" s="70"/>
      <c r="L900" s="70"/>
      <c r="M900" s="70"/>
      <c r="N900" s="70"/>
      <c r="O900" s="70"/>
      <c r="P900" s="70"/>
      <c r="Q900" s="70"/>
      <c r="R900" s="70"/>
      <c r="S900" s="70"/>
      <c r="T900" s="91"/>
      <c r="U900" s="91"/>
      <c r="V900" s="70"/>
      <c r="W900" s="58"/>
      <c r="X900" s="58"/>
      <c r="Y900" s="70"/>
      <c r="Z900" s="83"/>
      <c r="AA900" s="70"/>
      <c r="AB900" s="70"/>
      <c r="AC900" s="70"/>
      <c r="AD900" s="70"/>
      <c r="AE900" s="70"/>
      <c r="AF900" s="70"/>
      <c r="AG900" s="70"/>
      <c r="AH900" s="70"/>
      <c r="AI900" s="70"/>
      <c r="AJ900" s="70"/>
      <c r="AK900" s="70"/>
      <c r="AL900" s="70"/>
      <c r="AM900" s="70"/>
      <c r="AN900" s="70"/>
      <c r="AO900" s="70"/>
      <c r="AP900" s="70"/>
      <c r="AQ900" s="70"/>
      <c r="AR900" s="70"/>
      <c r="AS900" s="70"/>
      <c r="AT900" s="70"/>
    </row>
    <row r="901" ht="15.75" customHeight="1">
      <c r="A901" s="70"/>
      <c r="B901" s="70"/>
      <c r="C901" s="70"/>
      <c r="D901" s="80"/>
      <c r="E901" s="70"/>
      <c r="F901" s="70"/>
      <c r="G901" s="70"/>
      <c r="H901" s="70"/>
      <c r="I901" s="70"/>
      <c r="J901" s="70"/>
      <c r="K901" s="70"/>
      <c r="L901" s="70"/>
      <c r="M901" s="70"/>
      <c r="N901" s="70"/>
      <c r="O901" s="70"/>
      <c r="P901" s="70"/>
      <c r="Q901" s="70"/>
      <c r="R901" s="70"/>
      <c r="S901" s="70"/>
      <c r="T901" s="91"/>
      <c r="U901" s="91"/>
      <c r="V901" s="70"/>
      <c r="W901" s="58"/>
      <c r="X901" s="58"/>
      <c r="Y901" s="70"/>
      <c r="Z901" s="83"/>
      <c r="AA901" s="70"/>
      <c r="AB901" s="70"/>
      <c r="AC901" s="70"/>
      <c r="AD901" s="70"/>
      <c r="AE901" s="70"/>
      <c r="AF901" s="70"/>
      <c r="AG901" s="70"/>
      <c r="AH901" s="70"/>
      <c r="AI901" s="70"/>
      <c r="AJ901" s="70"/>
      <c r="AK901" s="70"/>
      <c r="AL901" s="70"/>
      <c r="AM901" s="70"/>
      <c r="AN901" s="70"/>
      <c r="AO901" s="70"/>
      <c r="AP901" s="70"/>
      <c r="AQ901" s="70"/>
      <c r="AR901" s="70"/>
      <c r="AS901" s="70"/>
      <c r="AT901" s="70"/>
    </row>
    <row r="902" ht="15.75" customHeight="1">
      <c r="A902" s="70"/>
      <c r="B902" s="70"/>
      <c r="C902" s="70"/>
      <c r="D902" s="80"/>
      <c r="E902" s="70"/>
      <c r="F902" s="70"/>
      <c r="G902" s="70"/>
      <c r="H902" s="70"/>
      <c r="I902" s="70"/>
      <c r="J902" s="70"/>
      <c r="K902" s="70"/>
      <c r="L902" s="70"/>
      <c r="M902" s="70"/>
      <c r="N902" s="70"/>
      <c r="O902" s="70"/>
      <c r="P902" s="70"/>
      <c r="Q902" s="70"/>
      <c r="R902" s="70"/>
      <c r="S902" s="70"/>
      <c r="T902" s="91"/>
      <c r="U902" s="91"/>
      <c r="V902" s="70"/>
      <c r="W902" s="58"/>
      <c r="X902" s="58"/>
      <c r="Y902" s="70"/>
      <c r="Z902" s="83"/>
      <c r="AA902" s="70"/>
      <c r="AB902" s="70"/>
      <c r="AC902" s="70"/>
      <c r="AD902" s="70"/>
      <c r="AE902" s="70"/>
      <c r="AF902" s="70"/>
      <c r="AG902" s="70"/>
      <c r="AH902" s="70"/>
      <c r="AI902" s="70"/>
      <c r="AJ902" s="70"/>
      <c r="AK902" s="70"/>
      <c r="AL902" s="70"/>
      <c r="AM902" s="70"/>
      <c r="AN902" s="70"/>
      <c r="AO902" s="70"/>
      <c r="AP902" s="70"/>
      <c r="AQ902" s="70"/>
      <c r="AR902" s="70"/>
      <c r="AS902" s="70"/>
      <c r="AT902" s="70"/>
    </row>
    <row r="903" ht="15.75" customHeight="1">
      <c r="A903" s="70"/>
      <c r="B903" s="70"/>
      <c r="C903" s="70"/>
      <c r="D903" s="80"/>
      <c r="E903" s="70"/>
      <c r="F903" s="70"/>
      <c r="G903" s="70"/>
      <c r="H903" s="70"/>
      <c r="I903" s="70"/>
      <c r="J903" s="70"/>
      <c r="K903" s="70"/>
      <c r="L903" s="70"/>
      <c r="M903" s="70"/>
      <c r="N903" s="70"/>
      <c r="O903" s="70"/>
      <c r="P903" s="70"/>
      <c r="Q903" s="70"/>
      <c r="R903" s="70"/>
      <c r="S903" s="70"/>
      <c r="T903" s="91"/>
      <c r="U903" s="91"/>
      <c r="V903" s="70"/>
      <c r="W903" s="58"/>
      <c r="X903" s="58"/>
      <c r="Y903" s="70"/>
      <c r="Z903" s="83"/>
      <c r="AA903" s="70"/>
      <c r="AB903" s="70"/>
      <c r="AC903" s="70"/>
      <c r="AD903" s="70"/>
      <c r="AE903" s="70"/>
      <c r="AF903" s="70"/>
      <c r="AG903" s="70"/>
      <c r="AH903" s="70"/>
      <c r="AI903" s="70"/>
      <c r="AJ903" s="70"/>
      <c r="AK903" s="70"/>
      <c r="AL903" s="70"/>
      <c r="AM903" s="70"/>
      <c r="AN903" s="70"/>
      <c r="AO903" s="70"/>
      <c r="AP903" s="70"/>
      <c r="AQ903" s="70"/>
      <c r="AR903" s="70"/>
      <c r="AS903" s="70"/>
      <c r="AT903" s="70"/>
    </row>
    <row r="904" ht="15.75" customHeight="1">
      <c r="A904" s="70"/>
      <c r="B904" s="70"/>
      <c r="C904" s="70"/>
      <c r="D904" s="80"/>
      <c r="E904" s="70"/>
      <c r="F904" s="70"/>
      <c r="G904" s="70"/>
      <c r="H904" s="70"/>
      <c r="I904" s="70"/>
      <c r="J904" s="70"/>
      <c r="K904" s="70"/>
      <c r="L904" s="70"/>
      <c r="M904" s="70"/>
      <c r="N904" s="70"/>
      <c r="O904" s="70"/>
      <c r="P904" s="70"/>
      <c r="Q904" s="70"/>
      <c r="R904" s="70"/>
      <c r="S904" s="70"/>
      <c r="T904" s="91"/>
      <c r="U904" s="91"/>
      <c r="V904" s="70"/>
      <c r="W904" s="58"/>
      <c r="X904" s="58"/>
      <c r="Y904" s="70"/>
      <c r="Z904" s="83"/>
      <c r="AA904" s="70"/>
      <c r="AB904" s="70"/>
      <c r="AC904" s="70"/>
      <c r="AD904" s="70"/>
      <c r="AE904" s="70"/>
      <c r="AF904" s="70"/>
      <c r="AG904" s="70"/>
      <c r="AH904" s="70"/>
      <c r="AI904" s="70"/>
      <c r="AJ904" s="70"/>
      <c r="AK904" s="70"/>
      <c r="AL904" s="70"/>
      <c r="AM904" s="70"/>
      <c r="AN904" s="70"/>
      <c r="AO904" s="70"/>
      <c r="AP904" s="70"/>
      <c r="AQ904" s="70"/>
      <c r="AR904" s="70"/>
      <c r="AS904" s="70"/>
      <c r="AT904" s="70"/>
    </row>
    <row r="905" ht="15.75" customHeight="1">
      <c r="A905" s="70"/>
      <c r="B905" s="70"/>
      <c r="C905" s="70"/>
      <c r="D905" s="80"/>
      <c r="E905" s="70"/>
      <c r="F905" s="70"/>
      <c r="G905" s="70"/>
      <c r="H905" s="70"/>
      <c r="I905" s="70"/>
      <c r="J905" s="70"/>
      <c r="K905" s="70"/>
      <c r="L905" s="70"/>
      <c r="M905" s="70"/>
      <c r="N905" s="70"/>
      <c r="O905" s="70"/>
      <c r="P905" s="70"/>
      <c r="Q905" s="70"/>
      <c r="R905" s="70"/>
      <c r="S905" s="70"/>
      <c r="T905" s="91"/>
      <c r="U905" s="91"/>
      <c r="V905" s="70"/>
      <c r="W905" s="58"/>
      <c r="X905" s="58"/>
      <c r="Y905" s="70"/>
      <c r="Z905" s="83"/>
      <c r="AA905" s="70"/>
      <c r="AB905" s="70"/>
      <c r="AC905" s="70"/>
      <c r="AD905" s="70"/>
      <c r="AE905" s="70"/>
      <c r="AF905" s="70"/>
      <c r="AG905" s="70"/>
      <c r="AH905" s="70"/>
      <c r="AI905" s="70"/>
      <c r="AJ905" s="70"/>
      <c r="AK905" s="70"/>
      <c r="AL905" s="70"/>
      <c r="AM905" s="70"/>
      <c r="AN905" s="70"/>
      <c r="AO905" s="70"/>
      <c r="AP905" s="70"/>
      <c r="AQ905" s="70"/>
      <c r="AR905" s="70"/>
      <c r="AS905" s="70"/>
      <c r="AT905" s="70"/>
    </row>
    <row r="906" ht="15.75" customHeight="1">
      <c r="A906" s="70"/>
      <c r="B906" s="70"/>
      <c r="C906" s="70"/>
      <c r="D906" s="80"/>
      <c r="E906" s="70"/>
      <c r="F906" s="70"/>
      <c r="G906" s="70"/>
      <c r="H906" s="70"/>
      <c r="I906" s="70"/>
      <c r="J906" s="70"/>
      <c r="K906" s="70"/>
      <c r="L906" s="70"/>
      <c r="M906" s="70"/>
      <c r="N906" s="70"/>
      <c r="O906" s="70"/>
      <c r="P906" s="70"/>
      <c r="Q906" s="70"/>
      <c r="R906" s="70"/>
      <c r="S906" s="70"/>
      <c r="T906" s="91"/>
      <c r="U906" s="91"/>
      <c r="V906" s="70"/>
      <c r="W906" s="58"/>
      <c r="X906" s="58"/>
      <c r="Y906" s="70"/>
      <c r="Z906" s="83"/>
      <c r="AA906" s="70"/>
      <c r="AB906" s="70"/>
      <c r="AC906" s="70"/>
      <c r="AD906" s="70"/>
      <c r="AE906" s="70"/>
      <c r="AF906" s="70"/>
      <c r="AG906" s="70"/>
      <c r="AH906" s="70"/>
      <c r="AI906" s="70"/>
      <c r="AJ906" s="70"/>
      <c r="AK906" s="70"/>
      <c r="AL906" s="70"/>
      <c r="AM906" s="70"/>
      <c r="AN906" s="70"/>
      <c r="AO906" s="70"/>
      <c r="AP906" s="70"/>
      <c r="AQ906" s="70"/>
      <c r="AR906" s="70"/>
      <c r="AS906" s="70"/>
      <c r="AT906" s="70"/>
    </row>
    <row r="907" ht="15.75" customHeight="1">
      <c r="A907" s="70"/>
      <c r="B907" s="70"/>
      <c r="C907" s="70"/>
      <c r="D907" s="80"/>
      <c r="E907" s="70"/>
      <c r="F907" s="70"/>
      <c r="G907" s="70"/>
      <c r="H907" s="70"/>
      <c r="I907" s="70"/>
      <c r="J907" s="70"/>
      <c r="K907" s="70"/>
      <c r="L907" s="70"/>
      <c r="M907" s="70"/>
      <c r="N907" s="70"/>
      <c r="O907" s="70"/>
      <c r="P907" s="70"/>
      <c r="Q907" s="70"/>
      <c r="R907" s="70"/>
      <c r="S907" s="70"/>
      <c r="T907" s="91"/>
      <c r="U907" s="91"/>
      <c r="V907" s="70"/>
      <c r="W907" s="58"/>
      <c r="X907" s="58"/>
      <c r="Y907" s="70"/>
      <c r="Z907" s="83"/>
      <c r="AA907" s="70"/>
      <c r="AB907" s="70"/>
      <c r="AC907" s="70"/>
      <c r="AD907" s="70"/>
      <c r="AE907" s="70"/>
      <c r="AF907" s="70"/>
      <c r="AG907" s="70"/>
      <c r="AH907" s="70"/>
      <c r="AI907" s="70"/>
      <c r="AJ907" s="70"/>
      <c r="AK907" s="70"/>
      <c r="AL907" s="70"/>
      <c r="AM907" s="70"/>
      <c r="AN907" s="70"/>
      <c r="AO907" s="70"/>
      <c r="AP907" s="70"/>
      <c r="AQ907" s="70"/>
      <c r="AR907" s="70"/>
      <c r="AS907" s="70"/>
      <c r="AT907" s="70"/>
    </row>
    <row r="908" ht="15.75" customHeight="1">
      <c r="A908" s="70"/>
      <c r="B908" s="70"/>
      <c r="C908" s="70"/>
      <c r="D908" s="80"/>
      <c r="E908" s="70"/>
      <c r="F908" s="70"/>
      <c r="G908" s="70"/>
      <c r="H908" s="70"/>
      <c r="I908" s="70"/>
      <c r="J908" s="70"/>
      <c r="K908" s="70"/>
      <c r="L908" s="70"/>
      <c r="M908" s="70"/>
      <c r="N908" s="70"/>
      <c r="O908" s="70"/>
      <c r="P908" s="70"/>
      <c r="Q908" s="70"/>
      <c r="R908" s="70"/>
      <c r="S908" s="70"/>
      <c r="T908" s="91"/>
      <c r="U908" s="91"/>
      <c r="V908" s="70"/>
      <c r="W908" s="58"/>
      <c r="X908" s="58"/>
      <c r="Y908" s="70"/>
      <c r="Z908" s="83"/>
      <c r="AA908" s="70"/>
      <c r="AB908" s="70"/>
      <c r="AC908" s="70"/>
      <c r="AD908" s="70"/>
      <c r="AE908" s="70"/>
      <c r="AF908" s="70"/>
      <c r="AG908" s="70"/>
      <c r="AH908" s="70"/>
      <c r="AI908" s="70"/>
      <c r="AJ908" s="70"/>
      <c r="AK908" s="70"/>
      <c r="AL908" s="70"/>
      <c r="AM908" s="70"/>
      <c r="AN908" s="70"/>
      <c r="AO908" s="70"/>
      <c r="AP908" s="70"/>
      <c r="AQ908" s="70"/>
      <c r="AR908" s="70"/>
      <c r="AS908" s="70"/>
      <c r="AT908" s="70"/>
    </row>
    <row r="909" ht="15.75" customHeight="1">
      <c r="A909" s="70"/>
      <c r="B909" s="70"/>
      <c r="C909" s="70"/>
      <c r="D909" s="80"/>
      <c r="E909" s="70"/>
      <c r="F909" s="70"/>
      <c r="G909" s="70"/>
      <c r="H909" s="70"/>
      <c r="I909" s="70"/>
      <c r="J909" s="70"/>
      <c r="K909" s="70"/>
      <c r="L909" s="70"/>
      <c r="M909" s="70"/>
      <c r="N909" s="70"/>
      <c r="O909" s="70"/>
      <c r="P909" s="70"/>
      <c r="Q909" s="70"/>
      <c r="R909" s="70"/>
      <c r="S909" s="70"/>
      <c r="T909" s="91"/>
      <c r="U909" s="91"/>
      <c r="V909" s="70"/>
      <c r="W909" s="58"/>
      <c r="X909" s="58"/>
      <c r="Y909" s="70"/>
      <c r="Z909" s="83"/>
      <c r="AA909" s="70"/>
      <c r="AB909" s="70"/>
      <c r="AC909" s="70"/>
      <c r="AD909" s="70"/>
      <c r="AE909" s="70"/>
      <c r="AF909" s="70"/>
      <c r="AG909" s="70"/>
      <c r="AH909" s="70"/>
      <c r="AI909" s="70"/>
      <c r="AJ909" s="70"/>
      <c r="AK909" s="70"/>
      <c r="AL909" s="70"/>
      <c r="AM909" s="70"/>
      <c r="AN909" s="70"/>
      <c r="AO909" s="70"/>
      <c r="AP909" s="70"/>
      <c r="AQ909" s="70"/>
      <c r="AR909" s="70"/>
      <c r="AS909" s="70"/>
      <c r="AT909" s="70"/>
    </row>
    <row r="910" ht="15.75" customHeight="1">
      <c r="A910" s="70"/>
      <c r="B910" s="70"/>
      <c r="C910" s="70"/>
      <c r="D910" s="80"/>
      <c r="E910" s="70"/>
      <c r="F910" s="70"/>
      <c r="G910" s="70"/>
      <c r="H910" s="70"/>
      <c r="I910" s="70"/>
      <c r="J910" s="70"/>
      <c r="K910" s="70"/>
      <c r="L910" s="70"/>
      <c r="M910" s="70"/>
      <c r="N910" s="70"/>
      <c r="O910" s="70"/>
      <c r="P910" s="70"/>
      <c r="Q910" s="70"/>
      <c r="R910" s="70"/>
      <c r="S910" s="70"/>
      <c r="T910" s="91"/>
      <c r="U910" s="91"/>
      <c r="V910" s="70"/>
      <c r="W910" s="58"/>
      <c r="X910" s="58"/>
      <c r="Y910" s="70"/>
      <c r="Z910" s="83"/>
      <c r="AA910" s="70"/>
      <c r="AB910" s="70"/>
      <c r="AC910" s="70"/>
      <c r="AD910" s="70"/>
      <c r="AE910" s="70"/>
      <c r="AF910" s="70"/>
      <c r="AG910" s="70"/>
      <c r="AH910" s="70"/>
      <c r="AI910" s="70"/>
      <c r="AJ910" s="70"/>
      <c r="AK910" s="70"/>
      <c r="AL910" s="70"/>
      <c r="AM910" s="70"/>
      <c r="AN910" s="70"/>
      <c r="AO910" s="70"/>
      <c r="AP910" s="70"/>
      <c r="AQ910" s="70"/>
      <c r="AR910" s="70"/>
      <c r="AS910" s="70"/>
      <c r="AT910" s="70"/>
    </row>
    <row r="911" ht="15.75" customHeight="1">
      <c r="A911" s="70"/>
      <c r="B911" s="70"/>
      <c r="C911" s="70"/>
      <c r="D911" s="80"/>
      <c r="E911" s="70"/>
      <c r="F911" s="70"/>
      <c r="G911" s="70"/>
      <c r="H911" s="70"/>
      <c r="I911" s="70"/>
      <c r="J911" s="70"/>
      <c r="K911" s="70"/>
      <c r="L911" s="70"/>
      <c r="M911" s="70"/>
      <c r="N911" s="70"/>
      <c r="O911" s="70"/>
      <c r="P911" s="70"/>
      <c r="Q911" s="70"/>
      <c r="R911" s="70"/>
      <c r="S911" s="70"/>
      <c r="T911" s="91"/>
      <c r="U911" s="91"/>
      <c r="V911" s="70"/>
      <c r="W911" s="58"/>
      <c r="X911" s="58"/>
      <c r="Y911" s="70"/>
      <c r="Z911" s="83"/>
      <c r="AA911" s="70"/>
      <c r="AB911" s="70"/>
      <c r="AC911" s="70"/>
      <c r="AD911" s="70"/>
      <c r="AE911" s="70"/>
      <c r="AF911" s="70"/>
      <c r="AG911" s="70"/>
      <c r="AH911" s="70"/>
      <c r="AI911" s="70"/>
      <c r="AJ911" s="70"/>
      <c r="AK911" s="70"/>
      <c r="AL911" s="70"/>
      <c r="AM911" s="70"/>
      <c r="AN911" s="70"/>
      <c r="AO911" s="70"/>
      <c r="AP911" s="70"/>
      <c r="AQ911" s="70"/>
      <c r="AR911" s="70"/>
      <c r="AS911" s="70"/>
      <c r="AT911" s="70"/>
    </row>
    <row r="912" ht="15.75" customHeight="1">
      <c r="A912" s="70"/>
      <c r="B912" s="70"/>
      <c r="C912" s="70"/>
      <c r="D912" s="80"/>
      <c r="E912" s="70"/>
      <c r="F912" s="70"/>
      <c r="G912" s="70"/>
      <c r="H912" s="70"/>
      <c r="I912" s="70"/>
      <c r="J912" s="70"/>
      <c r="K912" s="70"/>
      <c r="L912" s="70"/>
      <c r="M912" s="70"/>
      <c r="N912" s="70"/>
      <c r="O912" s="70"/>
      <c r="P912" s="70"/>
      <c r="Q912" s="70"/>
      <c r="R912" s="70"/>
      <c r="S912" s="70"/>
      <c r="T912" s="91"/>
      <c r="U912" s="91"/>
      <c r="V912" s="70"/>
      <c r="W912" s="58"/>
      <c r="X912" s="58"/>
      <c r="Y912" s="70"/>
      <c r="Z912" s="83"/>
      <c r="AA912" s="70"/>
      <c r="AB912" s="70"/>
      <c r="AC912" s="70"/>
      <c r="AD912" s="70"/>
      <c r="AE912" s="70"/>
      <c r="AF912" s="70"/>
      <c r="AG912" s="70"/>
      <c r="AH912" s="70"/>
      <c r="AI912" s="70"/>
      <c r="AJ912" s="70"/>
      <c r="AK912" s="70"/>
      <c r="AL912" s="70"/>
      <c r="AM912" s="70"/>
      <c r="AN912" s="70"/>
      <c r="AO912" s="70"/>
      <c r="AP912" s="70"/>
      <c r="AQ912" s="70"/>
      <c r="AR912" s="70"/>
      <c r="AS912" s="70"/>
      <c r="AT912" s="70"/>
    </row>
    <row r="913" ht="15.75" customHeight="1">
      <c r="A913" s="70"/>
      <c r="B913" s="70"/>
      <c r="C913" s="70"/>
      <c r="D913" s="80"/>
      <c r="E913" s="70"/>
      <c r="F913" s="70"/>
      <c r="G913" s="70"/>
      <c r="H913" s="70"/>
      <c r="I913" s="70"/>
      <c r="J913" s="70"/>
      <c r="K913" s="70"/>
      <c r="L913" s="70"/>
      <c r="M913" s="70"/>
      <c r="N913" s="70"/>
      <c r="O913" s="70"/>
      <c r="P913" s="70"/>
      <c r="Q913" s="70"/>
      <c r="R913" s="70"/>
      <c r="S913" s="70"/>
      <c r="T913" s="91"/>
      <c r="U913" s="91"/>
      <c r="V913" s="70"/>
      <c r="W913" s="58"/>
      <c r="X913" s="58"/>
      <c r="Y913" s="70"/>
      <c r="Z913" s="83"/>
      <c r="AA913" s="70"/>
      <c r="AB913" s="70"/>
      <c r="AC913" s="70"/>
      <c r="AD913" s="70"/>
      <c r="AE913" s="70"/>
      <c r="AF913" s="70"/>
      <c r="AG913" s="70"/>
      <c r="AH913" s="70"/>
      <c r="AI913" s="70"/>
      <c r="AJ913" s="70"/>
      <c r="AK913" s="70"/>
      <c r="AL913" s="70"/>
      <c r="AM913" s="70"/>
      <c r="AN913" s="70"/>
      <c r="AO913" s="70"/>
      <c r="AP913" s="70"/>
      <c r="AQ913" s="70"/>
      <c r="AR913" s="70"/>
      <c r="AS913" s="70"/>
      <c r="AT913" s="70"/>
    </row>
    <row r="914" ht="15.75" customHeight="1">
      <c r="A914" s="70"/>
      <c r="B914" s="70"/>
      <c r="C914" s="70"/>
      <c r="D914" s="80"/>
      <c r="E914" s="70"/>
      <c r="F914" s="70"/>
      <c r="G914" s="70"/>
      <c r="H914" s="70"/>
      <c r="I914" s="70"/>
      <c r="J914" s="70"/>
      <c r="K914" s="70"/>
      <c r="L914" s="70"/>
      <c r="M914" s="70"/>
      <c r="N914" s="70"/>
      <c r="O914" s="70"/>
      <c r="P914" s="70"/>
      <c r="Q914" s="70"/>
      <c r="R914" s="70"/>
      <c r="S914" s="70"/>
      <c r="T914" s="91"/>
      <c r="U914" s="91"/>
      <c r="V914" s="70"/>
      <c r="W914" s="58"/>
      <c r="X914" s="58"/>
      <c r="Y914" s="70"/>
      <c r="Z914" s="83"/>
      <c r="AA914" s="70"/>
      <c r="AB914" s="70"/>
      <c r="AC914" s="70"/>
      <c r="AD914" s="70"/>
      <c r="AE914" s="70"/>
      <c r="AF914" s="70"/>
      <c r="AG914" s="70"/>
      <c r="AH914" s="70"/>
      <c r="AI914" s="70"/>
      <c r="AJ914" s="70"/>
      <c r="AK914" s="70"/>
      <c r="AL914" s="70"/>
      <c r="AM914" s="70"/>
      <c r="AN914" s="70"/>
      <c r="AO914" s="70"/>
      <c r="AP914" s="70"/>
      <c r="AQ914" s="70"/>
      <c r="AR914" s="70"/>
      <c r="AS914" s="70"/>
      <c r="AT914" s="70"/>
    </row>
    <row r="915" ht="15.75" customHeight="1">
      <c r="A915" s="70"/>
      <c r="B915" s="70"/>
      <c r="C915" s="70"/>
      <c r="D915" s="80"/>
      <c r="E915" s="70"/>
      <c r="F915" s="70"/>
      <c r="G915" s="70"/>
      <c r="H915" s="70"/>
      <c r="I915" s="70"/>
      <c r="J915" s="70"/>
      <c r="K915" s="70"/>
      <c r="L915" s="70"/>
      <c r="M915" s="70"/>
      <c r="N915" s="70"/>
      <c r="O915" s="70"/>
      <c r="P915" s="70"/>
      <c r="Q915" s="70"/>
      <c r="R915" s="70"/>
      <c r="S915" s="70"/>
      <c r="T915" s="91"/>
      <c r="U915" s="91"/>
      <c r="V915" s="70"/>
      <c r="W915" s="58"/>
      <c r="X915" s="58"/>
      <c r="Y915" s="70"/>
      <c r="Z915" s="83"/>
      <c r="AA915" s="70"/>
      <c r="AB915" s="70"/>
      <c r="AC915" s="70"/>
      <c r="AD915" s="70"/>
      <c r="AE915" s="70"/>
      <c r="AF915" s="70"/>
      <c r="AG915" s="70"/>
      <c r="AH915" s="70"/>
      <c r="AI915" s="70"/>
      <c r="AJ915" s="70"/>
      <c r="AK915" s="70"/>
      <c r="AL915" s="70"/>
      <c r="AM915" s="70"/>
      <c r="AN915" s="70"/>
      <c r="AO915" s="70"/>
      <c r="AP915" s="70"/>
      <c r="AQ915" s="70"/>
      <c r="AR915" s="70"/>
      <c r="AS915" s="70"/>
      <c r="AT915" s="70"/>
    </row>
    <row r="916" ht="15.75" customHeight="1">
      <c r="A916" s="70"/>
      <c r="B916" s="70"/>
      <c r="C916" s="70"/>
      <c r="D916" s="80"/>
      <c r="E916" s="70"/>
      <c r="F916" s="70"/>
      <c r="G916" s="70"/>
      <c r="H916" s="70"/>
      <c r="I916" s="70"/>
      <c r="J916" s="70"/>
      <c r="K916" s="70"/>
      <c r="L916" s="70"/>
      <c r="M916" s="70"/>
      <c r="N916" s="70"/>
      <c r="O916" s="70"/>
      <c r="P916" s="70"/>
      <c r="Q916" s="70"/>
      <c r="R916" s="70"/>
      <c r="S916" s="70"/>
      <c r="T916" s="91"/>
      <c r="U916" s="91"/>
      <c r="V916" s="70"/>
      <c r="W916" s="58"/>
      <c r="X916" s="58"/>
      <c r="Y916" s="70"/>
      <c r="Z916" s="83"/>
      <c r="AA916" s="70"/>
      <c r="AB916" s="70"/>
      <c r="AC916" s="70"/>
      <c r="AD916" s="70"/>
      <c r="AE916" s="70"/>
      <c r="AF916" s="70"/>
      <c r="AG916" s="70"/>
      <c r="AH916" s="70"/>
      <c r="AI916" s="70"/>
      <c r="AJ916" s="70"/>
      <c r="AK916" s="70"/>
      <c r="AL916" s="70"/>
      <c r="AM916" s="70"/>
      <c r="AN916" s="70"/>
      <c r="AO916" s="70"/>
      <c r="AP916" s="70"/>
      <c r="AQ916" s="70"/>
      <c r="AR916" s="70"/>
      <c r="AS916" s="70"/>
      <c r="AT916" s="70"/>
    </row>
    <row r="917" ht="15.75" customHeight="1">
      <c r="A917" s="70"/>
      <c r="B917" s="70"/>
      <c r="C917" s="70"/>
      <c r="D917" s="80"/>
      <c r="E917" s="70"/>
      <c r="F917" s="70"/>
      <c r="G917" s="70"/>
      <c r="H917" s="70"/>
      <c r="I917" s="70"/>
      <c r="J917" s="70"/>
      <c r="K917" s="70"/>
      <c r="L917" s="70"/>
      <c r="M917" s="70"/>
      <c r="N917" s="70"/>
      <c r="O917" s="70"/>
      <c r="P917" s="70"/>
      <c r="Q917" s="70"/>
      <c r="R917" s="70"/>
      <c r="S917" s="70"/>
      <c r="T917" s="91"/>
      <c r="U917" s="91"/>
      <c r="V917" s="70"/>
      <c r="W917" s="58"/>
      <c r="X917" s="58"/>
      <c r="Y917" s="70"/>
      <c r="Z917" s="83"/>
      <c r="AA917" s="70"/>
      <c r="AB917" s="70"/>
      <c r="AC917" s="70"/>
      <c r="AD917" s="70"/>
      <c r="AE917" s="70"/>
      <c r="AF917" s="70"/>
      <c r="AG917" s="70"/>
      <c r="AH917" s="70"/>
      <c r="AI917" s="70"/>
      <c r="AJ917" s="70"/>
      <c r="AK917" s="70"/>
      <c r="AL917" s="70"/>
      <c r="AM917" s="70"/>
      <c r="AN917" s="70"/>
      <c r="AO917" s="70"/>
      <c r="AP917" s="70"/>
      <c r="AQ917" s="70"/>
      <c r="AR917" s="70"/>
      <c r="AS917" s="70"/>
      <c r="AT917" s="70"/>
    </row>
    <row r="918" ht="15.75" customHeight="1">
      <c r="A918" s="70"/>
      <c r="B918" s="70"/>
      <c r="C918" s="70"/>
      <c r="D918" s="80"/>
      <c r="E918" s="70"/>
      <c r="F918" s="70"/>
      <c r="G918" s="70"/>
      <c r="H918" s="70"/>
      <c r="I918" s="70"/>
      <c r="J918" s="70"/>
      <c r="K918" s="70"/>
      <c r="L918" s="70"/>
      <c r="M918" s="70"/>
      <c r="N918" s="70"/>
      <c r="O918" s="70"/>
      <c r="P918" s="70"/>
      <c r="Q918" s="70"/>
      <c r="R918" s="70"/>
      <c r="S918" s="70"/>
      <c r="T918" s="91"/>
      <c r="U918" s="91"/>
      <c r="V918" s="70"/>
      <c r="W918" s="58"/>
      <c r="X918" s="58"/>
      <c r="Y918" s="70"/>
      <c r="Z918" s="83"/>
      <c r="AA918" s="70"/>
      <c r="AB918" s="70"/>
      <c r="AC918" s="70"/>
      <c r="AD918" s="70"/>
      <c r="AE918" s="70"/>
      <c r="AF918" s="70"/>
      <c r="AG918" s="70"/>
      <c r="AH918" s="70"/>
      <c r="AI918" s="70"/>
      <c r="AJ918" s="70"/>
      <c r="AK918" s="70"/>
      <c r="AL918" s="70"/>
      <c r="AM918" s="70"/>
      <c r="AN918" s="70"/>
      <c r="AO918" s="70"/>
      <c r="AP918" s="70"/>
      <c r="AQ918" s="70"/>
      <c r="AR918" s="70"/>
      <c r="AS918" s="70"/>
      <c r="AT918" s="70"/>
    </row>
    <row r="919" ht="15.75" customHeight="1">
      <c r="A919" s="70"/>
      <c r="B919" s="70"/>
      <c r="C919" s="70"/>
      <c r="D919" s="80"/>
      <c r="E919" s="70"/>
      <c r="F919" s="70"/>
      <c r="G919" s="70"/>
      <c r="H919" s="70"/>
      <c r="I919" s="70"/>
      <c r="J919" s="70"/>
      <c r="K919" s="70"/>
      <c r="L919" s="70"/>
      <c r="M919" s="70"/>
      <c r="N919" s="70"/>
      <c r="O919" s="70"/>
      <c r="P919" s="70"/>
      <c r="Q919" s="70"/>
      <c r="R919" s="70"/>
      <c r="S919" s="70"/>
      <c r="T919" s="91"/>
      <c r="U919" s="91"/>
      <c r="V919" s="70"/>
      <c r="W919" s="58"/>
      <c r="X919" s="58"/>
      <c r="Y919" s="70"/>
      <c r="Z919" s="83"/>
      <c r="AA919" s="70"/>
      <c r="AB919" s="70"/>
      <c r="AC919" s="70"/>
      <c r="AD919" s="70"/>
      <c r="AE919" s="70"/>
      <c r="AF919" s="70"/>
      <c r="AG919" s="70"/>
      <c r="AH919" s="70"/>
      <c r="AI919" s="70"/>
      <c r="AJ919" s="70"/>
      <c r="AK919" s="70"/>
      <c r="AL919" s="70"/>
      <c r="AM919" s="70"/>
      <c r="AN919" s="70"/>
      <c r="AO919" s="70"/>
      <c r="AP919" s="70"/>
      <c r="AQ919" s="70"/>
      <c r="AR919" s="70"/>
      <c r="AS919" s="70"/>
      <c r="AT919" s="70"/>
    </row>
    <row r="920" ht="15.75" customHeight="1">
      <c r="A920" s="70"/>
      <c r="B920" s="70"/>
      <c r="C920" s="70"/>
      <c r="D920" s="80"/>
      <c r="E920" s="70"/>
      <c r="F920" s="70"/>
      <c r="G920" s="70"/>
      <c r="H920" s="70"/>
      <c r="I920" s="70"/>
      <c r="J920" s="70"/>
      <c r="K920" s="70"/>
      <c r="L920" s="70"/>
      <c r="M920" s="70"/>
      <c r="N920" s="70"/>
      <c r="O920" s="70"/>
      <c r="P920" s="70"/>
      <c r="Q920" s="70"/>
      <c r="R920" s="70"/>
      <c r="S920" s="70"/>
      <c r="T920" s="91"/>
      <c r="U920" s="91"/>
      <c r="V920" s="70"/>
      <c r="W920" s="58"/>
      <c r="X920" s="58"/>
      <c r="Y920" s="70"/>
      <c r="Z920" s="83"/>
      <c r="AA920" s="70"/>
      <c r="AB920" s="70"/>
      <c r="AC920" s="70"/>
      <c r="AD920" s="70"/>
      <c r="AE920" s="70"/>
      <c r="AF920" s="70"/>
      <c r="AG920" s="70"/>
      <c r="AH920" s="70"/>
      <c r="AI920" s="70"/>
      <c r="AJ920" s="70"/>
      <c r="AK920" s="70"/>
      <c r="AL920" s="70"/>
      <c r="AM920" s="70"/>
      <c r="AN920" s="70"/>
      <c r="AO920" s="70"/>
      <c r="AP920" s="70"/>
      <c r="AQ920" s="70"/>
      <c r="AR920" s="70"/>
      <c r="AS920" s="70"/>
      <c r="AT920" s="70"/>
    </row>
    <row r="921" ht="15.75" customHeight="1">
      <c r="A921" s="70"/>
      <c r="B921" s="70"/>
      <c r="C921" s="70"/>
      <c r="D921" s="80"/>
      <c r="E921" s="70"/>
      <c r="F921" s="70"/>
      <c r="G921" s="70"/>
      <c r="H921" s="70"/>
      <c r="I921" s="70"/>
      <c r="J921" s="70"/>
      <c r="K921" s="70"/>
      <c r="L921" s="70"/>
      <c r="M921" s="70"/>
      <c r="N921" s="70"/>
      <c r="O921" s="70"/>
      <c r="P921" s="70"/>
      <c r="Q921" s="70"/>
      <c r="R921" s="70"/>
      <c r="S921" s="70"/>
      <c r="T921" s="91"/>
      <c r="U921" s="91"/>
      <c r="V921" s="70"/>
      <c r="W921" s="58"/>
      <c r="X921" s="58"/>
      <c r="Y921" s="70"/>
      <c r="Z921" s="83"/>
      <c r="AA921" s="70"/>
      <c r="AB921" s="70"/>
      <c r="AC921" s="70"/>
      <c r="AD921" s="70"/>
      <c r="AE921" s="70"/>
      <c r="AF921" s="70"/>
      <c r="AG921" s="70"/>
      <c r="AH921" s="70"/>
      <c r="AI921" s="70"/>
      <c r="AJ921" s="70"/>
      <c r="AK921" s="70"/>
      <c r="AL921" s="70"/>
      <c r="AM921" s="70"/>
      <c r="AN921" s="70"/>
      <c r="AO921" s="70"/>
      <c r="AP921" s="70"/>
      <c r="AQ921" s="70"/>
      <c r="AR921" s="70"/>
      <c r="AS921" s="70"/>
      <c r="AT921" s="70"/>
    </row>
    <row r="922" ht="15.75" customHeight="1">
      <c r="A922" s="70"/>
      <c r="B922" s="70"/>
      <c r="C922" s="70"/>
      <c r="D922" s="80"/>
      <c r="E922" s="70"/>
      <c r="F922" s="70"/>
      <c r="G922" s="70"/>
      <c r="H922" s="70"/>
      <c r="I922" s="70"/>
      <c r="J922" s="70"/>
      <c r="K922" s="70"/>
      <c r="L922" s="70"/>
      <c r="M922" s="70"/>
      <c r="N922" s="70"/>
      <c r="O922" s="70"/>
      <c r="P922" s="70"/>
      <c r="Q922" s="70"/>
      <c r="R922" s="70"/>
      <c r="S922" s="70"/>
      <c r="T922" s="91"/>
      <c r="U922" s="91"/>
      <c r="V922" s="70"/>
      <c r="W922" s="58"/>
      <c r="X922" s="58"/>
      <c r="Y922" s="70"/>
      <c r="Z922" s="83"/>
      <c r="AA922" s="70"/>
      <c r="AB922" s="70"/>
      <c r="AC922" s="70"/>
      <c r="AD922" s="70"/>
      <c r="AE922" s="70"/>
      <c r="AF922" s="70"/>
      <c r="AG922" s="70"/>
      <c r="AH922" s="70"/>
      <c r="AI922" s="70"/>
      <c r="AJ922" s="70"/>
      <c r="AK922" s="70"/>
      <c r="AL922" s="70"/>
      <c r="AM922" s="70"/>
      <c r="AN922" s="70"/>
      <c r="AO922" s="70"/>
      <c r="AP922" s="70"/>
      <c r="AQ922" s="70"/>
      <c r="AR922" s="70"/>
      <c r="AS922" s="70"/>
      <c r="AT922" s="70"/>
    </row>
    <row r="923" ht="15.75" customHeight="1">
      <c r="A923" s="70"/>
      <c r="B923" s="70"/>
      <c r="C923" s="70"/>
      <c r="D923" s="80"/>
      <c r="E923" s="70"/>
      <c r="F923" s="70"/>
      <c r="G923" s="70"/>
      <c r="H923" s="70"/>
      <c r="I923" s="70"/>
      <c r="J923" s="70"/>
      <c r="K923" s="70"/>
      <c r="L923" s="70"/>
      <c r="M923" s="70"/>
      <c r="N923" s="70"/>
      <c r="O923" s="70"/>
      <c r="P923" s="70"/>
      <c r="Q923" s="70"/>
      <c r="R923" s="70"/>
      <c r="S923" s="70"/>
      <c r="T923" s="91"/>
      <c r="U923" s="91"/>
      <c r="V923" s="70"/>
      <c r="W923" s="58"/>
      <c r="X923" s="58"/>
      <c r="Y923" s="70"/>
      <c r="Z923" s="83"/>
      <c r="AA923" s="70"/>
      <c r="AB923" s="70"/>
      <c r="AC923" s="70"/>
      <c r="AD923" s="70"/>
      <c r="AE923" s="70"/>
      <c r="AF923" s="70"/>
      <c r="AG923" s="70"/>
      <c r="AH923" s="70"/>
      <c r="AI923" s="70"/>
      <c r="AJ923" s="70"/>
      <c r="AK923" s="70"/>
      <c r="AL923" s="70"/>
      <c r="AM923" s="70"/>
      <c r="AN923" s="70"/>
      <c r="AO923" s="70"/>
      <c r="AP923" s="70"/>
      <c r="AQ923" s="70"/>
      <c r="AR923" s="70"/>
      <c r="AS923" s="70"/>
      <c r="AT923" s="70"/>
    </row>
    <row r="924" ht="15.75" customHeight="1">
      <c r="A924" s="70"/>
      <c r="B924" s="70"/>
      <c r="C924" s="70"/>
      <c r="D924" s="80"/>
      <c r="E924" s="70"/>
      <c r="F924" s="70"/>
      <c r="G924" s="70"/>
      <c r="H924" s="70"/>
      <c r="I924" s="70"/>
      <c r="J924" s="70"/>
      <c r="K924" s="70"/>
      <c r="L924" s="70"/>
      <c r="M924" s="70"/>
      <c r="N924" s="70"/>
      <c r="O924" s="70"/>
      <c r="P924" s="70"/>
      <c r="Q924" s="70"/>
      <c r="R924" s="70"/>
      <c r="S924" s="70"/>
      <c r="T924" s="91"/>
      <c r="U924" s="91"/>
      <c r="V924" s="70"/>
      <c r="W924" s="58"/>
      <c r="X924" s="58"/>
      <c r="Y924" s="70"/>
      <c r="Z924" s="83"/>
      <c r="AA924" s="70"/>
      <c r="AB924" s="70"/>
      <c r="AC924" s="70"/>
      <c r="AD924" s="70"/>
      <c r="AE924" s="70"/>
      <c r="AF924" s="70"/>
      <c r="AG924" s="70"/>
      <c r="AH924" s="70"/>
      <c r="AI924" s="70"/>
      <c r="AJ924" s="70"/>
      <c r="AK924" s="70"/>
      <c r="AL924" s="70"/>
      <c r="AM924" s="70"/>
      <c r="AN924" s="70"/>
      <c r="AO924" s="70"/>
      <c r="AP924" s="70"/>
      <c r="AQ924" s="70"/>
      <c r="AR924" s="70"/>
      <c r="AS924" s="70"/>
      <c r="AT924" s="70"/>
    </row>
    <row r="925" ht="15.75" customHeight="1">
      <c r="A925" s="70"/>
      <c r="B925" s="70"/>
      <c r="C925" s="70"/>
      <c r="D925" s="80"/>
      <c r="E925" s="70"/>
      <c r="F925" s="70"/>
      <c r="G925" s="70"/>
      <c r="H925" s="70"/>
      <c r="I925" s="70"/>
      <c r="J925" s="70"/>
      <c r="K925" s="70"/>
      <c r="L925" s="70"/>
      <c r="M925" s="70"/>
      <c r="N925" s="70"/>
      <c r="O925" s="70"/>
      <c r="P925" s="70"/>
      <c r="Q925" s="70"/>
      <c r="R925" s="70"/>
      <c r="S925" s="70"/>
      <c r="T925" s="91"/>
      <c r="U925" s="91"/>
      <c r="V925" s="70"/>
      <c r="W925" s="58"/>
      <c r="X925" s="58"/>
      <c r="Y925" s="70"/>
      <c r="Z925" s="83"/>
      <c r="AA925" s="70"/>
      <c r="AB925" s="70"/>
      <c r="AC925" s="70"/>
      <c r="AD925" s="70"/>
      <c r="AE925" s="70"/>
      <c r="AF925" s="70"/>
      <c r="AG925" s="70"/>
      <c r="AH925" s="70"/>
      <c r="AI925" s="70"/>
      <c r="AJ925" s="70"/>
      <c r="AK925" s="70"/>
      <c r="AL925" s="70"/>
      <c r="AM925" s="70"/>
      <c r="AN925" s="70"/>
      <c r="AO925" s="70"/>
      <c r="AP925" s="70"/>
      <c r="AQ925" s="70"/>
      <c r="AR925" s="70"/>
      <c r="AS925" s="70"/>
      <c r="AT925" s="70"/>
    </row>
    <row r="926" ht="15.75" customHeight="1">
      <c r="A926" s="70"/>
      <c r="B926" s="70"/>
      <c r="C926" s="70"/>
      <c r="D926" s="80"/>
      <c r="E926" s="70"/>
      <c r="F926" s="70"/>
      <c r="G926" s="70"/>
      <c r="H926" s="70"/>
      <c r="I926" s="70"/>
      <c r="J926" s="70"/>
      <c r="K926" s="70"/>
      <c r="L926" s="70"/>
      <c r="M926" s="70"/>
      <c r="N926" s="70"/>
      <c r="O926" s="70"/>
      <c r="P926" s="70"/>
      <c r="Q926" s="70"/>
      <c r="R926" s="70"/>
      <c r="S926" s="70"/>
      <c r="T926" s="91"/>
      <c r="U926" s="91"/>
      <c r="V926" s="70"/>
      <c r="W926" s="58"/>
      <c r="X926" s="58"/>
      <c r="Y926" s="70"/>
      <c r="Z926" s="83"/>
      <c r="AA926" s="70"/>
      <c r="AB926" s="70"/>
      <c r="AC926" s="70"/>
      <c r="AD926" s="70"/>
      <c r="AE926" s="70"/>
      <c r="AF926" s="70"/>
      <c r="AG926" s="70"/>
      <c r="AH926" s="70"/>
      <c r="AI926" s="70"/>
      <c r="AJ926" s="70"/>
      <c r="AK926" s="70"/>
      <c r="AL926" s="70"/>
      <c r="AM926" s="70"/>
      <c r="AN926" s="70"/>
      <c r="AO926" s="70"/>
      <c r="AP926" s="70"/>
      <c r="AQ926" s="70"/>
      <c r="AR926" s="70"/>
      <c r="AS926" s="70"/>
      <c r="AT926" s="70"/>
    </row>
    <row r="927" ht="15.75" customHeight="1">
      <c r="A927" s="70"/>
      <c r="B927" s="70"/>
      <c r="C927" s="70"/>
      <c r="D927" s="80"/>
      <c r="E927" s="70"/>
      <c r="F927" s="70"/>
      <c r="G927" s="70"/>
      <c r="H927" s="70"/>
      <c r="I927" s="70"/>
      <c r="J927" s="70"/>
      <c r="K927" s="70"/>
      <c r="L927" s="70"/>
      <c r="M927" s="70"/>
      <c r="N927" s="70"/>
      <c r="O927" s="70"/>
      <c r="P927" s="70"/>
      <c r="Q927" s="70"/>
      <c r="R927" s="70"/>
      <c r="S927" s="70"/>
      <c r="T927" s="91"/>
      <c r="U927" s="91"/>
      <c r="V927" s="70"/>
      <c r="W927" s="58"/>
      <c r="X927" s="58"/>
      <c r="Y927" s="70"/>
      <c r="Z927" s="83"/>
      <c r="AA927" s="70"/>
      <c r="AB927" s="70"/>
      <c r="AC927" s="70"/>
      <c r="AD927" s="70"/>
      <c r="AE927" s="70"/>
      <c r="AF927" s="70"/>
      <c r="AG927" s="70"/>
      <c r="AH927" s="70"/>
      <c r="AI927" s="70"/>
      <c r="AJ927" s="70"/>
      <c r="AK927" s="70"/>
      <c r="AL927" s="70"/>
      <c r="AM927" s="70"/>
      <c r="AN927" s="70"/>
      <c r="AO927" s="70"/>
      <c r="AP927" s="70"/>
      <c r="AQ927" s="70"/>
      <c r="AR927" s="70"/>
      <c r="AS927" s="70"/>
      <c r="AT927" s="70"/>
    </row>
    <row r="928" ht="15.75" customHeight="1">
      <c r="A928" s="70"/>
      <c r="B928" s="70"/>
      <c r="C928" s="70"/>
      <c r="D928" s="80"/>
      <c r="E928" s="70"/>
      <c r="F928" s="70"/>
      <c r="G928" s="70"/>
      <c r="H928" s="70"/>
      <c r="I928" s="70"/>
      <c r="J928" s="70"/>
      <c r="K928" s="70"/>
      <c r="L928" s="70"/>
      <c r="M928" s="70"/>
      <c r="N928" s="70"/>
      <c r="O928" s="70"/>
      <c r="P928" s="70"/>
      <c r="Q928" s="70"/>
      <c r="R928" s="70"/>
      <c r="S928" s="70"/>
      <c r="T928" s="91"/>
      <c r="U928" s="91"/>
      <c r="V928" s="70"/>
      <c r="W928" s="58"/>
      <c r="X928" s="58"/>
      <c r="Y928" s="70"/>
      <c r="Z928" s="83"/>
      <c r="AA928" s="70"/>
      <c r="AB928" s="70"/>
      <c r="AC928" s="70"/>
      <c r="AD928" s="70"/>
      <c r="AE928" s="70"/>
      <c r="AF928" s="70"/>
      <c r="AG928" s="70"/>
      <c r="AH928" s="70"/>
      <c r="AI928" s="70"/>
      <c r="AJ928" s="70"/>
      <c r="AK928" s="70"/>
      <c r="AL928" s="70"/>
      <c r="AM928" s="70"/>
      <c r="AN928" s="70"/>
      <c r="AO928" s="70"/>
      <c r="AP928" s="70"/>
      <c r="AQ928" s="70"/>
      <c r="AR928" s="70"/>
      <c r="AS928" s="70"/>
      <c r="AT928" s="70"/>
    </row>
    <row r="929" ht="15.75" customHeight="1">
      <c r="A929" s="70"/>
      <c r="B929" s="70"/>
      <c r="C929" s="70"/>
      <c r="D929" s="80"/>
      <c r="E929" s="70"/>
      <c r="F929" s="70"/>
      <c r="G929" s="70"/>
      <c r="H929" s="70"/>
      <c r="I929" s="70"/>
      <c r="J929" s="70"/>
      <c r="K929" s="70"/>
      <c r="L929" s="70"/>
      <c r="M929" s="70"/>
      <c r="N929" s="70"/>
      <c r="O929" s="70"/>
      <c r="P929" s="70"/>
      <c r="Q929" s="70"/>
      <c r="R929" s="70"/>
      <c r="S929" s="70"/>
      <c r="T929" s="91"/>
      <c r="U929" s="91"/>
      <c r="V929" s="70"/>
      <c r="W929" s="58"/>
      <c r="X929" s="58"/>
      <c r="Y929" s="70"/>
      <c r="Z929" s="83"/>
      <c r="AA929" s="70"/>
      <c r="AB929" s="70"/>
      <c r="AC929" s="70"/>
      <c r="AD929" s="70"/>
      <c r="AE929" s="70"/>
      <c r="AF929" s="70"/>
      <c r="AG929" s="70"/>
      <c r="AH929" s="70"/>
      <c r="AI929" s="70"/>
      <c r="AJ929" s="70"/>
      <c r="AK929" s="70"/>
      <c r="AL929" s="70"/>
      <c r="AM929" s="70"/>
      <c r="AN929" s="70"/>
      <c r="AO929" s="70"/>
      <c r="AP929" s="70"/>
      <c r="AQ929" s="70"/>
      <c r="AR929" s="70"/>
      <c r="AS929" s="70"/>
      <c r="AT929" s="70"/>
    </row>
    <row r="930" ht="15.75" customHeight="1">
      <c r="A930" s="70"/>
      <c r="B930" s="70"/>
      <c r="C930" s="70"/>
      <c r="D930" s="80"/>
      <c r="E930" s="70"/>
      <c r="F930" s="70"/>
      <c r="G930" s="70"/>
      <c r="H930" s="70"/>
      <c r="I930" s="70"/>
      <c r="J930" s="70"/>
      <c r="K930" s="70"/>
      <c r="L930" s="70"/>
      <c r="M930" s="70"/>
      <c r="N930" s="70"/>
      <c r="O930" s="70"/>
      <c r="P930" s="70"/>
      <c r="Q930" s="70"/>
      <c r="R930" s="70"/>
      <c r="S930" s="70"/>
      <c r="T930" s="91"/>
      <c r="U930" s="91"/>
      <c r="V930" s="70"/>
      <c r="W930" s="58"/>
      <c r="X930" s="58"/>
      <c r="Y930" s="70"/>
      <c r="Z930" s="83"/>
      <c r="AA930" s="70"/>
      <c r="AB930" s="70"/>
      <c r="AC930" s="70"/>
      <c r="AD930" s="70"/>
      <c r="AE930" s="70"/>
      <c r="AF930" s="70"/>
      <c r="AG930" s="70"/>
      <c r="AH930" s="70"/>
      <c r="AI930" s="70"/>
      <c r="AJ930" s="70"/>
      <c r="AK930" s="70"/>
      <c r="AL930" s="70"/>
      <c r="AM930" s="70"/>
      <c r="AN930" s="70"/>
      <c r="AO930" s="70"/>
      <c r="AP930" s="70"/>
      <c r="AQ930" s="70"/>
      <c r="AR930" s="70"/>
      <c r="AS930" s="70"/>
      <c r="AT930" s="70"/>
    </row>
    <row r="931" ht="15.75" customHeight="1">
      <c r="A931" s="70"/>
      <c r="B931" s="70"/>
      <c r="C931" s="70"/>
      <c r="D931" s="80"/>
      <c r="E931" s="70"/>
      <c r="F931" s="70"/>
      <c r="G931" s="70"/>
      <c r="H931" s="70"/>
      <c r="I931" s="70"/>
      <c r="J931" s="70"/>
      <c r="K931" s="70"/>
      <c r="L931" s="70"/>
      <c r="M931" s="70"/>
      <c r="N931" s="70"/>
      <c r="O931" s="70"/>
      <c r="P931" s="70"/>
      <c r="Q931" s="70"/>
      <c r="R931" s="70"/>
      <c r="S931" s="70"/>
      <c r="T931" s="91"/>
      <c r="U931" s="91"/>
      <c r="V931" s="70"/>
      <c r="W931" s="58"/>
      <c r="X931" s="58"/>
      <c r="Y931" s="70"/>
      <c r="Z931" s="83"/>
      <c r="AA931" s="70"/>
      <c r="AB931" s="70"/>
      <c r="AC931" s="70"/>
      <c r="AD931" s="70"/>
      <c r="AE931" s="70"/>
      <c r="AF931" s="70"/>
      <c r="AG931" s="70"/>
      <c r="AH931" s="70"/>
      <c r="AI931" s="70"/>
      <c r="AJ931" s="70"/>
      <c r="AK931" s="70"/>
      <c r="AL931" s="70"/>
      <c r="AM931" s="70"/>
      <c r="AN931" s="70"/>
      <c r="AO931" s="70"/>
      <c r="AP931" s="70"/>
      <c r="AQ931" s="70"/>
      <c r="AR931" s="70"/>
      <c r="AS931" s="70"/>
      <c r="AT931" s="70"/>
    </row>
    <row r="932" ht="15.75" customHeight="1">
      <c r="A932" s="70"/>
      <c r="B932" s="70"/>
      <c r="C932" s="70"/>
      <c r="D932" s="80"/>
      <c r="E932" s="70"/>
      <c r="F932" s="70"/>
      <c r="G932" s="70"/>
      <c r="H932" s="70"/>
      <c r="I932" s="70"/>
      <c r="J932" s="70"/>
      <c r="K932" s="70"/>
      <c r="L932" s="70"/>
      <c r="M932" s="70"/>
      <c r="N932" s="70"/>
      <c r="O932" s="70"/>
      <c r="P932" s="70"/>
      <c r="Q932" s="70"/>
      <c r="R932" s="70"/>
      <c r="S932" s="70"/>
      <c r="T932" s="91"/>
      <c r="U932" s="91"/>
      <c r="V932" s="70"/>
      <c r="W932" s="58"/>
      <c r="X932" s="58"/>
      <c r="Y932" s="70"/>
      <c r="Z932" s="83"/>
      <c r="AA932" s="70"/>
      <c r="AB932" s="70"/>
      <c r="AC932" s="70"/>
      <c r="AD932" s="70"/>
      <c r="AE932" s="70"/>
      <c r="AF932" s="70"/>
      <c r="AG932" s="70"/>
      <c r="AH932" s="70"/>
      <c r="AI932" s="70"/>
      <c r="AJ932" s="70"/>
      <c r="AK932" s="70"/>
      <c r="AL932" s="70"/>
      <c r="AM932" s="70"/>
      <c r="AN932" s="70"/>
      <c r="AO932" s="70"/>
      <c r="AP932" s="70"/>
      <c r="AQ932" s="70"/>
      <c r="AR932" s="70"/>
      <c r="AS932" s="70"/>
      <c r="AT932" s="70"/>
    </row>
    <row r="933" ht="15.75" customHeight="1">
      <c r="A933" s="70"/>
      <c r="B933" s="70"/>
      <c r="C933" s="70"/>
      <c r="D933" s="80"/>
      <c r="E933" s="70"/>
      <c r="F933" s="70"/>
      <c r="G933" s="70"/>
      <c r="H933" s="70"/>
      <c r="I933" s="70"/>
      <c r="J933" s="70"/>
      <c r="K933" s="70"/>
      <c r="L933" s="70"/>
      <c r="M933" s="70"/>
      <c r="N933" s="70"/>
      <c r="O933" s="70"/>
      <c r="P933" s="70"/>
      <c r="Q933" s="70"/>
      <c r="R933" s="70"/>
      <c r="S933" s="70"/>
      <c r="T933" s="91"/>
      <c r="U933" s="91"/>
      <c r="V933" s="70"/>
      <c r="W933" s="58"/>
      <c r="X933" s="58"/>
      <c r="Y933" s="70"/>
      <c r="Z933" s="83"/>
      <c r="AA933" s="70"/>
      <c r="AB933" s="70"/>
      <c r="AC933" s="70"/>
      <c r="AD933" s="70"/>
      <c r="AE933" s="70"/>
      <c r="AF933" s="70"/>
      <c r="AG933" s="70"/>
      <c r="AH933" s="70"/>
      <c r="AI933" s="70"/>
      <c r="AJ933" s="70"/>
      <c r="AK933" s="70"/>
      <c r="AL933" s="70"/>
      <c r="AM933" s="70"/>
      <c r="AN933" s="70"/>
      <c r="AO933" s="70"/>
      <c r="AP933" s="70"/>
      <c r="AQ933" s="70"/>
      <c r="AR933" s="70"/>
      <c r="AS933" s="70"/>
      <c r="AT933" s="70"/>
    </row>
    <row r="934" ht="15.75" customHeight="1">
      <c r="A934" s="70"/>
      <c r="B934" s="70"/>
      <c r="C934" s="70"/>
      <c r="D934" s="80"/>
      <c r="E934" s="70"/>
      <c r="F934" s="70"/>
      <c r="G934" s="70"/>
      <c r="H934" s="70"/>
      <c r="I934" s="70"/>
      <c r="J934" s="70"/>
      <c r="K934" s="70"/>
      <c r="L934" s="70"/>
      <c r="M934" s="70"/>
      <c r="N934" s="70"/>
      <c r="O934" s="70"/>
      <c r="P934" s="70"/>
      <c r="Q934" s="70"/>
      <c r="R934" s="70"/>
      <c r="S934" s="70"/>
      <c r="T934" s="91"/>
      <c r="U934" s="91"/>
      <c r="V934" s="70"/>
      <c r="W934" s="58"/>
      <c r="X934" s="58"/>
      <c r="Y934" s="70"/>
      <c r="Z934" s="83"/>
      <c r="AA934" s="70"/>
      <c r="AB934" s="70"/>
      <c r="AC934" s="70"/>
      <c r="AD934" s="70"/>
      <c r="AE934" s="70"/>
      <c r="AF934" s="70"/>
      <c r="AG934" s="70"/>
      <c r="AH934" s="70"/>
      <c r="AI934" s="70"/>
      <c r="AJ934" s="70"/>
      <c r="AK934" s="70"/>
      <c r="AL934" s="70"/>
      <c r="AM934" s="70"/>
      <c r="AN934" s="70"/>
      <c r="AO934" s="70"/>
      <c r="AP934" s="70"/>
      <c r="AQ934" s="70"/>
      <c r="AR934" s="70"/>
      <c r="AS934" s="70"/>
      <c r="AT934" s="70"/>
    </row>
    <row r="935" ht="15.75" customHeight="1">
      <c r="A935" s="70"/>
      <c r="B935" s="70"/>
      <c r="C935" s="70"/>
      <c r="D935" s="80"/>
      <c r="E935" s="70"/>
      <c r="F935" s="70"/>
      <c r="G935" s="70"/>
      <c r="H935" s="70"/>
      <c r="I935" s="70"/>
      <c r="J935" s="70"/>
      <c r="K935" s="70"/>
      <c r="L935" s="70"/>
      <c r="M935" s="70"/>
      <c r="N935" s="70"/>
      <c r="O935" s="70"/>
      <c r="P935" s="70"/>
      <c r="Q935" s="70"/>
      <c r="R935" s="70"/>
      <c r="S935" s="70"/>
      <c r="T935" s="91"/>
      <c r="U935" s="91"/>
      <c r="V935" s="70"/>
      <c r="W935" s="58"/>
      <c r="X935" s="58"/>
      <c r="Y935" s="70"/>
      <c r="Z935" s="83"/>
      <c r="AA935" s="70"/>
      <c r="AB935" s="70"/>
      <c r="AC935" s="70"/>
      <c r="AD935" s="70"/>
      <c r="AE935" s="70"/>
      <c r="AF935" s="70"/>
      <c r="AG935" s="70"/>
      <c r="AH935" s="70"/>
      <c r="AI935" s="70"/>
      <c r="AJ935" s="70"/>
      <c r="AK935" s="70"/>
      <c r="AL935" s="70"/>
      <c r="AM935" s="70"/>
      <c r="AN935" s="70"/>
      <c r="AO935" s="70"/>
      <c r="AP935" s="70"/>
      <c r="AQ935" s="70"/>
      <c r="AR935" s="70"/>
      <c r="AS935" s="70"/>
      <c r="AT935" s="70"/>
    </row>
    <row r="936" ht="15.75" customHeight="1">
      <c r="A936" s="70"/>
      <c r="B936" s="70"/>
      <c r="C936" s="70"/>
      <c r="D936" s="80"/>
      <c r="E936" s="70"/>
      <c r="F936" s="70"/>
      <c r="G936" s="70"/>
      <c r="H936" s="70"/>
      <c r="I936" s="70"/>
      <c r="J936" s="70"/>
      <c r="K936" s="70"/>
      <c r="L936" s="70"/>
      <c r="M936" s="70"/>
      <c r="N936" s="70"/>
      <c r="O936" s="70"/>
      <c r="P936" s="70"/>
      <c r="Q936" s="70"/>
      <c r="R936" s="70"/>
      <c r="S936" s="70"/>
      <c r="T936" s="91"/>
      <c r="U936" s="91"/>
      <c r="V936" s="70"/>
      <c r="W936" s="58"/>
      <c r="X936" s="58"/>
      <c r="Y936" s="70"/>
      <c r="Z936" s="83"/>
      <c r="AA936" s="70"/>
      <c r="AB936" s="70"/>
      <c r="AC936" s="70"/>
      <c r="AD936" s="70"/>
      <c r="AE936" s="70"/>
      <c r="AF936" s="70"/>
      <c r="AG936" s="70"/>
      <c r="AH936" s="70"/>
      <c r="AI936" s="70"/>
      <c r="AJ936" s="70"/>
      <c r="AK936" s="70"/>
      <c r="AL936" s="70"/>
      <c r="AM936" s="70"/>
      <c r="AN936" s="70"/>
      <c r="AO936" s="70"/>
      <c r="AP936" s="70"/>
      <c r="AQ936" s="70"/>
      <c r="AR936" s="70"/>
      <c r="AS936" s="70"/>
      <c r="AT936" s="70"/>
    </row>
    <row r="937" ht="15.75" customHeight="1">
      <c r="A937" s="70"/>
      <c r="B937" s="70"/>
      <c r="C937" s="70"/>
      <c r="D937" s="80"/>
      <c r="E937" s="70"/>
      <c r="F937" s="70"/>
      <c r="G937" s="70"/>
      <c r="H937" s="70"/>
      <c r="I937" s="70"/>
      <c r="J937" s="70"/>
      <c r="K937" s="70"/>
      <c r="L937" s="70"/>
      <c r="M937" s="70"/>
      <c r="N937" s="70"/>
      <c r="O937" s="70"/>
      <c r="P937" s="70"/>
      <c r="Q937" s="70"/>
      <c r="R937" s="70"/>
      <c r="S937" s="70"/>
      <c r="T937" s="91"/>
      <c r="U937" s="91"/>
      <c r="V937" s="70"/>
      <c r="W937" s="58"/>
      <c r="X937" s="58"/>
      <c r="Y937" s="70"/>
      <c r="Z937" s="83"/>
      <c r="AA937" s="70"/>
      <c r="AB937" s="70"/>
      <c r="AC937" s="70"/>
      <c r="AD937" s="70"/>
      <c r="AE937" s="70"/>
      <c r="AF937" s="70"/>
      <c r="AG937" s="70"/>
      <c r="AH937" s="70"/>
      <c r="AI937" s="70"/>
      <c r="AJ937" s="70"/>
      <c r="AK937" s="70"/>
      <c r="AL937" s="70"/>
      <c r="AM937" s="70"/>
      <c r="AN937" s="70"/>
      <c r="AO937" s="70"/>
      <c r="AP937" s="70"/>
      <c r="AQ937" s="70"/>
      <c r="AR937" s="70"/>
      <c r="AS937" s="70"/>
      <c r="AT937" s="70"/>
    </row>
    <row r="938" ht="15.75" customHeight="1">
      <c r="A938" s="70"/>
      <c r="B938" s="70"/>
      <c r="C938" s="70"/>
      <c r="D938" s="80"/>
      <c r="E938" s="70"/>
      <c r="F938" s="70"/>
      <c r="G938" s="70"/>
      <c r="H938" s="70"/>
      <c r="I938" s="70"/>
      <c r="J938" s="70"/>
      <c r="K938" s="70"/>
      <c r="L938" s="70"/>
      <c r="M938" s="70"/>
      <c r="N938" s="70"/>
      <c r="O938" s="70"/>
      <c r="P938" s="70"/>
      <c r="Q938" s="70"/>
      <c r="R938" s="70"/>
      <c r="S938" s="70"/>
      <c r="T938" s="91"/>
      <c r="U938" s="91"/>
      <c r="V938" s="70"/>
      <c r="W938" s="58"/>
      <c r="X938" s="58"/>
      <c r="Y938" s="70"/>
      <c r="Z938" s="83"/>
      <c r="AA938" s="70"/>
      <c r="AB938" s="70"/>
      <c r="AC938" s="70"/>
      <c r="AD938" s="70"/>
      <c r="AE938" s="70"/>
      <c r="AF938" s="70"/>
      <c r="AG938" s="70"/>
      <c r="AH938" s="70"/>
      <c r="AI938" s="70"/>
      <c r="AJ938" s="70"/>
      <c r="AK938" s="70"/>
      <c r="AL938" s="70"/>
      <c r="AM938" s="70"/>
      <c r="AN938" s="70"/>
      <c r="AO938" s="70"/>
      <c r="AP938" s="70"/>
      <c r="AQ938" s="70"/>
      <c r="AR938" s="70"/>
      <c r="AS938" s="70"/>
      <c r="AT938" s="70"/>
    </row>
    <row r="939" ht="15.75" customHeight="1">
      <c r="A939" s="70"/>
      <c r="B939" s="70"/>
      <c r="C939" s="70"/>
      <c r="D939" s="80"/>
      <c r="E939" s="70"/>
      <c r="F939" s="70"/>
      <c r="G939" s="70"/>
      <c r="H939" s="70"/>
      <c r="I939" s="70"/>
      <c r="J939" s="70"/>
      <c r="K939" s="70"/>
      <c r="L939" s="70"/>
      <c r="M939" s="70"/>
      <c r="N939" s="70"/>
      <c r="O939" s="70"/>
      <c r="P939" s="70"/>
      <c r="Q939" s="70"/>
      <c r="R939" s="70"/>
      <c r="S939" s="70"/>
      <c r="T939" s="91"/>
      <c r="U939" s="91"/>
      <c r="V939" s="70"/>
      <c r="W939" s="58"/>
      <c r="X939" s="58"/>
      <c r="Y939" s="70"/>
      <c r="Z939" s="83"/>
      <c r="AA939" s="70"/>
      <c r="AB939" s="70"/>
      <c r="AC939" s="70"/>
      <c r="AD939" s="70"/>
      <c r="AE939" s="70"/>
      <c r="AF939" s="70"/>
      <c r="AG939" s="70"/>
      <c r="AH939" s="70"/>
      <c r="AI939" s="70"/>
      <c r="AJ939" s="70"/>
      <c r="AK939" s="70"/>
      <c r="AL939" s="70"/>
      <c r="AM939" s="70"/>
      <c r="AN939" s="70"/>
      <c r="AO939" s="70"/>
      <c r="AP939" s="70"/>
      <c r="AQ939" s="70"/>
      <c r="AR939" s="70"/>
      <c r="AS939" s="70"/>
      <c r="AT939" s="70"/>
    </row>
    <row r="940" ht="15.75" customHeight="1">
      <c r="A940" s="70"/>
      <c r="B940" s="70"/>
      <c r="C940" s="70"/>
      <c r="D940" s="80"/>
      <c r="E940" s="70"/>
      <c r="F940" s="70"/>
      <c r="G940" s="70"/>
      <c r="H940" s="70"/>
      <c r="I940" s="70"/>
      <c r="J940" s="70"/>
      <c r="K940" s="70"/>
      <c r="L940" s="70"/>
      <c r="M940" s="70"/>
      <c r="N940" s="70"/>
      <c r="O940" s="70"/>
      <c r="P940" s="70"/>
      <c r="Q940" s="70"/>
      <c r="R940" s="70"/>
      <c r="S940" s="70"/>
      <c r="T940" s="91"/>
      <c r="U940" s="91"/>
      <c r="V940" s="70"/>
      <c r="W940" s="58"/>
      <c r="X940" s="58"/>
      <c r="Y940" s="70"/>
      <c r="Z940" s="83"/>
      <c r="AA940" s="70"/>
      <c r="AB940" s="70"/>
      <c r="AC940" s="70"/>
      <c r="AD940" s="70"/>
      <c r="AE940" s="70"/>
      <c r="AF940" s="70"/>
      <c r="AG940" s="70"/>
      <c r="AH940" s="70"/>
      <c r="AI940" s="70"/>
      <c r="AJ940" s="70"/>
      <c r="AK940" s="70"/>
      <c r="AL940" s="70"/>
      <c r="AM940" s="70"/>
      <c r="AN940" s="70"/>
      <c r="AO940" s="70"/>
      <c r="AP940" s="70"/>
      <c r="AQ940" s="70"/>
      <c r="AR940" s="70"/>
      <c r="AS940" s="70"/>
      <c r="AT940" s="70"/>
    </row>
    <row r="941" ht="15.75" customHeight="1">
      <c r="A941" s="70"/>
      <c r="B941" s="70"/>
      <c r="C941" s="70"/>
      <c r="D941" s="80"/>
      <c r="E941" s="70"/>
      <c r="F941" s="70"/>
      <c r="G941" s="70"/>
      <c r="H941" s="70"/>
      <c r="I941" s="70"/>
      <c r="J941" s="70"/>
      <c r="K941" s="70"/>
      <c r="L941" s="70"/>
      <c r="M941" s="70"/>
      <c r="N941" s="70"/>
      <c r="O941" s="70"/>
      <c r="P941" s="70"/>
      <c r="Q941" s="70"/>
      <c r="R941" s="70"/>
      <c r="S941" s="70"/>
      <c r="T941" s="91"/>
      <c r="U941" s="91"/>
      <c r="V941" s="70"/>
      <c r="W941" s="58"/>
      <c r="X941" s="58"/>
      <c r="Y941" s="70"/>
      <c r="Z941" s="83"/>
      <c r="AA941" s="70"/>
      <c r="AB941" s="70"/>
      <c r="AC941" s="70"/>
      <c r="AD941" s="70"/>
      <c r="AE941" s="70"/>
      <c r="AF941" s="70"/>
      <c r="AG941" s="70"/>
      <c r="AH941" s="70"/>
      <c r="AI941" s="70"/>
      <c r="AJ941" s="70"/>
      <c r="AK941" s="70"/>
      <c r="AL941" s="70"/>
      <c r="AM941" s="70"/>
      <c r="AN941" s="70"/>
      <c r="AO941" s="70"/>
      <c r="AP941" s="70"/>
      <c r="AQ941" s="70"/>
      <c r="AR941" s="70"/>
      <c r="AS941" s="70"/>
      <c r="AT941" s="70"/>
    </row>
    <row r="942" ht="15.75" customHeight="1">
      <c r="A942" s="70"/>
      <c r="B942" s="70"/>
      <c r="C942" s="70"/>
      <c r="D942" s="80"/>
      <c r="E942" s="70"/>
      <c r="F942" s="70"/>
      <c r="G942" s="70"/>
      <c r="H942" s="70"/>
      <c r="I942" s="70"/>
      <c r="J942" s="70"/>
      <c r="K942" s="70"/>
      <c r="L942" s="70"/>
      <c r="M942" s="70"/>
      <c r="N942" s="70"/>
      <c r="O942" s="70"/>
      <c r="P942" s="70"/>
      <c r="Q942" s="70"/>
      <c r="R942" s="70"/>
      <c r="S942" s="70"/>
      <c r="T942" s="91"/>
      <c r="U942" s="91"/>
      <c r="V942" s="70"/>
      <c r="W942" s="58"/>
      <c r="X942" s="58"/>
      <c r="Y942" s="70"/>
      <c r="Z942" s="83"/>
      <c r="AA942" s="70"/>
      <c r="AB942" s="70"/>
      <c r="AC942" s="70"/>
      <c r="AD942" s="70"/>
      <c r="AE942" s="70"/>
      <c r="AF942" s="70"/>
      <c r="AG942" s="70"/>
      <c r="AH942" s="70"/>
      <c r="AI942" s="70"/>
      <c r="AJ942" s="70"/>
      <c r="AK942" s="70"/>
      <c r="AL942" s="70"/>
      <c r="AM942" s="70"/>
      <c r="AN942" s="70"/>
      <c r="AO942" s="70"/>
      <c r="AP942" s="70"/>
      <c r="AQ942" s="70"/>
      <c r="AR942" s="70"/>
      <c r="AS942" s="70"/>
      <c r="AT942" s="70"/>
    </row>
    <row r="943" ht="15.75" customHeight="1">
      <c r="A943" s="70"/>
      <c r="B943" s="70"/>
      <c r="C943" s="70"/>
      <c r="D943" s="80"/>
      <c r="E943" s="70"/>
      <c r="F943" s="70"/>
      <c r="G943" s="70"/>
      <c r="H943" s="70"/>
      <c r="I943" s="70"/>
      <c r="J943" s="70"/>
      <c r="K943" s="70"/>
      <c r="L943" s="70"/>
      <c r="M943" s="70"/>
      <c r="N943" s="70"/>
      <c r="O943" s="70"/>
      <c r="P943" s="70"/>
      <c r="Q943" s="70"/>
      <c r="R943" s="70"/>
      <c r="S943" s="70"/>
      <c r="T943" s="91"/>
      <c r="U943" s="91"/>
      <c r="V943" s="70"/>
      <c r="W943" s="58"/>
      <c r="X943" s="58"/>
      <c r="Y943" s="70"/>
      <c r="Z943" s="83"/>
      <c r="AA943" s="70"/>
      <c r="AB943" s="70"/>
      <c r="AC943" s="70"/>
      <c r="AD943" s="70"/>
      <c r="AE943" s="70"/>
      <c r="AF943" s="70"/>
      <c r="AG943" s="70"/>
      <c r="AH943" s="70"/>
      <c r="AI943" s="70"/>
      <c r="AJ943" s="70"/>
      <c r="AK943" s="70"/>
      <c r="AL943" s="70"/>
      <c r="AM943" s="70"/>
      <c r="AN943" s="70"/>
      <c r="AO943" s="70"/>
      <c r="AP943" s="70"/>
      <c r="AQ943" s="70"/>
      <c r="AR943" s="70"/>
      <c r="AS943" s="70"/>
      <c r="AT943" s="70"/>
    </row>
    <row r="944" ht="15.0" customHeight="1">
      <c r="A944" s="70"/>
      <c r="B944" s="70"/>
      <c r="C944" s="70"/>
      <c r="D944" s="80"/>
      <c r="E944" s="70"/>
      <c r="F944" s="70"/>
      <c r="G944" s="70"/>
      <c r="I944" s="70"/>
      <c r="J944" s="70"/>
      <c r="L944" s="70"/>
      <c r="M944" s="70"/>
      <c r="N944" s="70"/>
      <c r="O944" s="70"/>
      <c r="P944" s="70"/>
      <c r="Q944" s="70"/>
      <c r="R944" s="70"/>
      <c r="S944" s="70"/>
      <c r="T944" s="91"/>
      <c r="U944" s="91"/>
      <c r="V944" s="70"/>
      <c r="W944" s="58"/>
      <c r="X944" s="58"/>
      <c r="Y944" s="70"/>
      <c r="Z944" s="83"/>
      <c r="AA944" s="70"/>
      <c r="AB944" s="70"/>
      <c r="AC944" s="70"/>
      <c r="AE944" s="70"/>
      <c r="AF944" s="70"/>
      <c r="AG944" s="70"/>
      <c r="AH944" s="70"/>
      <c r="AI944" s="70"/>
      <c r="AJ944" s="70"/>
      <c r="AK944" s="70"/>
      <c r="AL944" s="70"/>
      <c r="AM944" s="70"/>
      <c r="AN944" s="70"/>
      <c r="AO944" s="70"/>
      <c r="AP944" s="70"/>
      <c r="AQ944" s="70"/>
      <c r="AR944" s="70"/>
      <c r="AS944" s="70"/>
      <c r="AT944" s="70"/>
    </row>
    <row r="945" ht="15.0" customHeight="1">
      <c r="A945" s="70"/>
      <c r="B945" s="70"/>
      <c r="C945" s="70"/>
      <c r="D945" s="80"/>
      <c r="E945" s="70"/>
      <c r="F945" s="70"/>
      <c r="G945" s="70"/>
      <c r="I945" s="70"/>
      <c r="J945" s="70"/>
      <c r="L945" s="70"/>
      <c r="M945" s="70"/>
      <c r="N945" s="70"/>
      <c r="O945" s="70"/>
      <c r="P945" s="70"/>
      <c r="Q945" s="70"/>
      <c r="R945" s="70"/>
      <c r="S945" s="70"/>
      <c r="T945" s="91"/>
      <c r="U945" s="91"/>
      <c r="V945" s="70"/>
      <c r="W945" s="58"/>
      <c r="X945" s="58"/>
      <c r="Y945" s="70"/>
      <c r="Z945" s="83"/>
      <c r="AA945" s="70"/>
      <c r="AB945" s="70"/>
      <c r="AC945" s="70"/>
      <c r="AE945" s="70"/>
      <c r="AF945" s="70"/>
      <c r="AG945" s="70"/>
      <c r="AH945" s="70"/>
      <c r="AI945" s="70"/>
      <c r="AJ945" s="70"/>
      <c r="AK945" s="70"/>
      <c r="AL945" s="70"/>
      <c r="AM945" s="70"/>
      <c r="AN945" s="70"/>
      <c r="AO945" s="70"/>
      <c r="AP945" s="70"/>
      <c r="AQ945" s="70"/>
      <c r="AR945" s="70"/>
      <c r="AS945" s="70"/>
      <c r="AT945" s="70"/>
    </row>
    <row r="946" ht="15.0" customHeight="1">
      <c r="A946" s="70"/>
      <c r="B946" s="70"/>
      <c r="C946" s="70"/>
      <c r="D946" s="80"/>
      <c r="E946" s="70"/>
      <c r="F946" s="70"/>
      <c r="G946" s="70"/>
      <c r="I946" s="70"/>
      <c r="J946" s="70"/>
      <c r="L946" s="70"/>
      <c r="M946" s="70"/>
      <c r="N946" s="70"/>
      <c r="O946" s="70"/>
      <c r="P946" s="70"/>
      <c r="Q946" s="70"/>
      <c r="R946" s="70"/>
      <c r="S946" s="70"/>
      <c r="T946" s="91"/>
      <c r="U946" s="91"/>
      <c r="V946" s="70"/>
      <c r="W946" s="58"/>
      <c r="X946" s="58"/>
      <c r="Y946" s="70"/>
      <c r="Z946" s="83"/>
      <c r="AA946" s="70"/>
      <c r="AB946" s="70"/>
      <c r="AC946" s="70"/>
      <c r="AE946" s="70"/>
      <c r="AF946" s="70"/>
      <c r="AG946" s="70"/>
      <c r="AH946" s="70"/>
      <c r="AI946" s="70"/>
      <c r="AJ946" s="70"/>
      <c r="AK946" s="70"/>
      <c r="AL946" s="70"/>
      <c r="AM946" s="70"/>
      <c r="AN946" s="70"/>
      <c r="AO946" s="70"/>
      <c r="AP946" s="70"/>
      <c r="AQ946" s="70"/>
      <c r="AR946" s="70"/>
      <c r="AS946" s="70"/>
      <c r="AT946" s="70"/>
    </row>
    <row r="947" ht="15.0" customHeight="1">
      <c r="A947" s="70"/>
      <c r="B947" s="70"/>
      <c r="C947" s="70"/>
      <c r="D947" s="80"/>
      <c r="E947" s="70"/>
      <c r="F947" s="70"/>
      <c r="G947" s="70"/>
      <c r="I947" s="70"/>
      <c r="J947" s="70"/>
      <c r="L947" s="70"/>
      <c r="M947" s="70"/>
      <c r="N947" s="70"/>
      <c r="O947" s="70"/>
      <c r="P947" s="70"/>
      <c r="Q947" s="70"/>
      <c r="R947" s="70"/>
      <c r="S947" s="70"/>
      <c r="T947" s="91"/>
      <c r="U947" s="91"/>
      <c r="V947" s="70"/>
      <c r="W947" s="58"/>
      <c r="X947" s="58"/>
      <c r="Y947" s="70"/>
      <c r="Z947" s="83"/>
      <c r="AA947" s="70"/>
      <c r="AB947" s="70"/>
      <c r="AC947" s="70"/>
      <c r="AE947" s="70"/>
      <c r="AF947" s="70"/>
      <c r="AG947" s="70"/>
      <c r="AH947" s="70"/>
      <c r="AI947" s="70"/>
      <c r="AJ947" s="70"/>
      <c r="AK947" s="70"/>
      <c r="AL947" s="70"/>
      <c r="AM947" s="70"/>
      <c r="AN947" s="70"/>
      <c r="AO947" s="70"/>
      <c r="AP947" s="70"/>
      <c r="AQ947" s="70"/>
      <c r="AR947" s="70"/>
      <c r="AS947" s="70"/>
      <c r="AT947" s="70"/>
    </row>
    <row r="948" ht="15.0" customHeight="1">
      <c r="A948" s="70"/>
      <c r="B948" s="70"/>
      <c r="C948" s="70"/>
      <c r="D948" s="80"/>
      <c r="E948" s="70"/>
      <c r="F948" s="70"/>
      <c r="G948" s="70"/>
      <c r="I948" s="70"/>
      <c r="J948" s="70"/>
      <c r="L948" s="70"/>
      <c r="M948" s="70"/>
      <c r="N948" s="70"/>
      <c r="O948" s="70"/>
      <c r="P948" s="70"/>
      <c r="Q948" s="70"/>
      <c r="R948" s="70"/>
      <c r="S948" s="70"/>
      <c r="T948" s="91"/>
      <c r="U948" s="91"/>
      <c r="V948" s="70"/>
      <c r="W948" s="58"/>
      <c r="X948" s="58"/>
      <c r="Y948" s="70"/>
      <c r="Z948" s="83"/>
      <c r="AA948" s="70"/>
      <c r="AB948" s="70"/>
      <c r="AC948" s="70"/>
      <c r="AE948" s="70"/>
      <c r="AF948" s="70"/>
      <c r="AG948" s="70"/>
      <c r="AH948" s="70"/>
      <c r="AI948" s="70"/>
      <c r="AJ948" s="70"/>
      <c r="AK948" s="70"/>
      <c r="AL948" s="70"/>
      <c r="AM948" s="70"/>
      <c r="AN948" s="70"/>
      <c r="AO948" s="70"/>
      <c r="AP948" s="70"/>
      <c r="AQ948" s="70"/>
      <c r="AR948" s="70"/>
      <c r="AS948" s="70"/>
      <c r="AT948" s="70"/>
    </row>
    <row r="949" ht="15.0" customHeight="1">
      <c r="A949" s="70"/>
      <c r="B949" s="70"/>
      <c r="C949" s="70"/>
      <c r="D949" s="80"/>
      <c r="E949" s="70"/>
      <c r="F949" s="70"/>
      <c r="G949" s="70"/>
      <c r="I949" s="70"/>
      <c r="J949" s="70"/>
      <c r="L949" s="70"/>
      <c r="M949" s="70"/>
      <c r="N949" s="70"/>
      <c r="O949" s="70"/>
      <c r="P949" s="70"/>
      <c r="Q949" s="70"/>
      <c r="R949" s="70"/>
      <c r="S949" s="70"/>
      <c r="T949" s="91"/>
      <c r="U949" s="91"/>
      <c r="V949" s="70"/>
      <c r="W949" s="58"/>
      <c r="X949" s="58"/>
      <c r="Y949" s="70"/>
      <c r="Z949" s="83"/>
      <c r="AA949" s="70"/>
      <c r="AB949" s="70"/>
      <c r="AC949" s="70"/>
      <c r="AE949" s="70"/>
      <c r="AF949" s="70"/>
      <c r="AG949" s="70"/>
      <c r="AH949" s="70"/>
      <c r="AI949" s="70"/>
      <c r="AJ949" s="70"/>
      <c r="AK949" s="70"/>
      <c r="AL949" s="70"/>
      <c r="AM949" s="70"/>
      <c r="AN949" s="70"/>
      <c r="AO949" s="70"/>
      <c r="AP949" s="70"/>
      <c r="AQ949" s="70"/>
      <c r="AR949" s="70"/>
      <c r="AS949" s="70"/>
      <c r="AT949" s="70"/>
    </row>
    <row r="950" ht="15.0" customHeight="1">
      <c r="A950" s="70"/>
      <c r="B950" s="70"/>
      <c r="C950" s="70"/>
      <c r="D950" s="80"/>
      <c r="E950" s="70"/>
      <c r="F950" s="70"/>
      <c r="G950" s="70"/>
      <c r="I950" s="70"/>
      <c r="J950" s="70"/>
      <c r="L950" s="70"/>
      <c r="M950" s="70"/>
      <c r="N950" s="70"/>
      <c r="O950" s="70"/>
      <c r="P950" s="70"/>
      <c r="Q950" s="70"/>
      <c r="R950" s="70"/>
      <c r="S950" s="70"/>
      <c r="T950" s="91"/>
      <c r="U950" s="91"/>
      <c r="V950" s="70"/>
      <c r="W950" s="58"/>
      <c r="X950" s="58"/>
      <c r="Y950" s="70"/>
      <c r="Z950" s="83"/>
      <c r="AA950" s="70"/>
      <c r="AB950" s="70"/>
      <c r="AC950" s="70"/>
      <c r="AE950" s="70"/>
      <c r="AF950" s="70"/>
      <c r="AG950" s="70"/>
      <c r="AH950" s="70"/>
      <c r="AI950" s="70"/>
      <c r="AJ950" s="70"/>
      <c r="AK950" s="70"/>
      <c r="AL950" s="70"/>
      <c r="AM950" s="70"/>
      <c r="AN950" s="70"/>
      <c r="AO950" s="70"/>
      <c r="AP950" s="70"/>
      <c r="AQ950" s="70"/>
      <c r="AR950" s="70"/>
      <c r="AS950" s="70"/>
      <c r="AT950" s="70"/>
    </row>
    <row r="951" ht="15.0" customHeight="1">
      <c r="A951" s="70"/>
      <c r="B951" s="70"/>
      <c r="C951" s="70"/>
      <c r="D951" s="80"/>
      <c r="E951" s="70"/>
      <c r="F951" s="70"/>
      <c r="G951" s="70"/>
      <c r="I951" s="70"/>
      <c r="J951" s="70"/>
      <c r="L951" s="70"/>
      <c r="M951" s="70"/>
      <c r="N951" s="70"/>
      <c r="O951" s="70"/>
      <c r="P951" s="70"/>
      <c r="Q951" s="70"/>
      <c r="R951" s="70"/>
      <c r="S951" s="70"/>
      <c r="T951" s="91"/>
      <c r="U951" s="91"/>
      <c r="V951" s="70"/>
      <c r="W951" s="58"/>
      <c r="X951" s="58"/>
      <c r="Y951" s="70"/>
      <c r="Z951" s="83"/>
      <c r="AA951" s="70"/>
      <c r="AB951" s="70"/>
      <c r="AC951" s="70"/>
      <c r="AE951" s="70"/>
      <c r="AF951" s="70"/>
      <c r="AG951" s="70"/>
      <c r="AH951" s="70"/>
      <c r="AI951" s="70"/>
      <c r="AJ951" s="70"/>
      <c r="AK951" s="70"/>
      <c r="AL951" s="70"/>
      <c r="AM951" s="70"/>
      <c r="AN951" s="70"/>
      <c r="AO951" s="70"/>
      <c r="AP951" s="70"/>
      <c r="AQ951" s="70"/>
      <c r="AR951" s="70"/>
      <c r="AS951" s="70"/>
      <c r="AT951" s="70"/>
    </row>
    <row r="952" ht="15.0" customHeight="1">
      <c r="A952" s="70"/>
      <c r="B952" s="70"/>
      <c r="C952" s="70"/>
      <c r="D952" s="80"/>
      <c r="E952" s="70"/>
      <c r="F952" s="70"/>
      <c r="G952" s="70"/>
      <c r="I952" s="70"/>
      <c r="J952" s="70"/>
      <c r="L952" s="70"/>
      <c r="M952" s="70"/>
      <c r="N952" s="70"/>
      <c r="O952" s="70"/>
      <c r="P952" s="70"/>
      <c r="Q952" s="70"/>
      <c r="R952" s="70"/>
      <c r="S952" s="70"/>
      <c r="T952" s="91"/>
      <c r="U952" s="91"/>
      <c r="V952" s="70"/>
      <c r="W952" s="58"/>
      <c r="X952" s="58"/>
      <c r="Y952" s="70"/>
      <c r="Z952" s="83"/>
      <c r="AA952" s="70"/>
      <c r="AB952" s="70"/>
      <c r="AC952" s="70"/>
      <c r="AE952" s="70"/>
      <c r="AF952" s="70"/>
      <c r="AG952" s="70"/>
      <c r="AH952" s="70"/>
      <c r="AI952" s="70"/>
      <c r="AJ952" s="70"/>
      <c r="AK952" s="70"/>
      <c r="AL952" s="70"/>
      <c r="AM952" s="70"/>
      <c r="AN952" s="70"/>
      <c r="AO952" s="70"/>
      <c r="AP952" s="70"/>
      <c r="AQ952" s="70"/>
      <c r="AR952" s="70"/>
      <c r="AS952" s="70"/>
      <c r="AT952" s="70"/>
    </row>
    <row r="953" ht="15.0" customHeight="1">
      <c r="A953" s="70"/>
      <c r="B953" s="70"/>
      <c r="C953" s="70"/>
      <c r="D953" s="80"/>
      <c r="E953" s="70"/>
      <c r="F953" s="70"/>
      <c r="G953" s="70"/>
      <c r="I953" s="70"/>
      <c r="J953" s="70"/>
      <c r="L953" s="70"/>
      <c r="M953" s="70"/>
      <c r="N953" s="70"/>
      <c r="O953" s="70"/>
      <c r="P953" s="70"/>
      <c r="Q953" s="70"/>
      <c r="R953" s="70"/>
      <c r="S953" s="70"/>
      <c r="T953" s="91"/>
      <c r="U953" s="91"/>
      <c r="V953" s="70"/>
      <c r="W953" s="58"/>
      <c r="X953" s="58"/>
      <c r="Y953" s="70"/>
      <c r="Z953" s="83"/>
      <c r="AA953" s="70"/>
      <c r="AB953" s="70"/>
      <c r="AC953" s="70"/>
      <c r="AE953" s="70"/>
      <c r="AF953" s="70"/>
      <c r="AG953" s="70"/>
      <c r="AH953" s="70"/>
      <c r="AI953" s="70"/>
      <c r="AJ953" s="70"/>
      <c r="AK953" s="70"/>
      <c r="AL953" s="70"/>
      <c r="AM953" s="70"/>
      <c r="AN953" s="70"/>
      <c r="AO953" s="70"/>
      <c r="AP953" s="70"/>
      <c r="AQ953" s="70"/>
      <c r="AR953" s="70"/>
      <c r="AS953" s="70"/>
      <c r="AT953" s="70"/>
    </row>
    <row r="954" ht="15.0" customHeight="1">
      <c r="A954" s="70"/>
      <c r="B954" s="70"/>
      <c r="C954" s="70"/>
      <c r="D954" s="80"/>
      <c r="E954" s="70"/>
      <c r="F954" s="70"/>
      <c r="G954" s="70"/>
      <c r="I954" s="70"/>
      <c r="J954" s="70"/>
      <c r="L954" s="70"/>
      <c r="M954" s="70"/>
      <c r="N954" s="70"/>
      <c r="O954" s="70"/>
      <c r="P954" s="70"/>
      <c r="Q954" s="70"/>
      <c r="R954" s="70"/>
      <c r="S954" s="70"/>
      <c r="T954" s="91"/>
      <c r="U954" s="91"/>
      <c r="V954" s="70"/>
      <c r="W954" s="58"/>
      <c r="X954" s="58"/>
      <c r="Y954" s="70"/>
      <c r="Z954" s="83"/>
      <c r="AA954" s="70"/>
      <c r="AB954" s="70"/>
      <c r="AC954" s="70"/>
      <c r="AE954" s="70"/>
      <c r="AF954" s="70"/>
      <c r="AG954" s="70"/>
      <c r="AH954" s="70"/>
      <c r="AI954" s="70"/>
      <c r="AJ954" s="70"/>
      <c r="AK954" s="70"/>
      <c r="AL954" s="70"/>
      <c r="AM954" s="70"/>
      <c r="AN954" s="70"/>
      <c r="AO954" s="70"/>
      <c r="AP954" s="70"/>
      <c r="AQ954" s="70"/>
      <c r="AR954" s="70"/>
      <c r="AS954" s="70"/>
      <c r="AT954" s="70"/>
    </row>
    <row r="955" ht="15.0" customHeight="1">
      <c r="A955" s="70"/>
      <c r="B955" s="70"/>
      <c r="C955" s="70"/>
      <c r="D955" s="80"/>
      <c r="E955" s="70"/>
      <c r="F955" s="70"/>
      <c r="G955" s="70"/>
      <c r="I955" s="70"/>
      <c r="J955" s="70"/>
      <c r="L955" s="70"/>
      <c r="M955" s="70"/>
      <c r="N955" s="70"/>
      <c r="O955" s="70"/>
      <c r="P955" s="70"/>
      <c r="Q955" s="70"/>
      <c r="R955" s="70"/>
      <c r="S955" s="70"/>
      <c r="T955" s="91"/>
      <c r="U955" s="91"/>
      <c r="V955" s="70"/>
      <c r="W955" s="58"/>
      <c r="X955" s="58"/>
      <c r="Y955" s="70"/>
      <c r="Z955" s="83"/>
      <c r="AA955" s="70"/>
      <c r="AB955" s="70"/>
      <c r="AC955" s="70"/>
      <c r="AE955" s="70"/>
      <c r="AF955" s="70"/>
      <c r="AG955" s="70"/>
      <c r="AH955" s="70"/>
      <c r="AI955" s="70"/>
      <c r="AJ955" s="70"/>
      <c r="AK955" s="70"/>
      <c r="AL955" s="70"/>
      <c r="AM955" s="70"/>
      <c r="AN955" s="70"/>
      <c r="AO955" s="70"/>
      <c r="AP955" s="70"/>
      <c r="AQ955" s="70"/>
      <c r="AR955" s="70"/>
      <c r="AS955" s="70"/>
      <c r="AT955" s="70"/>
    </row>
    <row r="956" ht="15.0" customHeight="1">
      <c r="A956" s="70"/>
      <c r="B956" s="70"/>
      <c r="C956" s="70"/>
      <c r="D956" s="80"/>
      <c r="E956" s="70"/>
      <c r="F956" s="70"/>
      <c r="G956" s="70"/>
      <c r="I956" s="70"/>
      <c r="J956" s="70"/>
      <c r="L956" s="70"/>
      <c r="M956" s="70"/>
      <c r="N956" s="70"/>
      <c r="O956" s="70"/>
      <c r="P956" s="70"/>
      <c r="Q956" s="70"/>
      <c r="R956" s="70"/>
      <c r="S956" s="70"/>
      <c r="T956" s="91"/>
      <c r="U956" s="91"/>
      <c r="V956" s="70"/>
      <c r="W956" s="58"/>
      <c r="X956" s="58"/>
      <c r="Y956" s="70"/>
      <c r="Z956" s="83"/>
      <c r="AA956" s="70"/>
      <c r="AB956" s="70"/>
      <c r="AC956" s="70"/>
      <c r="AE956" s="70"/>
      <c r="AF956" s="70"/>
      <c r="AG956" s="70"/>
      <c r="AH956" s="70"/>
      <c r="AI956" s="70"/>
      <c r="AJ956" s="70"/>
      <c r="AK956" s="70"/>
      <c r="AL956" s="70"/>
      <c r="AM956" s="70"/>
      <c r="AN956" s="70"/>
      <c r="AO956" s="70"/>
      <c r="AP956" s="70"/>
      <c r="AQ956" s="70"/>
      <c r="AR956" s="70"/>
      <c r="AS956" s="70"/>
      <c r="AT956" s="70"/>
    </row>
    <row r="957" ht="15.0" customHeight="1">
      <c r="A957" s="70"/>
      <c r="B957" s="70"/>
      <c r="C957" s="70"/>
      <c r="D957" s="80"/>
      <c r="E957" s="70"/>
      <c r="F957" s="70"/>
      <c r="G957" s="70"/>
      <c r="I957" s="70"/>
      <c r="J957" s="70"/>
      <c r="L957" s="70"/>
      <c r="M957" s="70"/>
      <c r="N957" s="70"/>
      <c r="O957" s="70"/>
      <c r="P957" s="70"/>
      <c r="Q957" s="70"/>
      <c r="R957" s="70"/>
      <c r="S957" s="70"/>
      <c r="T957" s="91"/>
      <c r="U957" s="91"/>
      <c r="V957" s="70"/>
      <c r="W957" s="58"/>
      <c r="X957" s="58"/>
      <c r="Y957" s="70"/>
      <c r="Z957" s="83"/>
      <c r="AA957" s="70"/>
      <c r="AB957" s="70"/>
      <c r="AC957" s="70"/>
      <c r="AE957" s="70"/>
      <c r="AF957" s="70"/>
      <c r="AG957" s="70"/>
      <c r="AH957" s="70"/>
      <c r="AI957" s="70"/>
      <c r="AJ957" s="70"/>
      <c r="AK957" s="70"/>
      <c r="AL957" s="70"/>
      <c r="AM957" s="70"/>
      <c r="AN957" s="70"/>
      <c r="AO957" s="70"/>
      <c r="AP957" s="70"/>
      <c r="AQ957" s="70"/>
      <c r="AR957" s="70"/>
      <c r="AS957" s="70"/>
      <c r="AT957" s="70"/>
    </row>
    <row r="958" ht="15.0" customHeight="1">
      <c r="A958" s="70"/>
      <c r="B958" s="70"/>
      <c r="C958" s="70"/>
      <c r="D958" s="80"/>
      <c r="E958" s="70"/>
      <c r="F958" s="70"/>
      <c r="G958" s="70"/>
      <c r="I958" s="70"/>
      <c r="J958" s="70"/>
      <c r="L958" s="70"/>
      <c r="M958" s="70"/>
      <c r="N958" s="70"/>
      <c r="O958" s="70"/>
      <c r="P958" s="70"/>
      <c r="Q958" s="70"/>
      <c r="R958" s="70"/>
      <c r="S958" s="70"/>
      <c r="T958" s="91"/>
      <c r="U958" s="91"/>
      <c r="V958" s="70"/>
      <c r="W958" s="58"/>
      <c r="X958" s="58"/>
      <c r="Y958" s="70"/>
      <c r="Z958" s="83"/>
      <c r="AA958" s="70"/>
      <c r="AB958" s="70"/>
      <c r="AC958" s="70"/>
      <c r="AE958" s="70"/>
      <c r="AF958" s="70"/>
      <c r="AG958" s="70"/>
      <c r="AH958" s="70"/>
      <c r="AI958" s="70"/>
      <c r="AJ958" s="70"/>
      <c r="AK958" s="70"/>
      <c r="AL958" s="70"/>
      <c r="AM958" s="70"/>
      <c r="AN958" s="70"/>
      <c r="AO958" s="70"/>
      <c r="AP958" s="70"/>
      <c r="AQ958" s="70"/>
      <c r="AR958" s="70"/>
      <c r="AS958" s="70"/>
      <c r="AT958" s="70"/>
    </row>
    <row r="959" ht="15.0" customHeight="1">
      <c r="A959" s="70"/>
      <c r="B959" s="70"/>
      <c r="C959" s="70"/>
      <c r="D959" s="80"/>
      <c r="E959" s="70"/>
      <c r="F959" s="70"/>
      <c r="G959" s="70"/>
      <c r="I959" s="70"/>
      <c r="J959" s="70"/>
      <c r="L959" s="70"/>
      <c r="M959" s="70"/>
      <c r="N959" s="70"/>
      <c r="O959" s="70"/>
      <c r="P959" s="70"/>
      <c r="Q959" s="70"/>
      <c r="R959" s="70"/>
      <c r="S959" s="70"/>
      <c r="T959" s="91"/>
      <c r="U959" s="91"/>
      <c r="V959" s="70"/>
      <c r="W959" s="58"/>
      <c r="X959" s="58"/>
      <c r="Y959" s="70"/>
      <c r="Z959" s="83"/>
      <c r="AA959" s="70"/>
      <c r="AB959" s="70"/>
      <c r="AC959" s="70"/>
      <c r="AE959" s="70"/>
      <c r="AF959" s="70"/>
      <c r="AG959" s="70"/>
      <c r="AH959" s="70"/>
      <c r="AI959" s="70"/>
      <c r="AJ959" s="70"/>
      <c r="AK959" s="70"/>
      <c r="AL959" s="70"/>
      <c r="AM959" s="70"/>
      <c r="AN959" s="70"/>
      <c r="AO959" s="70"/>
      <c r="AP959" s="70"/>
      <c r="AQ959" s="70"/>
      <c r="AR959" s="70"/>
      <c r="AS959" s="70"/>
      <c r="AT959" s="70"/>
    </row>
    <row r="960" ht="15.0" customHeight="1">
      <c r="A960" s="70"/>
      <c r="B960" s="70"/>
      <c r="C960" s="70"/>
      <c r="D960" s="80"/>
      <c r="E960" s="70"/>
      <c r="F960" s="70"/>
      <c r="G960" s="70"/>
      <c r="I960" s="70"/>
      <c r="J960" s="70"/>
      <c r="L960" s="70"/>
      <c r="M960" s="70"/>
      <c r="N960" s="70"/>
      <c r="O960" s="70"/>
      <c r="P960" s="70"/>
      <c r="Q960" s="70"/>
      <c r="R960" s="70"/>
      <c r="S960" s="70"/>
      <c r="T960" s="91"/>
      <c r="U960" s="91"/>
      <c r="V960" s="70"/>
      <c r="W960" s="58"/>
      <c r="X960" s="58"/>
      <c r="Y960" s="70"/>
      <c r="Z960" s="83"/>
      <c r="AA960" s="70"/>
      <c r="AB960" s="70"/>
      <c r="AC960" s="70"/>
      <c r="AE960" s="70"/>
      <c r="AF960" s="70"/>
      <c r="AG960" s="70"/>
      <c r="AH960" s="70"/>
      <c r="AI960" s="70"/>
      <c r="AJ960" s="70"/>
      <c r="AK960" s="70"/>
      <c r="AL960" s="70"/>
      <c r="AM960" s="70"/>
      <c r="AN960" s="70"/>
      <c r="AO960" s="70"/>
      <c r="AP960" s="70"/>
      <c r="AQ960" s="70"/>
      <c r="AR960" s="70"/>
      <c r="AS960" s="70"/>
      <c r="AT960" s="70"/>
    </row>
    <row r="961" ht="15.0" customHeight="1">
      <c r="A961" s="70"/>
      <c r="B961" s="70"/>
      <c r="C961" s="70"/>
      <c r="D961" s="80"/>
      <c r="E961" s="70"/>
      <c r="F961" s="70"/>
      <c r="G961" s="70"/>
      <c r="I961" s="70"/>
      <c r="J961" s="70"/>
      <c r="L961" s="70"/>
      <c r="M961" s="70"/>
      <c r="N961" s="70"/>
      <c r="O961" s="70"/>
      <c r="P961" s="70"/>
      <c r="Q961" s="70"/>
      <c r="R961" s="70"/>
      <c r="S961" s="70"/>
      <c r="T961" s="91"/>
      <c r="U961" s="91"/>
      <c r="V961" s="70"/>
      <c r="W961" s="58"/>
      <c r="X961" s="58"/>
      <c r="Y961" s="70"/>
      <c r="Z961" s="83"/>
      <c r="AA961" s="70"/>
      <c r="AB961" s="70"/>
      <c r="AC961" s="70"/>
      <c r="AE961" s="70"/>
      <c r="AF961" s="70"/>
      <c r="AG961" s="70"/>
      <c r="AH961" s="70"/>
      <c r="AI961" s="70"/>
      <c r="AJ961" s="70"/>
      <c r="AK961" s="70"/>
      <c r="AL961" s="70"/>
      <c r="AM961" s="70"/>
      <c r="AN961" s="70"/>
      <c r="AO961" s="70"/>
      <c r="AP961" s="70"/>
      <c r="AQ961" s="70"/>
      <c r="AR961" s="70"/>
      <c r="AS961" s="70"/>
      <c r="AT961" s="70"/>
    </row>
    <row r="962" ht="15.0" customHeight="1">
      <c r="A962" s="70"/>
      <c r="B962" s="70"/>
      <c r="C962" s="70"/>
      <c r="D962" s="80"/>
      <c r="E962" s="70"/>
      <c r="F962" s="70"/>
      <c r="G962" s="70"/>
      <c r="I962" s="70"/>
      <c r="J962" s="70"/>
      <c r="L962" s="70"/>
      <c r="M962" s="70"/>
      <c r="N962" s="70"/>
      <c r="O962" s="70"/>
      <c r="P962" s="70"/>
      <c r="Q962" s="70"/>
      <c r="R962" s="70"/>
      <c r="S962" s="70"/>
      <c r="T962" s="91"/>
      <c r="U962" s="91"/>
      <c r="V962" s="70"/>
      <c r="W962" s="58"/>
      <c r="X962" s="58"/>
      <c r="Y962" s="70"/>
      <c r="Z962" s="83"/>
      <c r="AA962" s="70"/>
      <c r="AB962" s="70"/>
      <c r="AC962" s="70"/>
      <c r="AE962" s="70"/>
      <c r="AF962" s="70"/>
      <c r="AG962" s="70"/>
      <c r="AH962" s="70"/>
      <c r="AI962" s="70"/>
      <c r="AJ962" s="70"/>
      <c r="AK962" s="70"/>
      <c r="AL962" s="70"/>
      <c r="AM962" s="70"/>
      <c r="AN962" s="70"/>
      <c r="AO962" s="70"/>
      <c r="AP962" s="70"/>
      <c r="AQ962" s="70"/>
      <c r="AR962" s="70"/>
      <c r="AS962" s="70"/>
      <c r="AT962" s="70"/>
    </row>
    <row r="963" ht="15.0" customHeight="1">
      <c r="A963" s="70"/>
      <c r="B963" s="70"/>
      <c r="C963" s="70"/>
      <c r="D963" s="80"/>
      <c r="E963" s="70"/>
      <c r="F963" s="70"/>
      <c r="G963" s="70"/>
      <c r="I963" s="70"/>
      <c r="J963" s="70"/>
      <c r="L963" s="70"/>
      <c r="M963" s="70"/>
      <c r="N963" s="70"/>
      <c r="O963" s="70"/>
      <c r="P963" s="70"/>
      <c r="Q963" s="70"/>
      <c r="R963" s="70"/>
      <c r="S963" s="70"/>
      <c r="T963" s="91"/>
      <c r="U963" s="91"/>
      <c r="V963" s="70"/>
      <c r="W963" s="58"/>
      <c r="X963" s="58"/>
      <c r="Y963" s="70"/>
      <c r="Z963" s="83"/>
      <c r="AA963" s="70"/>
      <c r="AB963" s="70"/>
      <c r="AC963" s="70"/>
      <c r="AE963" s="70"/>
      <c r="AF963" s="70"/>
      <c r="AG963" s="70"/>
      <c r="AH963" s="70"/>
      <c r="AI963" s="70"/>
      <c r="AJ963" s="70"/>
      <c r="AK963" s="70"/>
      <c r="AL963" s="70"/>
      <c r="AM963" s="70"/>
      <c r="AN963" s="70"/>
      <c r="AO963" s="70"/>
      <c r="AP963" s="70"/>
      <c r="AQ963" s="70"/>
      <c r="AR963" s="70"/>
      <c r="AS963" s="70"/>
      <c r="AT963" s="70"/>
    </row>
    <row r="964" ht="15.0" customHeight="1">
      <c r="A964" s="70"/>
      <c r="B964" s="70"/>
      <c r="C964" s="70"/>
      <c r="D964" s="80"/>
      <c r="E964" s="70"/>
      <c r="F964" s="70"/>
      <c r="G964" s="70"/>
      <c r="I964" s="70"/>
      <c r="J964" s="70"/>
      <c r="L964" s="70"/>
      <c r="M964" s="70"/>
      <c r="N964" s="70"/>
      <c r="O964" s="70"/>
      <c r="P964" s="70"/>
      <c r="Q964" s="70"/>
      <c r="R964" s="70"/>
      <c r="S964" s="70"/>
      <c r="T964" s="91"/>
      <c r="U964" s="91"/>
      <c r="V964" s="70"/>
      <c r="W964" s="58"/>
      <c r="X964" s="58"/>
      <c r="Y964" s="70"/>
      <c r="Z964" s="83"/>
      <c r="AA964" s="70"/>
      <c r="AB964" s="70"/>
      <c r="AC964" s="70"/>
      <c r="AE964" s="70"/>
      <c r="AF964" s="70"/>
      <c r="AG964" s="70"/>
      <c r="AH964" s="70"/>
      <c r="AI964" s="70"/>
      <c r="AJ964" s="70"/>
      <c r="AK964" s="70"/>
      <c r="AL964" s="70"/>
      <c r="AM964" s="70"/>
      <c r="AN964" s="70"/>
      <c r="AO964" s="70"/>
      <c r="AP964" s="70"/>
      <c r="AQ964" s="70"/>
      <c r="AR964" s="70"/>
      <c r="AS964" s="70"/>
      <c r="AT964" s="70"/>
    </row>
    <row r="965" ht="15.0" customHeight="1">
      <c r="A965" s="70"/>
      <c r="B965" s="70"/>
      <c r="C965" s="70"/>
      <c r="D965" s="80"/>
      <c r="E965" s="70"/>
      <c r="F965" s="70"/>
      <c r="G965" s="70"/>
      <c r="I965" s="70"/>
      <c r="J965" s="70"/>
      <c r="L965" s="70"/>
      <c r="M965" s="70"/>
      <c r="N965" s="70"/>
      <c r="O965" s="70"/>
      <c r="P965" s="70"/>
      <c r="Q965" s="70"/>
      <c r="R965" s="70"/>
      <c r="S965" s="70"/>
      <c r="T965" s="91"/>
      <c r="U965" s="91"/>
      <c r="V965" s="70"/>
      <c r="W965" s="58"/>
      <c r="X965" s="58"/>
      <c r="Y965" s="70"/>
      <c r="Z965" s="83"/>
      <c r="AA965" s="70"/>
      <c r="AB965" s="70"/>
      <c r="AC965" s="70"/>
      <c r="AE965" s="70"/>
      <c r="AF965" s="70"/>
      <c r="AG965" s="70"/>
      <c r="AH965" s="70"/>
      <c r="AI965" s="70"/>
      <c r="AJ965" s="70"/>
      <c r="AK965" s="70"/>
      <c r="AL965" s="70"/>
      <c r="AM965" s="70"/>
      <c r="AN965" s="70"/>
      <c r="AO965" s="70"/>
      <c r="AP965" s="70"/>
      <c r="AQ965" s="70"/>
      <c r="AR965" s="70"/>
      <c r="AS965" s="70"/>
      <c r="AT965" s="70"/>
    </row>
    <row r="966" ht="15.0" customHeight="1">
      <c r="A966" s="70"/>
      <c r="B966" s="70"/>
      <c r="C966" s="70"/>
      <c r="D966" s="80"/>
      <c r="E966" s="70"/>
      <c r="F966" s="70"/>
      <c r="G966" s="70"/>
      <c r="I966" s="70"/>
      <c r="J966" s="70"/>
      <c r="L966" s="70"/>
      <c r="M966" s="70"/>
      <c r="N966" s="70"/>
      <c r="O966" s="70"/>
      <c r="P966" s="70"/>
      <c r="Q966" s="70"/>
      <c r="R966" s="70"/>
      <c r="S966" s="70"/>
      <c r="T966" s="91"/>
      <c r="U966" s="91"/>
      <c r="V966" s="70"/>
      <c r="W966" s="58"/>
      <c r="X966" s="58"/>
      <c r="Y966" s="70"/>
      <c r="Z966" s="83"/>
      <c r="AA966" s="70"/>
      <c r="AB966" s="70"/>
      <c r="AC966" s="70"/>
      <c r="AE966" s="70"/>
      <c r="AF966" s="70"/>
      <c r="AG966" s="70"/>
      <c r="AH966" s="70"/>
      <c r="AI966" s="70"/>
      <c r="AJ966" s="70"/>
      <c r="AK966" s="70"/>
      <c r="AL966" s="70"/>
      <c r="AM966" s="70"/>
      <c r="AN966" s="70"/>
      <c r="AO966" s="70"/>
      <c r="AP966" s="70"/>
      <c r="AQ966" s="70"/>
      <c r="AR966" s="70"/>
      <c r="AS966" s="70"/>
      <c r="AT966" s="70"/>
    </row>
    <row r="967" ht="15.0" customHeight="1">
      <c r="A967" s="70"/>
      <c r="B967" s="70"/>
      <c r="C967" s="70"/>
      <c r="D967" s="80"/>
      <c r="E967" s="70"/>
      <c r="F967" s="70"/>
      <c r="G967" s="70"/>
      <c r="I967" s="70"/>
      <c r="J967" s="70"/>
      <c r="L967" s="70"/>
      <c r="M967" s="70"/>
      <c r="N967" s="70"/>
      <c r="O967" s="70"/>
      <c r="P967" s="70"/>
      <c r="Q967" s="70"/>
      <c r="R967" s="70"/>
      <c r="S967" s="70"/>
      <c r="T967" s="91"/>
      <c r="U967" s="91"/>
      <c r="V967" s="70"/>
      <c r="W967" s="58"/>
      <c r="X967" s="58"/>
      <c r="Y967" s="70"/>
      <c r="Z967" s="83"/>
      <c r="AA967" s="70"/>
      <c r="AB967" s="70"/>
      <c r="AC967" s="70"/>
      <c r="AE967" s="70"/>
      <c r="AF967" s="70"/>
      <c r="AG967" s="70"/>
      <c r="AH967" s="70"/>
      <c r="AI967" s="70"/>
      <c r="AJ967" s="70"/>
      <c r="AK967" s="70"/>
      <c r="AL967" s="70"/>
      <c r="AM967" s="70"/>
      <c r="AN967" s="70"/>
      <c r="AO967" s="70"/>
      <c r="AP967" s="70"/>
      <c r="AQ967" s="70"/>
      <c r="AR967" s="70"/>
      <c r="AS967" s="70"/>
      <c r="AT967" s="70"/>
    </row>
    <row r="968" ht="15.0" customHeight="1">
      <c r="A968" s="70"/>
      <c r="B968" s="70"/>
      <c r="C968" s="70"/>
      <c r="D968" s="80"/>
      <c r="E968" s="70"/>
      <c r="F968" s="70"/>
      <c r="G968" s="70"/>
      <c r="I968" s="70"/>
      <c r="J968" s="70"/>
      <c r="L968" s="70"/>
      <c r="M968" s="70"/>
      <c r="N968" s="70"/>
      <c r="O968" s="70"/>
      <c r="P968" s="70"/>
      <c r="Q968" s="70"/>
      <c r="R968" s="70"/>
      <c r="S968" s="70"/>
      <c r="T968" s="91"/>
      <c r="U968" s="91"/>
      <c r="V968" s="70"/>
      <c r="W968" s="58"/>
      <c r="X968" s="58"/>
      <c r="Y968" s="70"/>
      <c r="Z968" s="83"/>
      <c r="AA968" s="70"/>
      <c r="AB968" s="70"/>
      <c r="AC968" s="70"/>
      <c r="AE968" s="70"/>
      <c r="AF968" s="70"/>
      <c r="AG968" s="70"/>
      <c r="AH968" s="70"/>
      <c r="AI968" s="70"/>
      <c r="AJ968" s="70"/>
      <c r="AK968" s="70"/>
      <c r="AL968" s="70"/>
      <c r="AM968" s="70"/>
      <c r="AN968" s="70"/>
      <c r="AO968" s="70"/>
      <c r="AP968" s="70"/>
      <c r="AQ968" s="70"/>
      <c r="AR968" s="70"/>
      <c r="AS968" s="70"/>
      <c r="AT968" s="70"/>
    </row>
    <row r="969" ht="15.0" customHeight="1">
      <c r="A969" s="70"/>
      <c r="B969" s="70"/>
      <c r="C969" s="70"/>
      <c r="D969" s="80"/>
      <c r="E969" s="70"/>
      <c r="F969" s="70"/>
      <c r="G969" s="70"/>
      <c r="I969" s="70"/>
      <c r="J969" s="70"/>
      <c r="L969" s="70"/>
      <c r="M969" s="70"/>
      <c r="N969" s="70"/>
      <c r="O969" s="70"/>
      <c r="P969" s="70"/>
      <c r="Q969" s="70"/>
      <c r="R969" s="70"/>
      <c r="S969" s="70"/>
      <c r="T969" s="91"/>
      <c r="U969" s="91"/>
      <c r="V969" s="70"/>
      <c r="W969" s="58"/>
      <c r="X969" s="58"/>
      <c r="Y969" s="70"/>
      <c r="Z969" s="83"/>
      <c r="AA969" s="70"/>
      <c r="AB969" s="70"/>
      <c r="AC969" s="70"/>
      <c r="AE969" s="70"/>
      <c r="AF969" s="70"/>
      <c r="AG969" s="70"/>
      <c r="AH969" s="70"/>
      <c r="AI969" s="70"/>
      <c r="AJ969" s="70"/>
      <c r="AK969" s="70"/>
      <c r="AL969" s="70"/>
      <c r="AM969" s="70"/>
      <c r="AN969" s="70"/>
      <c r="AO969" s="70"/>
      <c r="AP969" s="70"/>
      <c r="AQ969" s="70"/>
      <c r="AR969" s="70"/>
      <c r="AS969" s="70"/>
      <c r="AT969" s="70"/>
    </row>
    <row r="970" ht="15.0" customHeight="1">
      <c r="A970" s="70"/>
      <c r="B970" s="70"/>
      <c r="C970" s="70"/>
      <c r="D970" s="80"/>
      <c r="E970" s="70"/>
      <c r="F970" s="70"/>
      <c r="G970" s="70"/>
      <c r="I970" s="70"/>
      <c r="J970" s="70"/>
      <c r="L970" s="70"/>
      <c r="M970" s="70"/>
      <c r="N970" s="70"/>
      <c r="O970" s="70"/>
      <c r="P970" s="70"/>
      <c r="Q970" s="70"/>
      <c r="R970" s="70"/>
      <c r="S970" s="70"/>
      <c r="T970" s="91"/>
      <c r="U970" s="91"/>
      <c r="V970" s="70"/>
      <c r="W970" s="58"/>
      <c r="X970" s="58"/>
      <c r="Y970" s="70"/>
      <c r="Z970" s="83"/>
      <c r="AA970" s="70"/>
      <c r="AB970" s="70"/>
      <c r="AC970" s="70"/>
      <c r="AE970" s="70"/>
      <c r="AF970" s="70"/>
      <c r="AG970" s="70"/>
      <c r="AH970" s="70"/>
      <c r="AI970" s="70"/>
      <c r="AJ970" s="70"/>
      <c r="AK970" s="70"/>
      <c r="AL970" s="70"/>
      <c r="AM970" s="70"/>
      <c r="AN970" s="70"/>
      <c r="AO970" s="70"/>
      <c r="AP970" s="70"/>
      <c r="AQ970" s="70"/>
      <c r="AR970" s="70"/>
      <c r="AS970" s="70"/>
      <c r="AT970" s="70"/>
    </row>
    <row r="971" ht="15.0" customHeight="1">
      <c r="A971" s="70"/>
      <c r="B971" s="70"/>
      <c r="C971" s="70"/>
      <c r="D971" s="80"/>
      <c r="E971" s="70"/>
      <c r="F971" s="70"/>
      <c r="G971" s="70"/>
      <c r="I971" s="70"/>
      <c r="J971" s="70"/>
      <c r="L971" s="70"/>
      <c r="M971" s="70"/>
      <c r="N971" s="70"/>
      <c r="O971" s="70"/>
      <c r="P971" s="70"/>
      <c r="Q971" s="70"/>
      <c r="R971" s="70"/>
      <c r="S971" s="70"/>
      <c r="T971" s="91"/>
      <c r="U971" s="91"/>
      <c r="V971" s="70"/>
      <c r="W971" s="58"/>
      <c r="X971" s="58"/>
      <c r="Y971" s="70"/>
      <c r="Z971" s="83"/>
      <c r="AA971" s="70"/>
      <c r="AB971" s="70"/>
      <c r="AC971" s="70"/>
      <c r="AE971" s="70"/>
      <c r="AF971" s="70"/>
      <c r="AG971" s="70"/>
      <c r="AH971" s="70"/>
      <c r="AI971" s="70"/>
      <c r="AJ971" s="70"/>
      <c r="AK971" s="70"/>
      <c r="AL971" s="70"/>
      <c r="AM971" s="70"/>
      <c r="AN971" s="70"/>
      <c r="AO971" s="70"/>
      <c r="AP971" s="70"/>
      <c r="AQ971" s="70"/>
      <c r="AR971" s="70"/>
      <c r="AS971" s="70"/>
      <c r="AT971" s="70"/>
    </row>
    <row r="972" ht="15.0" customHeight="1">
      <c r="A972" s="70"/>
      <c r="B972" s="70"/>
      <c r="C972" s="70"/>
      <c r="D972" s="80"/>
      <c r="E972" s="70"/>
      <c r="F972" s="70"/>
      <c r="G972" s="70"/>
      <c r="I972" s="70"/>
      <c r="J972" s="70"/>
      <c r="L972" s="70"/>
      <c r="M972" s="70"/>
      <c r="N972" s="70"/>
      <c r="O972" s="70"/>
      <c r="P972" s="70"/>
      <c r="Q972" s="70"/>
      <c r="R972" s="70"/>
      <c r="S972" s="70"/>
      <c r="T972" s="91"/>
      <c r="U972" s="91"/>
      <c r="V972" s="70"/>
      <c r="W972" s="58"/>
      <c r="X972" s="58"/>
      <c r="Y972" s="70"/>
      <c r="Z972" s="83"/>
      <c r="AA972" s="70"/>
      <c r="AB972" s="70"/>
      <c r="AC972" s="70"/>
      <c r="AE972" s="70"/>
      <c r="AF972" s="70"/>
      <c r="AG972" s="70"/>
      <c r="AH972" s="70"/>
      <c r="AI972" s="70"/>
      <c r="AJ972" s="70"/>
      <c r="AK972" s="70"/>
      <c r="AL972" s="70"/>
      <c r="AM972" s="70"/>
      <c r="AN972" s="70"/>
      <c r="AO972" s="70"/>
      <c r="AP972" s="70"/>
      <c r="AQ972" s="70"/>
      <c r="AR972" s="70"/>
      <c r="AS972" s="70"/>
      <c r="AT972" s="70"/>
    </row>
    <row r="973" ht="15.0" customHeight="1">
      <c r="A973" s="70"/>
      <c r="B973" s="70"/>
      <c r="C973" s="70"/>
      <c r="D973" s="80"/>
      <c r="E973" s="70"/>
      <c r="F973" s="70"/>
      <c r="G973" s="70"/>
      <c r="I973" s="70"/>
      <c r="J973" s="70"/>
      <c r="L973" s="70"/>
      <c r="M973" s="70"/>
      <c r="N973" s="70"/>
      <c r="O973" s="70"/>
      <c r="P973" s="70"/>
      <c r="Q973" s="70"/>
      <c r="R973" s="70"/>
      <c r="S973" s="70"/>
      <c r="T973" s="91"/>
      <c r="U973" s="91"/>
      <c r="V973" s="70"/>
      <c r="W973" s="58"/>
      <c r="X973" s="58"/>
      <c r="Y973" s="70"/>
      <c r="Z973" s="83"/>
      <c r="AA973" s="70"/>
      <c r="AB973" s="70"/>
      <c r="AC973" s="70"/>
      <c r="AE973" s="70"/>
      <c r="AF973" s="70"/>
      <c r="AG973" s="70"/>
      <c r="AH973" s="70"/>
      <c r="AI973" s="70"/>
      <c r="AJ973" s="70"/>
      <c r="AK973" s="70"/>
      <c r="AL973" s="70"/>
      <c r="AM973" s="70"/>
      <c r="AN973" s="70"/>
      <c r="AO973" s="70"/>
      <c r="AP973" s="70"/>
      <c r="AQ973" s="70"/>
      <c r="AR973" s="70"/>
      <c r="AS973" s="70"/>
      <c r="AT973" s="70"/>
    </row>
    <row r="974" ht="15.0" customHeight="1">
      <c r="A974" s="70"/>
      <c r="B974" s="70"/>
      <c r="C974" s="70"/>
      <c r="D974" s="80"/>
      <c r="E974" s="70"/>
      <c r="F974" s="70"/>
      <c r="G974" s="70"/>
      <c r="I974" s="70"/>
      <c r="J974" s="70"/>
      <c r="L974" s="70"/>
      <c r="M974" s="70"/>
      <c r="N974" s="70"/>
      <c r="O974" s="70"/>
      <c r="P974" s="70"/>
      <c r="Q974" s="70"/>
      <c r="R974" s="70"/>
      <c r="S974" s="70"/>
      <c r="T974" s="91"/>
      <c r="U974" s="91"/>
      <c r="V974" s="70"/>
      <c r="W974" s="58"/>
      <c r="X974" s="58"/>
      <c r="Y974" s="70"/>
      <c r="Z974" s="83"/>
      <c r="AA974" s="70"/>
      <c r="AB974" s="70"/>
      <c r="AC974" s="70"/>
      <c r="AE974" s="70"/>
      <c r="AF974" s="70"/>
      <c r="AG974" s="70"/>
      <c r="AH974" s="70"/>
      <c r="AI974" s="70"/>
      <c r="AJ974" s="70"/>
      <c r="AK974" s="70"/>
      <c r="AL974" s="70"/>
      <c r="AM974" s="70"/>
      <c r="AN974" s="70"/>
      <c r="AO974" s="70"/>
      <c r="AP974" s="70"/>
      <c r="AQ974" s="70"/>
      <c r="AR974" s="70"/>
      <c r="AS974" s="70"/>
      <c r="AT974" s="70"/>
    </row>
    <row r="975" ht="15.0" customHeight="1">
      <c r="A975" s="70"/>
      <c r="B975" s="70"/>
      <c r="C975" s="70"/>
      <c r="D975" s="80"/>
      <c r="E975" s="70"/>
      <c r="F975" s="70"/>
      <c r="G975" s="70"/>
      <c r="I975" s="70"/>
      <c r="J975" s="70"/>
      <c r="L975" s="70"/>
      <c r="M975" s="70"/>
      <c r="N975" s="70"/>
      <c r="O975" s="70"/>
      <c r="P975" s="70"/>
      <c r="Q975" s="70"/>
      <c r="R975" s="70"/>
      <c r="S975" s="70"/>
      <c r="T975" s="91"/>
      <c r="U975" s="91"/>
      <c r="V975" s="70"/>
      <c r="W975" s="58"/>
      <c r="X975" s="58"/>
      <c r="Y975" s="70"/>
      <c r="Z975" s="83"/>
      <c r="AA975" s="70"/>
      <c r="AB975" s="70"/>
      <c r="AC975" s="70"/>
      <c r="AE975" s="70"/>
      <c r="AF975" s="70"/>
      <c r="AG975" s="70"/>
      <c r="AH975" s="70"/>
      <c r="AI975" s="70"/>
      <c r="AJ975" s="70"/>
      <c r="AK975" s="70"/>
      <c r="AL975" s="70"/>
      <c r="AM975" s="70"/>
      <c r="AN975" s="70"/>
      <c r="AO975" s="70"/>
      <c r="AP975" s="70"/>
      <c r="AQ975" s="70"/>
      <c r="AR975" s="70"/>
      <c r="AS975" s="70"/>
      <c r="AT975" s="70"/>
    </row>
    <row r="976" ht="15.0" customHeight="1">
      <c r="A976" s="70"/>
      <c r="B976" s="70"/>
      <c r="C976" s="70"/>
      <c r="D976" s="80"/>
      <c r="E976" s="70"/>
      <c r="F976" s="70"/>
      <c r="G976" s="70"/>
      <c r="I976" s="70"/>
      <c r="J976" s="70"/>
      <c r="L976" s="70"/>
      <c r="M976" s="70"/>
      <c r="N976" s="70"/>
      <c r="O976" s="70"/>
      <c r="P976" s="70"/>
      <c r="Q976" s="70"/>
      <c r="R976" s="70"/>
      <c r="S976" s="70"/>
      <c r="T976" s="91"/>
      <c r="U976" s="91"/>
      <c r="V976" s="70"/>
      <c r="W976" s="58"/>
      <c r="X976" s="58"/>
      <c r="Y976" s="70"/>
      <c r="Z976" s="83"/>
      <c r="AA976" s="70"/>
      <c r="AB976" s="70"/>
      <c r="AC976" s="70"/>
      <c r="AE976" s="70"/>
      <c r="AF976" s="70"/>
      <c r="AG976" s="70"/>
      <c r="AH976" s="70"/>
      <c r="AI976" s="70"/>
      <c r="AJ976" s="70"/>
      <c r="AK976" s="70"/>
      <c r="AL976" s="70"/>
      <c r="AM976" s="70"/>
      <c r="AN976" s="70"/>
      <c r="AO976" s="70"/>
      <c r="AP976" s="70"/>
      <c r="AQ976" s="70"/>
      <c r="AR976" s="70"/>
      <c r="AS976" s="70"/>
      <c r="AT976" s="70"/>
    </row>
    <row r="977" ht="15.0" customHeight="1">
      <c r="A977" s="70"/>
      <c r="B977" s="70"/>
      <c r="C977" s="70"/>
      <c r="D977" s="80"/>
      <c r="E977" s="70"/>
      <c r="F977" s="70"/>
      <c r="G977" s="70"/>
      <c r="I977" s="70"/>
      <c r="J977" s="70"/>
      <c r="L977" s="70"/>
      <c r="M977" s="70"/>
      <c r="N977" s="70"/>
      <c r="O977" s="70"/>
      <c r="P977" s="70"/>
      <c r="Q977" s="70"/>
      <c r="R977" s="70"/>
      <c r="S977" s="70"/>
      <c r="T977" s="91"/>
      <c r="U977" s="91"/>
      <c r="V977" s="70"/>
      <c r="W977" s="58"/>
      <c r="X977" s="58"/>
      <c r="Y977" s="70"/>
      <c r="Z977" s="83"/>
      <c r="AA977" s="70"/>
      <c r="AB977" s="70"/>
      <c r="AC977" s="70"/>
      <c r="AE977" s="70"/>
      <c r="AF977" s="70"/>
      <c r="AG977" s="70"/>
      <c r="AH977" s="70"/>
      <c r="AI977" s="70"/>
      <c r="AJ977" s="70"/>
      <c r="AK977" s="70"/>
      <c r="AL977" s="70"/>
      <c r="AM977" s="70"/>
      <c r="AN977" s="70"/>
      <c r="AO977" s="70"/>
      <c r="AP977" s="70"/>
      <c r="AQ977" s="70"/>
      <c r="AR977" s="70"/>
      <c r="AS977" s="70"/>
      <c r="AT977" s="70"/>
    </row>
    <row r="978" ht="15.0" customHeight="1">
      <c r="A978" s="70"/>
      <c r="B978" s="70"/>
      <c r="C978" s="70"/>
      <c r="D978" s="80"/>
      <c r="E978" s="70"/>
      <c r="F978" s="70"/>
      <c r="G978" s="70"/>
      <c r="I978" s="70"/>
      <c r="J978" s="70"/>
      <c r="L978" s="70"/>
      <c r="M978" s="70"/>
      <c r="N978" s="70"/>
      <c r="O978" s="70"/>
      <c r="P978" s="70"/>
      <c r="Q978" s="70"/>
      <c r="R978" s="70"/>
      <c r="S978" s="70"/>
      <c r="T978" s="91"/>
      <c r="U978" s="91"/>
      <c r="V978" s="70"/>
      <c r="W978" s="58"/>
      <c r="X978" s="58"/>
      <c r="Y978" s="70"/>
      <c r="Z978" s="83"/>
      <c r="AA978" s="70"/>
      <c r="AB978" s="70"/>
      <c r="AC978" s="70"/>
      <c r="AE978" s="70"/>
      <c r="AF978" s="70"/>
      <c r="AG978" s="70"/>
      <c r="AH978" s="70"/>
      <c r="AI978" s="70"/>
      <c r="AJ978" s="70"/>
      <c r="AK978" s="70"/>
      <c r="AL978" s="70"/>
      <c r="AM978" s="70"/>
      <c r="AN978" s="70"/>
      <c r="AO978" s="70"/>
      <c r="AP978" s="70"/>
      <c r="AQ978" s="70"/>
      <c r="AR978" s="70"/>
      <c r="AS978" s="70"/>
      <c r="AT978" s="70"/>
    </row>
    <row r="979" ht="15.0" customHeight="1">
      <c r="A979" s="70"/>
      <c r="B979" s="70"/>
      <c r="C979" s="70"/>
      <c r="D979" s="80"/>
      <c r="E979" s="70"/>
      <c r="F979" s="70"/>
      <c r="G979" s="70"/>
      <c r="I979" s="70"/>
      <c r="J979" s="70"/>
      <c r="L979" s="70"/>
      <c r="M979" s="70"/>
      <c r="N979" s="70"/>
      <c r="O979" s="70"/>
      <c r="P979" s="70"/>
      <c r="Q979" s="70"/>
      <c r="R979" s="70"/>
      <c r="S979" s="70"/>
      <c r="T979" s="91"/>
      <c r="U979" s="91"/>
      <c r="V979" s="70"/>
      <c r="W979" s="58"/>
      <c r="X979" s="58"/>
      <c r="Y979" s="70"/>
      <c r="Z979" s="83"/>
      <c r="AA979" s="70"/>
      <c r="AB979" s="70"/>
      <c r="AC979" s="70"/>
      <c r="AE979" s="70"/>
      <c r="AF979" s="70"/>
      <c r="AG979" s="70"/>
      <c r="AH979" s="70"/>
      <c r="AI979" s="70"/>
      <c r="AJ979" s="70"/>
      <c r="AK979" s="70"/>
      <c r="AL979" s="70"/>
      <c r="AM979" s="70"/>
      <c r="AN979" s="70"/>
      <c r="AO979" s="70"/>
      <c r="AP979" s="70"/>
      <c r="AQ979" s="70"/>
      <c r="AR979" s="70"/>
      <c r="AS979" s="70"/>
      <c r="AT979" s="70"/>
    </row>
    <row r="980" ht="15.0" customHeight="1">
      <c r="A980" s="70"/>
      <c r="B980" s="70"/>
      <c r="C980" s="70"/>
      <c r="D980" s="80"/>
      <c r="E980" s="70"/>
      <c r="F980" s="70"/>
      <c r="G980" s="70"/>
      <c r="I980" s="70"/>
      <c r="J980" s="70"/>
      <c r="L980" s="70"/>
      <c r="M980" s="70"/>
      <c r="N980" s="70"/>
      <c r="O980" s="70"/>
      <c r="P980" s="70"/>
      <c r="Q980" s="70"/>
      <c r="R980" s="70"/>
      <c r="S980" s="70"/>
      <c r="T980" s="91"/>
      <c r="U980" s="91"/>
      <c r="V980" s="70"/>
      <c r="W980" s="58"/>
      <c r="X980" s="58"/>
      <c r="Y980" s="70"/>
      <c r="Z980" s="83"/>
      <c r="AA980" s="70"/>
      <c r="AB980" s="70"/>
      <c r="AC980" s="70"/>
      <c r="AE980" s="70"/>
      <c r="AF980" s="70"/>
      <c r="AG980" s="70"/>
      <c r="AH980" s="70"/>
      <c r="AI980" s="70"/>
      <c r="AJ980" s="70"/>
      <c r="AK980" s="70"/>
      <c r="AL980" s="70"/>
      <c r="AM980" s="70"/>
      <c r="AN980" s="70"/>
      <c r="AO980" s="70"/>
      <c r="AP980" s="70"/>
      <c r="AQ980" s="70"/>
      <c r="AR980" s="70"/>
      <c r="AS980" s="70"/>
      <c r="AT980" s="70"/>
    </row>
    <row r="981" ht="15.0" customHeight="1">
      <c r="A981" s="70"/>
      <c r="B981" s="70"/>
      <c r="C981" s="70"/>
      <c r="D981" s="80"/>
      <c r="E981" s="70"/>
      <c r="F981" s="70"/>
      <c r="G981" s="70"/>
      <c r="I981" s="70"/>
      <c r="J981" s="70"/>
      <c r="L981" s="70"/>
      <c r="M981" s="70"/>
      <c r="N981" s="70"/>
      <c r="O981" s="70"/>
      <c r="P981" s="70"/>
      <c r="Q981" s="70"/>
      <c r="R981" s="70"/>
      <c r="S981" s="70"/>
      <c r="T981" s="91"/>
      <c r="U981" s="91"/>
      <c r="V981" s="70"/>
      <c r="W981" s="58"/>
      <c r="X981" s="58"/>
      <c r="Y981" s="70"/>
      <c r="Z981" s="83"/>
      <c r="AA981" s="70"/>
      <c r="AB981" s="70"/>
      <c r="AC981" s="70"/>
      <c r="AE981" s="70"/>
      <c r="AF981" s="70"/>
      <c r="AG981" s="70"/>
      <c r="AH981" s="70"/>
      <c r="AI981" s="70"/>
      <c r="AJ981" s="70"/>
      <c r="AK981" s="70"/>
      <c r="AL981" s="70"/>
      <c r="AM981" s="70"/>
      <c r="AN981" s="70"/>
      <c r="AO981" s="70"/>
      <c r="AP981" s="70"/>
      <c r="AQ981" s="70"/>
      <c r="AR981" s="70"/>
      <c r="AS981" s="70"/>
      <c r="AT981" s="70"/>
    </row>
    <row r="982" ht="15.0" customHeight="1">
      <c r="A982" s="70"/>
      <c r="B982" s="70"/>
      <c r="C982" s="70"/>
      <c r="D982" s="80"/>
      <c r="E982" s="70"/>
      <c r="F982" s="70"/>
      <c r="G982" s="70"/>
      <c r="I982" s="70"/>
      <c r="J982" s="70"/>
      <c r="L982" s="70"/>
      <c r="M982" s="70"/>
      <c r="N982" s="70"/>
      <c r="O982" s="70"/>
      <c r="P982" s="70"/>
      <c r="Q982" s="70"/>
      <c r="R982" s="70"/>
      <c r="S982" s="70"/>
      <c r="T982" s="91"/>
      <c r="U982" s="91"/>
      <c r="V982" s="70"/>
      <c r="W982" s="58"/>
      <c r="X982" s="58"/>
      <c r="Y982" s="70"/>
      <c r="Z982" s="83"/>
      <c r="AA982" s="70"/>
      <c r="AB982" s="70"/>
      <c r="AC982" s="70"/>
      <c r="AE982" s="70"/>
      <c r="AF982" s="70"/>
      <c r="AG982" s="70"/>
      <c r="AH982" s="70"/>
      <c r="AI982" s="70"/>
      <c r="AJ982" s="70"/>
      <c r="AK982" s="70"/>
      <c r="AL982" s="70"/>
      <c r="AM982" s="70"/>
      <c r="AN982" s="70"/>
      <c r="AO982" s="70"/>
      <c r="AP982" s="70"/>
      <c r="AQ982" s="70"/>
      <c r="AR982" s="70"/>
      <c r="AS982" s="70"/>
      <c r="AT982" s="70"/>
    </row>
    <row r="983" ht="15.0" customHeight="1">
      <c r="A983" s="70"/>
      <c r="B983" s="70"/>
      <c r="C983" s="70"/>
      <c r="D983" s="80"/>
      <c r="E983" s="70"/>
      <c r="F983" s="70"/>
      <c r="G983" s="70"/>
      <c r="I983" s="70"/>
      <c r="J983" s="70"/>
      <c r="L983" s="70"/>
      <c r="M983" s="70"/>
      <c r="N983" s="70"/>
      <c r="O983" s="70"/>
      <c r="P983" s="70"/>
      <c r="Q983" s="70"/>
      <c r="R983" s="70"/>
      <c r="S983" s="70"/>
      <c r="T983" s="91"/>
      <c r="U983" s="91"/>
      <c r="V983" s="70"/>
      <c r="W983" s="58"/>
      <c r="X983" s="58"/>
      <c r="Y983" s="70"/>
      <c r="Z983" s="83"/>
      <c r="AA983" s="70"/>
      <c r="AB983" s="70"/>
      <c r="AC983" s="70"/>
      <c r="AE983" s="70"/>
      <c r="AF983" s="70"/>
      <c r="AG983" s="70"/>
      <c r="AH983" s="70"/>
      <c r="AI983" s="70"/>
      <c r="AJ983" s="70"/>
      <c r="AK983" s="70"/>
      <c r="AL983" s="70"/>
      <c r="AM983" s="70"/>
      <c r="AN983" s="70"/>
      <c r="AO983" s="70"/>
      <c r="AP983" s="70"/>
      <c r="AQ983" s="70"/>
      <c r="AR983" s="70"/>
      <c r="AS983" s="70"/>
      <c r="AT983" s="70"/>
    </row>
    <row r="984" ht="15.0" customHeight="1">
      <c r="A984" s="70"/>
      <c r="B984" s="70"/>
      <c r="C984" s="70"/>
      <c r="D984" s="80"/>
      <c r="E984" s="70"/>
      <c r="F984" s="70"/>
      <c r="G984" s="70"/>
      <c r="I984" s="70"/>
      <c r="J984" s="70"/>
      <c r="L984" s="70"/>
      <c r="M984" s="70"/>
      <c r="N984" s="70"/>
      <c r="O984" s="70"/>
      <c r="P984" s="70"/>
      <c r="Q984" s="70"/>
      <c r="R984" s="70"/>
      <c r="S984" s="70"/>
      <c r="T984" s="91"/>
      <c r="U984" s="91"/>
      <c r="V984" s="70"/>
      <c r="W984" s="58"/>
      <c r="X984" s="58"/>
      <c r="Y984" s="70"/>
      <c r="Z984" s="83"/>
      <c r="AA984" s="70"/>
      <c r="AB984" s="70"/>
      <c r="AC984" s="70"/>
      <c r="AE984" s="70"/>
      <c r="AF984" s="70"/>
      <c r="AG984" s="70"/>
      <c r="AH984" s="70"/>
      <c r="AI984" s="70"/>
      <c r="AJ984" s="70"/>
      <c r="AK984" s="70"/>
      <c r="AL984" s="70"/>
      <c r="AM984" s="70"/>
      <c r="AN984" s="70"/>
      <c r="AO984" s="70"/>
      <c r="AP984" s="70"/>
      <c r="AQ984" s="70"/>
      <c r="AR984" s="70"/>
      <c r="AS984" s="70"/>
      <c r="AT984" s="70"/>
    </row>
    <row r="985" ht="15.0" customHeight="1">
      <c r="A985" s="70"/>
      <c r="B985" s="70"/>
      <c r="C985" s="70"/>
      <c r="D985" s="80"/>
      <c r="E985" s="70"/>
      <c r="F985" s="70"/>
      <c r="G985" s="70"/>
      <c r="I985" s="70"/>
      <c r="J985" s="70"/>
      <c r="L985" s="70"/>
      <c r="M985" s="70"/>
      <c r="N985" s="70"/>
      <c r="O985" s="70"/>
      <c r="P985" s="70"/>
      <c r="Q985" s="70"/>
      <c r="R985" s="70"/>
      <c r="S985" s="70"/>
      <c r="T985" s="91"/>
      <c r="U985" s="91"/>
      <c r="V985" s="70"/>
      <c r="W985" s="58"/>
      <c r="X985" s="58"/>
      <c r="Y985" s="70"/>
      <c r="Z985" s="83"/>
      <c r="AA985" s="70"/>
      <c r="AB985" s="70"/>
      <c r="AC985" s="70"/>
      <c r="AE985" s="70"/>
      <c r="AF985" s="70"/>
      <c r="AG985" s="70"/>
      <c r="AH985" s="70"/>
      <c r="AI985" s="70"/>
      <c r="AJ985" s="70"/>
      <c r="AK985" s="70"/>
      <c r="AL985" s="70"/>
      <c r="AM985" s="70"/>
      <c r="AN985" s="70"/>
      <c r="AO985" s="70"/>
      <c r="AP985" s="70"/>
      <c r="AQ985" s="70"/>
      <c r="AR985" s="70"/>
      <c r="AS985" s="70"/>
      <c r="AT985" s="70"/>
    </row>
    <row r="986" ht="15.0" customHeight="1">
      <c r="A986" s="70"/>
      <c r="B986" s="70"/>
      <c r="C986" s="70"/>
      <c r="D986" s="80"/>
      <c r="E986" s="70"/>
      <c r="F986" s="70"/>
      <c r="G986" s="70"/>
      <c r="I986" s="70"/>
      <c r="J986" s="70"/>
      <c r="L986" s="70"/>
      <c r="M986" s="70"/>
      <c r="N986" s="70"/>
      <c r="O986" s="70"/>
      <c r="P986" s="70"/>
      <c r="Q986" s="70"/>
      <c r="R986" s="70"/>
      <c r="S986" s="70"/>
      <c r="T986" s="91"/>
      <c r="U986" s="91"/>
      <c r="V986" s="70"/>
      <c r="W986" s="58"/>
      <c r="X986" s="58"/>
      <c r="Y986" s="70"/>
      <c r="Z986" s="83"/>
      <c r="AA986" s="70"/>
      <c r="AB986" s="70"/>
      <c r="AC986" s="70"/>
      <c r="AE986" s="70"/>
      <c r="AF986" s="70"/>
      <c r="AG986" s="70"/>
      <c r="AH986" s="70"/>
      <c r="AI986" s="70"/>
      <c r="AJ986" s="70"/>
      <c r="AK986" s="70"/>
      <c r="AL986" s="70"/>
      <c r="AM986" s="70"/>
      <c r="AN986" s="70"/>
      <c r="AO986" s="70"/>
      <c r="AP986" s="70"/>
      <c r="AQ986" s="70"/>
      <c r="AR986" s="70"/>
      <c r="AS986" s="70"/>
      <c r="AT986" s="70"/>
    </row>
    <row r="987" ht="15.0" customHeight="1">
      <c r="A987" s="70"/>
      <c r="B987" s="70"/>
      <c r="C987" s="70"/>
      <c r="D987" s="80"/>
      <c r="E987" s="70"/>
      <c r="F987" s="70"/>
      <c r="G987" s="70"/>
      <c r="I987" s="70"/>
      <c r="J987" s="70"/>
      <c r="L987" s="70"/>
      <c r="M987" s="70"/>
      <c r="N987" s="70"/>
      <c r="O987" s="70"/>
      <c r="P987" s="70"/>
      <c r="Q987" s="70"/>
      <c r="R987" s="70"/>
      <c r="S987" s="70"/>
      <c r="T987" s="91"/>
      <c r="U987" s="91"/>
      <c r="V987" s="70"/>
      <c r="W987" s="58"/>
      <c r="X987" s="58"/>
      <c r="Y987" s="70"/>
      <c r="Z987" s="83"/>
      <c r="AA987" s="70"/>
      <c r="AB987" s="70"/>
      <c r="AC987" s="70"/>
      <c r="AE987" s="70"/>
      <c r="AF987" s="70"/>
      <c r="AG987" s="70"/>
      <c r="AH987" s="70"/>
      <c r="AI987" s="70"/>
      <c r="AJ987" s="70"/>
      <c r="AK987" s="70"/>
      <c r="AL987" s="70"/>
      <c r="AM987" s="70"/>
      <c r="AN987" s="70"/>
      <c r="AO987" s="70"/>
      <c r="AP987" s="70"/>
      <c r="AQ987" s="70"/>
      <c r="AR987" s="70"/>
      <c r="AS987" s="70"/>
      <c r="AT987" s="70"/>
    </row>
    <row r="988" ht="15.0" customHeight="1">
      <c r="A988" s="70"/>
      <c r="B988" s="70"/>
      <c r="C988" s="70"/>
      <c r="D988" s="80"/>
      <c r="E988" s="70"/>
      <c r="F988" s="70"/>
      <c r="G988" s="70"/>
      <c r="I988" s="70"/>
      <c r="J988" s="70"/>
      <c r="L988" s="70"/>
      <c r="M988" s="70"/>
      <c r="N988" s="70"/>
      <c r="O988" s="70"/>
      <c r="P988" s="70"/>
      <c r="Q988" s="70"/>
      <c r="R988" s="70"/>
      <c r="S988" s="70"/>
      <c r="T988" s="91"/>
      <c r="U988" s="91"/>
      <c r="V988" s="70"/>
      <c r="W988" s="58"/>
      <c r="X988" s="58"/>
      <c r="Y988" s="70"/>
      <c r="Z988" s="83"/>
      <c r="AA988" s="70"/>
      <c r="AB988" s="70"/>
      <c r="AC988" s="70"/>
      <c r="AE988" s="70"/>
      <c r="AF988" s="70"/>
      <c r="AG988" s="70"/>
      <c r="AH988" s="70"/>
      <c r="AI988" s="70"/>
      <c r="AJ988" s="70"/>
      <c r="AK988" s="70"/>
      <c r="AL988" s="70"/>
      <c r="AM988" s="70"/>
      <c r="AN988" s="70"/>
      <c r="AO988" s="70"/>
      <c r="AP988" s="70"/>
      <c r="AQ988" s="70"/>
      <c r="AR988" s="70"/>
      <c r="AS988" s="70"/>
      <c r="AT988" s="70"/>
    </row>
    <row r="989" ht="15.0" customHeight="1">
      <c r="A989" s="70"/>
      <c r="B989" s="70"/>
      <c r="C989" s="70"/>
      <c r="D989" s="80"/>
      <c r="E989" s="70"/>
      <c r="F989" s="70"/>
      <c r="G989" s="70"/>
      <c r="I989" s="70"/>
      <c r="J989" s="70"/>
      <c r="L989" s="70"/>
      <c r="M989" s="70"/>
      <c r="N989" s="70"/>
      <c r="O989" s="70"/>
      <c r="P989" s="70"/>
      <c r="Q989" s="70"/>
      <c r="R989" s="70"/>
      <c r="S989" s="70"/>
      <c r="T989" s="91"/>
      <c r="U989" s="91"/>
      <c r="V989" s="70"/>
      <c r="W989" s="58"/>
      <c r="X989" s="58"/>
      <c r="Y989" s="70"/>
      <c r="Z989" s="83"/>
      <c r="AA989" s="70"/>
      <c r="AB989" s="70"/>
      <c r="AC989" s="70"/>
      <c r="AE989" s="70"/>
      <c r="AF989" s="70"/>
      <c r="AG989" s="70"/>
      <c r="AH989" s="70"/>
      <c r="AI989" s="70"/>
      <c r="AJ989" s="70"/>
      <c r="AK989" s="70"/>
      <c r="AL989" s="70"/>
      <c r="AM989" s="70"/>
      <c r="AN989" s="70"/>
      <c r="AO989" s="70"/>
      <c r="AP989" s="70"/>
      <c r="AQ989" s="70"/>
      <c r="AR989" s="70"/>
      <c r="AS989" s="70"/>
      <c r="AT989" s="70"/>
    </row>
    <row r="990" ht="15.0" customHeight="1">
      <c r="A990" s="70"/>
      <c r="B990" s="70"/>
      <c r="C990" s="70"/>
      <c r="D990" s="80"/>
      <c r="E990" s="70"/>
      <c r="F990" s="70"/>
      <c r="G990" s="70"/>
      <c r="I990" s="70"/>
      <c r="J990" s="70"/>
      <c r="L990" s="70"/>
      <c r="M990" s="70"/>
      <c r="N990" s="70"/>
      <c r="O990" s="70"/>
      <c r="P990" s="70"/>
      <c r="Q990" s="70"/>
      <c r="R990" s="70"/>
      <c r="S990" s="70"/>
      <c r="T990" s="91"/>
      <c r="U990" s="91"/>
      <c r="V990" s="70"/>
      <c r="W990" s="58"/>
      <c r="X990" s="58"/>
      <c r="Y990" s="70"/>
      <c r="Z990" s="83"/>
      <c r="AA990" s="70"/>
      <c r="AB990" s="70"/>
      <c r="AC990" s="70"/>
      <c r="AE990" s="70"/>
      <c r="AF990" s="70"/>
      <c r="AG990" s="70"/>
      <c r="AH990" s="70"/>
      <c r="AI990" s="70"/>
      <c r="AJ990" s="70"/>
      <c r="AK990" s="70"/>
      <c r="AL990" s="70"/>
      <c r="AM990" s="70"/>
      <c r="AN990" s="70"/>
      <c r="AO990" s="70"/>
      <c r="AP990" s="70"/>
      <c r="AQ990" s="70"/>
      <c r="AR990" s="70"/>
      <c r="AS990" s="70"/>
      <c r="AT990" s="70"/>
    </row>
    <row r="991" ht="15.0" customHeight="1">
      <c r="A991" s="70"/>
      <c r="B991" s="70"/>
      <c r="C991" s="70"/>
      <c r="D991" s="80"/>
      <c r="E991" s="70"/>
      <c r="F991" s="70"/>
      <c r="G991" s="70"/>
      <c r="I991" s="70"/>
      <c r="J991" s="70"/>
      <c r="L991" s="70"/>
      <c r="M991" s="70"/>
      <c r="N991" s="70"/>
      <c r="O991" s="70"/>
      <c r="P991" s="70"/>
      <c r="Q991" s="70"/>
      <c r="R991" s="70"/>
      <c r="S991" s="70"/>
      <c r="T991" s="91"/>
      <c r="U991" s="91"/>
      <c r="V991" s="70"/>
      <c r="W991" s="58"/>
      <c r="X991" s="58"/>
      <c r="Y991" s="70"/>
      <c r="Z991" s="83"/>
      <c r="AA991" s="70"/>
      <c r="AB991" s="70"/>
      <c r="AC991" s="70"/>
      <c r="AE991" s="70"/>
      <c r="AF991" s="70"/>
      <c r="AG991" s="70"/>
      <c r="AH991" s="70"/>
      <c r="AI991" s="70"/>
      <c r="AJ991" s="70"/>
      <c r="AK991" s="70"/>
      <c r="AL991" s="70"/>
      <c r="AM991" s="70"/>
      <c r="AN991" s="70"/>
      <c r="AO991" s="70"/>
      <c r="AP991" s="70"/>
      <c r="AQ991" s="70"/>
      <c r="AR991" s="70"/>
      <c r="AS991" s="70"/>
      <c r="AT991" s="70"/>
    </row>
    <row r="992" ht="15.0" customHeight="1">
      <c r="A992" s="70"/>
      <c r="B992" s="70"/>
      <c r="C992" s="70"/>
      <c r="D992" s="80"/>
      <c r="E992" s="70"/>
      <c r="F992" s="70"/>
      <c r="G992" s="70"/>
      <c r="I992" s="70"/>
      <c r="J992" s="70"/>
      <c r="L992" s="70"/>
      <c r="M992" s="70"/>
      <c r="N992" s="70"/>
      <c r="O992" s="70"/>
      <c r="P992" s="70"/>
      <c r="Q992" s="70"/>
      <c r="R992" s="70"/>
      <c r="S992" s="70"/>
      <c r="T992" s="91"/>
      <c r="U992" s="91"/>
      <c r="V992" s="70"/>
      <c r="W992" s="58"/>
      <c r="X992" s="58"/>
      <c r="Y992" s="70"/>
      <c r="Z992" s="83"/>
      <c r="AA992" s="70"/>
      <c r="AB992" s="70"/>
      <c r="AC992" s="70"/>
      <c r="AE992" s="70"/>
      <c r="AF992" s="70"/>
      <c r="AG992" s="70"/>
      <c r="AH992" s="70"/>
      <c r="AI992" s="70"/>
      <c r="AJ992" s="70"/>
      <c r="AK992" s="70"/>
      <c r="AL992" s="70"/>
      <c r="AM992" s="70"/>
      <c r="AN992" s="70"/>
      <c r="AO992" s="70"/>
      <c r="AP992" s="70"/>
      <c r="AQ992" s="70"/>
      <c r="AR992" s="70"/>
      <c r="AS992" s="70"/>
      <c r="AT992" s="70"/>
    </row>
    <row r="993" ht="15.0" customHeight="1">
      <c r="A993" s="70"/>
      <c r="B993" s="70"/>
      <c r="C993" s="70"/>
      <c r="D993" s="80"/>
      <c r="E993" s="70"/>
      <c r="F993" s="70"/>
      <c r="G993" s="70"/>
      <c r="I993" s="70"/>
      <c r="J993" s="70"/>
      <c r="L993" s="70"/>
      <c r="M993" s="70"/>
      <c r="N993" s="70"/>
      <c r="O993" s="70"/>
      <c r="P993" s="70"/>
      <c r="Q993" s="70"/>
      <c r="R993" s="70"/>
      <c r="S993" s="70"/>
      <c r="T993" s="91"/>
      <c r="U993" s="91"/>
      <c r="V993" s="70"/>
      <c r="W993" s="58"/>
      <c r="X993" s="58"/>
      <c r="Y993" s="70"/>
      <c r="Z993" s="83"/>
      <c r="AA993" s="70"/>
      <c r="AB993" s="70"/>
      <c r="AC993" s="70"/>
      <c r="AE993" s="70"/>
      <c r="AF993" s="70"/>
      <c r="AG993" s="70"/>
      <c r="AH993" s="70"/>
      <c r="AI993" s="70"/>
      <c r="AJ993" s="70"/>
      <c r="AK993" s="70"/>
      <c r="AL993" s="70"/>
      <c r="AM993" s="70"/>
      <c r="AN993" s="70"/>
      <c r="AO993" s="70"/>
      <c r="AP993" s="70"/>
      <c r="AQ993" s="70"/>
      <c r="AR993" s="70"/>
      <c r="AS993" s="70"/>
      <c r="AT993" s="70"/>
    </row>
    <row r="994" ht="15.0" customHeight="1">
      <c r="A994" s="70"/>
      <c r="B994" s="70"/>
      <c r="C994" s="70"/>
      <c r="D994" s="80"/>
      <c r="E994" s="70"/>
      <c r="F994" s="70"/>
      <c r="G994" s="70"/>
      <c r="I994" s="70"/>
      <c r="J994" s="70"/>
      <c r="L994" s="70"/>
      <c r="M994" s="70"/>
      <c r="N994" s="70"/>
      <c r="O994" s="70"/>
      <c r="P994" s="70"/>
      <c r="Q994" s="70"/>
      <c r="R994" s="70"/>
      <c r="S994" s="70"/>
      <c r="T994" s="91"/>
      <c r="U994" s="91"/>
      <c r="V994" s="70"/>
      <c r="W994" s="58"/>
      <c r="X994" s="58"/>
      <c r="Y994" s="70"/>
      <c r="Z994" s="83"/>
      <c r="AA994" s="70"/>
      <c r="AB994" s="70"/>
      <c r="AC994" s="70"/>
      <c r="AE994" s="70"/>
      <c r="AF994" s="70"/>
      <c r="AG994" s="70"/>
      <c r="AH994" s="70"/>
      <c r="AI994" s="70"/>
      <c r="AJ994" s="70"/>
      <c r="AK994" s="70"/>
      <c r="AL994" s="70"/>
      <c r="AM994" s="70"/>
      <c r="AN994" s="70"/>
      <c r="AO994" s="70"/>
      <c r="AP994" s="70"/>
      <c r="AQ994" s="70"/>
      <c r="AR994" s="70"/>
      <c r="AS994" s="70"/>
      <c r="AT994" s="70"/>
    </row>
    <row r="995" ht="15.0" customHeight="1">
      <c r="A995" s="70"/>
      <c r="B995" s="70"/>
      <c r="C995" s="70"/>
      <c r="D995" s="80"/>
      <c r="E995" s="70"/>
      <c r="F995" s="70"/>
      <c r="G995" s="70"/>
      <c r="I995" s="70"/>
      <c r="J995" s="70"/>
      <c r="L995" s="70"/>
      <c r="M995" s="70"/>
      <c r="N995" s="70"/>
      <c r="O995" s="70"/>
      <c r="P995" s="70"/>
      <c r="Q995" s="70"/>
      <c r="R995" s="70"/>
      <c r="S995" s="70"/>
      <c r="T995" s="91"/>
      <c r="U995" s="91"/>
      <c r="V995" s="70"/>
      <c r="W995" s="58"/>
      <c r="X995" s="58"/>
      <c r="Y995" s="70"/>
      <c r="Z995" s="83"/>
      <c r="AA995" s="70"/>
      <c r="AB995" s="70"/>
      <c r="AC995" s="70"/>
      <c r="AE995" s="70"/>
      <c r="AF995" s="70"/>
      <c r="AG995" s="70"/>
      <c r="AH995" s="70"/>
      <c r="AI995" s="70"/>
      <c r="AJ995" s="70"/>
      <c r="AK995" s="70"/>
      <c r="AL995" s="70"/>
      <c r="AM995" s="70"/>
      <c r="AN995" s="70"/>
      <c r="AO995" s="70"/>
      <c r="AP995" s="70"/>
      <c r="AQ995" s="70"/>
      <c r="AR995" s="70"/>
      <c r="AS995" s="70"/>
      <c r="AT995" s="70"/>
    </row>
    <row r="996" ht="15.0" customHeight="1">
      <c r="A996" s="70"/>
      <c r="B996" s="70"/>
      <c r="C996" s="70"/>
      <c r="D996" s="80"/>
      <c r="E996" s="70"/>
      <c r="F996" s="70"/>
      <c r="G996" s="70"/>
      <c r="I996" s="70"/>
      <c r="J996" s="70"/>
      <c r="L996" s="70"/>
      <c r="M996" s="70"/>
      <c r="N996" s="70"/>
      <c r="O996" s="70"/>
      <c r="P996" s="70"/>
      <c r="Q996" s="70"/>
      <c r="R996" s="70"/>
      <c r="S996" s="70"/>
      <c r="T996" s="91"/>
      <c r="U996" s="91"/>
      <c r="V996" s="70"/>
      <c r="W996" s="58"/>
      <c r="X996" s="58"/>
      <c r="Y996" s="70"/>
      <c r="Z996" s="83"/>
      <c r="AA996" s="70"/>
      <c r="AB996" s="70"/>
      <c r="AC996" s="70"/>
      <c r="AE996" s="70"/>
      <c r="AF996" s="70"/>
      <c r="AG996" s="70"/>
      <c r="AH996" s="70"/>
      <c r="AI996" s="70"/>
      <c r="AJ996" s="70"/>
      <c r="AK996" s="70"/>
      <c r="AL996" s="70"/>
      <c r="AM996" s="70"/>
      <c r="AN996" s="70"/>
      <c r="AO996" s="70"/>
      <c r="AP996" s="70"/>
      <c r="AQ996" s="70"/>
      <c r="AR996" s="70"/>
      <c r="AS996" s="70"/>
      <c r="AT996" s="70"/>
    </row>
    <row r="997" ht="15.0" customHeight="1">
      <c r="A997" s="70"/>
      <c r="B997" s="70"/>
      <c r="C997" s="70"/>
      <c r="D997" s="80"/>
      <c r="E997" s="70"/>
      <c r="F997" s="70"/>
      <c r="G997" s="70"/>
      <c r="I997" s="70"/>
      <c r="J997" s="70"/>
      <c r="L997" s="70"/>
      <c r="M997" s="70"/>
      <c r="N997" s="70"/>
      <c r="O997" s="70"/>
      <c r="P997" s="70"/>
      <c r="Q997" s="70"/>
      <c r="R997" s="70"/>
      <c r="S997" s="70"/>
      <c r="T997" s="91"/>
      <c r="U997" s="91"/>
      <c r="V997" s="70"/>
      <c r="W997" s="58"/>
      <c r="X997" s="58"/>
      <c r="Y997" s="70"/>
      <c r="Z997" s="83"/>
      <c r="AA997" s="70"/>
      <c r="AB997" s="70"/>
      <c r="AC997" s="70"/>
      <c r="AE997" s="70"/>
      <c r="AF997" s="70"/>
      <c r="AG997" s="70"/>
      <c r="AH997" s="70"/>
      <c r="AI997" s="70"/>
      <c r="AJ997" s="70"/>
      <c r="AK997" s="70"/>
      <c r="AL997" s="70"/>
      <c r="AM997" s="70"/>
      <c r="AN997" s="70"/>
      <c r="AO997" s="70"/>
      <c r="AP997" s="70"/>
      <c r="AQ997" s="70"/>
      <c r="AR997" s="70"/>
      <c r="AS997" s="70"/>
      <c r="AT997" s="70"/>
    </row>
    <row r="998" ht="15.0" customHeight="1">
      <c r="A998" s="70"/>
      <c r="B998" s="70"/>
      <c r="C998" s="70"/>
      <c r="D998" s="80"/>
      <c r="E998" s="70"/>
      <c r="F998" s="70"/>
      <c r="G998" s="70"/>
      <c r="I998" s="70"/>
      <c r="J998" s="70"/>
      <c r="L998" s="70"/>
      <c r="M998" s="70"/>
      <c r="N998" s="70"/>
      <c r="O998" s="70"/>
      <c r="P998" s="70"/>
      <c r="Q998" s="70"/>
      <c r="R998" s="70"/>
      <c r="S998" s="70"/>
      <c r="T998" s="91"/>
      <c r="U998" s="91"/>
      <c r="V998" s="70"/>
      <c r="W998" s="58"/>
      <c r="X998" s="58"/>
      <c r="Y998" s="70"/>
      <c r="Z998" s="83"/>
      <c r="AA998" s="70"/>
      <c r="AB998" s="70"/>
      <c r="AC998" s="70"/>
      <c r="AE998" s="70"/>
      <c r="AF998" s="70"/>
      <c r="AG998" s="70"/>
      <c r="AH998" s="70"/>
      <c r="AI998" s="70"/>
      <c r="AJ998" s="70"/>
      <c r="AK998" s="70"/>
      <c r="AL998" s="70"/>
      <c r="AM998" s="70"/>
      <c r="AN998" s="70"/>
      <c r="AO998" s="70"/>
      <c r="AP998" s="70"/>
      <c r="AQ998" s="70"/>
      <c r="AR998" s="70"/>
      <c r="AS998" s="70"/>
      <c r="AT998" s="70"/>
    </row>
    <row r="999" ht="15.0" customHeight="1">
      <c r="A999" s="70"/>
      <c r="B999" s="70"/>
      <c r="C999" s="70"/>
      <c r="D999" s="80"/>
      <c r="E999" s="70"/>
      <c r="F999" s="70"/>
      <c r="G999" s="70"/>
      <c r="I999" s="70"/>
      <c r="J999" s="70"/>
      <c r="L999" s="70"/>
      <c r="M999" s="70"/>
      <c r="N999" s="70"/>
      <c r="O999" s="70"/>
      <c r="P999" s="70"/>
      <c r="Q999" s="70"/>
      <c r="R999" s="70"/>
      <c r="S999" s="70"/>
      <c r="T999" s="91"/>
      <c r="U999" s="91"/>
      <c r="V999" s="70"/>
      <c r="W999" s="58"/>
      <c r="X999" s="58"/>
      <c r="Y999" s="70"/>
      <c r="Z999" s="83"/>
      <c r="AA999" s="70"/>
      <c r="AB999" s="70"/>
      <c r="AC999" s="70"/>
      <c r="AE999" s="70"/>
      <c r="AF999" s="70"/>
      <c r="AG999" s="70"/>
      <c r="AH999" s="70"/>
      <c r="AI999" s="70"/>
      <c r="AJ999" s="70"/>
      <c r="AK999" s="70"/>
      <c r="AL999" s="70"/>
      <c r="AM999" s="70"/>
      <c r="AN999" s="70"/>
      <c r="AO999" s="70"/>
      <c r="AP999" s="70"/>
      <c r="AQ999" s="70"/>
      <c r="AR999" s="70"/>
      <c r="AS999" s="70"/>
      <c r="AT999" s="70"/>
    </row>
    <row r="1000" ht="15.0" customHeight="1">
      <c r="A1000" s="70"/>
      <c r="B1000" s="70"/>
      <c r="C1000" s="70"/>
      <c r="D1000" s="80"/>
      <c r="E1000" s="70"/>
      <c r="F1000" s="70"/>
      <c r="G1000" s="70"/>
      <c r="I1000" s="70"/>
      <c r="J1000" s="70"/>
      <c r="L1000" s="70"/>
      <c r="M1000" s="70"/>
      <c r="N1000" s="70"/>
      <c r="O1000" s="70"/>
      <c r="P1000" s="70"/>
      <c r="Q1000" s="70"/>
      <c r="R1000" s="70"/>
      <c r="S1000" s="70"/>
      <c r="T1000" s="91"/>
      <c r="U1000" s="91"/>
      <c r="V1000" s="70"/>
      <c r="W1000" s="58"/>
      <c r="X1000" s="58"/>
      <c r="Y1000" s="70"/>
      <c r="Z1000" s="83"/>
      <c r="AA1000" s="70"/>
      <c r="AB1000" s="70"/>
      <c r="AC1000" s="70"/>
      <c r="AE1000" s="70"/>
      <c r="AF1000" s="70"/>
      <c r="AG1000" s="70"/>
      <c r="AH1000" s="70"/>
      <c r="AI1000" s="70"/>
      <c r="AJ1000" s="70"/>
      <c r="AK1000" s="70"/>
      <c r="AL1000" s="70"/>
      <c r="AM1000" s="70"/>
      <c r="AN1000" s="70"/>
      <c r="AO1000" s="70"/>
      <c r="AP1000" s="70"/>
      <c r="AQ1000" s="70"/>
      <c r="AR1000" s="70"/>
      <c r="AS1000" s="70"/>
      <c r="AT1000" s="70"/>
    </row>
    <row r="1001" ht="15.0" customHeight="1">
      <c r="A1001" s="70"/>
      <c r="B1001" s="70"/>
      <c r="C1001" s="70"/>
      <c r="D1001" s="80"/>
      <c r="E1001" s="70"/>
      <c r="F1001" s="70"/>
      <c r="G1001" s="70"/>
      <c r="I1001" s="70"/>
      <c r="J1001" s="70"/>
      <c r="L1001" s="70"/>
      <c r="M1001" s="70"/>
      <c r="N1001" s="70"/>
      <c r="O1001" s="70"/>
      <c r="P1001" s="70"/>
      <c r="Q1001" s="70"/>
      <c r="R1001" s="70"/>
      <c r="S1001" s="70"/>
      <c r="T1001" s="91"/>
      <c r="U1001" s="91"/>
      <c r="V1001" s="70"/>
      <c r="W1001" s="58"/>
      <c r="X1001" s="58"/>
      <c r="Y1001" s="70"/>
      <c r="Z1001" s="83"/>
      <c r="AA1001" s="70"/>
      <c r="AB1001" s="70"/>
      <c r="AC1001" s="70"/>
      <c r="AE1001" s="70"/>
      <c r="AF1001" s="70"/>
      <c r="AG1001" s="70"/>
      <c r="AH1001" s="70"/>
      <c r="AI1001" s="70"/>
      <c r="AJ1001" s="70"/>
      <c r="AK1001" s="70"/>
      <c r="AL1001" s="70"/>
      <c r="AM1001" s="70"/>
      <c r="AN1001" s="70"/>
      <c r="AO1001" s="70"/>
      <c r="AP1001" s="70"/>
      <c r="AQ1001" s="70"/>
      <c r="AR1001" s="70"/>
      <c r="AS1001" s="70"/>
      <c r="AT1001" s="70"/>
    </row>
    <row r="1002" ht="15.0" customHeight="1">
      <c r="A1002" s="70"/>
      <c r="B1002" s="70"/>
      <c r="C1002" s="70"/>
      <c r="D1002" s="80"/>
      <c r="E1002" s="70"/>
      <c r="F1002" s="70"/>
      <c r="G1002" s="70"/>
      <c r="I1002" s="70"/>
      <c r="J1002" s="70"/>
      <c r="L1002" s="70"/>
      <c r="M1002" s="70"/>
      <c r="N1002" s="70"/>
      <c r="O1002" s="70"/>
      <c r="P1002" s="70"/>
      <c r="Q1002" s="70"/>
      <c r="R1002" s="70"/>
      <c r="S1002" s="70"/>
      <c r="T1002" s="91"/>
      <c r="U1002" s="91"/>
      <c r="V1002" s="70"/>
      <c r="W1002" s="58"/>
      <c r="X1002" s="58"/>
      <c r="Y1002" s="70"/>
      <c r="Z1002" s="83"/>
      <c r="AA1002" s="70"/>
      <c r="AB1002" s="70"/>
      <c r="AC1002" s="70"/>
      <c r="AE1002" s="70"/>
      <c r="AF1002" s="70"/>
      <c r="AG1002" s="70"/>
      <c r="AH1002" s="70"/>
      <c r="AI1002" s="70"/>
      <c r="AJ1002" s="70"/>
      <c r="AK1002" s="70"/>
      <c r="AL1002" s="70"/>
      <c r="AM1002" s="70"/>
      <c r="AN1002" s="70"/>
      <c r="AO1002" s="70"/>
      <c r="AP1002" s="70"/>
      <c r="AQ1002" s="70"/>
      <c r="AR1002" s="70"/>
      <c r="AS1002" s="70"/>
      <c r="AT1002" s="70"/>
    </row>
    <row r="1003" ht="15.0" customHeight="1">
      <c r="A1003" s="70"/>
      <c r="B1003" s="70"/>
      <c r="C1003" s="70"/>
      <c r="D1003" s="80"/>
      <c r="E1003" s="70"/>
      <c r="F1003" s="70"/>
      <c r="G1003" s="70"/>
      <c r="I1003" s="70"/>
      <c r="J1003" s="70"/>
      <c r="L1003" s="70"/>
      <c r="M1003" s="70"/>
      <c r="N1003" s="70"/>
      <c r="O1003" s="70"/>
      <c r="P1003" s="70"/>
      <c r="Q1003" s="70"/>
      <c r="R1003" s="70"/>
      <c r="S1003" s="70"/>
      <c r="T1003" s="91"/>
      <c r="U1003" s="91"/>
      <c r="V1003" s="70"/>
      <c r="W1003" s="58"/>
      <c r="X1003" s="58"/>
      <c r="Y1003" s="70"/>
      <c r="Z1003" s="83"/>
      <c r="AA1003" s="70"/>
      <c r="AB1003" s="70"/>
      <c r="AC1003" s="70"/>
      <c r="AE1003" s="70"/>
      <c r="AF1003" s="70"/>
      <c r="AG1003" s="70"/>
      <c r="AH1003" s="70"/>
      <c r="AI1003" s="70"/>
      <c r="AJ1003" s="70"/>
      <c r="AK1003" s="70"/>
      <c r="AL1003" s="70"/>
      <c r="AM1003" s="70"/>
      <c r="AN1003" s="70"/>
      <c r="AO1003" s="70"/>
      <c r="AP1003" s="70"/>
      <c r="AQ1003" s="70"/>
      <c r="AR1003" s="70"/>
      <c r="AS1003" s="70"/>
      <c r="AT1003" s="70"/>
    </row>
    <row r="1004" ht="15.0" customHeight="1">
      <c r="A1004" s="70"/>
      <c r="B1004" s="70"/>
      <c r="C1004" s="70"/>
      <c r="D1004" s="80"/>
      <c r="E1004" s="70"/>
      <c r="F1004" s="70"/>
      <c r="G1004" s="70"/>
      <c r="I1004" s="70"/>
      <c r="J1004" s="70"/>
      <c r="L1004" s="70"/>
      <c r="M1004" s="70"/>
      <c r="N1004" s="70"/>
      <c r="O1004" s="70"/>
      <c r="P1004" s="70"/>
      <c r="Q1004" s="70"/>
      <c r="R1004" s="70"/>
      <c r="S1004" s="70"/>
      <c r="T1004" s="91"/>
      <c r="U1004" s="91"/>
      <c r="V1004" s="70"/>
      <c r="W1004" s="58"/>
      <c r="X1004" s="58"/>
      <c r="Y1004" s="70"/>
      <c r="Z1004" s="83"/>
      <c r="AA1004" s="70"/>
      <c r="AB1004" s="70"/>
      <c r="AC1004" s="70"/>
      <c r="AE1004" s="70"/>
      <c r="AF1004" s="70"/>
      <c r="AG1004" s="70"/>
      <c r="AH1004" s="70"/>
      <c r="AI1004" s="70"/>
      <c r="AJ1004" s="70"/>
      <c r="AK1004" s="70"/>
      <c r="AL1004" s="70"/>
      <c r="AM1004" s="70"/>
      <c r="AN1004" s="70"/>
      <c r="AO1004" s="70"/>
      <c r="AP1004" s="70"/>
      <c r="AQ1004" s="70"/>
      <c r="AR1004" s="70"/>
      <c r="AS1004" s="70"/>
      <c r="AT1004" s="70"/>
    </row>
    <row r="1005" ht="15.0" customHeight="1">
      <c r="A1005" s="70"/>
      <c r="B1005" s="70"/>
      <c r="C1005" s="70"/>
      <c r="D1005" s="80"/>
      <c r="E1005" s="70"/>
      <c r="F1005" s="70"/>
      <c r="G1005" s="70"/>
      <c r="I1005" s="70"/>
      <c r="J1005" s="70"/>
      <c r="L1005" s="70"/>
      <c r="M1005" s="70"/>
      <c r="N1005" s="70"/>
      <c r="O1005" s="70"/>
      <c r="P1005" s="70"/>
      <c r="Q1005" s="70"/>
      <c r="R1005" s="70"/>
      <c r="S1005" s="70"/>
      <c r="T1005" s="91"/>
      <c r="U1005" s="91"/>
      <c r="V1005" s="70"/>
      <c r="W1005" s="58"/>
      <c r="X1005" s="58"/>
      <c r="Y1005" s="70"/>
      <c r="Z1005" s="83"/>
      <c r="AA1005" s="70"/>
      <c r="AB1005" s="70"/>
      <c r="AC1005" s="70"/>
      <c r="AE1005" s="70"/>
      <c r="AF1005" s="70"/>
      <c r="AG1005" s="70"/>
      <c r="AH1005" s="70"/>
      <c r="AI1005" s="70"/>
      <c r="AJ1005" s="70"/>
      <c r="AK1005" s="70"/>
      <c r="AL1005" s="70"/>
      <c r="AM1005" s="70"/>
      <c r="AN1005" s="70"/>
      <c r="AO1005" s="70"/>
      <c r="AP1005" s="70"/>
      <c r="AQ1005" s="70"/>
      <c r="AR1005" s="70"/>
      <c r="AS1005" s="70"/>
      <c r="AT1005" s="70"/>
    </row>
    <row r="1006" ht="15.0" customHeight="1">
      <c r="A1006" s="70"/>
      <c r="B1006" s="70"/>
      <c r="C1006" s="70"/>
      <c r="D1006" s="80"/>
      <c r="E1006" s="70"/>
      <c r="F1006" s="70"/>
      <c r="G1006" s="70"/>
      <c r="I1006" s="70"/>
      <c r="J1006" s="70"/>
      <c r="L1006" s="70"/>
      <c r="M1006" s="70"/>
      <c r="N1006" s="70"/>
      <c r="O1006" s="70"/>
      <c r="P1006" s="70"/>
      <c r="Q1006" s="70"/>
      <c r="R1006" s="70"/>
      <c r="S1006" s="70"/>
      <c r="T1006" s="91"/>
      <c r="U1006" s="91"/>
      <c r="V1006" s="70"/>
      <c r="W1006" s="58"/>
      <c r="X1006" s="58"/>
      <c r="Y1006" s="70"/>
      <c r="Z1006" s="83"/>
      <c r="AA1006" s="70"/>
      <c r="AB1006" s="70"/>
      <c r="AC1006" s="70"/>
      <c r="AE1006" s="70"/>
      <c r="AF1006" s="70"/>
      <c r="AG1006" s="70"/>
      <c r="AH1006" s="70"/>
      <c r="AI1006" s="70"/>
      <c r="AJ1006" s="70"/>
      <c r="AK1006" s="70"/>
      <c r="AL1006" s="70"/>
      <c r="AM1006" s="70"/>
      <c r="AN1006" s="70"/>
      <c r="AO1006" s="70"/>
      <c r="AP1006" s="70"/>
      <c r="AQ1006" s="70"/>
      <c r="AR1006" s="70"/>
      <c r="AS1006" s="70"/>
      <c r="AT1006" s="70"/>
    </row>
    <row r="1007" ht="15.0" customHeight="1">
      <c r="A1007" s="70"/>
      <c r="B1007" s="70"/>
      <c r="C1007" s="70"/>
      <c r="D1007" s="80"/>
      <c r="E1007" s="70"/>
      <c r="F1007" s="70"/>
      <c r="G1007" s="70"/>
      <c r="I1007" s="70"/>
      <c r="J1007" s="70"/>
      <c r="L1007" s="70"/>
      <c r="M1007" s="70"/>
      <c r="N1007" s="70"/>
      <c r="O1007" s="70"/>
      <c r="P1007" s="70"/>
      <c r="Q1007" s="70"/>
      <c r="R1007" s="70"/>
      <c r="S1007" s="70"/>
      <c r="T1007" s="91"/>
      <c r="U1007" s="91"/>
      <c r="V1007" s="70"/>
      <c r="W1007" s="58"/>
      <c r="X1007" s="58"/>
      <c r="Y1007" s="70"/>
      <c r="Z1007" s="83"/>
      <c r="AA1007" s="70"/>
      <c r="AB1007" s="70"/>
      <c r="AC1007" s="70"/>
      <c r="AE1007" s="70"/>
      <c r="AF1007" s="70"/>
      <c r="AG1007" s="70"/>
      <c r="AH1007" s="70"/>
      <c r="AI1007" s="70"/>
      <c r="AJ1007" s="70"/>
      <c r="AK1007" s="70"/>
      <c r="AL1007" s="70"/>
      <c r="AM1007" s="70"/>
      <c r="AN1007" s="70"/>
      <c r="AO1007" s="70"/>
      <c r="AP1007" s="70"/>
      <c r="AQ1007" s="70"/>
      <c r="AR1007" s="70"/>
      <c r="AS1007" s="70"/>
      <c r="AT1007" s="70"/>
    </row>
    <row r="1008" ht="15.0" customHeight="1">
      <c r="A1008" s="70"/>
      <c r="B1008" s="70"/>
      <c r="C1008" s="70"/>
      <c r="D1008" s="80"/>
      <c r="E1008" s="70"/>
      <c r="F1008" s="70"/>
      <c r="G1008" s="70"/>
      <c r="I1008" s="70"/>
      <c r="J1008" s="70"/>
      <c r="L1008" s="70"/>
      <c r="M1008" s="70"/>
      <c r="N1008" s="70"/>
      <c r="O1008" s="70"/>
      <c r="P1008" s="70"/>
      <c r="Q1008" s="70"/>
      <c r="R1008" s="70"/>
      <c r="S1008" s="70"/>
      <c r="T1008" s="91"/>
      <c r="U1008" s="91"/>
      <c r="V1008" s="70"/>
      <c r="W1008" s="58"/>
      <c r="X1008" s="58"/>
      <c r="Y1008" s="70"/>
      <c r="Z1008" s="83"/>
      <c r="AA1008" s="70"/>
      <c r="AB1008" s="70"/>
      <c r="AC1008" s="70"/>
      <c r="AE1008" s="70"/>
      <c r="AF1008" s="70"/>
      <c r="AG1008" s="70"/>
      <c r="AH1008" s="70"/>
      <c r="AI1008" s="70"/>
      <c r="AJ1008" s="70"/>
      <c r="AK1008" s="70"/>
      <c r="AL1008" s="70"/>
      <c r="AM1008" s="70"/>
      <c r="AN1008" s="70"/>
      <c r="AO1008" s="70"/>
      <c r="AP1008" s="70"/>
      <c r="AQ1008" s="70"/>
      <c r="AR1008" s="70"/>
      <c r="AS1008" s="70"/>
      <c r="AT1008" s="70"/>
    </row>
    <row r="1009" ht="15.0" customHeight="1">
      <c r="A1009" s="70"/>
      <c r="B1009" s="70"/>
      <c r="C1009" s="70"/>
      <c r="D1009" s="80"/>
      <c r="E1009" s="70"/>
      <c r="F1009" s="70"/>
      <c r="G1009" s="70"/>
      <c r="I1009" s="70"/>
      <c r="J1009" s="70"/>
      <c r="L1009" s="70"/>
      <c r="M1009" s="70"/>
      <c r="N1009" s="70"/>
      <c r="O1009" s="70"/>
      <c r="P1009" s="70"/>
      <c r="Q1009" s="70"/>
      <c r="R1009" s="70"/>
      <c r="S1009" s="70"/>
      <c r="T1009" s="91"/>
      <c r="U1009" s="91"/>
      <c r="V1009" s="70"/>
      <c r="W1009" s="58"/>
      <c r="X1009" s="58"/>
      <c r="Y1009" s="70"/>
      <c r="Z1009" s="83"/>
      <c r="AA1009" s="70"/>
      <c r="AB1009" s="70"/>
      <c r="AC1009" s="70"/>
      <c r="AE1009" s="70"/>
      <c r="AF1009" s="70"/>
      <c r="AG1009" s="70"/>
      <c r="AH1009" s="70"/>
      <c r="AI1009" s="70"/>
      <c r="AJ1009" s="70"/>
      <c r="AK1009" s="70"/>
      <c r="AL1009" s="70"/>
      <c r="AM1009" s="70"/>
      <c r="AN1009" s="70"/>
      <c r="AO1009" s="70"/>
      <c r="AP1009" s="70"/>
      <c r="AQ1009" s="70"/>
      <c r="AR1009" s="70"/>
      <c r="AS1009" s="70"/>
      <c r="AT1009" s="70"/>
    </row>
    <row r="1010" ht="15.0" customHeight="1">
      <c r="A1010" s="70"/>
      <c r="B1010" s="70"/>
      <c r="C1010" s="70"/>
      <c r="D1010" s="80"/>
      <c r="E1010" s="70"/>
      <c r="F1010" s="70"/>
      <c r="G1010" s="70"/>
      <c r="I1010" s="70"/>
      <c r="J1010" s="70"/>
      <c r="L1010" s="70"/>
      <c r="M1010" s="70"/>
      <c r="N1010" s="70"/>
      <c r="O1010" s="70"/>
      <c r="P1010" s="70"/>
      <c r="Q1010" s="70"/>
      <c r="R1010" s="70"/>
      <c r="S1010" s="70"/>
      <c r="T1010" s="91"/>
      <c r="U1010" s="91"/>
      <c r="V1010" s="70"/>
      <c r="W1010" s="58"/>
      <c r="X1010" s="58"/>
      <c r="Y1010" s="70"/>
      <c r="Z1010" s="83"/>
      <c r="AA1010" s="70"/>
      <c r="AB1010" s="70"/>
      <c r="AC1010" s="70"/>
      <c r="AE1010" s="70"/>
      <c r="AF1010" s="70"/>
      <c r="AG1010" s="70"/>
      <c r="AH1010" s="70"/>
      <c r="AI1010" s="70"/>
      <c r="AJ1010" s="70"/>
      <c r="AK1010" s="70"/>
      <c r="AL1010" s="70"/>
      <c r="AM1010" s="70"/>
      <c r="AN1010" s="70"/>
      <c r="AO1010" s="70"/>
      <c r="AP1010" s="70"/>
      <c r="AQ1010" s="70"/>
      <c r="AR1010" s="70"/>
      <c r="AS1010" s="70"/>
      <c r="AT1010" s="70"/>
    </row>
    <row r="1011" ht="15.0" customHeight="1">
      <c r="A1011" s="70"/>
      <c r="B1011" s="70"/>
      <c r="C1011" s="70"/>
      <c r="D1011" s="80"/>
      <c r="E1011" s="70"/>
      <c r="F1011" s="70"/>
      <c r="G1011" s="70"/>
      <c r="I1011" s="70"/>
      <c r="J1011" s="70"/>
      <c r="L1011" s="70"/>
      <c r="M1011" s="70"/>
      <c r="N1011" s="70"/>
      <c r="O1011" s="70"/>
      <c r="P1011" s="70"/>
      <c r="Q1011" s="70"/>
      <c r="R1011" s="70"/>
      <c r="S1011" s="70"/>
      <c r="T1011" s="91"/>
      <c r="U1011" s="91"/>
      <c r="V1011" s="70"/>
      <c r="W1011" s="58"/>
      <c r="X1011" s="58"/>
      <c r="Y1011" s="70"/>
      <c r="Z1011" s="83"/>
      <c r="AA1011" s="70"/>
      <c r="AB1011" s="70"/>
      <c r="AC1011" s="70"/>
      <c r="AE1011" s="70"/>
      <c r="AF1011" s="70"/>
      <c r="AG1011" s="70"/>
      <c r="AH1011" s="70"/>
      <c r="AI1011" s="70"/>
      <c r="AJ1011" s="70"/>
      <c r="AK1011" s="70"/>
      <c r="AL1011" s="70"/>
      <c r="AM1011" s="70"/>
      <c r="AN1011" s="70"/>
      <c r="AO1011" s="70"/>
      <c r="AP1011" s="70"/>
      <c r="AQ1011" s="70"/>
      <c r="AR1011" s="70"/>
      <c r="AS1011" s="70"/>
      <c r="AT1011" s="70"/>
    </row>
    <row r="1012" ht="15.0" customHeight="1">
      <c r="A1012" s="70"/>
      <c r="B1012" s="70"/>
      <c r="C1012" s="70"/>
      <c r="D1012" s="80"/>
      <c r="E1012" s="70"/>
      <c r="F1012" s="70"/>
      <c r="G1012" s="70"/>
      <c r="I1012" s="70"/>
      <c r="J1012" s="70"/>
      <c r="L1012" s="70"/>
      <c r="M1012" s="70"/>
      <c r="N1012" s="70"/>
      <c r="O1012" s="70"/>
      <c r="P1012" s="70"/>
      <c r="Q1012" s="70"/>
      <c r="R1012" s="70"/>
      <c r="S1012" s="70"/>
      <c r="T1012" s="91"/>
      <c r="U1012" s="91"/>
      <c r="V1012" s="70"/>
      <c r="W1012" s="58"/>
      <c r="X1012" s="58"/>
      <c r="Y1012" s="70"/>
      <c r="Z1012" s="83"/>
      <c r="AA1012" s="70"/>
      <c r="AB1012" s="70"/>
      <c r="AC1012" s="70"/>
      <c r="AE1012" s="70"/>
      <c r="AF1012" s="70"/>
      <c r="AG1012" s="70"/>
      <c r="AH1012" s="70"/>
      <c r="AI1012" s="70"/>
      <c r="AJ1012" s="70"/>
      <c r="AK1012" s="70"/>
      <c r="AL1012" s="70"/>
      <c r="AM1012" s="70"/>
      <c r="AN1012" s="70"/>
      <c r="AO1012" s="70"/>
      <c r="AP1012" s="70"/>
      <c r="AQ1012" s="70"/>
      <c r="AR1012" s="70"/>
      <c r="AS1012" s="70"/>
      <c r="AT1012" s="70"/>
    </row>
    <row r="1013" ht="15.0" customHeight="1">
      <c r="A1013" s="70"/>
      <c r="B1013" s="70"/>
      <c r="C1013" s="70"/>
      <c r="D1013" s="80"/>
      <c r="E1013" s="70"/>
      <c r="F1013" s="70"/>
      <c r="G1013" s="70"/>
      <c r="I1013" s="70"/>
      <c r="J1013" s="70"/>
      <c r="L1013" s="70"/>
      <c r="M1013" s="70"/>
      <c r="N1013" s="70"/>
      <c r="O1013" s="70"/>
      <c r="P1013" s="70"/>
      <c r="Q1013" s="70"/>
      <c r="R1013" s="70"/>
      <c r="S1013" s="70"/>
      <c r="T1013" s="91"/>
      <c r="U1013" s="91"/>
      <c r="V1013" s="70"/>
      <c r="W1013" s="58"/>
      <c r="X1013" s="58"/>
      <c r="Y1013" s="70"/>
      <c r="Z1013" s="83"/>
      <c r="AA1013" s="70"/>
      <c r="AB1013" s="70"/>
      <c r="AC1013" s="70"/>
      <c r="AE1013" s="70"/>
      <c r="AF1013" s="70"/>
      <c r="AG1013" s="70"/>
      <c r="AH1013" s="70"/>
      <c r="AI1013" s="70"/>
      <c r="AJ1013" s="70"/>
      <c r="AK1013" s="70"/>
      <c r="AL1013" s="70"/>
      <c r="AM1013" s="70"/>
      <c r="AN1013" s="70"/>
      <c r="AO1013" s="70"/>
      <c r="AP1013" s="70"/>
      <c r="AQ1013" s="70"/>
      <c r="AR1013" s="70"/>
      <c r="AS1013" s="70"/>
      <c r="AT1013" s="70"/>
    </row>
    <row r="1014" ht="15.0" customHeight="1">
      <c r="A1014" s="70"/>
      <c r="B1014" s="70"/>
      <c r="C1014" s="70"/>
      <c r="D1014" s="80"/>
      <c r="E1014" s="70"/>
      <c r="F1014" s="70"/>
      <c r="G1014" s="70"/>
      <c r="I1014" s="70"/>
      <c r="J1014" s="70"/>
      <c r="L1014" s="70"/>
      <c r="M1014" s="70"/>
      <c r="N1014" s="70"/>
      <c r="O1014" s="70"/>
      <c r="P1014" s="70"/>
      <c r="Q1014" s="70"/>
      <c r="R1014" s="70"/>
      <c r="S1014" s="70"/>
      <c r="T1014" s="91"/>
      <c r="U1014" s="91"/>
      <c r="V1014" s="70"/>
      <c r="W1014" s="58"/>
      <c r="X1014" s="58"/>
      <c r="Y1014" s="70"/>
      <c r="Z1014" s="83"/>
      <c r="AA1014" s="70"/>
      <c r="AB1014" s="70"/>
      <c r="AC1014" s="70"/>
      <c r="AE1014" s="70"/>
      <c r="AF1014" s="70"/>
      <c r="AG1014" s="70"/>
      <c r="AH1014" s="70"/>
      <c r="AI1014" s="70"/>
      <c r="AJ1014" s="70"/>
      <c r="AK1014" s="70"/>
      <c r="AL1014" s="70"/>
      <c r="AM1014" s="70"/>
      <c r="AN1014" s="70"/>
      <c r="AO1014" s="70"/>
      <c r="AP1014" s="70"/>
      <c r="AQ1014" s="70"/>
      <c r="AR1014" s="70"/>
      <c r="AS1014" s="70"/>
      <c r="AT1014" s="70"/>
    </row>
    <row r="1015" ht="15.0" customHeight="1">
      <c r="A1015" s="70"/>
      <c r="B1015" s="70"/>
      <c r="C1015" s="70"/>
      <c r="D1015" s="80"/>
      <c r="E1015" s="70"/>
      <c r="F1015" s="70"/>
      <c r="G1015" s="70"/>
      <c r="I1015" s="70"/>
      <c r="J1015" s="70"/>
      <c r="L1015" s="70"/>
      <c r="M1015" s="70"/>
      <c r="N1015" s="70"/>
      <c r="O1015" s="70"/>
      <c r="P1015" s="70"/>
      <c r="Q1015" s="70"/>
      <c r="R1015" s="70"/>
      <c r="S1015" s="70"/>
      <c r="T1015" s="91"/>
      <c r="U1015" s="91"/>
      <c r="V1015" s="70"/>
      <c r="W1015" s="58"/>
      <c r="X1015" s="58"/>
      <c r="Y1015" s="70"/>
      <c r="Z1015" s="83"/>
      <c r="AA1015" s="70"/>
      <c r="AB1015" s="70"/>
      <c r="AC1015" s="70"/>
      <c r="AE1015" s="70"/>
      <c r="AF1015" s="70"/>
      <c r="AG1015" s="70"/>
      <c r="AH1015" s="70"/>
      <c r="AI1015" s="70"/>
      <c r="AJ1015" s="70"/>
      <c r="AK1015" s="70"/>
      <c r="AL1015" s="70"/>
      <c r="AM1015" s="70"/>
      <c r="AN1015" s="70"/>
      <c r="AO1015" s="70"/>
      <c r="AP1015" s="70"/>
      <c r="AQ1015" s="70"/>
      <c r="AR1015" s="70"/>
      <c r="AS1015" s="70"/>
      <c r="AT1015" s="70"/>
    </row>
    <row r="1016" ht="15.0" customHeight="1">
      <c r="A1016" s="70"/>
      <c r="B1016" s="70"/>
      <c r="C1016" s="70"/>
      <c r="D1016" s="80"/>
      <c r="E1016" s="70"/>
      <c r="F1016" s="70"/>
      <c r="G1016" s="70"/>
      <c r="I1016" s="70"/>
      <c r="J1016" s="70"/>
      <c r="L1016" s="70"/>
      <c r="M1016" s="70"/>
      <c r="N1016" s="70"/>
      <c r="O1016" s="70"/>
      <c r="P1016" s="70"/>
      <c r="Q1016" s="70"/>
      <c r="R1016" s="70"/>
      <c r="S1016" s="70"/>
      <c r="T1016" s="91"/>
      <c r="U1016" s="91"/>
      <c r="V1016" s="70"/>
      <c r="W1016" s="58"/>
      <c r="X1016" s="58"/>
      <c r="Y1016" s="70"/>
      <c r="Z1016" s="83"/>
      <c r="AA1016" s="70"/>
      <c r="AB1016" s="70"/>
      <c r="AC1016" s="70"/>
      <c r="AE1016" s="70"/>
      <c r="AF1016" s="70"/>
      <c r="AG1016" s="70"/>
      <c r="AH1016" s="70"/>
      <c r="AI1016" s="70"/>
      <c r="AJ1016" s="70"/>
      <c r="AK1016" s="70"/>
      <c r="AL1016" s="70"/>
      <c r="AM1016" s="70"/>
      <c r="AN1016" s="70"/>
      <c r="AO1016" s="70"/>
      <c r="AP1016" s="70"/>
      <c r="AQ1016" s="70"/>
      <c r="AR1016" s="70"/>
      <c r="AS1016" s="70"/>
      <c r="AT1016" s="70"/>
    </row>
    <row r="1017" ht="15.0" customHeight="1">
      <c r="A1017" s="70"/>
      <c r="B1017" s="70"/>
      <c r="C1017" s="70"/>
      <c r="D1017" s="80"/>
      <c r="E1017" s="70"/>
      <c r="F1017" s="70"/>
      <c r="G1017" s="70"/>
      <c r="I1017" s="70"/>
      <c r="J1017" s="70"/>
      <c r="L1017" s="70"/>
      <c r="M1017" s="70"/>
      <c r="N1017" s="70"/>
      <c r="O1017" s="70"/>
      <c r="P1017" s="70"/>
      <c r="Q1017" s="70"/>
      <c r="R1017" s="70"/>
      <c r="S1017" s="70"/>
      <c r="T1017" s="91"/>
      <c r="U1017" s="91"/>
      <c r="V1017" s="70"/>
      <c r="W1017" s="58"/>
      <c r="X1017" s="58"/>
      <c r="Y1017" s="70"/>
      <c r="Z1017" s="83"/>
      <c r="AA1017" s="70"/>
      <c r="AB1017" s="70"/>
      <c r="AC1017" s="70"/>
      <c r="AE1017" s="70"/>
      <c r="AF1017" s="70"/>
      <c r="AG1017" s="70"/>
      <c r="AH1017" s="70"/>
      <c r="AI1017" s="70"/>
      <c r="AJ1017" s="70"/>
      <c r="AK1017" s="70"/>
      <c r="AL1017" s="70"/>
      <c r="AM1017" s="70"/>
      <c r="AN1017" s="70"/>
      <c r="AO1017" s="70"/>
      <c r="AP1017" s="70"/>
      <c r="AQ1017" s="70"/>
      <c r="AR1017" s="70"/>
      <c r="AS1017" s="70"/>
      <c r="AT1017" s="70"/>
    </row>
    <row r="1018" ht="15.0" customHeight="1">
      <c r="A1018" s="70"/>
      <c r="B1018" s="70"/>
      <c r="C1018" s="70"/>
      <c r="D1018" s="80"/>
      <c r="E1018" s="70"/>
      <c r="F1018" s="70"/>
      <c r="G1018" s="70"/>
      <c r="I1018" s="70"/>
      <c r="J1018" s="70"/>
      <c r="L1018" s="70"/>
      <c r="M1018" s="70"/>
      <c r="N1018" s="70"/>
      <c r="O1018" s="70"/>
      <c r="P1018" s="70"/>
      <c r="Q1018" s="70"/>
      <c r="R1018" s="70"/>
      <c r="S1018" s="70"/>
      <c r="T1018" s="91"/>
      <c r="U1018" s="91"/>
      <c r="V1018" s="70"/>
      <c r="W1018" s="58"/>
      <c r="X1018" s="58"/>
      <c r="Y1018" s="70"/>
      <c r="Z1018" s="83"/>
      <c r="AA1018" s="70"/>
      <c r="AB1018" s="70"/>
      <c r="AC1018" s="70"/>
      <c r="AE1018" s="70"/>
      <c r="AF1018" s="70"/>
      <c r="AG1018" s="70"/>
      <c r="AH1018" s="70"/>
      <c r="AI1018" s="70"/>
      <c r="AJ1018" s="70"/>
      <c r="AK1018" s="70"/>
      <c r="AL1018" s="70"/>
      <c r="AM1018" s="70"/>
      <c r="AN1018" s="70"/>
      <c r="AO1018" s="70"/>
      <c r="AP1018" s="70"/>
      <c r="AQ1018" s="70"/>
      <c r="AR1018" s="70"/>
      <c r="AS1018" s="70"/>
      <c r="AT1018" s="70"/>
    </row>
    <row r="1019" ht="15.0" customHeight="1">
      <c r="A1019" s="70"/>
      <c r="B1019" s="70"/>
      <c r="C1019" s="70"/>
      <c r="D1019" s="80"/>
      <c r="E1019" s="70"/>
      <c r="F1019" s="70"/>
      <c r="G1019" s="70"/>
      <c r="I1019" s="70"/>
      <c r="J1019" s="70"/>
      <c r="L1019" s="70"/>
      <c r="M1019" s="70"/>
      <c r="N1019" s="70"/>
      <c r="O1019" s="70"/>
      <c r="P1019" s="70"/>
      <c r="Q1019" s="70"/>
      <c r="R1019" s="70"/>
      <c r="S1019" s="70"/>
      <c r="T1019" s="91"/>
      <c r="U1019" s="91"/>
      <c r="V1019" s="70"/>
      <c r="W1019" s="58"/>
      <c r="X1019" s="58"/>
      <c r="Y1019" s="70"/>
      <c r="Z1019" s="83"/>
      <c r="AA1019" s="70"/>
      <c r="AB1019" s="70"/>
      <c r="AC1019" s="70"/>
      <c r="AE1019" s="70"/>
      <c r="AF1019" s="70"/>
      <c r="AG1019" s="70"/>
      <c r="AH1019" s="70"/>
      <c r="AI1019" s="70"/>
      <c r="AJ1019" s="70"/>
      <c r="AK1019" s="70"/>
      <c r="AL1019" s="70"/>
      <c r="AM1019" s="70"/>
      <c r="AN1019" s="70"/>
      <c r="AO1019" s="70"/>
      <c r="AP1019" s="70"/>
      <c r="AQ1019" s="70"/>
      <c r="AR1019" s="70"/>
      <c r="AS1019" s="70"/>
      <c r="AT1019" s="70"/>
    </row>
    <row r="1020" ht="15.0" customHeight="1">
      <c r="A1020" s="70"/>
      <c r="B1020" s="70"/>
      <c r="C1020" s="70"/>
      <c r="D1020" s="80"/>
      <c r="E1020" s="70"/>
      <c r="F1020" s="70"/>
      <c r="G1020" s="70"/>
      <c r="I1020" s="70"/>
      <c r="J1020" s="70"/>
      <c r="L1020" s="70"/>
      <c r="M1020" s="70"/>
      <c r="N1020" s="70"/>
      <c r="O1020" s="70"/>
      <c r="P1020" s="70"/>
      <c r="Q1020" s="70"/>
      <c r="R1020" s="70"/>
      <c r="S1020" s="70"/>
      <c r="T1020" s="91"/>
      <c r="U1020" s="91"/>
      <c r="V1020" s="70"/>
      <c r="W1020" s="58"/>
      <c r="X1020" s="58"/>
      <c r="Y1020" s="70"/>
      <c r="Z1020" s="83"/>
      <c r="AA1020" s="70"/>
      <c r="AB1020" s="70"/>
      <c r="AC1020" s="70"/>
      <c r="AE1020" s="70"/>
      <c r="AF1020" s="70"/>
      <c r="AG1020" s="70"/>
      <c r="AH1020" s="70"/>
      <c r="AI1020" s="70"/>
      <c r="AJ1020" s="70"/>
      <c r="AK1020" s="70"/>
      <c r="AL1020" s="70"/>
      <c r="AM1020" s="70"/>
      <c r="AN1020" s="70"/>
      <c r="AO1020" s="70"/>
      <c r="AP1020" s="70"/>
      <c r="AQ1020" s="70"/>
      <c r="AR1020" s="70"/>
      <c r="AS1020" s="70"/>
      <c r="AT1020" s="70"/>
    </row>
    <row r="1021" ht="15.0" customHeight="1">
      <c r="A1021" s="70"/>
      <c r="B1021" s="70"/>
      <c r="C1021" s="70"/>
      <c r="D1021" s="80"/>
      <c r="E1021" s="70"/>
      <c r="F1021" s="70"/>
      <c r="G1021" s="70"/>
      <c r="I1021" s="70"/>
      <c r="J1021" s="70"/>
      <c r="L1021" s="70"/>
      <c r="M1021" s="70"/>
      <c r="N1021" s="70"/>
      <c r="O1021" s="70"/>
      <c r="P1021" s="70"/>
      <c r="Q1021" s="70"/>
      <c r="R1021" s="70"/>
      <c r="S1021" s="70"/>
      <c r="T1021" s="91"/>
      <c r="U1021" s="91"/>
      <c r="V1021" s="70"/>
      <c r="W1021" s="58"/>
      <c r="X1021" s="58"/>
      <c r="Y1021" s="70"/>
      <c r="Z1021" s="83"/>
      <c r="AA1021" s="70"/>
      <c r="AB1021" s="70"/>
      <c r="AC1021" s="70"/>
      <c r="AE1021" s="70"/>
      <c r="AF1021" s="70"/>
      <c r="AG1021" s="70"/>
      <c r="AH1021" s="70"/>
      <c r="AI1021" s="70"/>
      <c r="AJ1021" s="70"/>
      <c r="AK1021" s="70"/>
      <c r="AL1021" s="70"/>
      <c r="AM1021" s="70"/>
      <c r="AN1021" s="70"/>
      <c r="AO1021" s="70"/>
      <c r="AP1021" s="70"/>
      <c r="AQ1021" s="70"/>
      <c r="AR1021" s="70"/>
      <c r="AS1021" s="70"/>
      <c r="AT1021" s="70"/>
    </row>
    <row r="1022" ht="15.0" customHeight="1">
      <c r="A1022" s="70"/>
      <c r="B1022" s="70"/>
      <c r="C1022" s="70"/>
      <c r="D1022" s="80"/>
      <c r="E1022" s="70"/>
      <c r="F1022" s="70"/>
      <c r="G1022" s="70"/>
      <c r="I1022" s="70"/>
      <c r="J1022" s="70"/>
      <c r="L1022" s="70"/>
      <c r="M1022" s="70"/>
      <c r="N1022" s="70"/>
      <c r="O1022" s="70"/>
      <c r="P1022" s="70"/>
      <c r="Q1022" s="70"/>
      <c r="R1022" s="70"/>
      <c r="S1022" s="70"/>
      <c r="T1022" s="91"/>
      <c r="U1022" s="91"/>
      <c r="V1022" s="70"/>
      <c r="W1022" s="58"/>
      <c r="X1022" s="58"/>
      <c r="Y1022" s="70"/>
      <c r="Z1022" s="83"/>
      <c r="AA1022" s="70"/>
      <c r="AB1022" s="70"/>
      <c r="AC1022" s="70"/>
      <c r="AE1022" s="70"/>
      <c r="AF1022" s="70"/>
      <c r="AG1022" s="70"/>
      <c r="AH1022" s="70"/>
      <c r="AI1022" s="70"/>
      <c r="AJ1022" s="70"/>
      <c r="AK1022" s="70"/>
      <c r="AL1022" s="70"/>
      <c r="AM1022" s="70"/>
      <c r="AN1022" s="70"/>
      <c r="AO1022" s="70"/>
      <c r="AP1022" s="70"/>
      <c r="AQ1022" s="70"/>
      <c r="AR1022" s="70"/>
      <c r="AS1022" s="70"/>
      <c r="AT1022" s="70"/>
    </row>
    <row r="1023" ht="15.0" customHeight="1">
      <c r="A1023" s="70"/>
      <c r="B1023" s="70"/>
      <c r="C1023" s="70"/>
      <c r="D1023" s="80"/>
      <c r="E1023" s="70"/>
      <c r="F1023" s="70"/>
      <c r="G1023" s="70"/>
      <c r="I1023" s="70"/>
      <c r="J1023" s="70"/>
      <c r="L1023" s="70"/>
      <c r="M1023" s="70"/>
      <c r="N1023" s="70"/>
      <c r="O1023" s="70"/>
      <c r="P1023" s="70"/>
      <c r="Q1023" s="70"/>
      <c r="R1023" s="70"/>
      <c r="S1023" s="70"/>
      <c r="T1023" s="91"/>
      <c r="U1023" s="91"/>
      <c r="V1023" s="70"/>
      <c r="W1023" s="58"/>
      <c r="X1023" s="58"/>
      <c r="Y1023" s="70"/>
      <c r="Z1023" s="83"/>
      <c r="AA1023" s="70"/>
      <c r="AB1023" s="70"/>
      <c r="AC1023" s="70"/>
      <c r="AE1023" s="70"/>
      <c r="AF1023" s="70"/>
      <c r="AG1023" s="70"/>
      <c r="AH1023" s="70"/>
      <c r="AI1023" s="70"/>
      <c r="AJ1023" s="70"/>
      <c r="AK1023" s="70"/>
      <c r="AL1023" s="70"/>
      <c r="AM1023" s="70"/>
      <c r="AN1023" s="70"/>
      <c r="AO1023" s="70"/>
      <c r="AP1023" s="70"/>
      <c r="AQ1023" s="70"/>
      <c r="AR1023" s="70"/>
      <c r="AS1023" s="70"/>
      <c r="AT1023" s="70"/>
    </row>
    <row r="1024" ht="15.0" customHeight="1">
      <c r="A1024" s="70"/>
      <c r="B1024" s="70"/>
      <c r="C1024" s="70"/>
      <c r="D1024" s="80"/>
      <c r="E1024" s="70"/>
      <c r="F1024" s="70"/>
      <c r="G1024" s="70"/>
      <c r="I1024" s="70"/>
      <c r="J1024" s="70"/>
      <c r="L1024" s="70"/>
      <c r="M1024" s="70"/>
      <c r="N1024" s="70"/>
      <c r="O1024" s="70"/>
      <c r="P1024" s="70"/>
      <c r="Q1024" s="70"/>
      <c r="R1024" s="70"/>
      <c r="S1024" s="70"/>
      <c r="T1024" s="91"/>
      <c r="U1024" s="91"/>
      <c r="V1024" s="70"/>
      <c r="W1024" s="58"/>
      <c r="X1024" s="58"/>
      <c r="Y1024" s="70"/>
      <c r="Z1024" s="83"/>
      <c r="AA1024" s="70"/>
      <c r="AB1024" s="70"/>
      <c r="AC1024" s="70"/>
      <c r="AE1024" s="70"/>
      <c r="AF1024" s="70"/>
      <c r="AG1024" s="70"/>
      <c r="AH1024" s="70"/>
      <c r="AI1024" s="70"/>
      <c r="AJ1024" s="70"/>
      <c r="AK1024" s="70"/>
      <c r="AL1024" s="70"/>
      <c r="AM1024" s="70"/>
      <c r="AN1024" s="70"/>
      <c r="AO1024" s="70"/>
      <c r="AP1024" s="70"/>
      <c r="AQ1024" s="70"/>
      <c r="AR1024" s="70"/>
      <c r="AS1024" s="70"/>
      <c r="AT1024" s="70"/>
    </row>
    <row r="1025" ht="15.0" customHeight="1">
      <c r="A1025" s="70"/>
      <c r="B1025" s="70"/>
      <c r="C1025" s="70"/>
      <c r="D1025" s="80"/>
      <c r="E1025" s="70"/>
      <c r="F1025" s="70"/>
      <c r="G1025" s="70"/>
      <c r="I1025" s="70"/>
      <c r="J1025" s="70"/>
      <c r="L1025" s="70"/>
      <c r="M1025" s="70"/>
      <c r="N1025" s="70"/>
      <c r="O1025" s="70"/>
      <c r="P1025" s="70"/>
      <c r="Q1025" s="70"/>
      <c r="R1025" s="70"/>
      <c r="S1025" s="70"/>
      <c r="T1025" s="91"/>
      <c r="U1025" s="91"/>
      <c r="V1025" s="70"/>
      <c r="W1025" s="58"/>
      <c r="X1025" s="58"/>
      <c r="Y1025" s="70"/>
      <c r="Z1025" s="83"/>
      <c r="AA1025" s="70"/>
      <c r="AB1025" s="70"/>
      <c r="AC1025" s="70"/>
      <c r="AE1025" s="70"/>
      <c r="AF1025" s="70"/>
      <c r="AG1025" s="70"/>
      <c r="AH1025" s="70"/>
      <c r="AI1025" s="70"/>
      <c r="AJ1025" s="70"/>
      <c r="AK1025" s="70"/>
      <c r="AL1025" s="70"/>
      <c r="AM1025" s="70"/>
      <c r="AN1025" s="70"/>
      <c r="AO1025" s="70"/>
      <c r="AP1025" s="70"/>
      <c r="AQ1025" s="70"/>
      <c r="AR1025" s="70"/>
      <c r="AS1025" s="70"/>
      <c r="AT1025" s="70"/>
    </row>
    <row r="1026" ht="15.0" customHeight="1">
      <c r="A1026" s="70"/>
      <c r="B1026" s="70"/>
      <c r="C1026" s="70"/>
      <c r="D1026" s="80"/>
      <c r="E1026" s="70"/>
      <c r="F1026" s="70"/>
      <c r="G1026" s="70"/>
      <c r="I1026" s="70"/>
      <c r="J1026" s="70"/>
      <c r="L1026" s="70"/>
      <c r="M1026" s="70"/>
      <c r="N1026" s="70"/>
      <c r="O1026" s="70"/>
      <c r="P1026" s="70"/>
      <c r="Q1026" s="70"/>
      <c r="R1026" s="70"/>
      <c r="S1026" s="70"/>
      <c r="T1026" s="91"/>
      <c r="U1026" s="91"/>
      <c r="V1026" s="70"/>
      <c r="W1026" s="58"/>
      <c r="X1026" s="58"/>
      <c r="Y1026" s="70"/>
      <c r="Z1026" s="83"/>
      <c r="AA1026" s="70"/>
      <c r="AB1026" s="70"/>
      <c r="AC1026" s="70"/>
      <c r="AE1026" s="70"/>
      <c r="AF1026" s="70"/>
      <c r="AG1026" s="70"/>
      <c r="AH1026" s="70"/>
      <c r="AI1026" s="70"/>
      <c r="AJ1026" s="70"/>
      <c r="AK1026" s="70"/>
      <c r="AL1026" s="70"/>
      <c r="AM1026" s="70"/>
      <c r="AN1026" s="70"/>
      <c r="AO1026" s="70"/>
      <c r="AP1026" s="70"/>
      <c r="AQ1026" s="70"/>
      <c r="AR1026" s="70"/>
      <c r="AS1026" s="70"/>
      <c r="AT1026" s="70"/>
    </row>
    <row r="1027" ht="15.0" customHeight="1">
      <c r="A1027" s="70"/>
      <c r="B1027" s="70"/>
      <c r="C1027" s="70"/>
      <c r="D1027" s="80"/>
      <c r="E1027" s="70"/>
      <c r="F1027" s="70"/>
      <c r="G1027" s="70"/>
      <c r="I1027" s="70"/>
      <c r="J1027" s="70"/>
      <c r="L1027" s="70"/>
      <c r="M1027" s="70"/>
      <c r="N1027" s="70"/>
      <c r="O1027" s="70"/>
      <c r="P1027" s="70"/>
      <c r="Q1027" s="70"/>
      <c r="R1027" s="70"/>
      <c r="S1027" s="70"/>
      <c r="T1027" s="91"/>
      <c r="U1027" s="91"/>
      <c r="V1027" s="70"/>
      <c r="W1027" s="58"/>
      <c r="X1027" s="58"/>
      <c r="Y1027" s="70"/>
      <c r="Z1027" s="83"/>
      <c r="AA1027" s="70"/>
      <c r="AB1027" s="70"/>
      <c r="AC1027" s="70"/>
      <c r="AE1027" s="70"/>
      <c r="AF1027" s="70"/>
      <c r="AG1027" s="70"/>
      <c r="AH1027" s="70"/>
      <c r="AI1027" s="70"/>
      <c r="AJ1027" s="70"/>
      <c r="AK1027" s="70"/>
      <c r="AL1027" s="70"/>
      <c r="AM1027" s="70"/>
      <c r="AN1027" s="70"/>
      <c r="AO1027" s="70"/>
      <c r="AP1027" s="70"/>
      <c r="AQ1027" s="70"/>
      <c r="AR1027" s="70"/>
      <c r="AS1027" s="70"/>
      <c r="AT1027" s="70"/>
    </row>
    <row r="1028" ht="15.0" customHeight="1">
      <c r="A1028" s="70"/>
      <c r="B1028" s="70"/>
      <c r="C1028" s="70"/>
      <c r="D1028" s="80"/>
      <c r="E1028" s="70"/>
      <c r="F1028" s="70"/>
      <c r="G1028" s="70"/>
      <c r="I1028" s="70"/>
      <c r="J1028" s="70"/>
      <c r="L1028" s="70"/>
      <c r="M1028" s="70"/>
      <c r="N1028" s="70"/>
      <c r="O1028" s="70"/>
      <c r="P1028" s="70"/>
      <c r="Q1028" s="70"/>
      <c r="R1028" s="70"/>
      <c r="S1028" s="70"/>
      <c r="T1028" s="91"/>
      <c r="U1028" s="91"/>
      <c r="V1028" s="70"/>
      <c r="W1028" s="58"/>
      <c r="X1028" s="58"/>
      <c r="Y1028" s="70"/>
      <c r="Z1028" s="83"/>
      <c r="AA1028" s="70"/>
      <c r="AB1028" s="70"/>
      <c r="AC1028" s="70"/>
      <c r="AE1028" s="70"/>
      <c r="AF1028" s="70"/>
      <c r="AG1028" s="70"/>
      <c r="AH1028" s="70"/>
      <c r="AI1028" s="70"/>
      <c r="AJ1028" s="70"/>
      <c r="AK1028" s="70"/>
      <c r="AL1028" s="70"/>
      <c r="AM1028" s="70"/>
      <c r="AN1028" s="70"/>
      <c r="AO1028" s="70"/>
      <c r="AP1028" s="70"/>
      <c r="AQ1028" s="70"/>
      <c r="AR1028" s="70"/>
      <c r="AS1028" s="70"/>
      <c r="AT1028" s="70"/>
    </row>
    <row r="1029" ht="15.0" customHeight="1">
      <c r="A1029" s="70"/>
      <c r="B1029" s="70"/>
      <c r="C1029" s="70"/>
      <c r="D1029" s="80"/>
      <c r="E1029" s="70"/>
      <c r="F1029" s="70"/>
      <c r="G1029" s="70"/>
      <c r="I1029" s="70"/>
      <c r="J1029" s="70"/>
      <c r="L1029" s="70"/>
      <c r="M1029" s="70"/>
      <c r="N1029" s="70"/>
      <c r="O1029" s="70"/>
      <c r="P1029" s="70"/>
      <c r="Q1029" s="70"/>
      <c r="R1029" s="70"/>
      <c r="S1029" s="70"/>
      <c r="T1029" s="91"/>
      <c r="U1029" s="91"/>
      <c r="V1029" s="70"/>
      <c r="W1029" s="58"/>
      <c r="X1029" s="58"/>
      <c r="Y1029" s="70"/>
      <c r="Z1029" s="83"/>
      <c r="AA1029" s="70"/>
      <c r="AB1029" s="70"/>
      <c r="AC1029" s="70"/>
      <c r="AE1029" s="70"/>
      <c r="AF1029" s="70"/>
      <c r="AG1029" s="70"/>
      <c r="AH1029" s="70"/>
      <c r="AI1029" s="70"/>
      <c r="AJ1029" s="70"/>
      <c r="AK1029" s="70"/>
      <c r="AL1029" s="70"/>
      <c r="AM1029" s="70"/>
      <c r="AN1029" s="70"/>
      <c r="AO1029" s="70"/>
      <c r="AP1029" s="70"/>
      <c r="AQ1029" s="70"/>
      <c r="AR1029" s="70"/>
      <c r="AS1029" s="70"/>
      <c r="AT1029" s="70"/>
    </row>
    <row r="1030" ht="15.0" customHeight="1">
      <c r="A1030" s="70"/>
      <c r="B1030" s="70"/>
      <c r="C1030" s="70"/>
      <c r="D1030" s="80"/>
      <c r="E1030" s="70"/>
      <c r="F1030" s="70"/>
      <c r="G1030" s="70"/>
      <c r="I1030" s="70"/>
      <c r="J1030" s="70"/>
      <c r="L1030" s="70"/>
      <c r="M1030" s="70"/>
      <c r="N1030" s="70"/>
      <c r="O1030" s="70"/>
      <c r="P1030" s="70"/>
      <c r="Q1030" s="70"/>
      <c r="R1030" s="70"/>
      <c r="S1030" s="70"/>
      <c r="T1030" s="91"/>
      <c r="U1030" s="91"/>
      <c r="V1030" s="70"/>
      <c r="W1030" s="58"/>
      <c r="X1030" s="58"/>
      <c r="Y1030" s="70"/>
      <c r="Z1030" s="83"/>
      <c r="AA1030" s="70"/>
      <c r="AB1030" s="70"/>
      <c r="AC1030" s="70"/>
      <c r="AE1030" s="70"/>
      <c r="AF1030" s="70"/>
      <c r="AG1030" s="70"/>
      <c r="AH1030" s="70"/>
      <c r="AI1030" s="70"/>
      <c r="AJ1030" s="70"/>
      <c r="AK1030" s="70"/>
      <c r="AL1030" s="70"/>
      <c r="AM1030" s="70"/>
      <c r="AN1030" s="70"/>
      <c r="AO1030" s="70"/>
      <c r="AP1030" s="70"/>
      <c r="AQ1030" s="70"/>
      <c r="AR1030" s="70"/>
      <c r="AS1030" s="70"/>
      <c r="AT1030" s="70"/>
    </row>
    <row r="1031" ht="15.0" customHeight="1">
      <c r="A1031" s="70"/>
      <c r="B1031" s="70"/>
      <c r="C1031" s="70"/>
      <c r="D1031" s="80"/>
      <c r="E1031" s="70"/>
      <c r="F1031" s="70"/>
      <c r="G1031" s="70"/>
      <c r="I1031" s="70"/>
      <c r="J1031" s="70"/>
      <c r="L1031" s="70"/>
      <c r="M1031" s="70"/>
      <c r="N1031" s="70"/>
      <c r="O1031" s="70"/>
      <c r="P1031" s="70"/>
      <c r="Q1031" s="70"/>
      <c r="R1031" s="70"/>
      <c r="S1031" s="70"/>
      <c r="T1031" s="91"/>
      <c r="U1031" s="91"/>
      <c r="V1031" s="70"/>
      <c r="W1031" s="58"/>
      <c r="X1031" s="58"/>
      <c r="Y1031" s="70"/>
      <c r="Z1031" s="83"/>
      <c r="AA1031" s="70"/>
      <c r="AB1031" s="70"/>
      <c r="AC1031" s="70"/>
      <c r="AE1031" s="70"/>
      <c r="AF1031" s="70"/>
      <c r="AG1031" s="70"/>
      <c r="AH1031" s="70"/>
      <c r="AI1031" s="70"/>
      <c r="AJ1031" s="70"/>
      <c r="AK1031" s="70"/>
      <c r="AL1031" s="70"/>
      <c r="AM1031" s="70"/>
      <c r="AN1031" s="70"/>
      <c r="AO1031" s="70"/>
      <c r="AP1031" s="70"/>
      <c r="AQ1031" s="70"/>
      <c r="AR1031" s="70"/>
      <c r="AS1031" s="70"/>
      <c r="AT1031" s="70"/>
    </row>
    <row r="1032" ht="15.0" customHeight="1">
      <c r="A1032" s="70"/>
      <c r="B1032" s="70"/>
      <c r="C1032" s="70"/>
      <c r="D1032" s="80"/>
      <c r="E1032" s="70"/>
      <c r="F1032" s="70"/>
      <c r="G1032" s="70"/>
      <c r="I1032" s="70"/>
      <c r="J1032" s="70"/>
      <c r="L1032" s="70"/>
      <c r="M1032" s="70"/>
      <c r="N1032" s="70"/>
      <c r="O1032" s="70"/>
      <c r="P1032" s="70"/>
      <c r="Q1032" s="70"/>
      <c r="R1032" s="70"/>
      <c r="S1032" s="70"/>
      <c r="T1032" s="91"/>
      <c r="U1032" s="91"/>
      <c r="V1032" s="70"/>
      <c r="W1032" s="58"/>
      <c r="X1032" s="58"/>
      <c r="Y1032" s="70"/>
      <c r="Z1032" s="83"/>
      <c r="AA1032" s="70"/>
      <c r="AB1032" s="70"/>
      <c r="AC1032" s="70"/>
      <c r="AE1032" s="70"/>
      <c r="AF1032" s="70"/>
      <c r="AG1032" s="70"/>
      <c r="AH1032" s="70"/>
      <c r="AI1032" s="70"/>
      <c r="AJ1032" s="70"/>
      <c r="AK1032" s="70"/>
      <c r="AL1032" s="70"/>
      <c r="AM1032" s="70"/>
      <c r="AN1032" s="70"/>
      <c r="AO1032" s="70"/>
      <c r="AP1032" s="70"/>
      <c r="AQ1032" s="70"/>
      <c r="AR1032" s="70"/>
      <c r="AS1032" s="70"/>
      <c r="AT1032" s="70"/>
    </row>
    <row r="1033" ht="15.0" customHeight="1">
      <c r="A1033" s="70"/>
      <c r="B1033" s="70"/>
      <c r="C1033" s="70"/>
      <c r="D1033" s="80"/>
      <c r="E1033" s="70"/>
      <c r="F1033" s="70"/>
      <c r="G1033" s="70"/>
      <c r="I1033" s="70"/>
      <c r="J1033" s="70"/>
      <c r="L1033" s="70"/>
      <c r="M1033" s="70"/>
      <c r="N1033" s="70"/>
      <c r="O1033" s="70"/>
      <c r="P1033" s="70"/>
      <c r="Q1033" s="70"/>
      <c r="R1033" s="70"/>
      <c r="S1033" s="70"/>
      <c r="T1033" s="91"/>
      <c r="U1033" s="91"/>
      <c r="V1033" s="70"/>
      <c r="W1033" s="58"/>
      <c r="X1033" s="58"/>
      <c r="Y1033" s="70"/>
      <c r="Z1033" s="83"/>
      <c r="AA1033" s="70"/>
      <c r="AB1033" s="70"/>
      <c r="AC1033" s="70"/>
      <c r="AE1033" s="70"/>
      <c r="AF1033" s="70"/>
      <c r="AG1033" s="70"/>
      <c r="AH1033" s="70"/>
      <c r="AI1033" s="70"/>
      <c r="AJ1033" s="70"/>
      <c r="AK1033" s="70"/>
      <c r="AL1033" s="70"/>
      <c r="AM1033" s="70"/>
      <c r="AN1033" s="70"/>
      <c r="AO1033" s="70"/>
      <c r="AP1033" s="70"/>
      <c r="AQ1033" s="70"/>
      <c r="AR1033" s="70"/>
      <c r="AS1033" s="70"/>
      <c r="AT1033" s="70"/>
    </row>
    <row r="1034" ht="15.0" customHeight="1">
      <c r="A1034" s="70"/>
      <c r="B1034" s="70"/>
      <c r="C1034" s="70"/>
      <c r="D1034" s="80"/>
      <c r="E1034" s="70"/>
      <c r="F1034" s="70"/>
      <c r="G1034" s="70"/>
      <c r="I1034" s="70"/>
      <c r="J1034" s="70"/>
      <c r="L1034" s="70"/>
      <c r="M1034" s="70"/>
      <c r="N1034" s="70"/>
      <c r="O1034" s="70"/>
      <c r="P1034" s="70"/>
      <c r="Q1034" s="70"/>
      <c r="R1034" s="70"/>
      <c r="S1034" s="70"/>
      <c r="T1034" s="91"/>
      <c r="U1034" s="91"/>
      <c r="V1034" s="70"/>
      <c r="W1034" s="58"/>
      <c r="X1034" s="58"/>
      <c r="Y1034" s="70"/>
      <c r="Z1034" s="83"/>
      <c r="AA1034" s="70"/>
      <c r="AB1034" s="70"/>
      <c r="AC1034" s="70"/>
      <c r="AE1034" s="70"/>
      <c r="AF1034" s="70"/>
      <c r="AG1034" s="70"/>
      <c r="AH1034" s="70"/>
      <c r="AI1034" s="70"/>
      <c r="AJ1034" s="70"/>
      <c r="AK1034" s="70"/>
      <c r="AL1034" s="70"/>
      <c r="AM1034" s="70"/>
      <c r="AN1034" s="70"/>
      <c r="AO1034" s="70"/>
      <c r="AP1034" s="70"/>
      <c r="AQ1034" s="70"/>
      <c r="AR1034" s="70"/>
      <c r="AS1034" s="70"/>
      <c r="AT1034" s="70"/>
    </row>
    <row r="1035" ht="15.0" customHeight="1">
      <c r="A1035" s="70"/>
      <c r="B1035" s="70"/>
      <c r="C1035" s="70"/>
      <c r="D1035" s="80"/>
      <c r="E1035" s="70"/>
      <c r="F1035" s="70"/>
      <c r="G1035" s="70"/>
      <c r="I1035" s="70"/>
      <c r="J1035" s="70"/>
      <c r="L1035" s="70"/>
      <c r="M1035" s="70"/>
      <c r="N1035" s="70"/>
      <c r="O1035" s="70"/>
      <c r="P1035" s="70"/>
      <c r="Q1035" s="70"/>
      <c r="R1035" s="70"/>
      <c r="S1035" s="70"/>
      <c r="T1035" s="91"/>
      <c r="U1035" s="91"/>
      <c r="V1035" s="70"/>
      <c r="W1035" s="58"/>
      <c r="X1035" s="58"/>
      <c r="Y1035" s="70"/>
      <c r="Z1035" s="83"/>
      <c r="AA1035" s="70"/>
      <c r="AB1035" s="70"/>
      <c r="AC1035" s="70"/>
      <c r="AE1035" s="70"/>
      <c r="AF1035" s="70"/>
      <c r="AG1035" s="70"/>
      <c r="AH1035" s="70"/>
      <c r="AI1035" s="70"/>
      <c r="AJ1035" s="70"/>
      <c r="AK1035" s="70"/>
      <c r="AL1035" s="70"/>
      <c r="AM1035" s="70"/>
      <c r="AN1035" s="70"/>
      <c r="AO1035" s="70"/>
      <c r="AP1035" s="70"/>
      <c r="AQ1035" s="70"/>
      <c r="AR1035" s="70"/>
      <c r="AS1035" s="70"/>
      <c r="AT1035" s="70"/>
    </row>
    <row r="1036" ht="15.0" customHeight="1">
      <c r="A1036" s="70"/>
      <c r="B1036" s="70"/>
      <c r="C1036" s="70"/>
      <c r="D1036" s="80"/>
      <c r="E1036" s="70"/>
      <c r="F1036" s="70"/>
      <c r="G1036" s="70"/>
      <c r="I1036" s="70"/>
      <c r="J1036" s="70"/>
      <c r="L1036" s="70"/>
      <c r="M1036" s="70"/>
      <c r="N1036" s="70"/>
      <c r="O1036" s="70"/>
      <c r="P1036" s="70"/>
      <c r="Q1036" s="70"/>
      <c r="R1036" s="70"/>
      <c r="S1036" s="70"/>
      <c r="T1036" s="91"/>
      <c r="U1036" s="91"/>
      <c r="V1036" s="70"/>
      <c r="W1036" s="58"/>
      <c r="X1036" s="58"/>
      <c r="Y1036" s="70"/>
      <c r="Z1036" s="83"/>
      <c r="AA1036" s="70"/>
      <c r="AB1036" s="70"/>
      <c r="AC1036" s="70"/>
      <c r="AE1036" s="70"/>
      <c r="AF1036" s="70"/>
      <c r="AG1036" s="70"/>
      <c r="AH1036" s="70"/>
      <c r="AI1036" s="70"/>
      <c r="AJ1036" s="70"/>
      <c r="AK1036" s="70"/>
      <c r="AL1036" s="70"/>
      <c r="AM1036" s="70"/>
      <c r="AN1036" s="70"/>
      <c r="AO1036" s="70"/>
      <c r="AP1036" s="70"/>
      <c r="AQ1036" s="70"/>
      <c r="AR1036" s="70"/>
      <c r="AS1036" s="70"/>
      <c r="AT1036" s="70"/>
    </row>
    <row r="1037" ht="15.0" customHeight="1">
      <c r="A1037" s="70"/>
      <c r="B1037" s="70"/>
      <c r="C1037" s="70"/>
      <c r="D1037" s="80"/>
      <c r="E1037" s="70"/>
      <c r="F1037" s="70"/>
      <c r="G1037" s="70"/>
      <c r="I1037" s="70"/>
      <c r="J1037" s="70"/>
      <c r="L1037" s="70"/>
      <c r="M1037" s="70"/>
      <c r="N1037" s="70"/>
      <c r="O1037" s="70"/>
      <c r="P1037" s="70"/>
      <c r="Q1037" s="70"/>
      <c r="R1037" s="70"/>
      <c r="S1037" s="70"/>
      <c r="T1037" s="91"/>
      <c r="U1037" s="91"/>
      <c r="V1037" s="70"/>
      <c r="W1037" s="58"/>
      <c r="X1037" s="58"/>
      <c r="Y1037" s="70"/>
      <c r="Z1037" s="83"/>
      <c r="AA1037" s="70"/>
      <c r="AB1037" s="70"/>
      <c r="AC1037" s="70"/>
      <c r="AE1037" s="70"/>
      <c r="AF1037" s="70"/>
      <c r="AG1037" s="70"/>
      <c r="AH1037" s="70"/>
      <c r="AI1037" s="70"/>
      <c r="AJ1037" s="70"/>
      <c r="AK1037" s="70"/>
      <c r="AL1037" s="70"/>
      <c r="AM1037" s="70"/>
      <c r="AN1037" s="70"/>
      <c r="AO1037" s="70"/>
      <c r="AP1037" s="70"/>
      <c r="AQ1037" s="70"/>
      <c r="AR1037" s="70"/>
      <c r="AS1037" s="70"/>
      <c r="AT1037" s="70"/>
    </row>
    <row r="1038" ht="15.0" customHeight="1">
      <c r="A1038" s="70"/>
      <c r="B1038" s="70"/>
      <c r="C1038" s="70"/>
      <c r="D1038" s="80"/>
      <c r="E1038" s="70"/>
      <c r="F1038" s="70"/>
      <c r="G1038" s="70"/>
      <c r="I1038" s="70"/>
      <c r="J1038" s="70"/>
      <c r="L1038" s="70"/>
      <c r="M1038" s="70"/>
      <c r="N1038" s="70"/>
      <c r="O1038" s="70"/>
      <c r="P1038" s="70"/>
      <c r="Q1038" s="70"/>
      <c r="R1038" s="70"/>
      <c r="S1038" s="70"/>
      <c r="T1038" s="91"/>
      <c r="U1038" s="91"/>
      <c r="V1038" s="70"/>
      <c r="W1038" s="58"/>
      <c r="X1038" s="58"/>
      <c r="Y1038" s="70"/>
      <c r="Z1038" s="83"/>
      <c r="AA1038" s="70"/>
      <c r="AB1038" s="70"/>
      <c r="AC1038" s="70"/>
      <c r="AE1038" s="70"/>
      <c r="AF1038" s="70"/>
      <c r="AG1038" s="70"/>
      <c r="AH1038" s="70"/>
      <c r="AI1038" s="70"/>
      <c r="AJ1038" s="70"/>
      <c r="AK1038" s="70"/>
      <c r="AL1038" s="70"/>
      <c r="AM1038" s="70"/>
      <c r="AN1038" s="70"/>
      <c r="AO1038" s="70"/>
      <c r="AP1038" s="70"/>
      <c r="AQ1038" s="70"/>
      <c r="AR1038" s="70"/>
      <c r="AS1038" s="70"/>
      <c r="AT1038" s="70"/>
    </row>
    <row r="1039" ht="15.0" customHeight="1">
      <c r="A1039" s="70"/>
      <c r="B1039" s="70"/>
      <c r="C1039" s="70"/>
      <c r="D1039" s="80"/>
      <c r="E1039" s="70"/>
      <c r="F1039" s="70"/>
      <c r="G1039" s="70"/>
      <c r="I1039" s="70"/>
      <c r="J1039" s="70"/>
      <c r="L1039" s="70"/>
      <c r="M1039" s="70"/>
      <c r="N1039" s="70"/>
      <c r="O1039" s="70"/>
      <c r="P1039" s="70"/>
      <c r="Q1039" s="70"/>
      <c r="R1039" s="70"/>
      <c r="S1039" s="70"/>
      <c r="T1039" s="91"/>
      <c r="U1039" s="91"/>
      <c r="V1039" s="70"/>
      <c r="W1039" s="58"/>
      <c r="X1039" s="58"/>
      <c r="Y1039" s="70"/>
      <c r="Z1039" s="83"/>
      <c r="AA1039" s="70"/>
      <c r="AB1039" s="70"/>
      <c r="AC1039" s="70"/>
      <c r="AE1039" s="70"/>
      <c r="AF1039" s="70"/>
      <c r="AG1039" s="70"/>
      <c r="AH1039" s="70"/>
      <c r="AI1039" s="70"/>
      <c r="AJ1039" s="70"/>
      <c r="AK1039" s="70"/>
      <c r="AL1039" s="70"/>
      <c r="AM1039" s="70"/>
      <c r="AN1039" s="70"/>
      <c r="AO1039" s="70"/>
      <c r="AP1039" s="70"/>
      <c r="AQ1039" s="70"/>
      <c r="AR1039" s="70"/>
      <c r="AS1039" s="70"/>
      <c r="AT1039" s="70"/>
    </row>
    <row r="1040" ht="15.0" customHeight="1">
      <c r="A1040" s="70"/>
      <c r="B1040" s="70"/>
      <c r="C1040" s="70"/>
      <c r="D1040" s="80"/>
      <c r="E1040" s="70"/>
      <c r="F1040" s="70"/>
      <c r="G1040" s="70"/>
      <c r="I1040" s="70"/>
      <c r="J1040" s="70"/>
      <c r="L1040" s="70"/>
      <c r="M1040" s="70"/>
      <c r="N1040" s="70"/>
      <c r="O1040" s="70"/>
      <c r="P1040" s="70"/>
      <c r="Q1040" s="70"/>
      <c r="R1040" s="70"/>
      <c r="S1040" s="70"/>
      <c r="T1040" s="91"/>
      <c r="U1040" s="91"/>
      <c r="V1040" s="70"/>
      <c r="W1040" s="58"/>
      <c r="X1040" s="58"/>
      <c r="Y1040" s="70"/>
      <c r="Z1040" s="83"/>
      <c r="AA1040" s="70"/>
      <c r="AB1040" s="70"/>
      <c r="AC1040" s="70"/>
      <c r="AE1040" s="70"/>
      <c r="AF1040" s="70"/>
      <c r="AG1040" s="70"/>
      <c r="AH1040" s="70"/>
      <c r="AI1040" s="70"/>
      <c r="AJ1040" s="70"/>
      <c r="AK1040" s="70"/>
      <c r="AL1040" s="70"/>
      <c r="AM1040" s="70"/>
      <c r="AN1040" s="70"/>
      <c r="AO1040" s="70"/>
      <c r="AP1040" s="70"/>
      <c r="AQ1040" s="70"/>
      <c r="AR1040" s="70"/>
      <c r="AS1040" s="70"/>
      <c r="AT1040" s="70"/>
    </row>
    <row r="1041" ht="15.0" customHeight="1">
      <c r="A1041" s="70"/>
      <c r="B1041" s="70"/>
      <c r="C1041" s="70"/>
      <c r="D1041" s="80"/>
      <c r="E1041" s="70"/>
      <c r="F1041" s="70"/>
      <c r="G1041" s="70"/>
      <c r="I1041" s="70"/>
      <c r="J1041" s="70"/>
      <c r="L1041" s="70"/>
      <c r="M1041" s="70"/>
      <c r="N1041" s="70"/>
      <c r="O1041" s="70"/>
      <c r="P1041" s="70"/>
      <c r="Q1041" s="70"/>
      <c r="R1041" s="70"/>
      <c r="S1041" s="70"/>
      <c r="T1041" s="91"/>
      <c r="U1041" s="91"/>
      <c r="V1041" s="70"/>
      <c r="W1041" s="58"/>
      <c r="X1041" s="58"/>
      <c r="Y1041" s="70"/>
      <c r="Z1041" s="83"/>
      <c r="AA1041" s="70"/>
      <c r="AB1041" s="70"/>
      <c r="AC1041" s="70"/>
      <c r="AE1041" s="70"/>
      <c r="AF1041" s="70"/>
      <c r="AG1041" s="70"/>
      <c r="AH1041" s="70"/>
      <c r="AI1041" s="70"/>
      <c r="AJ1041" s="70"/>
      <c r="AK1041" s="70"/>
      <c r="AL1041" s="70"/>
      <c r="AM1041" s="70"/>
      <c r="AN1041" s="70"/>
      <c r="AO1041" s="70"/>
      <c r="AP1041" s="70"/>
      <c r="AQ1041" s="70"/>
      <c r="AR1041" s="70"/>
      <c r="AS1041" s="70"/>
      <c r="AT1041" s="70"/>
    </row>
    <row r="1042" ht="15.0" customHeight="1">
      <c r="A1042" s="70"/>
      <c r="B1042" s="70"/>
      <c r="C1042" s="70"/>
      <c r="D1042" s="80"/>
      <c r="E1042" s="70"/>
      <c r="F1042" s="70"/>
      <c r="G1042" s="70"/>
      <c r="I1042" s="70"/>
      <c r="J1042" s="70"/>
      <c r="L1042" s="70"/>
      <c r="M1042" s="70"/>
      <c r="N1042" s="70"/>
      <c r="O1042" s="70"/>
      <c r="P1042" s="70"/>
      <c r="Q1042" s="70"/>
      <c r="R1042" s="70"/>
      <c r="S1042" s="70"/>
      <c r="T1042" s="91"/>
      <c r="U1042" s="91"/>
      <c r="V1042" s="70"/>
      <c r="W1042" s="58"/>
      <c r="X1042" s="58"/>
      <c r="Y1042" s="70"/>
      <c r="Z1042" s="83"/>
      <c r="AA1042" s="70"/>
      <c r="AB1042" s="70"/>
      <c r="AC1042" s="70"/>
      <c r="AE1042" s="70"/>
      <c r="AF1042" s="70"/>
      <c r="AG1042" s="70"/>
      <c r="AH1042" s="70"/>
      <c r="AI1042" s="70"/>
      <c r="AJ1042" s="70"/>
      <c r="AK1042" s="70"/>
      <c r="AL1042" s="70"/>
      <c r="AM1042" s="70"/>
      <c r="AN1042" s="70"/>
      <c r="AO1042" s="70"/>
      <c r="AP1042" s="70"/>
      <c r="AQ1042" s="70"/>
      <c r="AR1042" s="70"/>
      <c r="AS1042" s="70"/>
      <c r="AT1042" s="70"/>
    </row>
    <row r="1043" ht="15.0" customHeight="1">
      <c r="A1043" s="70"/>
      <c r="B1043" s="70"/>
      <c r="C1043" s="70"/>
      <c r="D1043" s="80"/>
      <c r="E1043" s="70"/>
      <c r="F1043" s="70"/>
      <c r="G1043" s="70"/>
      <c r="I1043" s="70"/>
      <c r="J1043" s="70"/>
      <c r="L1043" s="70"/>
      <c r="M1043" s="70"/>
      <c r="N1043" s="70"/>
      <c r="O1043" s="70"/>
      <c r="P1043" s="70"/>
      <c r="Q1043" s="70"/>
      <c r="R1043" s="70"/>
      <c r="S1043" s="70"/>
      <c r="T1043" s="91"/>
      <c r="U1043" s="91"/>
      <c r="V1043" s="70"/>
      <c r="W1043" s="58"/>
      <c r="X1043" s="58"/>
      <c r="Y1043" s="70"/>
      <c r="Z1043" s="83"/>
      <c r="AA1043" s="70"/>
      <c r="AB1043" s="70"/>
      <c r="AC1043" s="70"/>
      <c r="AE1043" s="70"/>
      <c r="AF1043" s="70"/>
      <c r="AG1043" s="70"/>
      <c r="AH1043" s="70"/>
      <c r="AI1043" s="70"/>
      <c r="AJ1043" s="70"/>
      <c r="AK1043" s="70"/>
      <c r="AL1043" s="70"/>
      <c r="AM1043" s="70"/>
      <c r="AN1043" s="70"/>
      <c r="AO1043" s="70"/>
      <c r="AP1043" s="70"/>
      <c r="AQ1043" s="70"/>
      <c r="AR1043" s="70"/>
      <c r="AS1043" s="70"/>
      <c r="AT1043" s="70"/>
    </row>
    <row r="1044" ht="15.0" customHeight="1">
      <c r="A1044" s="70"/>
      <c r="B1044" s="70"/>
      <c r="C1044" s="70"/>
      <c r="D1044" s="80"/>
      <c r="E1044" s="70"/>
      <c r="F1044" s="70"/>
      <c r="G1044" s="70"/>
      <c r="I1044" s="70"/>
      <c r="J1044" s="70"/>
      <c r="L1044" s="70"/>
      <c r="M1044" s="70"/>
      <c r="N1044" s="70"/>
      <c r="O1044" s="70"/>
      <c r="P1044" s="70"/>
      <c r="Q1044" s="70"/>
      <c r="R1044" s="70"/>
      <c r="S1044" s="70"/>
      <c r="T1044" s="91"/>
      <c r="U1044" s="91"/>
      <c r="V1044" s="70"/>
      <c r="W1044" s="58"/>
      <c r="X1044" s="58"/>
      <c r="Y1044" s="70"/>
      <c r="Z1044" s="83"/>
      <c r="AA1044" s="70"/>
      <c r="AB1044" s="70"/>
      <c r="AC1044" s="70"/>
      <c r="AE1044" s="70"/>
      <c r="AF1044" s="70"/>
      <c r="AG1044" s="70"/>
      <c r="AH1044" s="70"/>
      <c r="AI1044" s="70"/>
      <c r="AJ1044" s="70"/>
      <c r="AK1044" s="70"/>
      <c r="AL1044" s="70"/>
      <c r="AM1044" s="70"/>
      <c r="AN1044" s="70"/>
      <c r="AO1044" s="70"/>
      <c r="AP1044" s="70"/>
      <c r="AQ1044" s="70"/>
      <c r="AR1044" s="70"/>
      <c r="AS1044" s="70"/>
      <c r="AT1044" s="70"/>
    </row>
    <row r="1045" ht="15.0" customHeight="1">
      <c r="A1045" s="70"/>
      <c r="B1045" s="70"/>
      <c r="C1045" s="70"/>
      <c r="D1045" s="80"/>
      <c r="E1045" s="70"/>
      <c r="F1045" s="70"/>
      <c r="G1045" s="70"/>
      <c r="I1045" s="70"/>
      <c r="J1045" s="70"/>
      <c r="L1045" s="70"/>
      <c r="M1045" s="70"/>
      <c r="N1045" s="70"/>
      <c r="O1045" s="70"/>
      <c r="P1045" s="70"/>
      <c r="Q1045" s="70"/>
      <c r="R1045" s="70"/>
      <c r="S1045" s="70"/>
      <c r="T1045" s="91"/>
      <c r="U1045" s="91"/>
      <c r="V1045" s="70"/>
      <c r="W1045" s="58"/>
      <c r="X1045" s="58"/>
      <c r="Y1045" s="70"/>
      <c r="Z1045" s="83"/>
      <c r="AA1045" s="70"/>
      <c r="AB1045" s="70"/>
      <c r="AC1045" s="70"/>
      <c r="AE1045" s="70"/>
      <c r="AF1045" s="70"/>
      <c r="AG1045" s="70"/>
      <c r="AH1045" s="70"/>
      <c r="AI1045" s="70"/>
      <c r="AJ1045" s="70"/>
      <c r="AK1045" s="70"/>
      <c r="AL1045" s="70"/>
      <c r="AM1045" s="70"/>
      <c r="AN1045" s="70"/>
      <c r="AO1045" s="70"/>
      <c r="AP1045" s="70"/>
      <c r="AQ1045" s="70"/>
      <c r="AR1045" s="70"/>
      <c r="AS1045" s="70"/>
      <c r="AT1045" s="70"/>
    </row>
    <row r="1046" ht="15.0" customHeight="1">
      <c r="A1046" s="70"/>
      <c r="B1046" s="70"/>
      <c r="C1046" s="70"/>
      <c r="D1046" s="80"/>
      <c r="E1046" s="70"/>
      <c r="F1046" s="70"/>
      <c r="G1046" s="70"/>
      <c r="I1046" s="70"/>
      <c r="J1046" s="70"/>
      <c r="L1046" s="70"/>
      <c r="M1046" s="70"/>
      <c r="N1046" s="70"/>
      <c r="O1046" s="70"/>
      <c r="P1046" s="70"/>
      <c r="Q1046" s="70"/>
      <c r="R1046" s="70"/>
      <c r="S1046" s="70"/>
      <c r="T1046" s="91"/>
      <c r="U1046" s="91"/>
      <c r="V1046" s="70"/>
      <c r="W1046" s="58"/>
      <c r="X1046" s="58"/>
      <c r="Y1046" s="70"/>
      <c r="Z1046" s="83"/>
      <c r="AA1046" s="70"/>
      <c r="AB1046" s="70"/>
      <c r="AC1046" s="70"/>
      <c r="AE1046" s="70"/>
      <c r="AF1046" s="70"/>
      <c r="AG1046" s="70"/>
      <c r="AH1046" s="70"/>
      <c r="AI1046" s="70"/>
      <c r="AJ1046" s="70"/>
      <c r="AK1046" s="70"/>
      <c r="AL1046" s="70"/>
      <c r="AM1046" s="70"/>
      <c r="AN1046" s="70"/>
      <c r="AO1046" s="70"/>
      <c r="AP1046" s="70"/>
      <c r="AQ1046" s="70"/>
      <c r="AR1046" s="70"/>
      <c r="AS1046" s="70"/>
      <c r="AT1046" s="70"/>
    </row>
    <row r="1047" ht="15.0" customHeight="1">
      <c r="A1047" s="70"/>
      <c r="B1047" s="70"/>
      <c r="C1047" s="70"/>
      <c r="D1047" s="80"/>
      <c r="E1047" s="70"/>
      <c r="F1047" s="70"/>
      <c r="G1047" s="70"/>
      <c r="I1047" s="70"/>
      <c r="J1047" s="70"/>
      <c r="L1047" s="70"/>
      <c r="M1047" s="70"/>
      <c r="N1047" s="70"/>
      <c r="O1047" s="70"/>
      <c r="P1047" s="70"/>
      <c r="Q1047" s="70"/>
      <c r="R1047" s="70"/>
      <c r="S1047" s="70"/>
      <c r="T1047" s="91"/>
      <c r="U1047" s="91"/>
      <c r="V1047" s="70"/>
      <c r="W1047" s="58"/>
      <c r="X1047" s="58"/>
      <c r="Y1047" s="70"/>
      <c r="Z1047" s="83"/>
      <c r="AA1047" s="70"/>
      <c r="AB1047" s="70"/>
      <c r="AC1047" s="70"/>
      <c r="AE1047" s="70"/>
      <c r="AF1047" s="70"/>
      <c r="AG1047" s="70"/>
      <c r="AH1047" s="70"/>
      <c r="AI1047" s="70"/>
      <c r="AJ1047" s="70"/>
      <c r="AK1047" s="70"/>
      <c r="AL1047" s="70"/>
      <c r="AM1047" s="70"/>
      <c r="AN1047" s="70"/>
      <c r="AO1047" s="70"/>
      <c r="AP1047" s="70"/>
      <c r="AQ1047" s="70"/>
      <c r="AR1047" s="70"/>
      <c r="AS1047" s="70"/>
      <c r="AT1047" s="70"/>
    </row>
    <row r="1048" ht="15.0" customHeight="1">
      <c r="A1048" s="70"/>
      <c r="B1048" s="70"/>
      <c r="C1048" s="70"/>
      <c r="D1048" s="80"/>
      <c r="E1048" s="70"/>
      <c r="F1048" s="70"/>
      <c r="G1048" s="70"/>
      <c r="I1048" s="70"/>
      <c r="J1048" s="70"/>
      <c r="L1048" s="70"/>
      <c r="M1048" s="70"/>
      <c r="N1048" s="70"/>
      <c r="O1048" s="70"/>
      <c r="P1048" s="70"/>
      <c r="Q1048" s="70"/>
      <c r="R1048" s="70"/>
      <c r="S1048" s="70"/>
      <c r="T1048" s="91"/>
      <c r="U1048" s="91"/>
      <c r="V1048" s="70"/>
      <c r="W1048" s="58"/>
      <c r="X1048" s="58"/>
      <c r="Y1048" s="70"/>
      <c r="Z1048" s="83"/>
      <c r="AA1048" s="70"/>
      <c r="AB1048" s="70"/>
      <c r="AC1048" s="70"/>
      <c r="AE1048" s="70"/>
      <c r="AF1048" s="70"/>
      <c r="AG1048" s="70"/>
      <c r="AH1048" s="70"/>
      <c r="AI1048" s="70"/>
      <c r="AJ1048" s="70"/>
      <c r="AK1048" s="70"/>
      <c r="AL1048" s="70"/>
      <c r="AM1048" s="70"/>
      <c r="AN1048" s="70"/>
      <c r="AO1048" s="70"/>
      <c r="AP1048" s="70"/>
      <c r="AQ1048" s="70"/>
      <c r="AR1048" s="70"/>
      <c r="AS1048" s="70"/>
      <c r="AT1048" s="70"/>
    </row>
    <row r="1049" ht="15.0" customHeight="1">
      <c r="A1049" s="70"/>
      <c r="B1049" s="70"/>
      <c r="C1049" s="70"/>
      <c r="D1049" s="80"/>
      <c r="E1049" s="70"/>
      <c r="F1049" s="70"/>
      <c r="G1049" s="70"/>
      <c r="I1049" s="70"/>
      <c r="J1049" s="70"/>
      <c r="L1049" s="70"/>
      <c r="M1049" s="70"/>
      <c r="N1049" s="70"/>
      <c r="O1049" s="70"/>
      <c r="P1049" s="70"/>
      <c r="Q1049" s="70"/>
      <c r="R1049" s="70"/>
      <c r="S1049" s="70"/>
      <c r="T1049" s="91"/>
      <c r="U1049" s="91"/>
      <c r="V1049" s="70"/>
      <c r="W1049" s="58"/>
      <c r="X1049" s="58"/>
      <c r="Y1049" s="70"/>
      <c r="Z1049" s="83"/>
      <c r="AA1049" s="70"/>
      <c r="AB1049" s="70"/>
      <c r="AC1049" s="70"/>
      <c r="AE1049" s="70"/>
      <c r="AF1049" s="70"/>
      <c r="AG1049" s="70"/>
      <c r="AH1049" s="70"/>
      <c r="AI1049" s="70"/>
      <c r="AJ1049" s="70"/>
      <c r="AK1049" s="70"/>
      <c r="AL1049" s="70"/>
      <c r="AM1049" s="70"/>
      <c r="AN1049" s="70"/>
      <c r="AO1049" s="70"/>
      <c r="AP1049" s="70"/>
      <c r="AQ1049" s="70"/>
      <c r="AR1049" s="70"/>
      <c r="AS1049" s="70"/>
      <c r="AT1049" s="70"/>
    </row>
    <row r="1050" ht="15.0" customHeight="1">
      <c r="A1050" s="70"/>
      <c r="B1050" s="70"/>
      <c r="C1050" s="70"/>
      <c r="D1050" s="80"/>
      <c r="E1050" s="70"/>
      <c r="F1050" s="70"/>
      <c r="G1050" s="70"/>
      <c r="I1050" s="70"/>
      <c r="J1050" s="70"/>
      <c r="L1050" s="70"/>
      <c r="M1050" s="70"/>
      <c r="N1050" s="70"/>
      <c r="O1050" s="70"/>
      <c r="P1050" s="70"/>
      <c r="Q1050" s="70"/>
      <c r="R1050" s="70"/>
      <c r="S1050" s="70"/>
      <c r="T1050" s="91"/>
      <c r="U1050" s="91"/>
      <c r="V1050" s="70"/>
      <c r="W1050" s="58"/>
      <c r="X1050" s="58"/>
      <c r="Y1050" s="70"/>
      <c r="Z1050" s="83"/>
      <c r="AA1050" s="70"/>
      <c r="AB1050" s="70"/>
      <c r="AC1050" s="70"/>
      <c r="AE1050" s="70"/>
      <c r="AF1050" s="70"/>
      <c r="AG1050" s="70"/>
      <c r="AH1050" s="70"/>
      <c r="AI1050" s="70"/>
      <c r="AJ1050" s="70"/>
      <c r="AK1050" s="70"/>
      <c r="AL1050" s="70"/>
      <c r="AM1050" s="70"/>
      <c r="AN1050" s="70"/>
      <c r="AO1050" s="70"/>
      <c r="AP1050" s="70"/>
      <c r="AQ1050" s="70"/>
      <c r="AR1050" s="70"/>
      <c r="AS1050" s="70"/>
      <c r="AT1050" s="70"/>
    </row>
    <row r="1051" ht="15.0" customHeight="1">
      <c r="A1051" s="70"/>
      <c r="B1051" s="70"/>
      <c r="C1051" s="70"/>
      <c r="D1051" s="80"/>
      <c r="E1051" s="70"/>
      <c r="F1051" s="70"/>
      <c r="G1051" s="70"/>
      <c r="I1051" s="70"/>
      <c r="J1051" s="70"/>
      <c r="L1051" s="70"/>
      <c r="M1051" s="70"/>
      <c r="N1051" s="70"/>
      <c r="O1051" s="70"/>
      <c r="P1051" s="70"/>
      <c r="Q1051" s="70"/>
      <c r="R1051" s="70"/>
      <c r="S1051" s="70"/>
      <c r="T1051" s="91"/>
      <c r="U1051" s="91"/>
      <c r="V1051" s="70"/>
      <c r="W1051" s="58"/>
      <c r="X1051" s="58"/>
      <c r="Y1051" s="70"/>
      <c r="Z1051" s="83"/>
      <c r="AA1051" s="70"/>
      <c r="AB1051" s="70"/>
      <c r="AC1051" s="70"/>
      <c r="AE1051" s="70"/>
      <c r="AF1051" s="70"/>
      <c r="AG1051" s="70"/>
      <c r="AH1051" s="70"/>
      <c r="AI1051" s="70"/>
      <c r="AJ1051" s="70"/>
      <c r="AK1051" s="70"/>
      <c r="AL1051" s="70"/>
      <c r="AM1051" s="70"/>
      <c r="AN1051" s="70"/>
      <c r="AO1051" s="70"/>
      <c r="AP1051" s="70"/>
      <c r="AQ1051" s="70"/>
      <c r="AR1051" s="70"/>
      <c r="AS1051" s="70"/>
      <c r="AT1051" s="70"/>
    </row>
    <row r="1052" ht="15.0" customHeight="1">
      <c r="A1052" s="70"/>
      <c r="B1052" s="70"/>
      <c r="C1052" s="70"/>
      <c r="D1052" s="80"/>
      <c r="E1052" s="70"/>
      <c r="F1052" s="70"/>
      <c r="G1052" s="70"/>
      <c r="I1052" s="70"/>
      <c r="J1052" s="70"/>
      <c r="L1052" s="70"/>
      <c r="M1052" s="70"/>
      <c r="N1052" s="70"/>
      <c r="O1052" s="70"/>
      <c r="P1052" s="70"/>
      <c r="Q1052" s="70"/>
      <c r="R1052" s="70"/>
      <c r="S1052" s="70"/>
      <c r="T1052" s="91"/>
      <c r="U1052" s="91"/>
      <c r="V1052" s="70"/>
      <c r="W1052" s="58"/>
      <c r="X1052" s="58"/>
      <c r="Y1052" s="70"/>
      <c r="Z1052" s="83"/>
      <c r="AA1052" s="70"/>
      <c r="AB1052" s="70"/>
      <c r="AC1052" s="70"/>
      <c r="AE1052" s="70"/>
      <c r="AF1052" s="70"/>
      <c r="AG1052" s="70"/>
      <c r="AH1052" s="70"/>
      <c r="AI1052" s="70"/>
      <c r="AJ1052" s="70"/>
      <c r="AK1052" s="70"/>
      <c r="AL1052" s="70"/>
      <c r="AM1052" s="70"/>
      <c r="AN1052" s="70"/>
      <c r="AO1052" s="70"/>
      <c r="AP1052" s="70"/>
      <c r="AQ1052" s="70"/>
      <c r="AR1052" s="70"/>
      <c r="AS1052" s="70"/>
      <c r="AT1052" s="70"/>
    </row>
    <row r="1053" ht="15.0" customHeight="1">
      <c r="A1053" s="70"/>
      <c r="B1053" s="70"/>
      <c r="C1053" s="70"/>
      <c r="D1053" s="80"/>
      <c r="E1053" s="70"/>
      <c r="F1053" s="70"/>
      <c r="G1053" s="70"/>
      <c r="I1053" s="70"/>
      <c r="J1053" s="70"/>
      <c r="L1053" s="70"/>
      <c r="M1053" s="70"/>
      <c r="N1053" s="70"/>
      <c r="O1053" s="70"/>
      <c r="P1053" s="70"/>
      <c r="Q1053" s="70"/>
      <c r="R1053" s="70"/>
      <c r="S1053" s="70"/>
      <c r="T1053" s="91"/>
      <c r="U1053" s="91"/>
      <c r="V1053" s="70"/>
      <c r="W1053" s="58"/>
      <c r="X1053" s="58"/>
      <c r="Y1053" s="70"/>
      <c r="Z1053" s="83"/>
      <c r="AA1053" s="70"/>
      <c r="AB1053" s="70"/>
      <c r="AC1053" s="70"/>
      <c r="AE1053" s="70"/>
      <c r="AF1053" s="70"/>
      <c r="AG1053" s="70"/>
      <c r="AH1053" s="70"/>
      <c r="AI1053" s="70"/>
      <c r="AJ1053" s="70"/>
      <c r="AK1053" s="70"/>
      <c r="AL1053" s="70"/>
      <c r="AM1053" s="70"/>
      <c r="AN1053" s="70"/>
      <c r="AO1053" s="70"/>
      <c r="AP1053" s="70"/>
      <c r="AQ1053" s="70"/>
      <c r="AR1053" s="70"/>
      <c r="AS1053" s="70"/>
      <c r="AT1053" s="70"/>
    </row>
    <row r="1054" ht="15.0" customHeight="1">
      <c r="A1054" s="70"/>
      <c r="B1054" s="70"/>
      <c r="C1054" s="70"/>
      <c r="D1054" s="80"/>
      <c r="E1054" s="70"/>
      <c r="F1054" s="70"/>
      <c r="G1054" s="70"/>
      <c r="I1054" s="70"/>
      <c r="J1054" s="70"/>
      <c r="L1054" s="70"/>
      <c r="M1054" s="70"/>
      <c r="N1054" s="70"/>
      <c r="O1054" s="70"/>
      <c r="P1054" s="70"/>
      <c r="Q1054" s="70"/>
      <c r="R1054" s="70"/>
      <c r="S1054" s="70"/>
      <c r="T1054" s="91"/>
      <c r="U1054" s="91"/>
      <c r="V1054" s="70"/>
      <c r="W1054" s="58"/>
      <c r="X1054" s="58"/>
      <c r="Y1054" s="70"/>
      <c r="Z1054" s="83"/>
      <c r="AA1054" s="70"/>
      <c r="AB1054" s="70"/>
      <c r="AC1054" s="70"/>
      <c r="AE1054" s="70"/>
      <c r="AF1054" s="70"/>
      <c r="AG1054" s="70"/>
      <c r="AH1054" s="70"/>
      <c r="AI1054" s="70"/>
      <c r="AJ1054" s="70"/>
      <c r="AK1054" s="70"/>
      <c r="AL1054" s="70"/>
      <c r="AM1054" s="70"/>
      <c r="AN1054" s="70"/>
      <c r="AO1054" s="70"/>
      <c r="AP1054" s="70"/>
      <c r="AQ1054" s="70"/>
      <c r="AR1054" s="70"/>
      <c r="AS1054" s="70"/>
      <c r="AT1054" s="70"/>
    </row>
    <row r="1055" ht="15.0" customHeight="1">
      <c r="A1055" s="70"/>
      <c r="B1055" s="70"/>
      <c r="C1055" s="70"/>
      <c r="D1055" s="80"/>
      <c r="E1055" s="70"/>
      <c r="F1055" s="70"/>
      <c r="G1055" s="70"/>
      <c r="I1055" s="70"/>
      <c r="J1055" s="70"/>
      <c r="L1055" s="70"/>
      <c r="M1055" s="70"/>
      <c r="N1055" s="70"/>
      <c r="O1055" s="70"/>
      <c r="P1055" s="70"/>
      <c r="Q1055" s="70"/>
      <c r="R1055" s="70"/>
      <c r="S1055" s="70"/>
      <c r="T1055" s="91"/>
      <c r="U1055" s="91"/>
      <c r="V1055" s="70"/>
      <c r="W1055" s="58"/>
      <c r="X1055" s="58"/>
      <c r="Y1055" s="70"/>
      <c r="Z1055" s="83"/>
      <c r="AA1055" s="70"/>
      <c r="AB1055" s="70"/>
      <c r="AC1055" s="70"/>
      <c r="AE1055" s="70"/>
      <c r="AF1055" s="70"/>
      <c r="AG1055" s="70"/>
      <c r="AH1055" s="70"/>
      <c r="AI1055" s="70"/>
      <c r="AJ1055" s="70"/>
      <c r="AK1055" s="70"/>
      <c r="AL1055" s="70"/>
      <c r="AM1055" s="70"/>
      <c r="AN1055" s="70"/>
      <c r="AO1055" s="70"/>
      <c r="AP1055" s="70"/>
      <c r="AQ1055" s="70"/>
      <c r="AR1055" s="70"/>
      <c r="AS1055" s="70"/>
      <c r="AT1055" s="70"/>
    </row>
    <row r="1056" ht="15.0" customHeight="1">
      <c r="A1056" s="70"/>
      <c r="B1056" s="70"/>
      <c r="C1056" s="70"/>
      <c r="D1056" s="80"/>
      <c r="E1056" s="70"/>
      <c r="F1056" s="70"/>
      <c r="G1056" s="70"/>
      <c r="I1056" s="70"/>
      <c r="J1056" s="70"/>
      <c r="L1056" s="70"/>
      <c r="M1056" s="70"/>
      <c r="N1056" s="70"/>
      <c r="O1056" s="70"/>
      <c r="P1056" s="70"/>
      <c r="Q1056" s="70"/>
      <c r="R1056" s="70"/>
      <c r="S1056" s="70"/>
      <c r="T1056" s="91"/>
      <c r="U1056" s="91"/>
      <c r="V1056" s="70"/>
      <c r="W1056" s="58"/>
      <c r="X1056" s="58"/>
      <c r="Y1056" s="70"/>
      <c r="Z1056" s="83"/>
      <c r="AA1056" s="70"/>
      <c r="AB1056" s="70"/>
      <c r="AC1056" s="70"/>
      <c r="AE1056" s="70"/>
      <c r="AF1056" s="70"/>
      <c r="AG1056" s="70"/>
      <c r="AH1056" s="70"/>
      <c r="AI1056" s="70"/>
      <c r="AJ1056" s="70"/>
      <c r="AK1056" s="70"/>
      <c r="AL1056" s="70"/>
      <c r="AM1056" s="70"/>
      <c r="AN1056" s="70"/>
      <c r="AO1056" s="70"/>
      <c r="AP1056" s="70"/>
      <c r="AQ1056" s="70"/>
      <c r="AR1056" s="70"/>
      <c r="AS1056" s="70"/>
      <c r="AT1056" s="70"/>
    </row>
    <row r="1057" ht="15.0" customHeight="1">
      <c r="A1057" s="70"/>
      <c r="B1057" s="70"/>
      <c r="C1057" s="70"/>
      <c r="D1057" s="80"/>
      <c r="E1057" s="70"/>
      <c r="F1057" s="70"/>
      <c r="G1057" s="70"/>
      <c r="I1057" s="70"/>
      <c r="J1057" s="70"/>
      <c r="L1057" s="70"/>
      <c r="M1057" s="70"/>
      <c r="N1057" s="70"/>
      <c r="O1057" s="70"/>
      <c r="P1057" s="70"/>
      <c r="Q1057" s="70"/>
      <c r="R1057" s="70"/>
      <c r="S1057" s="70"/>
      <c r="T1057" s="91"/>
      <c r="U1057" s="91"/>
      <c r="V1057" s="70"/>
      <c r="W1057" s="58"/>
      <c r="X1057" s="58"/>
      <c r="Y1057" s="70"/>
      <c r="Z1057" s="83"/>
      <c r="AA1057" s="70"/>
      <c r="AB1057" s="70"/>
      <c r="AC1057" s="70"/>
      <c r="AE1057" s="70"/>
      <c r="AF1057" s="70"/>
      <c r="AG1057" s="70"/>
      <c r="AH1057" s="70"/>
      <c r="AI1057" s="70"/>
      <c r="AJ1057" s="70"/>
      <c r="AK1057" s="70"/>
      <c r="AL1057" s="70"/>
      <c r="AM1057" s="70"/>
      <c r="AN1057" s="70"/>
      <c r="AO1057" s="70"/>
      <c r="AP1057" s="70"/>
      <c r="AQ1057" s="70"/>
      <c r="AR1057" s="70"/>
      <c r="AS1057" s="70"/>
      <c r="AT1057" s="70"/>
    </row>
    <row r="1058" ht="15.0" customHeight="1">
      <c r="A1058" s="70"/>
      <c r="B1058" s="70"/>
      <c r="C1058" s="70"/>
      <c r="D1058" s="80"/>
      <c r="E1058" s="70"/>
      <c r="F1058" s="70"/>
      <c r="G1058" s="70"/>
      <c r="I1058" s="70"/>
      <c r="J1058" s="70"/>
      <c r="L1058" s="70"/>
      <c r="M1058" s="70"/>
      <c r="N1058" s="70"/>
      <c r="O1058" s="70"/>
      <c r="P1058" s="70"/>
      <c r="Q1058" s="70"/>
      <c r="R1058" s="70"/>
      <c r="S1058" s="70"/>
      <c r="T1058" s="91"/>
      <c r="U1058" s="91"/>
      <c r="V1058" s="70"/>
      <c r="W1058" s="58"/>
      <c r="X1058" s="58"/>
      <c r="Y1058" s="70"/>
      <c r="Z1058" s="83"/>
      <c r="AA1058" s="70"/>
      <c r="AB1058" s="70"/>
      <c r="AC1058" s="70"/>
      <c r="AE1058" s="70"/>
      <c r="AF1058" s="70"/>
      <c r="AG1058" s="70"/>
      <c r="AH1058" s="70"/>
      <c r="AI1058" s="70"/>
      <c r="AJ1058" s="70"/>
      <c r="AK1058" s="70"/>
      <c r="AL1058" s="70"/>
      <c r="AM1058" s="70"/>
      <c r="AN1058" s="70"/>
      <c r="AO1058" s="70"/>
      <c r="AP1058" s="70"/>
      <c r="AQ1058" s="70"/>
      <c r="AR1058" s="70"/>
      <c r="AS1058" s="70"/>
      <c r="AT1058" s="70"/>
    </row>
    <row r="1059" ht="15.0" customHeight="1">
      <c r="A1059" s="70"/>
      <c r="B1059" s="70"/>
      <c r="C1059" s="70"/>
      <c r="D1059" s="80"/>
      <c r="E1059" s="70"/>
      <c r="F1059" s="70"/>
      <c r="G1059" s="70"/>
      <c r="I1059" s="70"/>
      <c r="J1059" s="70"/>
      <c r="L1059" s="70"/>
      <c r="M1059" s="70"/>
      <c r="N1059" s="70"/>
      <c r="O1059" s="70"/>
      <c r="P1059" s="70"/>
      <c r="Q1059" s="70"/>
      <c r="R1059" s="70"/>
      <c r="S1059" s="70"/>
      <c r="T1059" s="91"/>
      <c r="U1059" s="91"/>
      <c r="V1059" s="70"/>
      <c r="W1059" s="58"/>
      <c r="X1059" s="58"/>
      <c r="Y1059" s="70"/>
      <c r="Z1059" s="83"/>
      <c r="AA1059" s="70"/>
      <c r="AB1059" s="70"/>
      <c r="AC1059" s="70"/>
      <c r="AE1059" s="70"/>
      <c r="AF1059" s="70"/>
      <c r="AG1059" s="70"/>
      <c r="AH1059" s="70"/>
      <c r="AI1059" s="70"/>
      <c r="AJ1059" s="70"/>
      <c r="AK1059" s="70"/>
      <c r="AL1059" s="70"/>
      <c r="AM1059" s="70"/>
      <c r="AN1059" s="70"/>
      <c r="AO1059" s="70"/>
      <c r="AP1059" s="70"/>
      <c r="AQ1059" s="70"/>
      <c r="AR1059" s="70"/>
      <c r="AS1059" s="70"/>
      <c r="AT1059" s="70"/>
    </row>
    <row r="1060" ht="15.0" customHeight="1">
      <c r="A1060" s="70"/>
      <c r="B1060" s="70"/>
      <c r="C1060" s="70"/>
      <c r="D1060" s="80"/>
      <c r="E1060" s="70"/>
      <c r="F1060" s="70"/>
      <c r="G1060" s="70"/>
      <c r="I1060" s="70"/>
      <c r="J1060" s="70"/>
      <c r="L1060" s="70"/>
      <c r="M1060" s="70"/>
      <c r="N1060" s="70"/>
      <c r="O1060" s="70"/>
      <c r="P1060" s="70"/>
      <c r="Q1060" s="70"/>
      <c r="R1060" s="70"/>
      <c r="S1060" s="70"/>
      <c r="T1060" s="91"/>
      <c r="U1060" s="91"/>
      <c r="V1060" s="70"/>
      <c r="W1060" s="58"/>
      <c r="X1060" s="58"/>
      <c r="Y1060" s="70"/>
      <c r="Z1060" s="83"/>
      <c r="AA1060" s="70"/>
      <c r="AB1060" s="70"/>
      <c r="AC1060" s="70"/>
      <c r="AE1060" s="70"/>
      <c r="AF1060" s="70"/>
      <c r="AG1060" s="70"/>
      <c r="AH1060" s="70"/>
      <c r="AI1060" s="70"/>
      <c r="AJ1060" s="70"/>
      <c r="AK1060" s="70"/>
      <c r="AL1060" s="70"/>
      <c r="AM1060" s="70"/>
      <c r="AN1060" s="70"/>
      <c r="AO1060" s="70"/>
      <c r="AP1060" s="70"/>
      <c r="AQ1060" s="70"/>
      <c r="AR1060" s="70"/>
      <c r="AS1060" s="70"/>
      <c r="AT1060" s="70"/>
    </row>
    <row r="1061" ht="15.0" customHeight="1">
      <c r="A1061" s="70"/>
      <c r="B1061" s="70"/>
      <c r="C1061" s="70"/>
      <c r="D1061" s="80"/>
      <c r="E1061" s="70"/>
      <c r="F1061" s="70"/>
      <c r="G1061" s="70"/>
      <c r="I1061" s="70"/>
      <c r="J1061" s="70"/>
      <c r="L1061" s="70"/>
      <c r="M1061" s="70"/>
      <c r="N1061" s="70"/>
      <c r="O1061" s="70"/>
      <c r="P1061" s="70"/>
      <c r="Q1061" s="70"/>
      <c r="R1061" s="70"/>
      <c r="S1061" s="70"/>
      <c r="T1061" s="91"/>
      <c r="U1061" s="91"/>
      <c r="V1061" s="70"/>
      <c r="W1061" s="58"/>
      <c r="X1061" s="58"/>
      <c r="Y1061" s="70"/>
      <c r="Z1061" s="83"/>
      <c r="AA1061" s="70"/>
      <c r="AB1061" s="70"/>
      <c r="AC1061" s="70"/>
      <c r="AE1061" s="70"/>
      <c r="AF1061" s="70"/>
      <c r="AG1061" s="70"/>
      <c r="AH1061" s="70"/>
      <c r="AI1061" s="70"/>
      <c r="AJ1061" s="70"/>
      <c r="AK1061" s="70"/>
      <c r="AL1061" s="70"/>
      <c r="AM1061" s="70"/>
      <c r="AN1061" s="70"/>
      <c r="AO1061" s="70"/>
      <c r="AP1061" s="70"/>
      <c r="AQ1061" s="70"/>
      <c r="AR1061" s="70"/>
      <c r="AS1061" s="70"/>
      <c r="AT1061" s="70"/>
    </row>
    <row r="1062" ht="15.0" customHeight="1">
      <c r="A1062" s="70"/>
      <c r="B1062" s="70"/>
      <c r="C1062" s="70"/>
      <c r="D1062" s="80"/>
      <c r="E1062" s="70"/>
      <c r="F1062" s="70"/>
      <c r="G1062" s="70"/>
      <c r="I1062" s="70"/>
      <c r="J1062" s="70"/>
      <c r="L1062" s="70"/>
      <c r="M1062" s="70"/>
      <c r="N1062" s="70"/>
      <c r="O1062" s="70"/>
      <c r="P1062" s="70"/>
      <c r="Q1062" s="70"/>
      <c r="R1062" s="70"/>
      <c r="S1062" s="70"/>
      <c r="T1062" s="91"/>
      <c r="U1062" s="91"/>
      <c r="V1062" s="70"/>
      <c r="W1062" s="58"/>
      <c r="X1062" s="58"/>
      <c r="Y1062" s="70"/>
      <c r="Z1062" s="83"/>
      <c r="AA1062" s="70"/>
      <c r="AB1062" s="70"/>
      <c r="AC1062" s="70"/>
      <c r="AE1062" s="70"/>
      <c r="AF1062" s="70"/>
      <c r="AG1062" s="70"/>
      <c r="AH1062" s="70"/>
      <c r="AI1062" s="70"/>
      <c r="AJ1062" s="70"/>
      <c r="AK1062" s="70"/>
      <c r="AL1062" s="70"/>
      <c r="AM1062" s="70"/>
      <c r="AN1062" s="70"/>
      <c r="AO1062" s="70"/>
      <c r="AP1062" s="70"/>
      <c r="AQ1062" s="70"/>
      <c r="AR1062" s="70"/>
      <c r="AS1062" s="70"/>
      <c r="AT1062" s="70"/>
    </row>
    <row r="1063" ht="15.0" customHeight="1">
      <c r="A1063" s="70"/>
      <c r="B1063" s="70"/>
      <c r="C1063" s="70"/>
      <c r="D1063" s="80"/>
      <c r="E1063" s="70"/>
      <c r="F1063" s="70"/>
      <c r="G1063" s="70"/>
      <c r="I1063" s="70"/>
      <c r="J1063" s="70"/>
      <c r="L1063" s="70"/>
      <c r="M1063" s="70"/>
      <c r="N1063" s="70"/>
      <c r="O1063" s="70"/>
      <c r="P1063" s="70"/>
      <c r="Q1063" s="70"/>
      <c r="R1063" s="70"/>
      <c r="S1063" s="70"/>
      <c r="T1063" s="91"/>
      <c r="U1063" s="91"/>
      <c r="V1063" s="70"/>
      <c r="W1063" s="58"/>
      <c r="X1063" s="58"/>
      <c r="Y1063" s="70"/>
      <c r="Z1063" s="83"/>
      <c r="AA1063" s="70"/>
      <c r="AB1063" s="70"/>
      <c r="AC1063" s="70"/>
      <c r="AE1063" s="70"/>
      <c r="AF1063" s="70"/>
      <c r="AG1063" s="70"/>
      <c r="AH1063" s="70"/>
      <c r="AI1063" s="70"/>
      <c r="AJ1063" s="70"/>
      <c r="AK1063" s="70"/>
      <c r="AL1063" s="70"/>
      <c r="AM1063" s="70"/>
      <c r="AN1063" s="70"/>
      <c r="AO1063" s="70"/>
      <c r="AP1063" s="70"/>
      <c r="AQ1063" s="70"/>
      <c r="AR1063" s="70"/>
      <c r="AS1063" s="70"/>
      <c r="AT1063" s="70"/>
    </row>
    <row r="1064" ht="15.0" customHeight="1">
      <c r="A1064" s="70"/>
      <c r="B1064" s="70"/>
      <c r="C1064" s="70"/>
      <c r="D1064" s="80"/>
      <c r="E1064" s="70"/>
      <c r="F1064" s="70"/>
      <c r="G1064" s="70"/>
      <c r="I1064" s="70"/>
      <c r="J1064" s="70"/>
      <c r="L1064" s="70"/>
      <c r="M1064" s="70"/>
      <c r="N1064" s="70"/>
      <c r="O1064" s="70"/>
      <c r="P1064" s="70"/>
      <c r="Q1064" s="70"/>
      <c r="R1064" s="70"/>
      <c r="S1064" s="70"/>
      <c r="T1064" s="91"/>
      <c r="U1064" s="91"/>
      <c r="V1064" s="70"/>
      <c r="W1064" s="58"/>
      <c r="X1064" s="58"/>
      <c r="Y1064" s="70"/>
      <c r="Z1064" s="83"/>
      <c r="AA1064" s="70"/>
      <c r="AB1064" s="70"/>
      <c r="AC1064" s="70"/>
      <c r="AE1064" s="70"/>
      <c r="AF1064" s="70"/>
      <c r="AG1064" s="70"/>
      <c r="AH1064" s="70"/>
      <c r="AI1064" s="70"/>
      <c r="AJ1064" s="70"/>
      <c r="AK1064" s="70"/>
      <c r="AL1064" s="70"/>
      <c r="AM1064" s="70"/>
      <c r="AN1064" s="70"/>
      <c r="AO1064" s="70"/>
      <c r="AP1064" s="70"/>
      <c r="AQ1064" s="70"/>
      <c r="AR1064" s="70"/>
      <c r="AS1064" s="70"/>
      <c r="AT1064" s="70"/>
    </row>
    <row r="1065" ht="15.0" customHeight="1">
      <c r="A1065" s="70"/>
      <c r="B1065" s="70"/>
      <c r="C1065" s="70"/>
      <c r="D1065" s="80"/>
      <c r="E1065" s="70"/>
      <c r="F1065" s="70"/>
      <c r="G1065" s="70"/>
      <c r="I1065" s="70"/>
      <c r="J1065" s="70"/>
      <c r="L1065" s="70"/>
      <c r="M1065" s="70"/>
      <c r="N1065" s="70"/>
      <c r="O1065" s="70"/>
      <c r="P1065" s="70"/>
      <c r="Q1065" s="70"/>
      <c r="R1065" s="70"/>
      <c r="S1065" s="70"/>
      <c r="T1065" s="91"/>
      <c r="U1065" s="91"/>
      <c r="V1065" s="70"/>
      <c r="W1065" s="58"/>
      <c r="X1065" s="58"/>
      <c r="Y1065" s="70"/>
      <c r="Z1065" s="83"/>
      <c r="AA1065" s="70"/>
      <c r="AB1065" s="70"/>
      <c r="AC1065" s="70"/>
      <c r="AE1065" s="70"/>
      <c r="AF1065" s="70"/>
      <c r="AG1065" s="70"/>
      <c r="AH1065" s="70"/>
      <c r="AI1065" s="70"/>
      <c r="AJ1065" s="70"/>
      <c r="AK1065" s="70"/>
      <c r="AL1065" s="70"/>
      <c r="AM1065" s="70"/>
      <c r="AN1065" s="70"/>
      <c r="AO1065" s="70"/>
      <c r="AP1065" s="70"/>
      <c r="AQ1065" s="70"/>
      <c r="AR1065" s="70"/>
      <c r="AS1065" s="70"/>
      <c r="AT1065" s="70"/>
    </row>
    <row r="1066" ht="15.0" customHeight="1">
      <c r="A1066" s="70"/>
      <c r="B1066" s="70"/>
      <c r="C1066" s="70"/>
      <c r="D1066" s="80"/>
      <c r="E1066" s="70"/>
      <c r="F1066" s="70"/>
      <c r="G1066" s="70"/>
      <c r="I1066" s="70"/>
      <c r="J1066" s="70"/>
      <c r="L1066" s="70"/>
      <c r="M1066" s="70"/>
      <c r="N1066" s="70"/>
      <c r="O1066" s="70"/>
      <c r="P1066" s="70"/>
      <c r="Q1066" s="70"/>
      <c r="R1066" s="70"/>
      <c r="S1066" s="70"/>
      <c r="T1066" s="91"/>
      <c r="U1066" s="91"/>
      <c r="V1066" s="70"/>
      <c r="W1066" s="58"/>
      <c r="X1066" s="58"/>
      <c r="Y1066" s="70"/>
      <c r="Z1066" s="83"/>
      <c r="AA1066" s="70"/>
      <c r="AB1066" s="70"/>
      <c r="AC1066" s="70"/>
      <c r="AE1066" s="70"/>
      <c r="AF1066" s="70"/>
      <c r="AG1066" s="70"/>
      <c r="AH1066" s="70"/>
      <c r="AI1066" s="70"/>
      <c r="AJ1066" s="70"/>
      <c r="AK1066" s="70"/>
      <c r="AL1066" s="70"/>
      <c r="AM1066" s="70"/>
      <c r="AN1066" s="70"/>
      <c r="AO1066" s="70"/>
      <c r="AP1066" s="70"/>
      <c r="AQ1066" s="70"/>
      <c r="AR1066" s="70"/>
      <c r="AS1066" s="70"/>
      <c r="AT1066" s="70"/>
    </row>
    <row r="1067" ht="15.0" customHeight="1">
      <c r="A1067" s="70"/>
      <c r="B1067" s="70"/>
      <c r="C1067" s="70"/>
      <c r="D1067" s="80"/>
      <c r="E1067" s="70"/>
      <c r="F1067" s="70"/>
      <c r="G1067" s="70"/>
      <c r="I1067" s="70"/>
      <c r="J1067" s="70"/>
      <c r="L1067" s="70"/>
      <c r="M1067" s="70"/>
      <c r="N1067" s="70"/>
      <c r="O1067" s="70"/>
      <c r="P1067" s="70"/>
      <c r="Q1067" s="70"/>
      <c r="R1067" s="70"/>
      <c r="S1067" s="70"/>
      <c r="T1067" s="91"/>
      <c r="U1067" s="91"/>
      <c r="V1067" s="70"/>
      <c r="W1067" s="58"/>
      <c r="X1067" s="58"/>
      <c r="Y1067" s="70"/>
      <c r="Z1067" s="83"/>
      <c r="AA1067" s="70"/>
      <c r="AB1067" s="70"/>
      <c r="AC1067" s="70"/>
      <c r="AE1067" s="70"/>
      <c r="AF1067" s="70"/>
      <c r="AG1067" s="70"/>
      <c r="AH1067" s="70"/>
      <c r="AI1067" s="70"/>
      <c r="AJ1067" s="70"/>
      <c r="AK1067" s="70"/>
      <c r="AL1067" s="70"/>
      <c r="AM1067" s="70"/>
      <c r="AN1067" s="70"/>
      <c r="AO1067" s="70"/>
      <c r="AP1067" s="70"/>
      <c r="AQ1067" s="70"/>
      <c r="AR1067" s="70"/>
      <c r="AS1067" s="70"/>
      <c r="AT1067" s="70"/>
    </row>
    <row r="1068" ht="15.0" customHeight="1">
      <c r="A1068" s="70"/>
      <c r="B1068" s="70"/>
      <c r="C1068" s="70"/>
      <c r="D1068" s="80"/>
      <c r="E1068" s="70"/>
      <c r="F1068" s="70"/>
      <c r="G1068" s="70"/>
      <c r="I1068" s="70"/>
      <c r="J1068" s="70"/>
      <c r="L1068" s="70"/>
      <c r="M1068" s="70"/>
      <c r="N1068" s="70"/>
      <c r="O1068" s="70"/>
      <c r="P1068" s="70"/>
      <c r="Q1068" s="70"/>
      <c r="R1068" s="70"/>
      <c r="S1068" s="70"/>
      <c r="T1068" s="91"/>
      <c r="U1068" s="91"/>
      <c r="V1068" s="70"/>
      <c r="W1068" s="58"/>
      <c r="X1068" s="58"/>
      <c r="Y1068" s="70"/>
      <c r="Z1068" s="83"/>
      <c r="AA1068" s="70"/>
      <c r="AB1068" s="70"/>
      <c r="AC1068" s="70"/>
      <c r="AE1068" s="70"/>
      <c r="AF1068" s="70"/>
      <c r="AG1068" s="70"/>
      <c r="AH1068" s="70"/>
      <c r="AI1068" s="70"/>
      <c r="AJ1068" s="70"/>
      <c r="AK1068" s="70"/>
      <c r="AL1068" s="70"/>
      <c r="AM1068" s="70"/>
      <c r="AN1068" s="70"/>
      <c r="AO1068" s="70"/>
      <c r="AP1068" s="70"/>
      <c r="AQ1068" s="70"/>
      <c r="AR1068" s="70"/>
      <c r="AS1068" s="70"/>
      <c r="AT1068" s="70"/>
    </row>
    <row r="1069" ht="15.0" customHeight="1">
      <c r="A1069" s="70"/>
      <c r="B1069" s="70"/>
      <c r="C1069" s="70"/>
      <c r="D1069" s="80"/>
      <c r="E1069" s="70"/>
      <c r="F1069" s="70"/>
      <c r="G1069" s="70"/>
      <c r="I1069" s="70"/>
      <c r="J1069" s="70"/>
      <c r="L1069" s="70"/>
      <c r="M1069" s="70"/>
      <c r="N1069" s="70"/>
      <c r="O1069" s="70"/>
      <c r="P1069" s="70"/>
      <c r="Q1069" s="70"/>
      <c r="R1069" s="70"/>
      <c r="S1069" s="70"/>
      <c r="T1069" s="91"/>
      <c r="U1069" s="91"/>
      <c r="V1069" s="70"/>
      <c r="W1069" s="58"/>
      <c r="X1069" s="58"/>
      <c r="Y1069" s="70"/>
      <c r="Z1069" s="83"/>
      <c r="AA1069" s="70"/>
      <c r="AB1069" s="70"/>
      <c r="AC1069" s="70"/>
      <c r="AE1069" s="70"/>
      <c r="AF1069" s="70"/>
      <c r="AG1069" s="70"/>
      <c r="AH1069" s="70"/>
      <c r="AI1069" s="70"/>
      <c r="AJ1069" s="70"/>
      <c r="AK1069" s="70"/>
      <c r="AL1069" s="70"/>
      <c r="AM1069" s="70"/>
      <c r="AN1069" s="70"/>
      <c r="AO1069" s="70"/>
      <c r="AP1069" s="70"/>
      <c r="AQ1069" s="70"/>
      <c r="AR1069" s="70"/>
      <c r="AS1069" s="70"/>
      <c r="AT1069" s="70"/>
    </row>
    <row r="1070" ht="15.0" customHeight="1">
      <c r="A1070" s="70"/>
      <c r="B1070" s="70"/>
      <c r="C1070" s="70"/>
      <c r="D1070" s="80"/>
      <c r="E1070" s="70"/>
      <c r="F1070" s="70"/>
      <c r="G1070" s="70"/>
      <c r="I1070" s="70"/>
      <c r="J1070" s="70"/>
      <c r="L1070" s="70"/>
      <c r="M1070" s="70"/>
      <c r="N1070" s="70"/>
      <c r="O1070" s="70"/>
      <c r="P1070" s="70"/>
      <c r="Q1070" s="70"/>
      <c r="R1070" s="70"/>
      <c r="S1070" s="70"/>
      <c r="T1070" s="91"/>
      <c r="U1070" s="91"/>
      <c r="V1070" s="70"/>
      <c r="W1070" s="58"/>
      <c r="X1070" s="58"/>
      <c r="Y1070" s="70"/>
      <c r="Z1070" s="83"/>
      <c r="AA1070" s="70"/>
      <c r="AB1070" s="70"/>
      <c r="AC1070" s="70"/>
      <c r="AE1070" s="70"/>
      <c r="AF1070" s="70"/>
      <c r="AG1070" s="70"/>
      <c r="AH1070" s="70"/>
      <c r="AI1070" s="70"/>
      <c r="AJ1070" s="70"/>
      <c r="AK1070" s="70"/>
      <c r="AL1070" s="70"/>
      <c r="AM1070" s="70"/>
      <c r="AN1070" s="70"/>
      <c r="AO1070" s="70"/>
      <c r="AP1070" s="70"/>
      <c r="AQ1070" s="70"/>
      <c r="AR1070" s="70"/>
      <c r="AS1070" s="70"/>
      <c r="AT1070" s="70"/>
    </row>
    <row r="1071" ht="15.0" customHeight="1">
      <c r="A1071" s="70"/>
      <c r="B1071" s="70"/>
      <c r="C1071" s="70"/>
      <c r="D1071" s="80"/>
      <c r="E1071" s="70"/>
      <c r="F1071" s="70"/>
      <c r="G1071" s="70"/>
      <c r="I1071" s="70"/>
      <c r="J1071" s="70"/>
      <c r="L1071" s="70"/>
      <c r="M1071" s="70"/>
      <c r="N1071" s="70"/>
      <c r="O1071" s="70"/>
      <c r="P1071" s="70"/>
      <c r="Q1071" s="70"/>
      <c r="R1071" s="70"/>
      <c r="S1071" s="70"/>
      <c r="T1071" s="91"/>
      <c r="U1071" s="91"/>
      <c r="V1071" s="70"/>
      <c r="W1071" s="58"/>
      <c r="X1071" s="58"/>
      <c r="Y1071" s="70"/>
      <c r="Z1071" s="83"/>
      <c r="AA1071" s="70"/>
      <c r="AB1071" s="70"/>
      <c r="AC1071" s="70"/>
      <c r="AE1071" s="70"/>
      <c r="AF1071" s="70"/>
      <c r="AG1071" s="70"/>
      <c r="AH1071" s="70"/>
      <c r="AI1071" s="70"/>
      <c r="AJ1071" s="70"/>
      <c r="AK1071" s="70"/>
      <c r="AL1071" s="70"/>
      <c r="AM1071" s="70"/>
      <c r="AN1071" s="70"/>
      <c r="AO1071" s="70"/>
      <c r="AP1071" s="70"/>
      <c r="AQ1071" s="70"/>
      <c r="AR1071" s="70"/>
      <c r="AS1071" s="70"/>
      <c r="AT1071" s="70"/>
    </row>
    <row r="1072" ht="15.0" customHeight="1">
      <c r="A1072" s="70"/>
      <c r="B1072" s="70"/>
      <c r="C1072" s="70"/>
      <c r="D1072" s="80"/>
      <c r="E1072" s="70"/>
      <c r="F1072" s="70"/>
      <c r="G1072" s="70"/>
      <c r="I1072" s="70"/>
      <c r="J1072" s="70"/>
      <c r="L1072" s="70"/>
      <c r="M1072" s="70"/>
      <c r="N1072" s="70"/>
      <c r="O1072" s="70"/>
      <c r="P1072" s="70"/>
      <c r="Q1072" s="70"/>
      <c r="R1072" s="70"/>
      <c r="S1072" s="70"/>
      <c r="T1072" s="91"/>
      <c r="U1072" s="91"/>
      <c r="V1072" s="70"/>
      <c r="W1072" s="58"/>
      <c r="X1072" s="58"/>
      <c r="Y1072" s="70"/>
      <c r="Z1072" s="83"/>
      <c r="AA1072" s="70"/>
      <c r="AB1072" s="70"/>
      <c r="AC1072" s="70"/>
      <c r="AE1072" s="70"/>
      <c r="AF1072" s="70"/>
      <c r="AG1072" s="70"/>
      <c r="AH1072" s="70"/>
      <c r="AI1072" s="70"/>
      <c r="AJ1072" s="70"/>
      <c r="AK1072" s="70"/>
      <c r="AL1072" s="70"/>
      <c r="AM1072" s="70"/>
      <c r="AN1072" s="70"/>
      <c r="AO1072" s="70"/>
      <c r="AP1072" s="70"/>
      <c r="AQ1072" s="70"/>
      <c r="AR1072" s="70"/>
      <c r="AS1072" s="70"/>
      <c r="AT1072" s="70"/>
    </row>
    <row r="1073" ht="15.0" customHeight="1">
      <c r="A1073" s="70"/>
      <c r="B1073" s="70"/>
      <c r="C1073" s="70"/>
      <c r="D1073" s="80"/>
      <c r="E1073" s="70"/>
      <c r="F1073" s="70"/>
      <c r="G1073" s="70"/>
      <c r="I1073" s="70"/>
      <c r="J1073" s="70"/>
      <c r="L1073" s="70"/>
      <c r="M1073" s="70"/>
      <c r="N1073" s="70"/>
      <c r="O1073" s="70"/>
      <c r="P1073" s="70"/>
      <c r="Q1073" s="70"/>
      <c r="R1073" s="70"/>
      <c r="S1073" s="70"/>
      <c r="T1073" s="91"/>
      <c r="U1073" s="91"/>
      <c r="V1073" s="70"/>
      <c r="W1073" s="58"/>
      <c r="X1073" s="58"/>
      <c r="Y1073" s="70"/>
      <c r="Z1073" s="83"/>
      <c r="AA1073" s="70"/>
      <c r="AB1073" s="70"/>
      <c r="AC1073" s="70"/>
      <c r="AE1073" s="70"/>
      <c r="AF1073" s="70"/>
      <c r="AG1073" s="70"/>
      <c r="AH1073" s="70"/>
      <c r="AI1073" s="70"/>
      <c r="AJ1073" s="70"/>
      <c r="AK1073" s="70"/>
      <c r="AL1073" s="70"/>
      <c r="AM1073" s="70"/>
      <c r="AN1073" s="70"/>
      <c r="AO1073" s="70"/>
      <c r="AP1073" s="70"/>
      <c r="AQ1073" s="70"/>
      <c r="AR1073" s="70"/>
      <c r="AS1073" s="70"/>
      <c r="AT1073" s="70"/>
    </row>
    <row r="1074" ht="15.0" customHeight="1">
      <c r="A1074" s="70"/>
      <c r="B1074" s="70"/>
      <c r="C1074" s="70"/>
      <c r="D1074" s="80"/>
      <c r="E1074" s="70"/>
      <c r="F1074" s="70"/>
      <c r="G1074" s="70"/>
      <c r="I1074" s="70"/>
      <c r="J1074" s="70"/>
      <c r="L1074" s="70"/>
      <c r="M1074" s="70"/>
      <c r="N1074" s="70"/>
      <c r="O1074" s="70"/>
      <c r="P1074" s="70"/>
      <c r="Q1074" s="70"/>
      <c r="R1074" s="70"/>
      <c r="S1074" s="70"/>
      <c r="T1074" s="91"/>
      <c r="U1074" s="91"/>
      <c r="V1074" s="70"/>
      <c r="W1074" s="58"/>
      <c r="X1074" s="58"/>
      <c r="Y1074" s="70"/>
      <c r="Z1074" s="83"/>
      <c r="AA1074" s="70"/>
      <c r="AB1074" s="70"/>
      <c r="AC1074" s="70"/>
      <c r="AE1074" s="70"/>
      <c r="AF1074" s="70"/>
      <c r="AG1074" s="70"/>
      <c r="AH1074" s="70"/>
      <c r="AI1074" s="70"/>
      <c r="AJ1074" s="70"/>
      <c r="AK1074" s="70"/>
      <c r="AL1074" s="70"/>
      <c r="AM1074" s="70"/>
      <c r="AN1074" s="70"/>
      <c r="AO1074" s="70"/>
      <c r="AP1074" s="70"/>
      <c r="AQ1074" s="70"/>
      <c r="AR1074" s="70"/>
      <c r="AS1074" s="70"/>
      <c r="AT1074" s="70"/>
    </row>
    <row r="1075" ht="15.0" customHeight="1">
      <c r="A1075" s="70"/>
      <c r="B1075" s="70"/>
      <c r="C1075" s="70"/>
      <c r="D1075" s="80"/>
      <c r="E1075" s="70"/>
      <c r="F1075" s="70"/>
      <c r="G1075" s="70"/>
      <c r="I1075" s="70"/>
      <c r="J1075" s="70"/>
      <c r="L1075" s="70"/>
      <c r="M1075" s="70"/>
      <c r="N1075" s="70"/>
      <c r="O1075" s="70"/>
      <c r="P1075" s="70"/>
      <c r="Q1075" s="70"/>
      <c r="R1075" s="70"/>
      <c r="S1075" s="70"/>
      <c r="T1075" s="91"/>
      <c r="U1075" s="91"/>
      <c r="V1075" s="70"/>
      <c r="W1075" s="58"/>
      <c r="X1075" s="58"/>
      <c r="Y1075" s="70"/>
      <c r="Z1075" s="83"/>
      <c r="AA1075" s="70"/>
      <c r="AB1075" s="70"/>
      <c r="AC1075" s="70"/>
      <c r="AE1075" s="70"/>
      <c r="AF1075" s="70"/>
      <c r="AG1075" s="70"/>
      <c r="AH1075" s="70"/>
      <c r="AI1075" s="70"/>
      <c r="AJ1075" s="70"/>
      <c r="AK1075" s="70"/>
      <c r="AL1075" s="70"/>
      <c r="AM1075" s="70"/>
      <c r="AN1075" s="70"/>
      <c r="AO1075" s="70"/>
      <c r="AP1075" s="70"/>
      <c r="AQ1075" s="70"/>
      <c r="AR1075" s="70"/>
      <c r="AS1075" s="70"/>
      <c r="AT1075" s="70"/>
    </row>
    <row r="1076" ht="15.0" customHeight="1">
      <c r="A1076" s="70"/>
      <c r="B1076" s="70"/>
      <c r="C1076" s="70"/>
      <c r="D1076" s="80"/>
      <c r="E1076" s="70"/>
      <c r="F1076" s="70"/>
      <c r="G1076" s="70"/>
      <c r="I1076" s="70"/>
      <c r="J1076" s="70"/>
      <c r="L1076" s="70"/>
      <c r="M1076" s="70"/>
      <c r="N1076" s="70"/>
      <c r="O1076" s="70"/>
      <c r="P1076" s="70"/>
      <c r="Q1076" s="70"/>
      <c r="R1076" s="70"/>
      <c r="S1076" s="70"/>
      <c r="T1076" s="91"/>
      <c r="U1076" s="91"/>
      <c r="V1076" s="70"/>
      <c r="W1076" s="58"/>
      <c r="X1076" s="58"/>
      <c r="Y1076" s="70"/>
      <c r="Z1076" s="83"/>
      <c r="AA1076" s="70"/>
      <c r="AB1076" s="70"/>
      <c r="AC1076" s="70"/>
      <c r="AE1076" s="70"/>
      <c r="AF1076" s="70"/>
      <c r="AG1076" s="70"/>
      <c r="AH1076" s="70"/>
      <c r="AI1076" s="70"/>
      <c r="AJ1076" s="70"/>
      <c r="AK1076" s="70"/>
      <c r="AL1076" s="70"/>
      <c r="AM1076" s="70"/>
      <c r="AN1076" s="70"/>
      <c r="AO1076" s="70"/>
      <c r="AP1076" s="70"/>
      <c r="AQ1076" s="70"/>
      <c r="AR1076" s="70"/>
      <c r="AS1076" s="70"/>
      <c r="AT1076" s="70"/>
    </row>
    <row r="1077" ht="15.0" customHeight="1">
      <c r="A1077" s="70"/>
      <c r="B1077" s="70"/>
      <c r="C1077" s="70"/>
      <c r="D1077" s="80"/>
      <c r="E1077" s="70"/>
      <c r="F1077" s="70"/>
      <c r="G1077" s="70"/>
      <c r="I1077" s="70"/>
      <c r="J1077" s="70"/>
      <c r="L1077" s="70"/>
      <c r="M1077" s="70"/>
      <c r="N1077" s="70"/>
      <c r="O1077" s="70"/>
      <c r="P1077" s="70"/>
      <c r="Q1077" s="70"/>
      <c r="R1077" s="70"/>
      <c r="S1077" s="70"/>
      <c r="T1077" s="91"/>
      <c r="U1077" s="91"/>
      <c r="V1077" s="70"/>
      <c r="W1077" s="58"/>
      <c r="X1077" s="58"/>
      <c r="Y1077" s="70"/>
      <c r="Z1077" s="83"/>
      <c r="AA1077" s="70"/>
      <c r="AB1077" s="70"/>
      <c r="AC1077" s="70"/>
      <c r="AE1077" s="70"/>
      <c r="AF1077" s="70"/>
      <c r="AG1077" s="70"/>
      <c r="AH1077" s="70"/>
      <c r="AI1077" s="70"/>
      <c r="AJ1077" s="70"/>
      <c r="AK1077" s="70"/>
      <c r="AL1077" s="70"/>
      <c r="AM1077" s="70"/>
      <c r="AN1077" s="70"/>
      <c r="AO1077" s="70"/>
      <c r="AP1077" s="70"/>
      <c r="AQ1077" s="70"/>
      <c r="AR1077" s="70"/>
      <c r="AS1077" s="70"/>
      <c r="AT1077" s="70"/>
    </row>
    <row r="1078" ht="15.0" customHeight="1">
      <c r="A1078" s="70"/>
      <c r="B1078" s="70"/>
      <c r="C1078" s="70"/>
      <c r="D1078" s="80"/>
      <c r="E1078" s="70"/>
      <c r="F1078" s="70"/>
      <c r="G1078" s="70"/>
      <c r="I1078" s="70"/>
      <c r="J1078" s="70"/>
      <c r="L1078" s="70"/>
      <c r="M1078" s="70"/>
      <c r="N1078" s="70"/>
      <c r="O1078" s="70"/>
      <c r="P1078" s="70"/>
      <c r="Q1078" s="70"/>
      <c r="R1078" s="70"/>
      <c r="S1078" s="70"/>
      <c r="T1078" s="91"/>
      <c r="U1078" s="91"/>
      <c r="V1078" s="70"/>
      <c r="W1078" s="58"/>
      <c r="X1078" s="58"/>
      <c r="Y1078" s="70"/>
      <c r="Z1078" s="83"/>
      <c r="AA1078" s="70"/>
      <c r="AB1078" s="70"/>
      <c r="AC1078" s="70"/>
      <c r="AE1078" s="70"/>
      <c r="AF1078" s="70"/>
      <c r="AG1078" s="70"/>
      <c r="AH1078" s="70"/>
      <c r="AI1078" s="70"/>
      <c r="AJ1078" s="70"/>
      <c r="AK1078" s="70"/>
      <c r="AL1078" s="70"/>
      <c r="AM1078" s="70"/>
      <c r="AN1078" s="70"/>
      <c r="AO1078" s="70"/>
      <c r="AP1078" s="70"/>
      <c r="AQ1078" s="70"/>
      <c r="AR1078" s="70"/>
      <c r="AS1078" s="70"/>
      <c r="AT1078" s="70"/>
    </row>
    <row r="1079" ht="15.0" customHeight="1">
      <c r="A1079" s="70"/>
      <c r="B1079" s="70"/>
      <c r="C1079" s="70"/>
      <c r="D1079" s="80"/>
      <c r="E1079" s="70"/>
      <c r="F1079" s="70"/>
      <c r="G1079" s="70"/>
      <c r="I1079" s="70"/>
      <c r="J1079" s="70"/>
      <c r="L1079" s="70"/>
      <c r="M1079" s="70"/>
      <c r="N1079" s="70"/>
      <c r="O1079" s="70"/>
      <c r="P1079" s="70"/>
      <c r="Q1079" s="70"/>
      <c r="R1079" s="70"/>
      <c r="S1079" s="70"/>
      <c r="T1079" s="91"/>
      <c r="U1079" s="91"/>
      <c r="V1079" s="70"/>
      <c r="W1079" s="58"/>
      <c r="X1079" s="58"/>
      <c r="Y1079" s="70"/>
      <c r="Z1079" s="83"/>
      <c r="AA1079" s="70"/>
      <c r="AB1079" s="70"/>
      <c r="AC1079" s="70"/>
      <c r="AE1079" s="70"/>
      <c r="AF1079" s="70"/>
      <c r="AG1079" s="70"/>
      <c r="AH1079" s="70"/>
      <c r="AI1079" s="70"/>
      <c r="AJ1079" s="70"/>
      <c r="AK1079" s="70"/>
      <c r="AL1079" s="70"/>
      <c r="AM1079" s="70"/>
      <c r="AN1079" s="70"/>
      <c r="AO1079" s="70"/>
      <c r="AP1079" s="70"/>
      <c r="AQ1079" s="70"/>
      <c r="AR1079" s="70"/>
      <c r="AS1079" s="70"/>
      <c r="AT1079" s="70"/>
    </row>
    <row r="1080" ht="15.0" customHeight="1">
      <c r="A1080" s="70"/>
      <c r="B1080" s="70"/>
      <c r="C1080" s="70"/>
      <c r="D1080" s="80"/>
      <c r="E1080" s="70"/>
      <c r="F1080" s="70"/>
      <c r="G1080" s="70"/>
      <c r="I1080" s="70"/>
      <c r="J1080" s="70"/>
      <c r="L1080" s="70"/>
      <c r="M1080" s="70"/>
      <c r="N1080" s="70"/>
      <c r="O1080" s="70"/>
      <c r="P1080" s="70"/>
      <c r="Q1080" s="70"/>
      <c r="R1080" s="70"/>
      <c r="S1080" s="70"/>
      <c r="T1080" s="91"/>
      <c r="U1080" s="91"/>
      <c r="V1080" s="70"/>
      <c r="W1080" s="58"/>
      <c r="X1080" s="58"/>
      <c r="Y1080" s="70"/>
      <c r="Z1080" s="83"/>
      <c r="AA1080" s="70"/>
      <c r="AB1080" s="70"/>
      <c r="AC1080" s="70"/>
      <c r="AE1080" s="70"/>
      <c r="AF1080" s="70"/>
      <c r="AG1080" s="70"/>
      <c r="AH1080" s="70"/>
      <c r="AI1080" s="70"/>
      <c r="AJ1080" s="70"/>
      <c r="AK1080" s="70"/>
      <c r="AL1080" s="70"/>
      <c r="AM1080" s="70"/>
      <c r="AN1080" s="70"/>
      <c r="AO1080" s="70"/>
      <c r="AP1080" s="70"/>
      <c r="AQ1080" s="70"/>
      <c r="AR1080" s="70"/>
      <c r="AS1080" s="70"/>
      <c r="AT1080" s="70"/>
    </row>
    <row r="1081" ht="15.0" customHeight="1">
      <c r="A1081" s="70"/>
      <c r="B1081" s="70"/>
      <c r="C1081" s="70"/>
      <c r="D1081" s="80"/>
      <c r="E1081" s="70"/>
      <c r="F1081" s="70"/>
      <c r="G1081" s="70"/>
      <c r="I1081" s="70"/>
      <c r="J1081" s="70"/>
      <c r="L1081" s="70"/>
      <c r="M1081" s="70"/>
      <c r="N1081" s="70"/>
      <c r="O1081" s="70"/>
      <c r="P1081" s="70"/>
      <c r="Q1081" s="70"/>
      <c r="R1081" s="70"/>
      <c r="S1081" s="70"/>
      <c r="T1081" s="91"/>
      <c r="U1081" s="91"/>
      <c r="V1081" s="70"/>
      <c r="W1081" s="58"/>
      <c r="X1081" s="58"/>
      <c r="Y1081" s="70"/>
      <c r="Z1081" s="83"/>
      <c r="AA1081" s="70"/>
      <c r="AB1081" s="70"/>
      <c r="AC1081" s="70"/>
      <c r="AE1081" s="70"/>
      <c r="AF1081" s="70"/>
      <c r="AG1081" s="70"/>
      <c r="AH1081" s="70"/>
      <c r="AI1081" s="70"/>
      <c r="AJ1081" s="70"/>
      <c r="AK1081" s="70"/>
      <c r="AL1081" s="70"/>
      <c r="AM1081" s="70"/>
      <c r="AN1081" s="70"/>
      <c r="AO1081" s="70"/>
      <c r="AP1081" s="70"/>
      <c r="AQ1081" s="70"/>
      <c r="AR1081" s="70"/>
      <c r="AS1081" s="70"/>
      <c r="AT1081" s="70"/>
    </row>
    <row r="1082" ht="15.0" customHeight="1">
      <c r="A1082" s="70"/>
      <c r="B1082" s="70"/>
      <c r="C1082" s="70"/>
      <c r="D1082" s="80"/>
      <c r="E1082" s="70"/>
      <c r="F1082" s="70"/>
      <c r="G1082" s="70"/>
      <c r="I1082" s="70"/>
      <c r="J1082" s="70"/>
      <c r="L1082" s="70"/>
      <c r="M1082" s="70"/>
      <c r="N1082" s="70"/>
      <c r="O1082" s="70"/>
      <c r="P1082" s="70"/>
      <c r="Q1082" s="70"/>
      <c r="R1082" s="70"/>
      <c r="S1082" s="70"/>
      <c r="T1082" s="91"/>
      <c r="U1082" s="91"/>
      <c r="V1082" s="70"/>
      <c r="W1082" s="58"/>
      <c r="X1082" s="58"/>
      <c r="Y1082" s="70"/>
      <c r="Z1082" s="83"/>
      <c r="AA1082" s="70"/>
      <c r="AB1082" s="70"/>
      <c r="AC1082" s="70"/>
      <c r="AE1082" s="70"/>
      <c r="AF1082" s="70"/>
      <c r="AG1082" s="70"/>
      <c r="AH1082" s="70"/>
      <c r="AI1082" s="70"/>
      <c r="AJ1082" s="70"/>
      <c r="AK1082" s="70"/>
      <c r="AL1082" s="70"/>
      <c r="AM1082" s="70"/>
      <c r="AN1082" s="70"/>
      <c r="AO1082" s="70"/>
      <c r="AP1082" s="70"/>
      <c r="AQ1082" s="70"/>
      <c r="AR1082" s="70"/>
      <c r="AS1082" s="70"/>
      <c r="AT1082" s="70"/>
    </row>
    <row r="1083" ht="15.0" customHeight="1">
      <c r="A1083" s="70"/>
      <c r="B1083" s="70"/>
      <c r="C1083" s="70"/>
      <c r="D1083" s="80"/>
      <c r="E1083" s="70"/>
      <c r="F1083" s="70"/>
      <c r="G1083" s="70"/>
      <c r="I1083" s="70"/>
      <c r="J1083" s="70"/>
      <c r="L1083" s="70"/>
      <c r="M1083" s="70"/>
      <c r="N1083" s="70"/>
      <c r="O1083" s="70"/>
      <c r="P1083" s="70"/>
      <c r="Q1083" s="70"/>
      <c r="R1083" s="70"/>
      <c r="S1083" s="70"/>
      <c r="T1083" s="91"/>
      <c r="U1083" s="91"/>
      <c r="V1083" s="70"/>
      <c r="W1083" s="58"/>
      <c r="X1083" s="58"/>
      <c r="Y1083" s="70"/>
      <c r="Z1083" s="83"/>
      <c r="AA1083" s="70"/>
      <c r="AB1083" s="70"/>
      <c r="AC1083" s="70"/>
      <c r="AE1083" s="70"/>
      <c r="AF1083" s="70"/>
      <c r="AG1083" s="70"/>
      <c r="AH1083" s="70"/>
      <c r="AI1083" s="70"/>
      <c r="AJ1083" s="70"/>
      <c r="AK1083" s="70"/>
      <c r="AL1083" s="70"/>
      <c r="AM1083" s="70"/>
      <c r="AN1083" s="70"/>
      <c r="AO1083" s="70"/>
      <c r="AP1083" s="70"/>
      <c r="AQ1083" s="70"/>
      <c r="AR1083" s="70"/>
      <c r="AS1083" s="70"/>
      <c r="AT1083" s="70"/>
    </row>
    <row r="1084" ht="15.0" customHeight="1">
      <c r="A1084" s="70"/>
      <c r="B1084" s="70"/>
      <c r="C1084" s="70"/>
      <c r="D1084" s="80"/>
      <c r="E1084" s="70"/>
      <c r="F1084" s="70"/>
      <c r="G1084" s="70"/>
      <c r="I1084" s="70"/>
      <c r="J1084" s="70"/>
      <c r="L1084" s="70"/>
      <c r="M1084" s="70"/>
      <c r="N1084" s="70"/>
      <c r="O1084" s="70"/>
      <c r="P1084" s="70"/>
      <c r="Q1084" s="70"/>
      <c r="R1084" s="70"/>
      <c r="S1084" s="70"/>
      <c r="T1084" s="91"/>
      <c r="U1084" s="91"/>
      <c r="V1084" s="70"/>
      <c r="W1084" s="58"/>
      <c r="X1084" s="58"/>
      <c r="Y1084" s="70"/>
      <c r="Z1084" s="83"/>
      <c r="AA1084" s="70"/>
      <c r="AB1084" s="70"/>
      <c r="AC1084" s="70"/>
      <c r="AE1084" s="70"/>
      <c r="AF1084" s="70"/>
      <c r="AG1084" s="70"/>
      <c r="AH1084" s="70"/>
      <c r="AI1084" s="70"/>
      <c r="AJ1084" s="70"/>
      <c r="AK1084" s="70"/>
      <c r="AL1084" s="70"/>
      <c r="AM1084" s="70"/>
      <c r="AN1084" s="70"/>
      <c r="AO1084" s="70"/>
      <c r="AP1084" s="70"/>
      <c r="AQ1084" s="70"/>
      <c r="AR1084" s="70"/>
      <c r="AS1084" s="70"/>
      <c r="AT1084" s="70"/>
    </row>
    <row r="1085" ht="15.0" customHeight="1">
      <c r="A1085" s="70"/>
      <c r="B1085" s="70"/>
      <c r="C1085" s="70"/>
      <c r="D1085" s="80"/>
      <c r="E1085" s="70"/>
      <c r="F1085" s="70"/>
      <c r="G1085" s="70"/>
      <c r="I1085" s="70"/>
      <c r="J1085" s="70"/>
      <c r="L1085" s="70"/>
      <c r="M1085" s="70"/>
      <c r="N1085" s="70"/>
      <c r="O1085" s="70"/>
      <c r="P1085" s="70"/>
      <c r="Q1085" s="70"/>
      <c r="R1085" s="70"/>
      <c r="S1085" s="70"/>
      <c r="T1085" s="91"/>
      <c r="U1085" s="91"/>
      <c r="V1085" s="70"/>
      <c r="W1085" s="58"/>
      <c r="X1085" s="58"/>
      <c r="Y1085" s="70"/>
      <c r="Z1085" s="83"/>
      <c r="AA1085" s="70"/>
      <c r="AB1085" s="70"/>
      <c r="AC1085" s="70"/>
      <c r="AE1085" s="70"/>
      <c r="AF1085" s="70"/>
      <c r="AG1085" s="70"/>
      <c r="AH1085" s="70"/>
      <c r="AI1085" s="70"/>
      <c r="AJ1085" s="70"/>
      <c r="AK1085" s="70"/>
      <c r="AL1085" s="70"/>
      <c r="AM1085" s="70"/>
      <c r="AN1085" s="70"/>
      <c r="AO1085" s="70"/>
      <c r="AP1085" s="70"/>
      <c r="AQ1085" s="70"/>
      <c r="AR1085" s="70"/>
      <c r="AS1085" s="70"/>
      <c r="AT1085" s="70"/>
    </row>
    <row r="1086" ht="15.0" customHeight="1">
      <c r="A1086" s="70"/>
      <c r="B1086" s="70"/>
      <c r="C1086" s="70"/>
      <c r="D1086" s="80"/>
      <c r="E1086" s="70"/>
      <c r="F1086" s="70"/>
      <c r="G1086" s="70"/>
      <c r="I1086" s="70"/>
      <c r="J1086" s="70"/>
      <c r="L1086" s="70"/>
      <c r="M1086" s="70"/>
      <c r="N1086" s="70"/>
      <c r="O1086" s="70"/>
      <c r="P1086" s="70"/>
      <c r="Q1086" s="70"/>
      <c r="R1086" s="70"/>
      <c r="S1086" s="70"/>
      <c r="T1086" s="91"/>
      <c r="U1086" s="91"/>
      <c r="V1086" s="70"/>
      <c r="W1086" s="58"/>
      <c r="X1086" s="58"/>
      <c r="Y1086" s="70"/>
      <c r="Z1086" s="83"/>
      <c r="AA1086" s="70"/>
      <c r="AB1086" s="70"/>
      <c r="AC1086" s="70"/>
      <c r="AE1086" s="70"/>
      <c r="AF1086" s="70"/>
      <c r="AG1086" s="70"/>
      <c r="AH1086" s="70"/>
      <c r="AI1086" s="70"/>
      <c r="AJ1086" s="70"/>
      <c r="AK1086" s="70"/>
      <c r="AL1086" s="70"/>
      <c r="AM1086" s="70"/>
      <c r="AN1086" s="70"/>
      <c r="AO1086" s="70"/>
      <c r="AP1086" s="70"/>
      <c r="AQ1086" s="70"/>
      <c r="AR1086" s="70"/>
      <c r="AS1086" s="70"/>
      <c r="AT1086" s="70"/>
    </row>
    <row r="1087" ht="15.0" customHeight="1">
      <c r="A1087" s="70"/>
      <c r="B1087" s="70"/>
      <c r="C1087" s="70"/>
      <c r="D1087" s="80"/>
      <c r="E1087" s="70"/>
      <c r="F1087" s="70"/>
      <c r="G1087" s="70"/>
      <c r="I1087" s="70"/>
      <c r="J1087" s="70"/>
      <c r="L1087" s="70"/>
      <c r="M1087" s="70"/>
      <c r="N1087" s="70"/>
      <c r="O1087" s="70"/>
      <c r="P1087" s="70"/>
      <c r="Q1087" s="70"/>
      <c r="R1087" s="70"/>
      <c r="S1087" s="70"/>
      <c r="T1087" s="91"/>
      <c r="U1087" s="91"/>
      <c r="V1087" s="70"/>
      <c r="W1087" s="58"/>
      <c r="X1087" s="58"/>
      <c r="Y1087" s="70"/>
      <c r="Z1087" s="83"/>
      <c r="AA1087" s="70"/>
      <c r="AB1087" s="70"/>
      <c r="AC1087" s="70"/>
      <c r="AE1087" s="70"/>
      <c r="AF1087" s="70"/>
      <c r="AG1087" s="70"/>
      <c r="AH1087" s="70"/>
      <c r="AI1087" s="70"/>
      <c r="AJ1087" s="70"/>
      <c r="AK1087" s="70"/>
      <c r="AL1087" s="70"/>
      <c r="AM1087" s="70"/>
      <c r="AN1087" s="70"/>
      <c r="AO1087" s="70"/>
      <c r="AP1087" s="70"/>
      <c r="AQ1087" s="70"/>
      <c r="AR1087" s="70"/>
      <c r="AS1087" s="70"/>
      <c r="AT1087" s="70"/>
    </row>
    <row r="1088" ht="15.0" customHeight="1">
      <c r="A1088" s="70"/>
      <c r="B1088" s="70"/>
      <c r="C1088" s="70"/>
      <c r="D1088" s="80"/>
      <c r="E1088" s="70"/>
      <c r="F1088" s="70"/>
      <c r="G1088" s="70"/>
      <c r="I1088" s="70"/>
      <c r="J1088" s="70"/>
      <c r="L1088" s="70"/>
      <c r="M1088" s="70"/>
      <c r="N1088" s="70"/>
      <c r="O1088" s="70"/>
      <c r="P1088" s="70"/>
      <c r="Q1088" s="70"/>
      <c r="R1088" s="70"/>
      <c r="S1088" s="70"/>
      <c r="T1088" s="91"/>
      <c r="U1088" s="91"/>
      <c r="V1088" s="70"/>
      <c r="W1088" s="58"/>
      <c r="X1088" s="58"/>
      <c r="Y1088" s="70"/>
      <c r="Z1088" s="83"/>
      <c r="AA1088" s="70"/>
      <c r="AB1088" s="70"/>
      <c r="AC1088" s="70"/>
      <c r="AE1088" s="70"/>
      <c r="AF1088" s="70"/>
      <c r="AG1088" s="70"/>
      <c r="AH1088" s="70"/>
      <c r="AI1088" s="70"/>
      <c r="AJ1088" s="70"/>
      <c r="AK1088" s="70"/>
      <c r="AL1088" s="70"/>
      <c r="AM1088" s="70"/>
      <c r="AN1088" s="70"/>
      <c r="AO1088" s="70"/>
      <c r="AP1088" s="70"/>
      <c r="AQ1088" s="70"/>
      <c r="AR1088" s="70"/>
      <c r="AS1088" s="70"/>
      <c r="AT1088" s="70"/>
    </row>
    <row r="1089" ht="15.0" customHeight="1">
      <c r="A1089" s="70"/>
      <c r="B1089" s="70"/>
      <c r="C1089" s="70"/>
      <c r="D1089" s="80"/>
      <c r="E1089" s="70"/>
      <c r="F1089" s="70"/>
      <c r="G1089" s="70"/>
      <c r="I1089" s="70"/>
      <c r="J1089" s="70"/>
      <c r="L1089" s="70"/>
      <c r="M1089" s="70"/>
      <c r="N1089" s="70"/>
      <c r="O1089" s="70"/>
      <c r="P1089" s="70"/>
      <c r="Q1089" s="70"/>
      <c r="R1089" s="70"/>
      <c r="S1089" s="70"/>
      <c r="T1089" s="91"/>
      <c r="U1089" s="91"/>
      <c r="V1089" s="70"/>
      <c r="W1089" s="58"/>
      <c r="X1089" s="58"/>
      <c r="Y1089" s="70"/>
      <c r="Z1089" s="83"/>
      <c r="AA1089" s="70"/>
      <c r="AB1089" s="70"/>
      <c r="AC1089" s="70"/>
      <c r="AE1089" s="70"/>
      <c r="AF1089" s="70"/>
      <c r="AG1089" s="70"/>
      <c r="AH1089" s="70"/>
      <c r="AI1089" s="70"/>
      <c r="AJ1089" s="70"/>
      <c r="AK1089" s="70"/>
      <c r="AL1089" s="70"/>
      <c r="AM1089" s="70"/>
      <c r="AN1089" s="70"/>
      <c r="AO1089" s="70"/>
      <c r="AP1089" s="70"/>
      <c r="AQ1089" s="70"/>
      <c r="AR1089" s="70"/>
      <c r="AS1089" s="70"/>
      <c r="AT1089" s="70"/>
    </row>
    <row r="1090" ht="15.0" customHeight="1">
      <c r="A1090" s="70"/>
      <c r="B1090" s="70"/>
      <c r="C1090" s="70"/>
      <c r="D1090" s="80"/>
      <c r="E1090" s="70"/>
      <c r="F1090" s="70"/>
      <c r="G1090" s="70"/>
      <c r="I1090" s="70"/>
      <c r="J1090" s="70"/>
      <c r="L1090" s="70"/>
      <c r="M1090" s="70"/>
      <c r="N1090" s="70"/>
      <c r="O1090" s="70"/>
      <c r="P1090" s="70"/>
      <c r="Q1090" s="70"/>
      <c r="R1090" s="70"/>
      <c r="S1090" s="70"/>
      <c r="T1090" s="91"/>
      <c r="U1090" s="91"/>
      <c r="V1090" s="70"/>
      <c r="W1090" s="58"/>
      <c r="X1090" s="58"/>
      <c r="Y1090" s="70"/>
      <c r="Z1090" s="83"/>
      <c r="AA1090" s="70"/>
      <c r="AB1090" s="70"/>
      <c r="AC1090" s="70"/>
      <c r="AE1090" s="70"/>
      <c r="AF1090" s="70"/>
      <c r="AG1090" s="70"/>
      <c r="AH1090" s="70"/>
      <c r="AI1090" s="70"/>
      <c r="AJ1090" s="70"/>
      <c r="AK1090" s="70"/>
      <c r="AL1090" s="70"/>
      <c r="AM1090" s="70"/>
      <c r="AN1090" s="70"/>
      <c r="AO1090" s="70"/>
      <c r="AP1090" s="70"/>
      <c r="AQ1090" s="70"/>
      <c r="AR1090" s="70"/>
      <c r="AS1090" s="70"/>
      <c r="AT1090" s="70"/>
    </row>
    <row r="1091" ht="15.0" customHeight="1">
      <c r="A1091" s="70"/>
      <c r="B1091" s="70"/>
      <c r="C1091" s="70"/>
      <c r="D1091" s="80"/>
      <c r="E1091" s="70"/>
      <c r="F1091" s="70"/>
      <c r="G1091" s="70"/>
      <c r="I1091" s="70"/>
      <c r="J1091" s="70"/>
      <c r="L1091" s="70"/>
      <c r="M1091" s="70"/>
      <c r="N1091" s="70"/>
      <c r="O1091" s="70"/>
      <c r="P1091" s="70"/>
      <c r="Q1091" s="70"/>
      <c r="R1091" s="70"/>
      <c r="S1091" s="70"/>
      <c r="T1091" s="91"/>
      <c r="U1091" s="91"/>
      <c r="V1091" s="70"/>
      <c r="W1091" s="58"/>
      <c r="X1091" s="58"/>
      <c r="Y1091" s="70"/>
      <c r="Z1091" s="83"/>
      <c r="AA1091" s="70"/>
      <c r="AB1091" s="70"/>
      <c r="AC1091" s="70"/>
      <c r="AE1091" s="70"/>
      <c r="AF1091" s="70"/>
      <c r="AG1091" s="70"/>
      <c r="AH1091" s="70"/>
      <c r="AI1091" s="70"/>
      <c r="AJ1091" s="70"/>
      <c r="AK1091" s="70"/>
      <c r="AL1091" s="70"/>
      <c r="AM1091" s="70"/>
      <c r="AN1091" s="70"/>
      <c r="AO1091" s="70"/>
      <c r="AP1091" s="70"/>
      <c r="AQ1091" s="70"/>
      <c r="AR1091" s="70"/>
      <c r="AS1091" s="70"/>
      <c r="AT1091" s="70"/>
    </row>
    <row r="1092" ht="15.0" customHeight="1">
      <c r="A1092" s="70"/>
      <c r="B1092" s="70"/>
      <c r="C1092" s="70"/>
      <c r="D1092" s="80"/>
      <c r="E1092" s="70"/>
      <c r="F1092" s="70"/>
      <c r="G1092" s="70"/>
      <c r="I1092" s="70"/>
      <c r="J1092" s="70"/>
      <c r="L1092" s="70"/>
      <c r="M1092" s="70"/>
      <c r="N1092" s="70"/>
      <c r="O1092" s="70"/>
      <c r="P1092" s="70"/>
      <c r="Q1092" s="70"/>
      <c r="R1092" s="70"/>
      <c r="S1092" s="70"/>
      <c r="T1092" s="91"/>
      <c r="U1092" s="91"/>
      <c r="V1092" s="70"/>
      <c r="W1092" s="58"/>
      <c r="X1092" s="58"/>
      <c r="Y1092" s="70"/>
      <c r="Z1092" s="83"/>
      <c r="AA1092" s="70"/>
      <c r="AB1092" s="70"/>
      <c r="AC1092" s="70"/>
      <c r="AE1092" s="70"/>
      <c r="AF1092" s="70"/>
      <c r="AG1092" s="70"/>
      <c r="AH1092" s="70"/>
      <c r="AI1092" s="70"/>
      <c r="AJ1092" s="70"/>
      <c r="AK1092" s="70"/>
      <c r="AL1092" s="70"/>
      <c r="AM1092" s="70"/>
      <c r="AN1092" s="70"/>
      <c r="AO1092" s="70"/>
      <c r="AP1092" s="70"/>
      <c r="AQ1092" s="70"/>
      <c r="AR1092" s="70"/>
      <c r="AS1092" s="70"/>
      <c r="AT1092" s="70"/>
    </row>
    <row r="1093" ht="15.0" customHeight="1">
      <c r="A1093" s="70"/>
      <c r="B1093" s="70"/>
      <c r="C1093" s="70"/>
      <c r="D1093" s="80"/>
      <c r="E1093" s="70"/>
      <c r="F1093" s="70"/>
      <c r="G1093" s="70"/>
      <c r="I1093" s="70"/>
      <c r="J1093" s="70"/>
      <c r="L1093" s="70"/>
      <c r="M1093" s="70"/>
      <c r="N1093" s="70"/>
      <c r="O1093" s="70"/>
      <c r="P1093" s="70"/>
      <c r="Q1093" s="70"/>
      <c r="R1093" s="70"/>
      <c r="S1093" s="70"/>
      <c r="T1093" s="91"/>
      <c r="U1093" s="91"/>
      <c r="V1093" s="70"/>
      <c r="W1093" s="58"/>
      <c r="X1093" s="58"/>
      <c r="Y1093" s="70"/>
      <c r="Z1093" s="83"/>
      <c r="AA1093" s="70"/>
      <c r="AB1093" s="70"/>
      <c r="AC1093" s="70"/>
      <c r="AE1093" s="70"/>
      <c r="AF1093" s="70"/>
      <c r="AG1093" s="70"/>
      <c r="AH1093" s="70"/>
      <c r="AI1093" s="70"/>
      <c r="AJ1093" s="70"/>
      <c r="AK1093" s="70"/>
      <c r="AL1093" s="70"/>
      <c r="AM1093" s="70"/>
      <c r="AN1093" s="70"/>
      <c r="AO1093" s="70"/>
      <c r="AP1093" s="70"/>
      <c r="AQ1093" s="70"/>
      <c r="AR1093" s="70"/>
      <c r="AS1093" s="70"/>
      <c r="AT1093" s="70"/>
    </row>
    <row r="1094" ht="15.0" customHeight="1">
      <c r="A1094" s="70"/>
      <c r="B1094" s="70"/>
      <c r="C1094" s="70"/>
      <c r="D1094" s="80"/>
      <c r="E1094" s="70"/>
      <c r="F1094" s="70"/>
      <c r="G1094" s="70"/>
      <c r="I1094" s="70"/>
      <c r="J1094" s="70"/>
      <c r="L1094" s="70"/>
      <c r="M1094" s="70"/>
      <c r="N1094" s="70"/>
      <c r="O1094" s="70"/>
      <c r="P1094" s="70"/>
      <c r="Q1094" s="70"/>
      <c r="R1094" s="70"/>
      <c r="S1094" s="70"/>
      <c r="T1094" s="91"/>
      <c r="U1094" s="91"/>
      <c r="V1094" s="70"/>
      <c r="W1094" s="58"/>
      <c r="X1094" s="58"/>
      <c r="Y1094" s="70"/>
      <c r="Z1094" s="83"/>
      <c r="AA1094" s="70"/>
      <c r="AB1094" s="70"/>
      <c r="AC1094" s="70"/>
      <c r="AE1094" s="70"/>
      <c r="AF1094" s="70"/>
      <c r="AG1094" s="70"/>
      <c r="AH1094" s="70"/>
      <c r="AI1094" s="70"/>
      <c r="AJ1094" s="70"/>
      <c r="AK1094" s="70"/>
      <c r="AL1094" s="70"/>
      <c r="AM1094" s="70"/>
      <c r="AN1094" s="70"/>
      <c r="AO1094" s="70"/>
      <c r="AP1094" s="70"/>
      <c r="AQ1094" s="70"/>
      <c r="AR1094" s="70"/>
      <c r="AS1094" s="70"/>
      <c r="AT1094" s="70"/>
    </row>
    <row r="1095" ht="15.0" customHeight="1">
      <c r="A1095" s="70"/>
      <c r="B1095" s="70"/>
      <c r="C1095" s="70"/>
      <c r="D1095" s="80"/>
      <c r="E1095" s="70"/>
      <c r="F1095" s="70"/>
      <c r="G1095" s="70"/>
      <c r="I1095" s="70"/>
      <c r="J1095" s="70"/>
      <c r="L1095" s="70"/>
      <c r="M1095" s="70"/>
      <c r="N1095" s="70"/>
      <c r="O1095" s="70"/>
      <c r="P1095" s="70"/>
      <c r="Q1095" s="70"/>
      <c r="R1095" s="70"/>
      <c r="S1095" s="70"/>
      <c r="T1095" s="91"/>
      <c r="U1095" s="91"/>
      <c r="V1095" s="70"/>
      <c r="W1095" s="58"/>
      <c r="X1095" s="58"/>
      <c r="Y1095" s="70"/>
      <c r="Z1095" s="83"/>
      <c r="AA1095" s="70"/>
      <c r="AB1095" s="70"/>
      <c r="AC1095" s="70"/>
      <c r="AE1095" s="70"/>
      <c r="AF1095" s="70"/>
      <c r="AG1095" s="70"/>
      <c r="AH1095" s="70"/>
      <c r="AI1095" s="70"/>
      <c r="AJ1095" s="70"/>
      <c r="AK1095" s="70"/>
      <c r="AL1095" s="70"/>
      <c r="AM1095" s="70"/>
      <c r="AN1095" s="70"/>
      <c r="AO1095" s="70"/>
      <c r="AP1095" s="70"/>
      <c r="AQ1095" s="70"/>
      <c r="AR1095" s="70"/>
      <c r="AS1095" s="70"/>
      <c r="AT1095" s="70"/>
    </row>
    <row r="1096" ht="15.0" customHeight="1">
      <c r="A1096" s="70"/>
      <c r="B1096" s="70"/>
      <c r="C1096" s="70"/>
      <c r="D1096" s="80"/>
      <c r="E1096" s="70"/>
      <c r="F1096" s="70"/>
      <c r="G1096" s="70"/>
      <c r="I1096" s="70"/>
      <c r="J1096" s="70"/>
      <c r="L1096" s="70"/>
      <c r="M1096" s="70"/>
      <c r="N1096" s="70"/>
      <c r="O1096" s="70"/>
      <c r="P1096" s="70"/>
      <c r="Q1096" s="70"/>
      <c r="R1096" s="70"/>
      <c r="S1096" s="70"/>
      <c r="T1096" s="91"/>
      <c r="U1096" s="91"/>
      <c r="V1096" s="70"/>
      <c r="W1096" s="58"/>
      <c r="X1096" s="58"/>
      <c r="Y1096" s="70"/>
      <c r="Z1096" s="83"/>
      <c r="AA1096" s="70"/>
      <c r="AB1096" s="70"/>
      <c r="AC1096" s="70"/>
      <c r="AE1096" s="70"/>
      <c r="AF1096" s="70"/>
      <c r="AG1096" s="70"/>
      <c r="AH1096" s="70"/>
      <c r="AI1096" s="70"/>
      <c r="AJ1096" s="70"/>
      <c r="AK1096" s="70"/>
      <c r="AL1096" s="70"/>
      <c r="AM1096" s="70"/>
      <c r="AN1096" s="70"/>
      <c r="AO1096" s="70"/>
      <c r="AP1096" s="70"/>
      <c r="AQ1096" s="70"/>
      <c r="AR1096" s="70"/>
      <c r="AS1096" s="70"/>
      <c r="AT1096" s="70"/>
    </row>
    <row r="1097" ht="15.0" customHeight="1">
      <c r="A1097" s="70"/>
      <c r="B1097" s="70"/>
      <c r="C1097" s="70"/>
      <c r="D1097" s="80"/>
      <c r="E1097" s="70"/>
      <c r="F1097" s="70"/>
      <c r="G1097" s="70"/>
      <c r="I1097" s="70"/>
      <c r="J1097" s="70"/>
      <c r="L1097" s="70"/>
      <c r="M1097" s="70"/>
      <c r="N1097" s="70"/>
      <c r="O1097" s="70"/>
      <c r="P1097" s="70"/>
      <c r="Q1097" s="70"/>
      <c r="R1097" s="70"/>
      <c r="S1097" s="70"/>
      <c r="T1097" s="91"/>
      <c r="U1097" s="91"/>
      <c r="V1097" s="70"/>
      <c r="W1097" s="58"/>
      <c r="X1097" s="58"/>
      <c r="Y1097" s="70"/>
      <c r="Z1097" s="83"/>
      <c r="AA1097" s="70"/>
      <c r="AB1097" s="70"/>
      <c r="AC1097" s="70"/>
      <c r="AE1097" s="70"/>
      <c r="AF1097" s="70"/>
      <c r="AG1097" s="70"/>
      <c r="AH1097" s="70"/>
      <c r="AI1097" s="70"/>
      <c r="AJ1097" s="70"/>
      <c r="AK1097" s="70"/>
      <c r="AL1097" s="70"/>
      <c r="AM1097" s="70"/>
      <c r="AN1097" s="70"/>
      <c r="AO1097" s="70"/>
      <c r="AP1097" s="70"/>
      <c r="AQ1097" s="70"/>
      <c r="AR1097" s="70"/>
      <c r="AS1097" s="70"/>
      <c r="AT1097" s="70"/>
    </row>
    <row r="1098" ht="15.0" customHeight="1">
      <c r="A1098" s="70"/>
      <c r="B1098" s="70"/>
      <c r="C1098" s="70"/>
      <c r="D1098" s="80"/>
      <c r="E1098" s="70"/>
      <c r="F1098" s="70"/>
      <c r="G1098" s="70"/>
      <c r="I1098" s="70"/>
      <c r="J1098" s="70"/>
      <c r="L1098" s="70"/>
      <c r="M1098" s="70"/>
      <c r="N1098" s="70"/>
      <c r="O1098" s="70"/>
      <c r="P1098" s="70"/>
      <c r="Q1098" s="70"/>
      <c r="R1098" s="70"/>
      <c r="S1098" s="70"/>
      <c r="T1098" s="91"/>
      <c r="U1098" s="91"/>
      <c r="V1098" s="70"/>
      <c r="W1098" s="58"/>
      <c r="X1098" s="58"/>
      <c r="Y1098" s="70"/>
      <c r="Z1098" s="83"/>
      <c r="AA1098" s="70"/>
      <c r="AB1098" s="70"/>
      <c r="AC1098" s="70"/>
      <c r="AE1098" s="70"/>
      <c r="AF1098" s="70"/>
      <c r="AG1098" s="70"/>
      <c r="AH1098" s="70"/>
      <c r="AI1098" s="70"/>
      <c r="AJ1098" s="70"/>
      <c r="AK1098" s="70"/>
      <c r="AL1098" s="70"/>
      <c r="AM1098" s="70"/>
      <c r="AN1098" s="70"/>
      <c r="AO1098" s="70"/>
      <c r="AP1098" s="70"/>
      <c r="AQ1098" s="70"/>
      <c r="AR1098" s="70"/>
      <c r="AS1098" s="70"/>
      <c r="AT1098" s="70"/>
    </row>
    <row r="1099" ht="15.0" customHeight="1">
      <c r="A1099" s="70"/>
      <c r="B1099" s="70"/>
      <c r="C1099" s="70"/>
      <c r="D1099" s="80"/>
      <c r="E1099" s="70"/>
      <c r="F1099" s="70"/>
      <c r="G1099" s="70"/>
      <c r="I1099" s="70"/>
      <c r="J1099" s="70"/>
      <c r="L1099" s="70"/>
      <c r="M1099" s="70"/>
      <c r="N1099" s="70"/>
      <c r="O1099" s="70"/>
      <c r="P1099" s="70"/>
      <c r="Q1099" s="70"/>
      <c r="R1099" s="70"/>
      <c r="S1099" s="70"/>
      <c r="T1099" s="91"/>
      <c r="U1099" s="91"/>
      <c r="V1099" s="70"/>
      <c r="W1099" s="58"/>
      <c r="X1099" s="58"/>
      <c r="Y1099" s="70"/>
      <c r="Z1099" s="83"/>
      <c r="AA1099" s="70"/>
      <c r="AB1099" s="70"/>
      <c r="AC1099" s="70"/>
      <c r="AE1099" s="70"/>
      <c r="AF1099" s="70"/>
      <c r="AG1099" s="70"/>
      <c r="AH1099" s="70"/>
      <c r="AI1099" s="70"/>
      <c r="AJ1099" s="70"/>
      <c r="AK1099" s="70"/>
      <c r="AL1099" s="70"/>
      <c r="AM1099" s="70"/>
      <c r="AN1099" s="70"/>
      <c r="AO1099" s="70"/>
      <c r="AP1099" s="70"/>
      <c r="AQ1099" s="70"/>
      <c r="AR1099" s="70"/>
      <c r="AS1099" s="70"/>
      <c r="AT1099" s="70"/>
    </row>
    <row r="1100" ht="15.0" customHeight="1">
      <c r="A1100" s="70"/>
      <c r="B1100" s="70"/>
      <c r="C1100" s="70"/>
      <c r="D1100" s="80"/>
      <c r="E1100" s="70"/>
      <c r="F1100" s="70"/>
      <c r="G1100" s="70"/>
      <c r="I1100" s="70"/>
      <c r="J1100" s="70"/>
      <c r="L1100" s="70"/>
      <c r="M1100" s="70"/>
      <c r="N1100" s="70"/>
      <c r="O1100" s="70"/>
      <c r="P1100" s="70"/>
      <c r="Q1100" s="70"/>
      <c r="R1100" s="70"/>
      <c r="S1100" s="70"/>
      <c r="T1100" s="91"/>
      <c r="U1100" s="91"/>
      <c r="V1100" s="70"/>
      <c r="W1100" s="58"/>
      <c r="X1100" s="58"/>
      <c r="Y1100" s="70"/>
      <c r="Z1100" s="83"/>
      <c r="AA1100" s="70"/>
      <c r="AB1100" s="70"/>
      <c r="AC1100" s="70"/>
      <c r="AE1100" s="70"/>
      <c r="AF1100" s="70"/>
      <c r="AG1100" s="70"/>
      <c r="AH1100" s="70"/>
      <c r="AI1100" s="70"/>
      <c r="AJ1100" s="70"/>
      <c r="AK1100" s="70"/>
      <c r="AL1100" s="70"/>
      <c r="AM1100" s="70"/>
      <c r="AN1100" s="70"/>
      <c r="AO1100" s="70"/>
      <c r="AP1100" s="70"/>
      <c r="AQ1100" s="70"/>
      <c r="AR1100" s="70"/>
      <c r="AS1100" s="70"/>
      <c r="AT1100" s="70"/>
    </row>
    <row r="1101" ht="15.0" customHeight="1">
      <c r="A1101" s="70"/>
      <c r="B1101" s="70"/>
      <c r="C1101" s="70"/>
      <c r="D1101" s="80"/>
      <c r="E1101" s="70"/>
      <c r="F1101" s="70"/>
      <c r="G1101" s="70"/>
      <c r="I1101" s="70"/>
      <c r="J1101" s="70"/>
      <c r="L1101" s="70"/>
      <c r="M1101" s="70"/>
      <c r="N1101" s="70"/>
      <c r="O1101" s="70"/>
      <c r="P1101" s="70"/>
      <c r="Q1101" s="70"/>
      <c r="R1101" s="70"/>
      <c r="S1101" s="70"/>
      <c r="T1101" s="91"/>
      <c r="U1101" s="91"/>
      <c r="V1101" s="70"/>
      <c r="W1101" s="58"/>
      <c r="X1101" s="58"/>
      <c r="Y1101" s="70"/>
      <c r="Z1101" s="83"/>
      <c r="AA1101" s="70"/>
      <c r="AB1101" s="70"/>
      <c r="AC1101" s="70"/>
      <c r="AE1101" s="70"/>
      <c r="AF1101" s="70"/>
      <c r="AG1101" s="70"/>
      <c r="AH1101" s="70"/>
      <c r="AI1101" s="70"/>
      <c r="AJ1101" s="70"/>
      <c r="AK1101" s="70"/>
      <c r="AL1101" s="70"/>
      <c r="AM1101" s="70"/>
      <c r="AN1101" s="70"/>
      <c r="AO1101" s="70"/>
      <c r="AP1101" s="70"/>
      <c r="AQ1101" s="70"/>
      <c r="AR1101" s="70"/>
      <c r="AS1101" s="70"/>
      <c r="AT1101" s="70"/>
    </row>
    <row r="1102" ht="15.0" customHeight="1">
      <c r="A1102" s="70"/>
      <c r="B1102" s="70"/>
      <c r="C1102" s="70"/>
      <c r="D1102" s="80"/>
      <c r="E1102" s="70"/>
      <c r="F1102" s="70"/>
      <c r="G1102" s="70"/>
      <c r="I1102" s="70"/>
      <c r="J1102" s="70"/>
      <c r="L1102" s="70"/>
      <c r="M1102" s="70"/>
      <c r="N1102" s="70"/>
      <c r="O1102" s="70"/>
      <c r="P1102" s="70"/>
      <c r="Q1102" s="70"/>
      <c r="R1102" s="70"/>
      <c r="S1102" s="70"/>
      <c r="T1102" s="91"/>
      <c r="U1102" s="91"/>
      <c r="V1102" s="70"/>
      <c r="W1102" s="58"/>
      <c r="X1102" s="58"/>
      <c r="Y1102" s="70"/>
      <c r="Z1102" s="83"/>
      <c r="AA1102" s="70"/>
      <c r="AB1102" s="70"/>
      <c r="AC1102" s="70"/>
      <c r="AE1102" s="70"/>
      <c r="AF1102" s="70"/>
      <c r="AG1102" s="70"/>
      <c r="AH1102" s="70"/>
      <c r="AI1102" s="70"/>
      <c r="AJ1102" s="70"/>
      <c r="AK1102" s="70"/>
      <c r="AL1102" s="70"/>
      <c r="AM1102" s="70"/>
      <c r="AN1102" s="70"/>
      <c r="AO1102" s="70"/>
      <c r="AP1102" s="70"/>
      <c r="AQ1102" s="70"/>
      <c r="AR1102" s="70"/>
      <c r="AS1102" s="70"/>
      <c r="AT1102" s="70"/>
    </row>
    <row r="1103" ht="15.0" customHeight="1">
      <c r="A1103" s="70"/>
      <c r="B1103" s="70"/>
      <c r="C1103" s="70"/>
      <c r="D1103" s="80"/>
      <c r="E1103" s="70"/>
      <c r="F1103" s="70"/>
      <c r="G1103" s="70"/>
      <c r="I1103" s="70"/>
      <c r="J1103" s="70"/>
      <c r="L1103" s="70"/>
      <c r="M1103" s="70"/>
      <c r="N1103" s="70"/>
      <c r="O1103" s="70"/>
      <c r="P1103" s="70"/>
      <c r="Q1103" s="70"/>
      <c r="R1103" s="70"/>
      <c r="S1103" s="70"/>
      <c r="T1103" s="91"/>
      <c r="U1103" s="91"/>
      <c r="V1103" s="70"/>
      <c r="W1103" s="58"/>
      <c r="X1103" s="58"/>
      <c r="Y1103" s="70"/>
      <c r="Z1103" s="83"/>
      <c r="AA1103" s="70"/>
      <c r="AB1103" s="70"/>
      <c r="AC1103" s="70"/>
      <c r="AE1103" s="70"/>
      <c r="AF1103" s="70"/>
      <c r="AG1103" s="70"/>
      <c r="AH1103" s="70"/>
      <c r="AI1103" s="70"/>
      <c r="AJ1103" s="70"/>
      <c r="AK1103" s="70"/>
      <c r="AL1103" s="70"/>
      <c r="AM1103" s="70"/>
      <c r="AN1103" s="70"/>
      <c r="AO1103" s="70"/>
      <c r="AP1103" s="70"/>
      <c r="AQ1103" s="70"/>
      <c r="AR1103" s="70"/>
      <c r="AS1103" s="70"/>
      <c r="AT1103" s="70"/>
    </row>
    <row r="1104" ht="15.0" customHeight="1">
      <c r="A1104" s="70"/>
      <c r="B1104" s="70"/>
      <c r="C1104" s="70"/>
      <c r="D1104" s="80"/>
      <c r="E1104" s="70"/>
      <c r="F1104" s="70"/>
      <c r="G1104" s="70"/>
      <c r="I1104" s="70"/>
      <c r="J1104" s="70"/>
      <c r="L1104" s="70"/>
      <c r="M1104" s="70"/>
      <c r="N1104" s="70"/>
      <c r="O1104" s="70"/>
      <c r="P1104" s="70"/>
      <c r="Q1104" s="70"/>
      <c r="R1104" s="70"/>
      <c r="S1104" s="70"/>
      <c r="T1104" s="91"/>
      <c r="U1104" s="91"/>
      <c r="V1104" s="70"/>
      <c r="W1104" s="58"/>
      <c r="X1104" s="58"/>
      <c r="Y1104" s="70"/>
      <c r="Z1104" s="83"/>
      <c r="AA1104" s="70"/>
      <c r="AB1104" s="70"/>
      <c r="AC1104" s="70"/>
      <c r="AE1104" s="70"/>
      <c r="AF1104" s="70"/>
      <c r="AG1104" s="70"/>
      <c r="AH1104" s="70"/>
      <c r="AI1104" s="70"/>
      <c r="AJ1104" s="70"/>
      <c r="AK1104" s="70"/>
      <c r="AL1104" s="70"/>
      <c r="AM1104" s="70"/>
      <c r="AN1104" s="70"/>
      <c r="AO1104" s="70"/>
      <c r="AP1104" s="70"/>
      <c r="AQ1104" s="70"/>
      <c r="AR1104" s="70"/>
      <c r="AS1104" s="70"/>
      <c r="AT1104" s="70"/>
    </row>
    <row r="1105" ht="15.0" customHeight="1">
      <c r="A1105" s="70"/>
      <c r="B1105" s="70"/>
      <c r="C1105" s="70"/>
      <c r="D1105" s="80"/>
      <c r="E1105" s="70"/>
      <c r="F1105" s="70"/>
      <c r="G1105" s="70"/>
      <c r="I1105" s="70"/>
      <c r="J1105" s="70"/>
      <c r="L1105" s="70"/>
      <c r="M1105" s="70"/>
      <c r="N1105" s="70"/>
      <c r="O1105" s="70"/>
      <c r="P1105" s="70"/>
      <c r="Q1105" s="70"/>
      <c r="R1105" s="70"/>
      <c r="S1105" s="70"/>
      <c r="T1105" s="91"/>
      <c r="U1105" s="91"/>
      <c r="V1105" s="70"/>
      <c r="W1105" s="58"/>
      <c r="X1105" s="58"/>
      <c r="Y1105" s="70"/>
      <c r="Z1105" s="83"/>
      <c r="AA1105" s="70"/>
      <c r="AB1105" s="70"/>
      <c r="AC1105" s="70"/>
      <c r="AE1105" s="70"/>
      <c r="AF1105" s="70"/>
      <c r="AG1105" s="70"/>
      <c r="AH1105" s="70"/>
      <c r="AI1105" s="70"/>
      <c r="AJ1105" s="70"/>
      <c r="AK1105" s="70"/>
      <c r="AL1105" s="70"/>
      <c r="AM1105" s="70"/>
      <c r="AN1105" s="70"/>
      <c r="AO1105" s="70"/>
      <c r="AP1105" s="70"/>
      <c r="AQ1105" s="70"/>
      <c r="AR1105" s="70"/>
      <c r="AS1105" s="70"/>
      <c r="AT1105" s="70"/>
    </row>
    <row r="1106" ht="15.0" customHeight="1">
      <c r="A1106" s="70"/>
      <c r="B1106" s="70"/>
      <c r="C1106" s="70"/>
      <c r="D1106" s="80"/>
      <c r="E1106" s="70"/>
      <c r="F1106" s="70"/>
      <c r="G1106" s="70"/>
      <c r="I1106" s="70"/>
      <c r="J1106" s="70"/>
      <c r="L1106" s="70"/>
      <c r="M1106" s="70"/>
      <c r="N1106" s="70"/>
      <c r="O1106" s="70"/>
      <c r="P1106" s="70"/>
      <c r="Q1106" s="70"/>
      <c r="R1106" s="70"/>
      <c r="S1106" s="70"/>
      <c r="T1106" s="91"/>
      <c r="U1106" s="91"/>
      <c r="V1106" s="70"/>
      <c r="W1106" s="58"/>
      <c r="X1106" s="58"/>
      <c r="Y1106" s="70"/>
      <c r="Z1106" s="83"/>
      <c r="AA1106" s="70"/>
      <c r="AB1106" s="70"/>
      <c r="AC1106" s="70"/>
      <c r="AE1106" s="70"/>
      <c r="AF1106" s="70"/>
      <c r="AG1106" s="70"/>
      <c r="AH1106" s="70"/>
      <c r="AI1106" s="70"/>
      <c r="AJ1106" s="70"/>
      <c r="AK1106" s="70"/>
      <c r="AL1106" s="70"/>
      <c r="AM1106" s="70"/>
      <c r="AN1106" s="70"/>
      <c r="AO1106" s="70"/>
      <c r="AP1106" s="70"/>
      <c r="AQ1106" s="70"/>
      <c r="AR1106" s="70"/>
      <c r="AS1106" s="70"/>
      <c r="AT1106" s="70"/>
    </row>
    <row r="1107" ht="15.0" customHeight="1">
      <c r="A1107" s="70"/>
      <c r="B1107" s="70"/>
      <c r="C1107" s="70"/>
      <c r="D1107" s="80"/>
      <c r="E1107" s="70"/>
      <c r="F1107" s="70"/>
      <c r="G1107" s="70"/>
      <c r="I1107" s="70"/>
      <c r="J1107" s="70"/>
      <c r="L1107" s="70"/>
      <c r="M1107" s="70"/>
      <c r="N1107" s="70"/>
      <c r="O1107" s="70"/>
      <c r="P1107" s="70"/>
      <c r="Q1107" s="70"/>
      <c r="R1107" s="70"/>
      <c r="S1107" s="70"/>
      <c r="T1107" s="91"/>
      <c r="U1107" s="91"/>
      <c r="V1107" s="70"/>
      <c r="W1107" s="58"/>
      <c r="X1107" s="58"/>
      <c r="Y1107" s="70"/>
      <c r="Z1107" s="83"/>
      <c r="AA1107" s="70"/>
      <c r="AB1107" s="70"/>
      <c r="AC1107" s="70"/>
      <c r="AE1107" s="70"/>
      <c r="AF1107" s="70"/>
      <c r="AG1107" s="70"/>
      <c r="AH1107" s="70"/>
      <c r="AI1107" s="70"/>
      <c r="AJ1107" s="70"/>
      <c r="AK1107" s="70"/>
      <c r="AL1107" s="70"/>
      <c r="AM1107" s="70"/>
      <c r="AN1107" s="70"/>
      <c r="AO1107" s="70"/>
      <c r="AP1107" s="70"/>
      <c r="AQ1107" s="70"/>
      <c r="AR1107" s="70"/>
      <c r="AS1107" s="70"/>
      <c r="AT1107" s="70"/>
    </row>
    <row r="1108" ht="15.0" customHeight="1">
      <c r="A1108" s="70"/>
      <c r="B1108" s="70"/>
      <c r="C1108" s="70"/>
      <c r="D1108" s="80"/>
      <c r="E1108" s="70"/>
      <c r="F1108" s="70"/>
      <c r="G1108" s="70"/>
      <c r="I1108" s="70"/>
      <c r="J1108" s="70"/>
      <c r="L1108" s="70"/>
      <c r="M1108" s="70"/>
      <c r="N1108" s="70"/>
      <c r="O1108" s="70"/>
      <c r="P1108" s="70"/>
      <c r="Q1108" s="70"/>
      <c r="R1108" s="70"/>
      <c r="S1108" s="70"/>
      <c r="T1108" s="91"/>
      <c r="U1108" s="91"/>
      <c r="V1108" s="70"/>
      <c r="W1108" s="58"/>
      <c r="X1108" s="58"/>
      <c r="Y1108" s="70"/>
      <c r="Z1108" s="83"/>
      <c r="AA1108" s="70"/>
      <c r="AB1108" s="70"/>
      <c r="AC1108" s="70"/>
      <c r="AE1108" s="70"/>
      <c r="AF1108" s="70"/>
      <c r="AG1108" s="70"/>
      <c r="AH1108" s="70"/>
      <c r="AI1108" s="70"/>
      <c r="AJ1108" s="70"/>
      <c r="AK1108" s="70"/>
      <c r="AL1108" s="70"/>
      <c r="AM1108" s="70"/>
      <c r="AN1108" s="70"/>
      <c r="AO1108" s="70"/>
      <c r="AP1108" s="70"/>
      <c r="AQ1108" s="70"/>
      <c r="AR1108" s="70"/>
      <c r="AS1108" s="70"/>
      <c r="AT1108" s="70"/>
    </row>
    <row r="1109" ht="15.0" customHeight="1">
      <c r="A1109" s="70"/>
      <c r="B1109" s="70"/>
      <c r="C1109" s="70"/>
      <c r="D1109" s="80"/>
      <c r="E1109" s="70"/>
      <c r="F1109" s="70"/>
      <c r="G1109" s="70"/>
      <c r="I1109" s="70"/>
      <c r="J1109" s="70"/>
      <c r="L1109" s="70"/>
      <c r="M1109" s="70"/>
      <c r="N1109" s="70"/>
      <c r="O1109" s="70"/>
      <c r="P1109" s="70"/>
      <c r="Q1109" s="70"/>
      <c r="R1109" s="70"/>
      <c r="S1109" s="70"/>
      <c r="T1109" s="91"/>
      <c r="U1109" s="91"/>
      <c r="V1109" s="70"/>
      <c r="W1109" s="58"/>
      <c r="X1109" s="58"/>
      <c r="Y1109" s="70"/>
      <c r="Z1109" s="83"/>
      <c r="AA1109" s="70"/>
      <c r="AB1109" s="70"/>
      <c r="AC1109" s="70"/>
      <c r="AE1109" s="70"/>
      <c r="AF1109" s="70"/>
      <c r="AG1109" s="70"/>
      <c r="AH1109" s="70"/>
      <c r="AI1109" s="70"/>
      <c r="AJ1109" s="70"/>
      <c r="AK1109" s="70"/>
      <c r="AL1109" s="70"/>
      <c r="AM1109" s="70"/>
      <c r="AN1109" s="70"/>
      <c r="AO1109" s="70"/>
      <c r="AP1109" s="70"/>
      <c r="AQ1109" s="70"/>
      <c r="AR1109" s="70"/>
      <c r="AS1109" s="70"/>
      <c r="AT1109" s="70"/>
    </row>
    <row r="1110" ht="15.0" customHeight="1">
      <c r="A1110" s="70"/>
      <c r="B1110" s="70"/>
      <c r="C1110" s="70"/>
      <c r="D1110" s="80"/>
      <c r="E1110" s="70"/>
      <c r="F1110" s="70"/>
      <c r="G1110" s="70"/>
      <c r="I1110" s="70"/>
      <c r="J1110" s="70"/>
      <c r="L1110" s="70"/>
      <c r="M1110" s="70"/>
      <c r="N1110" s="70"/>
      <c r="O1110" s="70"/>
      <c r="P1110" s="70"/>
      <c r="Q1110" s="70"/>
      <c r="R1110" s="70"/>
      <c r="S1110" s="70"/>
      <c r="T1110" s="91"/>
      <c r="U1110" s="91"/>
      <c r="V1110" s="70"/>
      <c r="W1110" s="58"/>
      <c r="X1110" s="58"/>
      <c r="Y1110" s="70"/>
      <c r="Z1110" s="83"/>
      <c r="AA1110" s="70"/>
      <c r="AB1110" s="70"/>
      <c r="AC1110" s="70"/>
      <c r="AE1110" s="70"/>
      <c r="AF1110" s="70"/>
      <c r="AG1110" s="70"/>
      <c r="AH1110" s="70"/>
      <c r="AI1110" s="70"/>
      <c r="AJ1110" s="70"/>
      <c r="AK1110" s="70"/>
      <c r="AL1110" s="70"/>
      <c r="AM1110" s="70"/>
      <c r="AN1110" s="70"/>
      <c r="AO1110" s="70"/>
      <c r="AP1110" s="70"/>
      <c r="AQ1110" s="70"/>
      <c r="AR1110" s="70"/>
      <c r="AS1110" s="70"/>
      <c r="AT1110" s="70"/>
    </row>
    <row r="1111" ht="15.0" customHeight="1">
      <c r="A1111" s="70"/>
      <c r="B1111" s="70"/>
      <c r="C1111" s="70"/>
      <c r="D1111" s="80"/>
      <c r="E1111" s="70"/>
      <c r="F1111" s="70"/>
      <c r="G1111" s="70"/>
      <c r="I1111" s="70"/>
      <c r="J1111" s="70"/>
      <c r="L1111" s="70"/>
      <c r="M1111" s="70"/>
      <c r="N1111" s="70"/>
      <c r="O1111" s="70"/>
      <c r="P1111" s="70"/>
      <c r="Q1111" s="70"/>
      <c r="R1111" s="70"/>
      <c r="S1111" s="70"/>
      <c r="T1111" s="91"/>
      <c r="U1111" s="91"/>
      <c r="V1111" s="70"/>
      <c r="W1111" s="58"/>
      <c r="X1111" s="58"/>
      <c r="Y1111" s="70"/>
      <c r="Z1111" s="83"/>
      <c r="AA1111" s="70"/>
      <c r="AB1111" s="70"/>
      <c r="AC1111" s="70"/>
      <c r="AE1111" s="70"/>
      <c r="AF1111" s="70"/>
      <c r="AG1111" s="70"/>
      <c r="AH1111" s="70"/>
      <c r="AI1111" s="70"/>
      <c r="AJ1111" s="70"/>
      <c r="AK1111" s="70"/>
      <c r="AL1111" s="70"/>
      <c r="AM1111" s="70"/>
      <c r="AN1111" s="70"/>
      <c r="AO1111" s="70"/>
      <c r="AP1111" s="70"/>
      <c r="AQ1111" s="70"/>
      <c r="AR1111" s="70"/>
      <c r="AS1111" s="70"/>
      <c r="AT1111" s="70"/>
    </row>
    <row r="1112" ht="15.0" customHeight="1">
      <c r="A1112" s="70"/>
      <c r="B1112" s="70"/>
      <c r="C1112" s="70"/>
      <c r="D1112" s="80"/>
      <c r="E1112" s="70"/>
      <c r="F1112" s="70"/>
      <c r="G1112" s="70"/>
      <c r="I1112" s="70"/>
      <c r="J1112" s="70"/>
      <c r="L1112" s="70"/>
      <c r="M1112" s="70"/>
      <c r="N1112" s="70"/>
      <c r="O1112" s="70"/>
      <c r="P1112" s="70"/>
      <c r="Q1112" s="70"/>
      <c r="R1112" s="70"/>
      <c r="S1112" s="70"/>
      <c r="T1112" s="91"/>
      <c r="U1112" s="91"/>
      <c r="V1112" s="70"/>
      <c r="W1112" s="58"/>
      <c r="X1112" s="58"/>
      <c r="Y1112" s="70"/>
      <c r="Z1112" s="83"/>
      <c r="AA1112" s="70"/>
      <c r="AB1112" s="70"/>
      <c r="AC1112" s="70"/>
      <c r="AE1112" s="70"/>
      <c r="AF1112" s="70"/>
      <c r="AG1112" s="70"/>
      <c r="AH1112" s="70"/>
      <c r="AI1112" s="70"/>
      <c r="AJ1112" s="70"/>
      <c r="AK1112" s="70"/>
      <c r="AL1112" s="70"/>
      <c r="AM1112" s="70"/>
      <c r="AN1112" s="70"/>
      <c r="AO1112" s="70"/>
      <c r="AP1112" s="70"/>
      <c r="AQ1112" s="70"/>
      <c r="AR1112" s="70"/>
      <c r="AS1112" s="70"/>
      <c r="AT1112" s="70"/>
    </row>
    <row r="1113" ht="15.0" customHeight="1">
      <c r="A1113" s="70"/>
      <c r="B1113" s="70"/>
      <c r="C1113" s="70"/>
      <c r="D1113" s="80"/>
      <c r="E1113" s="70"/>
      <c r="F1113" s="70"/>
      <c r="G1113" s="70"/>
      <c r="I1113" s="70"/>
      <c r="J1113" s="70"/>
      <c r="L1113" s="70"/>
      <c r="M1113" s="70"/>
      <c r="N1113" s="70"/>
      <c r="O1113" s="70"/>
      <c r="P1113" s="70"/>
      <c r="Q1113" s="70"/>
      <c r="R1113" s="70"/>
      <c r="S1113" s="70"/>
      <c r="T1113" s="91"/>
      <c r="U1113" s="91"/>
      <c r="V1113" s="70"/>
      <c r="W1113" s="58"/>
      <c r="X1113" s="58"/>
      <c r="Y1113" s="70"/>
      <c r="Z1113" s="83"/>
      <c r="AA1113" s="70"/>
      <c r="AB1113" s="70"/>
      <c r="AC1113" s="70"/>
      <c r="AE1113" s="70"/>
      <c r="AF1113" s="70"/>
      <c r="AG1113" s="70"/>
      <c r="AH1113" s="70"/>
      <c r="AI1113" s="70"/>
      <c r="AJ1113" s="70"/>
      <c r="AK1113" s="70"/>
      <c r="AL1113" s="70"/>
      <c r="AM1113" s="70"/>
      <c r="AN1113" s="70"/>
      <c r="AO1113" s="70"/>
      <c r="AP1113" s="70"/>
      <c r="AQ1113" s="70"/>
      <c r="AR1113" s="70"/>
      <c r="AS1113" s="70"/>
      <c r="AT1113" s="70"/>
    </row>
    <row r="1114" ht="15.0" customHeight="1">
      <c r="A1114" s="70"/>
      <c r="B1114" s="70"/>
      <c r="C1114" s="70"/>
      <c r="D1114" s="80"/>
      <c r="E1114" s="70"/>
      <c r="F1114" s="70"/>
      <c r="G1114" s="70"/>
      <c r="I1114" s="70"/>
      <c r="J1114" s="70"/>
      <c r="L1114" s="70"/>
      <c r="M1114" s="70"/>
      <c r="N1114" s="70"/>
      <c r="O1114" s="70"/>
      <c r="P1114" s="70"/>
      <c r="Q1114" s="70"/>
      <c r="R1114" s="70"/>
      <c r="S1114" s="70"/>
      <c r="T1114" s="91"/>
      <c r="U1114" s="91"/>
      <c r="V1114" s="70"/>
      <c r="W1114" s="58"/>
      <c r="X1114" s="58"/>
      <c r="Y1114" s="70"/>
      <c r="Z1114" s="83"/>
      <c r="AA1114" s="70"/>
      <c r="AB1114" s="70"/>
      <c r="AC1114" s="70"/>
      <c r="AE1114" s="70"/>
      <c r="AF1114" s="70"/>
      <c r="AG1114" s="70"/>
      <c r="AH1114" s="70"/>
      <c r="AI1114" s="70"/>
      <c r="AJ1114" s="70"/>
      <c r="AK1114" s="70"/>
      <c r="AL1114" s="70"/>
      <c r="AM1114" s="70"/>
      <c r="AN1114" s="70"/>
      <c r="AO1114" s="70"/>
      <c r="AP1114" s="70"/>
      <c r="AQ1114" s="70"/>
      <c r="AR1114" s="70"/>
      <c r="AS1114" s="70"/>
      <c r="AT1114" s="70"/>
    </row>
    <row r="1115" ht="15.0" customHeight="1">
      <c r="A1115" s="70"/>
      <c r="B1115" s="70"/>
      <c r="C1115" s="70"/>
      <c r="D1115" s="80"/>
      <c r="E1115" s="70"/>
      <c r="F1115" s="70"/>
      <c r="G1115" s="70"/>
      <c r="I1115" s="70"/>
      <c r="J1115" s="70"/>
      <c r="L1115" s="70"/>
      <c r="M1115" s="70"/>
      <c r="N1115" s="70"/>
      <c r="O1115" s="70"/>
      <c r="P1115" s="70"/>
      <c r="Q1115" s="70"/>
      <c r="R1115" s="70"/>
      <c r="S1115" s="70"/>
      <c r="T1115" s="91"/>
      <c r="U1115" s="91"/>
      <c r="V1115" s="70"/>
      <c r="W1115" s="58"/>
      <c r="X1115" s="58"/>
      <c r="Y1115" s="70"/>
      <c r="Z1115" s="83"/>
      <c r="AA1115" s="70"/>
      <c r="AB1115" s="70"/>
      <c r="AC1115" s="70"/>
      <c r="AE1115" s="70"/>
      <c r="AF1115" s="70"/>
      <c r="AG1115" s="70"/>
      <c r="AH1115" s="70"/>
      <c r="AI1115" s="70"/>
      <c r="AJ1115" s="70"/>
      <c r="AK1115" s="70"/>
      <c r="AL1115" s="70"/>
      <c r="AM1115" s="70"/>
      <c r="AN1115" s="70"/>
      <c r="AO1115" s="70"/>
      <c r="AP1115" s="70"/>
      <c r="AQ1115" s="70"/>
      <c r="AR1115" s="70"/>
      <c r="AS1115" s="70"/>
      <c r="AT1115" s="70"/>
    </row>
    <row r="1116" ht="15.0" customHeight="1">
      <c r="A1116" s="70"/>
      <c r="B1116" s="70"/>
      <c r="C1116" s="70"/>
      <c r="D1116" s="80"/>
      <c r="E1116" s="70"/>
      <c r="F1116" s="70"/>
      <c r="G1116" s="70"/>
      <c r="I1116" s="70"/>
      <c r="J1116" s="70"/>
      <c r="L1116" s="70"/>
      <c r="M1116" s="70"/>
      <c r="N1116" s="70"/>
      <c r="O1116" s="70"/>
      <c r="P1116" s="70"/>
      <c r="Q1116" s="70"/>
      <c r="R1116" s="70"/>
      <c r="S1116" s="70"/>
      <c r="T1116" s="91"/>
      <c r="U1116" s="91"/>
      <c r="V1116" s="70"/>
      <c r="W1116" s="58"/>
      <c r="X1116" s="58"/>
      <c r="Y1116" s="70"/>
      <c r="Z1116" s="83"/>
      <c r="AA1116" s="70"/>
      <c r="AB1116" s="70"/>
      <c r="AC1116" s="70"/>
      <c r="AE1116" s="70"/>
      <c r="AF1116" s="70"/>
      <c r="AG1116" s="70"/>
      <c r="AH1116" s="70"/>
      <c r="AI1116" s="70"/>
      <c r="AJ1116" s="70"/>
      <c r="AK1116" s="70"/>
      <c r="AL1116" s="70"/>
      <c r="AM1116" s="70"/>
      <c r="AN1116" s="70"/>
      <c r="AO1116" s="70"/>
      <c r="AP1116" s="70"/>
      <c r="AQ1116" s="70"/>
      <c r="AR1116" s="70"/>
      <c r="AS1116" s="70"/>
      <c r="AT1116" s="70"/>
    </row>
    <row r="1117" ht="15.0" customHeight="1">
      <c r="A1117" s="70"/>
      <c r="B1117" s="70"/>
      <c r="C1117" s="70"/>
      <c r="D1117" s="80"/>
      <c r="E1117" s="70"/>
      <c r="F1117" s="70"/>
      <c r="G1117" s="70"/>
      <c r="I1117" s="70"/>
      <c r="J1117" s="70"/>
      <c r="L1117" s="70"/>
      <c r="M1117" s="70"/>
      <c r="N1117" s="70"/>
      <c r="O1117" s="70"/>
      <c r="P1117" s="70"/>
      <c r="Q1117" s="70"/>
      <c r="R1117" s="70"/>
      <c r="S1117" s="70"/>
      <c r="T1117" s="91"/>
      <c r="U1117" s="91"/>
      <c r="V1117" s="70"/>
      <c r="W1117" s="58"/>
      <c r="X1117" s="58"/>
      <c r="Y1117" s="70"/>
      <c r="Z1117" s="83"/>
      <c r="AA1117" s="70"/>
      <c r="AB1117" s="70"/>
      <c r="AC1117" s="70"/>
      <c r="AE1117" s="70"/>
      <c r="AF1117" s="70"/>
      <c r="AG1117" s="70"/>
      <c r="AH1117" s="70"/>
      <c r="AI1117" s="70"/>
      <c r="AJ1117" s="70"/>
      <c r="AK1117" s="70"/>
      <c r="AL1117" s="70"/>
      <c r="AM1117" s="70"/>
      <c r="AN1117" s="70"/>
      <c r="AO1117" s="70"/>
      <c r="AP1117" s="70"/>
      <c r="AQ1117" s="70"/>
      <c r="AR1117" s="70"/>
      <c r="AS1117" s="70"/>
      <c r="AT1117" s="70"/>
    </row>
    <row r="1118" ht="15.0" customHeight="1">
      <c r="A1118" s="70"/>
      <c r="B1118" s="70"/>
      <c r="C1118" s="70"/>
      <c r="D1118" s="80"/>
      <c r="E1118" s="70"/>
      <c r="F1118" s="70"/>
      <c r="G1118" s="70"/>
      <c r="I1118" s="70"/>
      <c r="J1118" s="70"/>
      <c r="L1118" s="70"/>
      <c r="M1118" s="70"/>
      <c r="N1118" s="70"/>
      <c r="O1118" s="70"/>
      <c r="P1118" s="70"/>
      <c r="Q1118" s="70"/>
      <c r="R1118" s="70"/>
      <c r="S1118" s="70"/>
      <c r="T1118" s="91"/>
      <c r="U1118" s="91"/>
      <c r="V1118" s="70"/>
      <c r="W1118" s="58"/>
      <c r="X1118" s="58"/>
      <c r="Y1118" s="70"/>
      <c r="Z1118" s="83"/>
      <c r="AA1118" s="70"/>
      <c r="AB1118" s="70"/>
      <c r="AC1118" s="70"/>
      <c r="AE1118" s="70"/>
      <c r="AF1118" s="70"/>
      <c r="AG1118" s="70"/>
      <c r="AH1118" s="70"/>
      <c r="AI1118" s="70"/>
      <c r="AJ1118" s="70"/>
      <c r="AK1118" s="70"/>
      <c r="AL1118" s="70"/>
      <c r="AM1118" s="70"/>
      <c r="AN1118" s="70"/>
      <c r="AO1118" s="70"/>
      <c r="AP1118" s="70"/>
      <c r="AQ1118" s="70"/>
      <c r="AR1118" s="70"/>
      <c r="AS1118" s="70"/>
      <c r="AT1118" s="70"/>
    </row>
    <row r="1119" ht="15.0" customHeight="1">
      <c r="A1119" s="70"/>
      <c r="B1119" s="70"/>
      <c r="C1119" s="70"/>
      <c r="D1119" s="80"/>
      <c r="E1119" s="70"/>
      <c r="F1119" s="70"/>
      <c r="G1119" s="70"/>
      <c r="I1119" s="70"/>
      <c r="J1119" s="70"/>
      <c r="L1119" s="70"/>
      <c r="M1119" s="70"/>
      <c r="N1119" s="70"/>
      <c r="O1119" s="70"/>
      <c r="P1119" s="70"/>
      <c r="Q1119" s="70"/>
      <c r="R1119" s="70"/>
      <c r="S1119" s="70"/>
      <c r="T1119" s="91"/>
      <c r="U1119" s="91"/>
      <c r="V1119" s="70"/>
      <c r="W1119" s="58"/>
      <c r="X1119" s="58"/>
      <c r="Y1119" s="70"/>
      <c r="Z1119" s="83"/>
      <c r="AA1119" s="70"/>
      <c r="AB1119" s="70"/>
      <c r="AC1119" s="70"/>
      <c r="AE1119" s="70"/>
      <c r="AF1119" s="70"/>
      <c r="AG1119" s="70"/>
      <c r="AH1119" s="70"/>
      <c r="AI1119" s="70"/>
      <c r="AJ1119" s="70"/>
      <c r="AK1119" s="70"/>
      <c r="AL1119" s="70"/>
      <c r="AM1119" s="70"/>
      <c r="AN1119" s="70"/>
      <c r="AO1119" s="70"/>
      <c r="AP1119" s="70"/>
      <c r="AQ1119" s="70"/>
      <c r="AR1119" s="70"/>
      <c r="AS1119" s="70"/>
      <c r="AT1119" s="70"/>
    </row>
    <row r="1120" ht="15.0" customHeight="1">
      <c r="A1120" s="70"/>
      <c r="B1120" s="70"/>
      <c r="C1120" s="70"/>
      <c r="D1120" s="80"/>
      <c r="E1120" s="70"/>
      <c r="F1120" s="70"/>
      <c r="G1120" s="70"/>
      <c r="I1120" s="70"/>
      <c r="J1120" s="70"/>
      <c r="L1120" s="70"/>
      <c r="M1120" s="70"/>
      <c r="N1120" s="70"/>
      <c r="O1120" s="70"/>
      <c r="P1120" s="70"/>
      <c r="Q1120" s="70"/>
      <c r="R1120" s="70"/>
      <c r="S1120" s="70"/>
      <c r="T1120" s="91"/>
      <c r="U1120" s="91"/>
      <c r="V1120" s="70"/>
      <c r="W1120" s="58"/>
      <c r="X1120" s="58"/>
      <c r="Y1120" s="70"/>
      <c r="Z1120" s="83"/>
      <c r="AA1120" s="70"/>
      <c r="AB1120" s="70"/>
      <c r="AC1120" s="70"/>
      <c r="AE1120" s="70"/>
      <c r="AF1120" s="70"/>
      <c r="AG1120" s="70"/>
      <c r="AH1120" s="70"/>
      <c r="AI1120" s="70"/>
      <c r="AJ1120" s="70"/>
      <c r="AK1120" s="70"/>
      <c r="AL1120" s="70"/>
      <c r="AM1120" s="70"/>
      <c r="AN1120" s="70"/>
      <c r="AO1120" s="70"/>
      <c r="AP1120" s="70"/>
      <c r="AQ1120" s="70"/>
      <c r="AR1120" s="70"/>
      <c r="AS1120" s="70"/>
      <c r="AT1120" s="70"/>
    </row>
    <row r="1121" ht="15.0" customHeight="1">
      <c r="A1121" s="70"/>
      <c r="B1121" s="70"/>
      <c r="C1121" s="70"/>
      <c r="D1121" s="80"/>
      <c r="E1121" s="70"/>
      <c r="F1121" s="70"/>
      <c r="G1121" s="70"/>
      <c r="I1121" s="70"/>
      <c r="J1121" s="70"/>
      <c r="L1121" s="70"/>
      <c r="M1121" s="70"/>
      <c r="N1121" s="70"/>
      <c r="O1121" s="70"/>
      <c r="P1121" s="70"/>
      <c r="Q1121" s="70"/>
      <c r="R1121" s="70"/>
      <c r="S1121" s="70"/>
      <c r="T1121" s="91"/>
      <c r="U1121" s="91"/>
      <c r="V1121" s="70"/>
      <c r="W1121" s="58"/>
      <c r="X1121" s="58"/>
      <c r="Y1121" s="70"/>
      <c r="Z1121" s="83"/>
      <c r="AA1121" s="70"/>
      <c r="AB1121" s="70"/>
      <c r="AC1121" s="70"/>
      <c r="AE1121" s="70"/>
      <c r="AF1121" s="70"/>
      <c r="AG1121" s="70"/>
      <c r="AH1121" s="70"/>
      <c r="AI1121" s="70"/>
      <c r="AJ1121" s="70"/>
      <c r="AK1121" s="70"/>
      <c r="AL1121" s="70"/>
      <c r="AM1121" s="70"/>
      <c r="AN1121" s="70"/>
      <c r="AO1121" s="70"/>
      <c r="AP1121" s="70"/>
      <c r="AQ1121" s="70"/>
      <c r="AR1121" s="70"/>
      <c r="AS1121" s="70"/>
      <c r="AT1121" s="70"/>
    </row>
    <row r="1122" ht="15.0" customHeight="1">
      <c r="A1122" s="70"/>
      <c r="B1122" s="70"/>
      <c r="C1122" s="70"/>
      <c r="D1122" s="80"/>
      <c r="E1122" s="70"/>
      <c r="F1122" s="70"/>
      <c r="G1122" s="70"/>
      <c r="I1122" s="70"/>
      <c r="J1122" s="70"/>
      <c r="L1122" s="70"/>
      <c r="M1122" s="70"/>
      <c r="N1122" s="70"/>
      <c r="O1122" s="70"/>
      <c r="P1122" s="70"/>
      <c r="Q1122" s="70"/>
      <c r="R1122" s="70"/>
      <c r="S1122" s="70"/>
      <c r="T1122" s="91"/>
      <c r="U1122" s="91"/>
      <c r="V1122" s="70"/>
      <c r="W1122" s="58"/>
      <c r="X1122" s="58"/>
      <c r="Y1122" s="70"/>
      <c r="Z1122" s="83"/>
      <c r="AA1122" s="70"/>
      <c r="AB1122" s="70"/>
      <c r="AC1122" s="70"/>
      <c r="AE1122" s="70"/>
      <c r="AF1122" s="70"/>
      <c r="AG1122" s="70"/>
      <c r="AH1122" s="70"/>
      <c r="AI1122" s="70"/>
      <c r="AJ1122" s="70"/>
      <c r="AK1122" s="70"/>
      <c r="AL1122" s="70"/>
      <c r="AM1122" s="70"/>
      <c r="AN1122" s="70"/>
      <c r="AO1122" s="70"/>
      <c r="AP1122" s="70"/>
      <c r="AQ1122" s="70"/>
      <c r="AR1122" s="70"/>
      <c r="AS1122" s="70"/>
      <c r="AT1122" s="70"/>
    </row>
    <row r="1123" ht="15.0" customHeight="1">
      <c r="A1123" s="70"/>
      <c r="B1123" s="70"/>
      <c r="C1123" s="70"/>
      <c r="D1123" s="80"/>
      <c r="E1123" s="70"/>
      <c r="F1123" s="70"/>
      <c r="G1123" s="70"/>
      <c r="I1123" s="70"/>
      <c r="J1123" s="70"/>
      <c r="L1123" s="70"/>
      <c r="M1123" s="70"/>
      <c r="N1123" s="70"/>
      <c r="O1123" s="70"/>
      <c r="P1123" s="70"/>
      <c r="Q1123" s="70"/>
      <c r="R1123" s="70"/>
      <c r="S1123" s="70"/>
      <c r="T1123" s="91"/>
      <c r="U1123" s="91"/>
      <c r="V1123" s="70"/>
      <c r="W1123" s="58"/>
      <c r="X1123" s="58"/>
      <c r="Y1123" s="70"/>
      <c r="Z1123" s="83"/>
      <c r="AA1123" s="70"/>
      <c r="AB1123" s="70"/>
      <c r="AC1123" s="70"/>
      <c r="AE1123" s="70"/>
      <c r="AF1123" s="70"/>
      <c r="AG1123" s="70"/>
      <c r="AH1123" s="70"/>
      <c r="AI1123" s="70"/>
      <c r="AJ1123" s="70"/>
      <c r="AK1123" s="70"/>
      <c r="AL1123" s="70"/>
      <c r="AM1123" s="70"/>
      <c r="AN1123" s="70"/>
      <c r="AO1123" s="70"/>
      <c r="AP1123" s="70"/>
      <c r="AQ1123" s="70"/>
      <c r="AR1123" s="70"/>
      <c r="AS1123" s="70"/>
      <c r="AT1123" s="70"/>
    </row>
    <row r="1124" ht="15.0" customHeight="1">
      <c r="A1124" s="70"/>
      <c r="B1124" s="70"/>
      <c r="C1124" s="70"/>
      <c r="D1124" s="80"/>
      <c r="E1124" s="70"/>
      <c r="F1124" s="70"/>
      <c r="G1124" s="70"/>
      <c r="I1124" s="70"/>
      <c r="J1124" s="70"/>
      <c r="L1124" s="70"/>
      <c r="M1124" s="70"/>
      <c r="N1124" s="70"/>
      <c r="O1124" s="70"/>
      <c r="P1124" s="70"/>
      <c r="Q1124" s="70"/>
      <c r="R1124" s="70"/>
      <c r="S1124" s="70"/>
      <c r="T1124" s="91"/>
      <c r="U1124" s="91"/>
      <c r="V1124" s="70"/>
      <c r="W1124" s="58"/>
      <c r="X1124" s="58"/>
      <c r="Y1124" s="70"/>
      <c r="Z1124" s="83"/>
      <c r="AA1124" s="70"/>
      <c r="AB1124" s="70"/>
      <c r="AC1124" s="70"/>
      <c r="AE1124" s="70"/>
      <c r="AF1124" s="70"/>
      <c r="AG1124" s="70"/>
      <c r="AH1124" s="70"/>
      <c r="AI1124" s="70"/>
      <c r="AJ1124" s="70"/>
      <c r="AK1124" s="70"/>
      <c r="AL1124" s="70"/>
      <c r="AM1124" s="70"/>
      <c r="AN1124" s="70"/>
      <c r="AO1124" s="70"/>
      <c r="AP1124" s="70"/>
      <c r="AQ1124" s="70"/>
      <c r="AR1124" s="70"/>
      <c r="AS1124" s="70"/>
      <c r="AT1124" s="70"/>
    </row>
    <row r="1125" ht="15.0" customHeight="1">
      <c r="A1125" s="70"/>
      <c r="B1125" s="70"/>
      <c r="C1125" s="70"/>
      <c r="D1125" s="80"/>
      <c r="E1125" s="70"/>
      <c r="F1125" s="70"/>
      <c r="G1125" s="70"/>
      <c r="I1125" s="70"/>
      <c r="J1125" s="70"/>
      <c r="L1125" s="70"/>
      <c r="M1125" s="70"/>
      <c r="N1125" s="70"/>
      <c r="O1125" s="70"/>
      <c r="P1125" s="70"/>
      <c r="Q1125" s="70"/>
      <c r="R1125" s="70"/>
      <c r="S1125" s="70"/>
      <c r="T1125" s="91"/>
      <c r="U1125" s="91"/>
      <c r="V1125" s="70"/>
      <c r="W1125" s="58"/>
      <c r="X1125" s="58"/>
      <c r="Y1125" s="70"/>
      <c r="Z1125" s="83"/>
      <c r="AA1125" s="70"/>
      <c r="AB1125" s="70"/>
      <c r="AC1125" s="70"/>
      <c r="AE1125" s="70"/>
      <c r="AF1125" s="70"/>
      <c r="AG1125" s="70"/>
      <c r="AH1125" s="70"/>
      <c r="AI1125" s="70"/>
      <c r="AJ1125" s="70"/>
      <c r="AK1125" s="70"/>
      <c r="AL1125" s="70"/>
      <c r="AM1125" s="70"/>
      <c r="AN1125" s="70"/>
      <c r="AO1125" s="70"/>
      <c r="AP1125" s="70"/>
      <c r="AQ1125" s="70"/>
      <c r="AR1125" s="70"/>
      <c r="AS1125" s="70"/>
      <c r="AT1125" s="70"/>
    </row>
    <row r="1126" ht="15.0" customHeight="1">
      <c r="A1126" s="70"/>
      <c r="B1126" s="70"/>
      <c r="C1126" s="70"/>
      <c r="D1126" s="80"/>
      <c r="E1126" s="70"/>
      <c r="F1126" s="70"/>
      <c r="G1126" s="70"/>
      <c r="I1126" s="70"/>
      <c r="J1126" s="70"/>
      <c r="L1126" s="70"/>
      <c r="M1126" s="70"/>
      <c r="N1126" s="70"/>
      <c r="O1126" s="70"/>
      <c r="P1126" s="70"/>
      <c r="Q1126" s="70"/>
      <c r="R1126" s="70"/>
      <c r="S1126" s="70"/>
      <c r="T1126" s="91"/>
      <c r="U1126" s="91"/>
      <c r="V1126" s="70"/>
      <c r="W1126" s="58"/>
      <c r="X1126" s="58"/>
      <c r="Y1126" s="70"/>
      <c r="Z1126" s="83"/>
      <c r="AA1126" s="70"/>
      <c r="AB1126" s="70"/>
      <c r="AC1126" s="70"/>
      <c r="AE1126" s="70"/>
      <c r="AF1126" s="70"/>
      <c r="AG1126" s="70"/>
      <c r="AH1126" s="70"/>
      <c r="AI1126" s="70"/>
      <c r="AJ1126" s="70"/>
      <c r="AK1126" s="70"/>
      <c r="AL1126" s="70"/>
      <c r="AM1126" s="70"/>
      <c r="AN1126" s="70"/>
      <c r="AO1126" s="70"/>
      <c r="AP1126" s="70"/>
      <c r="AQ1126" s="70"/>
      <c r="AR1126" s="70"/>
      <c r="AS1126" s="70"/>
      <c r="AT1126" s="70"/>
    </row>
    <row r="1127" ht="15.0" customHeight="1">
      <c r="A1127" s="70"/>
      <c r="B1127" s="70"/>
      <c r="C1127" s="70"/>
      <c r="D1127" s="80"/>
      <c r="E1127" s="70"/>
      <c r="F1127" s="70"/>
      <c r="G1127" s="70"/>
      <c r="I1127" s="70"/>
      <c r="J1127" s="70"/>
      <c r="L1127" s="70"/>
      <c r="M1127" s="70"/>
      <c r="N1127" s="70"/>
      <c r="O1127" s="70"/>
      <c r="P1127" s="70"/>
      <c r="Q1127" s="70"/>
      <c r="R1127" s="70"/>
      <c r="S1127" s="70"/>
      <c r="T1127" s="91"/>
      <c r="U1127" s="91"/>
      <c r="V1127" s="70"/>
      <c r="W1127" s="58"/>
      <c r="X1127" s="58"/>
      <c r="Y1127" s="70"/>
      <c r="Z1127" s="83"/>
      <c r="AA1127" s="70"/>
      <c r="AB1127" s="70"/>
      <c r="AC1127" s="70"/>
      <c r="AE1127" s="70"/>
      <c r="AF1127" s="70"/>
      <c r="AG1127" s="70"/>
      <c r="AH1127" s="70"/>
      <c r="AI1127" s="70"/>
      <c r="AJ1127" s="70"/>
      <c r="AK1127" s="70"/>
      <c r="AL1127" s="70"/>
      <c r="AM1127" s="70"/>
      <c r="AN1127" s="70"/>
      <c r="AO1127" s="70"/>
      <c r="AP1127" s="70"/>
      <c r="AQ1127" s="70"/>
      <c r="AR1127" s="70"/>
      <c r="AS1127" s="70"/>
      <c r="AT1127" s="70"/>
    </row>
    <row r="1128" ht="15.0" customHeight="1">
      <c r="A1128" s="70"/>
      <c r="B1128" s="70"/>
      <c r="C1128" s="70"/>
      <c r="D1128" s="80"/>
      <c r="E1128" s="70"/>
      <c r="F1128" s="70"/>
      <c r="G1128" s="70"/>
      <c r="I1128" s="70"/>
      <c r="J1128" s="70"/>
      <c r="L1128" s="70"/>
      <c r="M1128" s="70"/>
      <c r="N1128" s="70"/>
      <c r="O1128" s="70"/>
      <c r="P1128" s="70"/>
      <c r="Q1128" s="70"/>
      <c r="R1128" s="70"/>
      <c r="S1128" s="70"/>
      <c r="T1128" s="91"/>
      <c r="U1128" s="91"/>
      <c r="V1128" s="70"/>
      <c r="W1128" s="58"/>
      <c r="X1128" s="58"/>
      <c r="Y1128" s="70"/>
      <c r="Z1128" s="83"/>
      <c r="AA1128" s="70"/>
      <c r="AB1128" s="70"/>
      <c r="AC1128" s="70"/>
      <c r="AE1128" s="70"/>
      <c r="AF1128" s="70"/>
      <c r="AG1128" s="70"/>
      <c r="AH1128" s="70"/>
      <c r="AI1128" s="70"/>
      <c r="AJ1128" s="70"/>
      <c r="AK1128" s="70"/>
      <c r="AL1128" s="70"/>
      <c r="AM1128" s="70"/>
      <c r="AN1128" s="70"/>
      <c r="AO1128" s="70"/>
      <c r="AP1128" s="70"/>
      <c r="AQ1128" s="70"/>
      <c r="AR1128" s="70"/>
      <c r="AS1128" s="70"/>
      <c r="AT1128" s="70"/>
    </row>
    <row r="1129" ht="15.0" customHeight="1">
      <c r="A1129" s="70"/>
      <c r="B1129" s="70"/>
      <c r="C1129" s="70"/>
      <c r="D1129" s="80"/>
      <c r="E1129" s="70"/>
      <c r="F1129" s="70"/>
      <c r="G1129" s="70"/>
      <c r="I1129" s="70"/>
      <c r="J1129" s="70"/>
      <c r="L1129" s="70"/>
      <c r="M1129" s="70"/>
      <c r="N1129" s="70"/>
      <c r="O1129" s="70"/>
      <c r="P1129" s="70"/>
      <c r="Q1129" s="70"/>
      <c r="R1129" s="70"/>
      <c r="S1129" s="70"/>
      <c r="T1129" s="91"/>
      <c r="U1129" s="91"/>
      <c r="V1129" s="70"/>
      <c r="W1129" s="58"/>
      <c r="X1129" s="58"/>
      <c r="Y1129" s="70"/>
      <c r="Z1129" s="83"/>
      <c r="AA1129" s="70"/>
      <c r="AB1129" s="70"/>
      <c r="AC1129" s="70"/>
      <c r="AE1129" s="70"/>
      <c r="AF1129" s="70"/>
      <c r="AG1129" s="70"/>
      <c r="AH1129" s="70"/>
      <c r="AI1129" s="70"/>
      <c r="AJ1129" s="70"/>
      <c r="AK1129" s="70"/>
      <c r="AL1129" s="70"/>
      <c r="AM1129" s="70"/>
      <c r="AN1129" s="70"/>
      <c r="AO1129" s="70"/>
      <c r="AP1129" s="70"/>
      <c r="AQ1129" s="70"/>
      <c r="AR1129" s="70"/>
      <c r="AS1129" s="70"/>
      <c r="AT1129" s="70"/>
    </row>
    <row r="1130" ht="15.0" customHeight="1">
      <c r="A1130" s="70"/>
      <c r="B1130" s="70"/>
      <c r="C1130" s="70"/>
      <c r="D1130" s="80"/>
      <c r="E1130" s="70"/>
      <c r="F1130" s="70"/>
      <c r="G1130" s="70"/>
      <c r="I1130" s="70"/>
      <c r="J1130" s="70"/>
      <c r="L1130" s="70"/>
      <c r="M1130" s="70"/>
      <c r="N1130" s="70"/>
      <c r="O1130" s="70"/>
      <c r="P1130" s="70"/>
      <c r="Q1130" s="70"/>
      <c r="R1130" s="70"/>
      <c r="S1130" s="70"/>
      <c r="T1130" s="91"/>
      <c r="U1130" s="91"/>
      <c r="V1130" s="70"/>
      <c r="W1130" s="58"/>
      <c r="X1130" s="58"/>
      <c r="Y1130" s="70"/>
      <c r="Z1130" s="83"/>
      <c r="AA1130" s="70"/>
      <c r="AB1130" s="70"/>
      <c r="AC1130" s="70"/>
      <c r="AE1130" s="70"/>
      <c r="AF1130" s="70"/>
      <c r="AG1130" s="70"/>
      <c r="AH1130" s="70"/>
      <c r="AI1130" s="70"/>
      <c r="AJ1130" s="70"/>
      <c r="AK1130" s="70"/>
      <c r="AL1130" s="70"/>
      <c r="AM1130" s="70"/>
      <c r="AN1130" s="70"/>
      <c r="AO1130" s="70"/>
      <c r="AP1130" s="70"/>
      <c r="AQ1130" s="70"/>
      <c r="AR1130" s="70"/>
      <c r="AS1130" s="70"/>
      <c r="AT1130" s="70"/>
    </row>
    <row r="1131" ht="15.0" customHeight="1">
      <c r="A1131" s="70"/>
      <c r="B1131" s="70"/>
      <c r="C1131" s="70"/>
      <c r="D1131" s="80"/>
      <c r="E1131" s="70"/>
      <c r="F1131" s="70"/>
      <c r="G1131" s="70"/>
      <c r="I1131" s="70"/>
      <c r="J1131" s="70"/>
      <c r="L1131" s="70"/>
      <c r="M1131" s="70"/>
      <c r="N1131" s="70"/>
      <c r="O1131" s="70"/>
      <c r="P1131" s="70"/>
      <c r="Q1131" s="70"/>
      <c r="R1131" s="70"/>
      <c r="S1131" s="70"/>
      <c r="T1131" s="91"/>
      <c r="U1131" s="91"/>
      <c r="V1131" s="70"/>
      <c r="W1131" s="58"/>
      <c r="X1131" s="58"/>
      <c r="Y1131" s="70"/>
      <c r="Z1131" s="83"/>
      <c r="AA1131" s="70"/>
      <c r="AB1131" s="70"/>
      <c r="AC1131" s="70"/>
      <c r="AE1131" s="70"/>
      <c r="AF1131" s="70"/>
      <c r="AG1131" s="70"/>
      <c r="AH1131" s="70"/>
      <c r="AI1131" s="70"/>
      <c r="AJ1131" s="70"/>
      <c r="AK1131" s="70"/>
      <c r="AL1131" s="70"/>
      <c r="AM1131" s="70"/>
      <c r="AN1131" s="70"/>
      <c r="AO1131" s="70"/>
      <c r="AP1131" s="70"/>
      <c r="AQ1131" s="70"/>
      <c r="AR1131" s="70"/>
      <c r="AS1131" s="70"/>
      <c r="AT1131" s="70"/>
    </row>
    <row r="1132" ht="15.0" customHeight="1">
      <c r="A1132" s="70"/>
      <c r="B1132" s="70"/>
      <c r="C1132" s="70"/>
      <c r="D1132" s="80"/>
      <c r="E1132" s="70"/>
      <c r="F1132" s="70"/>
      <c r="G1132" s="70"/>
      <c r="I1132" s="70"/>
      <c r="J1132" s="70"/>
      <c r="L1132" s="70"/>
      <c r="M1132" s="70"/>
      <c r="N1132" s="70"/>
      <c r="O1132" s="70"/>
      <c r="P1132" s="70"/>
      <c r="Q1132" s="70"/>
      <c r="R1132" s="70"/>
      <c r="S1132" s="70"/>
      <c r="T1132" s="91"/>
      <c r="U1132" s="91"/>
      <c r="V1132" s="70"/>
      <c r="W1132" s="58"/>
      <c r="X1132" s="58"/>
      <c r="Y1132" s="70"/>
      <c r="Z1132" s="83"/>
      <c r="AA1132" s="70"/>
      <c r="AB1132" s="70"/>
      <c r="AC1132" s="70"/>
      <c r="AE1132" s="70"/>
      <c r="AF1132" s="70"/>
      <c r="AG1132" s="70"/>
      <c r="AH1132" s="70"/>
      <c r="AI1132" s="70"/>
      <c r="AJ1132" s="70"/>
      <c r="AK1132" s="70"/>
      <c r="AL1132" s="70"/>
      <c r="AM1132" s="70"/>
      <c r="AN1132" s="70"/>
      <c r="AO1132" s="70"/>
      <c r="AP1132" s="70"/>
      <c r="AQ1132" s="70"/>
      <c r="AR1132" s="70"/>
      <c r="AS1132" s="70"/>
      <c r="AT1132" s="70"/>
    </row>
    <row r="1133" ht="15.0" customHeight="1">
      <c r="A1133" s="70"/>
      <c r="B1133" s="70"/>
      <c r="C1133" s="70"/>
      <c r="D1133" s="80"/>
      <c r="E1133" s="70"/>
      <c r="F1133" s="70"/>
      <c r="G1133" s="70"/>
      <c r="I1133" s="70"/>
      <c r="J1133" s="70"/>
      <c r="L1133" s="70"/>
      <c r="M1133" s="70"/>
      <c r="N1133" s="70"/>
      <c r="O1133" s="70"/>
      <c r="P1133" s="70"/>
      <c r="Q1133" s="70"/>
      <c r="R1133" s="70"/>
      <c r="S1133" s="70"/>
      <c r="T1133" s="91"/>
      <c r="U1133" s="91"/>
      <c r="V1133" s="70"/>
      <c r="W1133" s="58"/>
      <c r="X1133" s="58"/>
      <c r="Y1133" s="70"/>
      <c r="Z1133" s="83"/>
      <c r="AA1133" s="70"/>
      <c r="AB1133" s="70"/>
      <c r="AC1133" s="70"/>
      <c r="AE1133" s="70"/>
      <c r="AF1133" s="70"/>
      <c r="AG1133" s="70"/>
      <c r="AH1133" s="70"/>
      <c r="AI1133" s="70"/>
      <c r="AJ1133" s="70"/>
      <c r="AK1133" s="70"/>
      <c r="AL1133" s="70"/>
      <c r="AM1133" s="70"/>
      <c r="AN1133" s="70"/>
      <c r="AO1133" s="70"/>
      <c r="AP1133" s="70"/>
      <c r="AQ1133" s="70"/>
      <c r="AR1133" s="70"/>
      <c r="AS1133" s="70"/>
      <c r="AT1133" s="70"/>
    </row>
    <row r="1134" ht="15.0" customHeight="1">
      <c r="A1134" s="70"/>
      <c r="B1134" s="70"/>
      <c r="C1134" s="70"/>
      <c r="D1134" s="80"/>
      <c r="E1134" s="70"/>
      <c r="F1134" s="70"/>
      <c r="G1134" s="70"/>
      <c r="I1134" s="70"/>
      <c r="J1134" s="70"/>
      <c r="L1134" s="70"/>
      <c r="M1134" s="70"/>
      <c r="N1134" s="70"/>
      <c r="O1134" s="70"/>
      <c r="P1134" s="70"/>
      <c r="Q1134" s="70"/>
      <c r="R1134" s="70"/>
      <c r="S1134" s="70"/>
      <c r="T1134" s="91"/>
      <c r="U1134" s="91"/>
      <c r="V1134" s="70"/>
      <c r="W1134" s="58"/>
      <c r="X1134" s="58"/>
      <c r="Y1134" s="70"/>
      <c r="Z1134" s="83"/>
      <c r="AA1134" s="70"/>
      <c r="AB1134" s="70"/>
      <c r="AC1134" s="70"/>
      <c r="AE1134" s="70"/>
      <c r="AF1134" s="70"/>
      <c r="AG1134" s="70"/>
      <c r="AH1134" s="70"/>
      <c r="AI1134" s="70"/>
      <c r="AJ1134" s="70"/>
      <c r="AK1134" s="70"/>
      <c r="AL1134" s="70"/>
      <c r="AM1134" s="70"/>
      <c r="AN1134" s="70"/>
      <c r="AO1134" s="70"/>
      <c r="AP1134" s="70"/>
      <c r="AQ1134" s="70"/>
      <c r="AR1134" s="70"/>
      <c r="AS1134" s="70"/>
      <c r="AT1134" s="70"/>
    </row>
    <row r="1135" ht="15.0" customHeight="1">
      <c r="A1135" s="70"/>
      <c r="B1135" s="70"/>
      <c r="C1135" s="70"/>
      <c r="D1135" s="80"/>
      <c r="E1135" s="70"/>
      <c r="F1135" s="70"/>
      <c r="G1135" s="70"/>
      <c r="I1135" s="70"/>
      <c r="J1135" s="70"/>
      <c r="L1135" s="70"/>
      <c r="M1135" s="70"/>
      <c r="N1135" s="70"/>
      <c r="O1135" s="70"/>
      <c r="P1135" s="70"/>
      <c r="Q1135" s="70"/>
      <c r="R1135" s="70"/>
      <c r="S1135" s="70"/>
      <c r="T1135" s="91"/>
      <c r="U1135" s="91"/>
      <c r="V1135" s="70"/>
      <c r="W1135" s="58"/>
      <c r="X1135" s="58"/>
      <c r="Y1135" s="70"/>
      <c r="Z1135" s="83"/>
      <c r="AA1135" s="70"/>
      <c r="AB1135" s="70"/>
      <c r="AC1135" s="70"/>
      <c r="AE1135" s="70"/>
      <c r="AF1135" s="70"/>
      <c r="AG1135" s="70"/>
      <c r="AH1135" s="70"/>
      <c r="AI1135" s="70"/>
      <c r="AJ1135" s="70"/>
      <c r="AK1135" s="70"/>
      <c r="AL1135" s="70"/>
      <c r="AM1135" s="70"/>
      <c r="AN1135" s="70"/>
      <c r="AO1135" s="70"/>
      <c r="AP1135" s="70"/>
      <c r="AQ1135" s="70"/>
      <c r="AR1135" s="70"/>
      <c r="AS1135" s="70"/>
      <c r="AT1135" s="70"/>
    </row>
    <row r="1136" ht="15.0" customHeight="1">
      <c r="A1136" s="70"/>
      <c r="B1136" s="70"/>
      <c r="C1136" s="70"/>
      <c r="D1136" s="80"/>
      <c r="E1136" s="70"/>
      <c r="F1136" s="70"/>
      <c r="G1136" s="70"/>
      <c r="I1136" s="70"/>
      <c r="J1136" s="70"/>
      <c r="L1136" s="70"/>
      <c r="M1136" s="70"/>
      <c r="N1136" s="70"/>
      <c r="O1136" s="70"/>
      <c r="P1136" s="70"/>
      <c r="Q1136" s="70"/>
      <c r="R1136" s="70"/>
      <c r="S1136" s="70"/>
      <c r="T1136" s="91"/>
      <c r="U1136" s="91"/>
      <c r="V1136" s="70"/>
      <c r="W1136" s="58"/>
      <c r="X1136" s="58"/>
      <c r="Y1136" s="70"/>
      <c r="Z1136" s="83"/>
      <c r="AA1136" s="70"/>
      <c r="AB1136" s="70"/>
      <c r="AC1136" s="70"/>
      <c r="AE1136" s="70"/>
      <c r="AF1136" s="70"/>
      <c r="AG1136" s="70"/>
      <c r="AH1136" s="70"/>
      <c r="AI1136" s="70"/>
      <c r="AJ1136" s="70"/>
      <c r="AK1136" s="70"/>
      <c r="AL1136" s="70"/>
      <c r="AM1136" s="70"/>
      <c r="AN1136" s="70"/>
      <c r="AO1136" s="70"/>
      <c r="AP1136" s="70"/>
      <c r="AQ1136" s="70"/>
      <c r="AR1136" s="70"/>
      <c r="AS1136" s="70"/>
      <c r="AT1136" s="70"/>
    </row>
    <row r="1137" ht="15.0" customHeight="1">
      <c r="A1137" s="70"/>
      <c r="B1137" s="70"/>
      <c r="C1137" s="70"/>
      <c r="D1137" s="80"/>
      <c r="E1137" s="70"/>
      <c r="F1137" s="70"/>
      <c r="G1137" s="70"/>
      <c r="I1137" s="70"/>
      <c r="J1137" s="70"/>
      <c r="L1137" s="70"/>
      <c r="M1137" s="70"/>
      <c r="N1137" s="70"/>
      <c r="O1137" s="70"/>
      <c r="P1137" s="70"/>
      <c r="Q1137" s="70"/>
      <c r="R1137" s="70"/>
      <c r="S1137" s="70"/>
      <c r="T1137" s="91"/>
      <c r="U1137" s="91"/>
      <c r="V1137" s="70"/>
      <c r="W1137" s="58"/>
      <c r="X1137" s="58"/>
      <c r="Y1137" s="70"/>
      <c r="Z1137" s="83"/>
      <c r="AA1137" s="70"/>
      <c r="AB1137" s="70"/>
      <c r="AC1137" s="70"/>
      <c r="AE1137" s="70"/>
      <c r="AF1137" s="70"/>
      <c r="AG1137" s="70"/>
      <c r="AH1137" s="70"/>
      <c r="AI1137" s="70"/>
      <c r="AJ1137" s="70"/>
      <c r="AK1137" s="70"/>
      <c r="AL1137" s="70"/>
      <c r="AM1137" s="70"/>
      <c r="AN1137" s="70"/>
      <c r="AO1137" s="70"/>
      <c r="AP1137" s="70"/>
      <c r="AQ1137" s="70"/>
      <c r="AR1137" s="70"/>
      <c r="AS1137" s="70"/>
      <c r="AT1137" s="70"/>
    </row>
    <row r="1138" ht="15.0" customHeight="1">
      <c r="A1138" s="70"/>
      <c r="B1138" s="70"/>
      <c r="C1138" s="70"/>
      <c r="D1138" s="80"/>
      <c r="E1138" s="70"/>
      <c r="F1138" s="70"/>
      <c r="G1138" s="70"/>
      <c r="I1138" s="70"/>
      <c r="J1138" s="70"/>
      <c r="L1138" s="70"/>
      <c r="M1138" s="70"/>
      <c r="N1138" s="70"/>
      <c r="O1138" s="70"/>
      <c r="P1138" s="70"/>
      <c r="Q1138" s="70"/>
      <c r="R1138" s="70"/>
      <c r="S1138" s="70"/>
      <c r="T1138" s="91"/>
      <c r="U1138" s="91"/>
      <c r="V1138" s="70"/>
      <c r="W1138" s="58"/>
      <c r="X1138" s="58"/>
      <c r="Y1138" s="70"/>
      <c r="Z1138" s="83"/>
      <c r="AA1138" s="70"/>
      <c r="AB1138" s="70"/>
      <c r="AC1138" s="70"/>
      <c r="AE1138" s="70"/>
      <c r="AF1138" s="70"/>
      <c r="AG1138" s="70"/>
      <c r="AH1138" s="70"/>
      <c r="AI1138" s="70"/>
      <c r="AJ1138" s="70"/>
      <c r="AK1138" s="70"/>
      <c r="AL1138" s="70"/>
      <c r="AM1138" s="70"/>
      <c r="AN1138" s="70"/>
      <c r="AO1138" s="70"/>
      <c r="AP1138" s="70"/>
      <c r="AQ1138" s="70"/>
      <c r="AR1138" s="70"/>
      <c r="AS1138" s="70"/>
      <c r="AT1138" s="70"/>
    </row>
    <row r="1139" ht="15.0" customHeight="1">
      <c r="A1139" s="70"/>
      <c r="B1139" s="70"/>
      <c r="C1139" s="70"/>
      <c r="D1139" s="80"/>
      <c r="E1139" s="70"/>
      <c r="F1139" s="70"/>
      <c r="G1139" s="70"/>
      <c r="I1139" s="70"/>
      <c r="J1139" s="70"/>
      <c r="L1139" s="70"/>
      <c r="M1139" s="70"/>
      <c r="N1139" s="70"/>
      <c r="O1139" s="70"/>
      <c r="P1139" s="70"/>
      <c r="Q1139" s="70"/>
      <c r="R1139" s="70"/>
      <c r="S1139" s="70"/>
      <c r="T1139" s="91"/>
      <c r="U1139" s="91"/>
      <c r="V1139" s="70"/>
      <c r="W1139" s="58"/>
      <c r="X1139" s="58"/>
      <c r="Y1139" s="70"/>
      <c r="Z1139" s="83"/>
      <c r="AA1139" s="70"/>
      <c r="AB1139" s="70"/>
      <c r="AC1139" s="70"/>
      <c r="AE1139" s="70"/>
      <c r="AF1139" s="70"/>
      <c r="AG1139" s="70"/>
      <c r="AH1139" s="70"/>
      <c r="AI1139" s="70"/>
      <c r="AJ1139" s="70"/>
      <c r="AK1139" s="70"/>
      <c r="AL1139" s="70"/>
      <c r="AM1139" s="70"/>
      <c r="AN1139" s="70"/>
      <c r="AO1139" s="70"/>
      <c r="AP1139" s="70"/>
      <c r="AQ1139" s="70"/>
      <c r="AR1139" s="70"/>
      <c r="AS1139" s="70"/>
      <c r="AT1139" s="70"/>
    </row>
    <row r="1140" ht="15.0" customHeight="1">
      <c r="A1140" s="70"/>
      <c r="B1140" s="70"/>
      <c r="C1140" s="70"/>
      <c r="D1140" s="80"/>
      <c r="E1140" s="70"/>
      <c r="F1140" s="70"/>
      <c r="G1140" s="70"/>
      <c r="I1140" s="70"/>
      <c r="J1140" s="70"/>
      <c r="L1140" s="70"/>
      <c r="M1140" s="70"/>
      <c r="N1140" s="70"/>
      <c r="O1140" s="70"/>
      <c r="P1140" s="70"/>
      <c r="Q1140" s="70"/>
      <c r="R1140" s="70"/>
      <c r="S1140" s="70"/>
      <c r="T1140" s="91"/>
      <c r="U1140" s="91"/>
      <c r="V1140" s="70"/>
      <c r="W1140" s="58"/>
      <c r="X1140" s="58"/>
      <c r="Y1140" s="70"/>
      <c r="Z1140" s="83"/>
      <c r="AA1140" s="70"/>
      <c r="AB1140" s="70"/>
      <c r="AC1140" s="70"/>
      <c r="AE1140" s="70"/>
      <c r="AF1140" s="70"/>
      <c r="AG1140" s="70"/>
      <c r="AH1140" s="70"/>
      <c r="AI1140" s="70"/>
      <c r="AJ1140" s="70"/>
      <c r="AK1140" s="70"/>
      <c r="AL1140" s="70"/>
      <c r="AM1140" s="70"/>
      <c r="AN1140" s="70"/>
      <c r="AO1140" s="70"/>
      <c r="AP1140" s="70"/>
      <c r="AQ1140" s="70"/>
      <c r="AR1140" s="70"/>
      <c r="AS1140" s="70"/>
      <c r="AT1140" s="70"/>
    </row>
    <row r="1141" ht="15.0" customHeight="1">
      <c r="A1141" s="70"/>
      <c r="B1141" s="70"/>
      <c r="C1141" s="70"/>
      <c r="D1141" s="80"/>
      <c r="E1141" s="70"/>
      <c r="F1141" s="70"/>
      <c r="G1141" s="70"/>
      <c r="I1141" s="70"/>
      <c r="J1141" s="70"/>
      <c r="L1141" s="70"/>
      <c r="M1141" s="70"/>
      <c r="N1141" s="70"/>
      <c r="O1141" s="70"/>
      <c r="P1141" s="70"/>
      <c r="Q1141" s="70"/>
      <c r="R1141" s="70"/>
      <c r="S1141" s="70"/>
      <c r="T1141" s="91"/>
      <c r="U1141" s="91"/>
      <c r="V1141" s="70"/>
      <c r="W1141" s="58"/>
      <c r="X1141" s="58"/>
      <c r="Y1141" s="70"/>
      <c r="Z1141" s="83"/>
      <c r="AA1141" s="70"/>
      <c r="AB1141" s="70"/>
      <c r="AC1141" s="70"/>
      <c r="AE1141" s="70"/>
      <c r="AF1141" s="70"/>
      <c r="AG1141" s="70"/>
      <c r="AH1141" s="70"/>
      <c r="AI1141" s="70"/>
      <c r="AJ1141" s="70"/>
      <c r="AK1141" s="70"/>
      <c r="AL1141" s="70"/>
      <c r="AM1141" s="70"/>
      <c r="AN1141" s="70"/>
      <c r="AO1141" s="70"/>
      <c r="AP1141" s="70"/>
      <c r="AQ1141" s="70"/>
      <c r="AR1141" s="70"/>
      <c r="AS1141" s="70"/>
      <c r="AT1141" s="70"/>
    </row>
    <row r="1142" ht="15.0" customHeight="1">
      <c r="A1142" s="70"/>
      <c r="B1142" s="70"/>
      <c r="C1142" s="70"/>
      <c r="D1142" s="80"/>
      <c r="E1142" s="70"/>
      <c r="F1142" s="70"/>
      <c r="G1142" s="70"/>
      <c r="I1142" s="70"/>
      <c r="J1142" s="70"/>
      <c r="L1142" s="70"/>
      <c r="M1142" s="70"/>
      <c r="N1142" s="70"/>
      <c r="O1142" s="70"/>
      <c r="P1142" s="70"/>
      <c r="Q1142" s="70"/>
      <c r="R1142" s="70"/>
      <c r="S1142" s="70"/>
      <c r="T1142" s="91"/>
      <c r="U1142" s="91"/>
      <c r="V1142" s="70"/>
      <c r="W1142" s="58"/>
      <c r="X1142" s="58"/>
      <c r="Y1142" s="70"/>
      <c r="Z1142" s="83"/>
      <c r="AA1142" s="70"/>
      <c r="AB1142" s="70"/>
      <c r="AC1142" s="70"/>
      <c r="AE1142" s="70"/>
      <c r="AF1142" s="70"/>
      <c r="AG1142" s="70"/>
      <c r="AH1142" s="70"/>
      <c r="AI1142" s="70"/>
      <c r="AJ1142" s="70"/>
      <c r="AK1142" s="70"/>
      <c r="AL1142" s="70"/>
      <c r="AM1142" s="70"/>
      <c r="AN1142" s="70"/>
      <c r="AO1142" s="70"/>
      <c r="AP1142" s="70"/>
      <c r="AQ1142" s="70"/>
      <c r="AR1142" s="70"/>
      <c r="AS1142" s="70"/>
      <c r="AT1142" s="70"/>
    </row>
    <row r="1143" ht="15.0" customHeight="1">
      <c r="A1143" s="70"/>
      <c r="B1143" s="70"/>
      <c r="C1143" s="70"/>
      <c r="D1143" s="80"/>
      <c r="E1143" s="70"/>
      <c r="F1143" s="70"/>
      <c r="G1143" s="70"/>
      <c r="I1143" s="70"/>
      <c r="J1143" s="70"/>
      <c r="L1143" s="70"/>
      <c r="M1143" s="70"/>
      <c r="N1143" s="70"/>
      <c r="O1143" s="70"/>
      <c r="P1143" s="70"/>
      <c r="Q1143" s="70"/>
      <c r="R1143" s="70"/>
      <c r="S1143" s="70"/>
      <c r="T1143" s="91"/>
      <c r="U1143" s="91"/>
      <c r="V1143" s="70"/>
      <c r="W1143" s="58"/>
      <c r="X1143" s="58"/>
      <c r="Y1143" s="70"/>
      <c r="Z1143" s="83"/>
      <c r="AA1143" s="70"/>
      <c r="AB1143" s="70"/>
      <c r="AC1143" s="70"/>
      <c r="AE1143" s="70"/>
      <c r="AF1143" s="70"/>
      <c r="AG1143" s="70"/>
      <c r="AH1143" s="70"/>
      <c r="AI1143" s="70"/>
      <c r="AJ1143" s="70"/>
      <c r="AK1143" s="70"/>
      <c r="AL1143" s="70"/>
      <c r="AM1143" s="70"/>
      <c r="AN1143" s="70"/>
      <c r="AO1143" s="70"/>
      <c r="AP1143" s="70"/>
      <c r="AQ1143" s="70"/>
      <c r="AR1143" s="70"/>
      <c r="AS1143" s="70"/>
      <c r="AT1143" s="70"/>
    </row>
    <row r="1144" ht="15.0" customHeight="1">
      <c r="A1144" s="70"/>
      <c r="B1144" s="70"/>
      <c r="C1144" s="70"/>
      <c r="D1144" s="80"/>
      <c r="E1144" s="70"/>
      <c r="F1144" s="70"/>
      <c r="G1144" s="70"/>
      <c r="I1144" s="70"/>
      <c r="J1144" s="70"/>
      <c r="L1144" s="70"/>
      <c r="M1144" s="70"/>
      <c r="N1144" s="70"/>
      <c r="O1144" s="70"/>
      <c r="P1144" s="70"/>
      <c r="Q1144" s="70"/>
      <c r="R1144" s="70"/>
      <c r="S1144" s="70"/>
      <c r="T1144" s="91"/>
      <c r="U1144" s="91"/>
      <c r="V1144" s="70"/>
      <c r="W1144" s="58"/>
      <c r="X1144" s="58"/>
      <c r="Y1144" s="70"/>
      <c r="Z1144" s="83"/>
      <c r="AA1144" s="70"/>
      <c r="AB1144" s="70"/>
      <c r="AC1144" s="70"/>
      <c r="AE1144" s="70"/>
      <c r="AF1144" s="70"/>
      <c r="AG1144" s="70"/>
      <c r="AH1144" s="70"/>
      <c r="AI1144" s="70"/>
      <c r="AJ1144" s="70"/>
      <c r="AK1144" s="70"/>
      <c r="AL1144" s="70"/>
      <c r="AM1144" s="70"/>
      <c r="AN1144" s="70"/>
      <c r="AO1144" s="70"/>
      <c r="AP1144" s="70"/>
      <c r="AQ1144" s="70"/>
      <c r="AR1144" s="70"/>
      <c r="AS1144" s="70"/>
      <c r="AT1144" s="70"/>
    </row>
    <row r="1145" ht="15.0" customHeight="1">
      <c r="A1145" s="70"/>
      <c r="B1145" s="70"/>
      <c r="C1145" s="70"/>
      <c r="D1145" s="80"/>
      <c r="E1145" s="70"/>
      <c r="F1145" s="70"/>
      <c r="G1145" s="70"/>
      <c r="I1145" s="70"/>
      <c r="J1145" s="70"/>
      <c r="L1145" s="70"/>
      <c r="M1145" s="70"/>
      <c r="N1145" s="70"/>
      <c r="O1145" s="70"/>
      <c r="P1145" s="70"/>
      <c r="Q1145" s="70"/>
      <c r="R1145" s="70"/>
      <c r="S1145" s="70"/>
      <c r="T1145" s="91"/>
      <c r="U1145" s="91"/>
      <c r="V1145" s="70"/>
      <c r="W1145" s="58"/>
      <c r="X1145" s="58"/>
      <c r="Y1145" s="70"/>
      <c r="Z1145" s="83"/>
      <c r="AA1145" s="70"/>
      <c r="AB1145" s="70"/>
      <c r="AC1145" s="70"/>
      <c r="AE1145" s="70"/>
      <c r="AF1145" s="70"/>
      <c r="AG1145" s="70"/>
      <c r="AH1145" s="70"/>
      <c r="AI1145" s="70"/>
      <c r="AJ1145" s="70"/>
      <c r="AK1145" s="70"/>
      <c r="AL1145" s="70"/>
      <c r="AM1145" s="70"/>
      <c r="AN1145" s="70"/>
      <c r="AO1145" s="70"/>
      <c r="AP1145" s="70"/>
      <c r="AQ1145" s="70"/>
      <c r="AR1145" s="70"/>
      <c r="AS1145" s="70"/>
      <c r="AT1145" s="70"/>
    </row>
    <row r="1146" ht="15.0" customHeight="1">
      <c r="A1146" s="70"/>
      <c r="B1146" s="70"/>
      <c r="C1146" s="70"/>
      <c r="D1146" s="80"/>
      <c r="E1146" s="70"/>
      <c r="F1146" s="70"/>
      <c r="G1146" s="70"/>
      <c r="I1146" s="70"/>
      <c r="J1146" s="70"/>
      <c r="L1146" s="70"/>
      <c r="M1146" s="70"/>
      <c r="N1146" s="70"/>
      <c r="O1146" s="70"/>
      <c r="P1146" s="70"/>
      <c r="Q1146" s="70"/>
      <c r="R1146" s="70"/>
      <c r="S1146" s="70"/>
      <c r="T1146" s="91"/>
      <c r="U1146" s="91"/>
      <c r="V1146" s="70"/>
      <c r="W1146" s="58"/>
      <c r="X1146" s="58"/>
      <c r="Y1146" s="70"/>
      <c r="Z1146" s="83"/>
      <c r="AA1146" s="70"/>
      <c r="AB1146" s="70"/>
      <c r="AC1146" s="70"/>
      <c r="AE1146" s="70"/>
      <c r="AF1146" s="70"/>
      <c r="AG1146" s="70"/>
      <c r="AH1146" s="70"/>
      <c r="AI1146" s="70"/>
      <c r="AJ1146" s="70"/>
      <c r="AK1146" s="70"/>
      <c r="AL1146" s="70"/>
      <c r="AM1146" s="70"/>
      <c r="AN1146" s="70"/>
      <c r="AO1146" s="70"/>
      <c r="AP1146" s="70"/>
      <c r="AQ1146" s="70"/>
      <c r="AR1146" s="70"/>
      <c r="AS1146" s="70"/>
      <c r="AT1146" s="70"/>
    </row>
    <row r="1147" ht="15.0" customHeight="1">
      <c r="A1147" s="70"/>
      <c r="B1147" s="70"/>
      <c r="C1147" s="70"/>
      <c r="D1147" s="80"/>
      <c r="E1147" s="70"/>
      <c r="F1147" s="70"/>
      <c r="G1147" s="70"/>
      <c r="I1147" s="70"/>
      <c r="J1147" s="70"/>
      <c r="L1147" s="70"/>
      <c r="M1147" s="70"/>
      <c r="N1147" s="70"/>
      <c r="O1147" s="70"/>
      <c r="P1147" s="70"/>
      <c r="Q1147" s="70"/>
      <c r="R1147" s="70"/>
      <c r="S1147" s="70"/>
      <c r="T1147" s="91"/>
      <c r="U1147" s="91"/>
      <c r="V1147" s="70"/>
      <c r="W1147" s="58"/>
      <c r="X1147" s="58"/>
      <c r="Y1147" s="70"/>
      <c r="Z1147" s="83"/>
      <c r="AA1147" s="70"/>
      <c r="AB1147" s="70"/>
      <c r="AC1147" s="70"/>
      <c r="AE1147" s="70"/>
      <c r="AF1147" s="70"/>
      <c r="AG1147" s="70"/>
      <c r="AH1147" s="70"/>
      <c r="AI1147" s="70"/>
      <c r="AJ1147" s="70"/>
      <c r="AK1147" s="70"/>
      <c r="AL1147" s="70"/>
      <c r="AM1147" s="70"/>
      <c r="AN1147" s="70"/>
      <c r="AO1147" s="70"/>
      <c r="AP1147" s="70"/>
      <c r="AQ1147" s="70"/>
      <c r="AR1147" s="70"/>
      <c r="AS1147" s="70"/>
      <c r="AT1147" s="70"/>
    </row>
    <row r="1148" ht="15.0" customHeight="1">
      <c r="A1148" s="70"/>
      <c r="B1148" s="70"/>
      <c r="C1148" s="70"/>
      <c r="D1148" s="80"/>
      <c r="E1148" s="70"/>
      <c r="F1148" s="70"/>
      <c r="G1148" s="70"/>
      <c r="I1148" s="70"/>
      <c r="J1148" s="70"/>
      <c r="L1148" s="70"/>
      <c r="M1148" s="70"/>
      <c r="N1148" s="70"/>
      <c r="O1148" s="70"/>
      <c r="P1148" s="70"/>
      <c r="Q1148" s="70"/>
      <c r="R1148" s="70"/>
      <c r="S1148" s="70"/>
      <c r="T1148" s="91"/>
      <c r="U1148" s="91"/>
      <c r="V1148" s="70"/>
      <c r="W1148" s="58"/>
      <c r="X1148" s="58"/>
      <c r="Y1148" s="70"/>
      <c r="Z1148" s="83"/>
      <c r="AA1148" s="70"/>
      <c r="AB1148" s="70"/>
      <c r="AC1148" s="70"/>
      <c r="AE1148" s="70"/>
      <c r="AF1148" s="70"/>
      <c r="AG1148" s="70"/>
      <c r="AH1148" s="70"/>
      <c r="AI1148" s="70"/>
      <c r="AJ1148" s="70"/>
      <c r="AK1148" s="70"/>
      <c r="AL1148" s="70"/>
      <c r="AM1148" s="70"/>
      <c r="AN1148" s="70"/>
      <c r="AO1148" s="70"/>
      <c r="AP1148" s="70"/>
      <c r="AQ1148" s="70"/>
      <c r="AR1148" s="70"/>
      <c r="AS1148" s="70"/>
      <c r="AT1148" s="70"/>
    </row>
    <row r="1149" ht="15.0" customHeight="1">
      <c r="A1149" s="70"/>
      <c r="B1149" s="70"/>
      <c r="C1149" s="70"/>
      <c r="D1149" s="80"/>
      <c r="E1149" s="70"/>
      <c r="F1149" s="70"/>
      <c r="G1149" s="70"/>
      <c r="I1149" s="70"/>
      <c r="J1149" s="70"/>
      <c r="L1149" s="70"/>
      <c r="M1149" s="70"/>
      <c r="N1149" s="70"/>
      <c r="O1149" s="70"/>
      <c r="P1149" s="70"/>
      <c r="Q1149" s="70"/>
      <c r="R1149" s="70"/>
      <c r="S1149" s="70"/>
      <c r="T1149" s="91"/>
      <c r="U1149" s="91"/>
      <c r="V1149" s="70"/>
      <c r="W1149" s="58"/>
      <c r="X1149" s="58"/>
      <c r="Y1149" s="70"/>
      <c r="Z1149" s="83"/>
      <c r="AA1149" s="70"/>
      <c r="AB1149" s="70"/>
      <c r="AC1149" s="70"/>
      <c r="AE1149" s="70"/>
      <c r="AF1149" s="70"/>
      <c r="AG1149" s="70"/>
      <c r="AH1149" s="70"/>
      <c r="AI1149" s="70"/>
      <c r="AJ1149" s="70"/>
      <c r="AK1149" s="70"/>
      <c r="AL1149" s="70"/>
      <c r="AM1149" s="70"/>
      <c r="AN1149" s="70"/>
      <c r="AO1149" s="70"/>
      <c r="AP1149" s="70"/>
      <c r="AQ1149" s="70"/>
      <c r="AR1149" s="70"/>
      <c r="AS1149" s="70"/>
      <c r="AT1149" s="70"/>
    </row>
    <row r="1150" ht="15.0" customHeight="1">
      <c r="A1150" s="70"/>
      <c r="B1150" s="70"/>
      <c r="C1150" s="70"/>
      <c r="D1150" s="80"/>
      <c r="E1150" s="70"/>
      <c r="F1150" s="70"/>
      <c r="G1150" s="70"/>
      <c r="I1150" s="70"/>
      <c r="J1150" s="70"/>
      <c r="L1150" s="70"/>
      <c r="M1150" s="70"/>
      <c r="N1150" s="70"/>
      <c r="O1150" s="70"/>
      <c r="P1150" s="70"/>
      <c r="Q1150" s="70"/>
      <c r="R1150" s="70"/>
      <c r="S1150" s="70"/>
      <c r="T1150" s="91"/>
      <c r="U1150" s="91"/>
      <c r="V1150" s="70"/>
      <c r="W1150" s="58"/>
      <c r="X1150" s="58"/>
      <c r="Y1150" s="70"/>
      <c r="Z1150" s="83"/>
      <c r="AA1150" s="70"/>
      <c r="AB1150" s="70"/>
      <c r="AC1150" s="70"/>
      <c r="AE1150" s="70"/>
      <c r="AF1150" s="70"/>
      <c r="AG1150" s="70"/>
      <c r="AH1150" s="70"/>
      <c r="AI1150" s="70"/>
      <c r="AJ1150" s="70"/>
      <c r="AK1150" s="70"/>
      <c r="AL1150" s="70"/>
      <c r="AM1150" s="70"/>
      <c r="AN1150" s="70"/>
      <c r="AO1150" s="70"/>
      <c r="AP1150" s="70"/>
      <c r="AQ1150" s="70"/>
      <c r="AR1150" s="70"/>
      <c r="AS1150" s="70"/>
      <c r="AT1150" s="70"/>
    </row>
    <row r="1151" ht="15.0" customHeight="1">
      <c r="A1151" s="70"/>
      <c r="B1151" s="70"/>
      <c r="C1151" s="70"/>
      <c r="D1151" s="80"/>
      <c r="E1151" s="70"/>
      <c r="F1151" s="70"/>
      <c r="G1151" s="70"/>
      <c r="I1151" s="70"/>
      <c r="J1151" s="70"/>
      <c r="L1151" s="70"/>
      <c r="M1151" s="70"/>
      <c r="N1151" s="70"/>
      <c r="O1151" s="70"/>
      <c r="P1151" s="70"/>
      <c r="Q1151" s="70"/>
      <c r="R1151" s="70"/>
      <c r="S1151" s="70"/>
      <c r="T1151" s="91"/>
      <c r="U1151" s="91"/>
      <c r="V1151" s="70"/>
      <c r="W1151" s="58"/>
      <c r="X1151" s="58"/>
      <c r="Y1151" s="70"/>
      <c r="Z1151" s="83"/>
      <c r="AA1151" s="70"/>
      <c r="AB1151" s="70"/>
      <c r="AC1151" s="70"/>
      <c r="AE1151" s="70"/>
      <c r="AF1151" s="70"/>
      <c r="AG1151" s="70"/>
      <c r="AH1151" s="70"/>
      <c r="AI1151" s="70"/>
      <c r="AJ1151" s="70"/>
      <c r="AK1151" s="70"/>
      <c r="AL1151" s="70"/>
      <c r="AM1151" s="70"/>
      <c r="AN1151" s="70"/>
      <c r="AO1151" s="70"/>
      <c r="AP1151" s="70"/>
      <c r="AQ1151" s="70"/>
      <c r="AR1151" s="70"/>
      <c r="AS1151" s="70"/>
      <c r="AT1151" s="70"/>
    </row>
    <row r="1152" ht="15.0" customHeight="1">
      <c r="A1152" s="70"/>
      <c r="B1152" s="70"/>
      <c r="C1152" s="70"/>
      <c r="D1152" s="80"/>
      <c r="E1152" s="70"/>
      <c r="F1152" s="70"/>
      <c r="G1152" s="70"/>
      <c r="I1152" s="70"/>
      <c r="J1152" s="70"/>
      <c r="L1152" s="70"/>
      <c r="M1152" s="70"/>
      <c r="N1152" s="70"/>
      <c r="O1152" s="70"/>
      <c r="P1152" s="70"/>
      <c r="Q1152" s="70"/>
      <c r="R1152" s="70"/>
      <c r="S1152" s="70"/>
      <c r="T1152" s="91"/>
      <c r="U1152" s="91"/>
      <c r="V1152" s="70"/>
      <c r="W1152" s="58"/>
      <c r="X1152" s="58"/>
      <c r="Y1152" s="70"/>
      <c r="Z1152" s="83"/>
      <c r="AA1152" s="70"/>
      <c r="AB1152" s="70"/>
      <c r="AC1152" s="70"/>
      <c r="AE1152" s="70"/>
      <c r="AF1152" s="70"/>
      <c r="AG1152" s="70"/>
      <c r="AH1152" s="70"/>
      <c r="AI1152" s="70"/>
      <c r="AJ1152" s="70"/>
      <c r="AK1152" s="70"/>
      <c r="AL1152" s="70"/>
      <c r="AM1152" s="70"/>
      <c r="AN1152" s="70"/>
      <c r="AO1152" s="70"/>
      <c r="AP1152" s="70"/>
      <c r="AQ1152" s="70"/>
      <c r="AR1152" s="70"/>
      <c r="AS1152" s="70"/>
      <c r="AT1152" s="70"/>
    </row>
    <row r="1153" ht="15.0" customHeight="1">
      <c r="A1153" s="70"/>
      <c r="B1153" s="70"/>
      <c r="C1153" s="70"/>
      <c r="D1153" s="80"/>
      <c r="E1153" s="70"/>
      <c r="F1153" s="70"/>
      <c r="G1153" s="70"/>
      <c r="I1153" s="70"/>
      <c r="J1153" s="70"/>
      <c r="L1153" s="70"/>
      <c r="M1153" s="70"/>
      <c r="N1153" s="70"/>
      <c r="O1153" s="70"/>
      <c r="P1153" s="70"/>
      <c r="Q1153" s="70"/>
      <c r="R1153" s="70"/>
      <c r="S1153" s="70"/>
      <c r="T1153" s="91"/>
      <c r="U1153" s="91"/>
      <c r="V1153" s="70"/>
      <c r="W1153" s="58"/>
      <c r="X1153" s="58"/>
      <c r="Y1153" s="70"/>
      <c r="Z1153" s="83"/>
      <c r="AA1153" s="70"/>
      <c r="AB1153" s="70"/>
      <c r="AC1153" s="70"/>
      <c r="AE1153" s="70"/>
      <c r="AF1153" s="70"/>
      <c r="AG1153" s="70"/>
      <c r="AH1153" s="70"/>
      <c r="AI1153" s="70"/>
      <c r="AJ1153" s="70"/>
      <c r="AK1153" s="70"/>
      <c r="AL1153" s="70"/>
      <c r="AM1153" s="70"/>
      <c r="AN1153" s="70"/>
      <c r="AO1153" s="70"/>
      <c r="AP1153" s="70"/>
      <c r="AQ1153" s="70"/>
      <c r="AR1153" s="70"/>
      <c r="AS1153" s="70"/>
      <c r="AT1153" s="70"/>
    </row>
    <row r="1154" ht="15.0" customHeight="1">
      <c r="A1154" s="70"/>
      <c r="B1154" s="70"/>
      <c r="C1154" s="70"/>
      <c r="D1154" s="80"/>
      <c r="E1154" s="70"/>
      <c r="F1154" s="70"/>
      <c r="G1154" s="70"/>
      <c r="I1154" s="70"/>
      <c r="J1154" s="70"/>
      <c r="L1154" s="70"/>
      <c r="M1154" s="70"/>
      <c r="N1154" s="70"/>
      <c r="O1154" s="70"/>
      <c r="P1154" s="70"/>
      <c r="Q1154" s="70"/>
      <c r="R1154" s="70"/>
      <c r="S1154" s="70"/>
      <c r="T1154" s="91"/>
      <c r="U1154" s="91"/>
      <c r="V1154" s="70"/>
      <c r="W1154" s="58"/>
      <c r="X1154" s="58"/>
      <c r="Y1154" s="70"/>
      <c r="Z1154" s="83"/>
      <c r="AA1154" s="70"/>
      <c r="AB1154" s="70"/>
      <c r="AC1154" s="70"/>
      <c r="AE1154" s="70"/>
      <c r="AF1154" s="70"/>
      <c r="AG1154" s="70"/>
      <c r="AH1154" s="70"/>
      <c r="AI1154" s="70"/>
      <c r="AJ1154" s="70"/>
      <c r="AK1154" s="70"/>
      <c r="AL1154" s="70"/>
      <c r="AM1154" s="70"/>
      <c r="AN1154" s="70"/>
      <c r="AO1154" s="70"/>
      <c r="AP1154" s="70"/>
      <c r="AQ1154" s="70"/>
      <c r="AR1154" s="70"/>
      <c r="AS1154" s="70"/>
      <c r="AT1154" s="70"/>
    </row>
    <row r="1155" ht="15.0" customHeight="1">
      <c r="A1155" s="70"/>
      <c r="B1155" s="70"/>
      <c r="C1155" s="70"/>
      <c r="D1155" s="80"/>
      <c r="E1155" s="70"/>
      <c r="F1155" s="70"/>
      <c r="G1155" s="70"/>
      <c r="I1155" s="70"/>
      <c r="J1155" s="70"/>
      <c r="L1155" s="70"/>
      <c r="M1155" s="70"/>
      <c r="N1155" s="70"/>
      <c r="O1155" s="70"/>
      <c r="P1155" s="70"/>
      <c r="Q1155" s="70"/>
      <c r="R1155" s="70"/>
      <c r="S1155" s="70"/>
      <c r="T1155" s="91"/>
      <c r="U1155" s="91"/>
      <c r="V1155" s="70"/>
      <c r="W1155" s="58"/>
      <c r="X1155" s="58"/>
      <c r="Y1155" s="70"/>
      <c r="Z1155" s="83"/>
      <c r="AA1155" s="70"/>
      <c r="AB1155" s="70"/>
      <c r="AC1155" s="70"/>
      <c r="AE1155" s="70"/>
      <c r="AF1155" s="70"/>
      <c r="AG1155" s="70"/>
      <c r="AH1155" s="70"/>
      <c r="AI1155" s="70"/>
      <c r="AJ1155" s="70"/>
      <c r="AK1155" s="70"/>
      <c r="AL1155" s="70"/>
      <c r="AM1155" s="70"/>
      <c r="AN1155" s="70"/>
      <c r="AO1155" s="70"/>
      <c r="AP1155" s="70"/>
      <c r="AQ1155" s="70"/>
      <c r="AR1155" s="70"/>
      <c r="AS1155" s="70"/>
      <c r="AT1155" s="70"/>
    </row>
    <row r="1156" ht="15.0" customHeight="1">
      <c r="A1156" s="70"/>
      <c r="B1156" s="70"/>
      <c r="C1156" s="70"/>
      <c r="D1156" s="80"/>
      <c r="E1156" s="70"/>
      <c r="F1156" s="70"/>
      <c r="G1156" s="70"/>
      <c r="I1156" s="70"/>
      <c r="J1156" s="70"/>
      <c r="L1156" s="70"/>
      <c r="M1156" s="70"/>
      <c r="N1156" s="70"/>
      <c r="O1156" s="70"/>
      <c r="P1156" s="70"/>
      <c r="Q1156" s="70"/>
      <c r="R1156" s="70"/>
      <c r="S1156" s="70"/>
      <c r="T1156" s="91"/>
      <c r="U1156" s="91"/>
      <c r="V1156" s="70"/>
      <c r="W1156" s="58"/>
      <c r="X1156" s="58"/>
      <c r="Y1156" s="70"/>
      <c r="Z1156" s="83"/>
      <c r="AA1156" s="70"/>
      <c r="AB1156" s="70"/>
      <c r="AC1156" s="70"/>
      <c r="AE1156" s="70"/>
      <c r="AF1156" s="70"/>
      <c r="AG1156" s="70"/>
      <c r="AH1156" s="70"/>
      <c r="AI1156" s="70"/>
      <c r="AJ1156" s="70"/>
      <c r="AK1156" s="70"/>
      <c r="AL1156" s="70"/>
      <c r="AM1156" s="70"/>
      <c r="AN1156" s="70"/>
      <c r="AO1156" s="70"/>
      <c r="AP1156" s="70"/>
      <c r="AQ1156" s="70"/>
      <c r="AR1156" s="70"/>
      <c r="AS1156" s="70"/>
      <c r="AT1156" s="70"/>
    </row>
    <row r="1157" ht="15.0" customHeight="1">
      <c r="A1157" s="70"/>
      <c r="B1157" s="70"/>
      <c r="C1157" s="70"/>
      <c r="D1157" s="80"/>
      <c r="E1157" s="70"/>
      <c r="F1157" s="70"/>
      <c r="G1157" s="70"/>
      <c r="I1157" s="70"/>
      <c r="J1157" s="70"/>
      <c r="L1157" s="70"/>
      <c r="M1157" s="70"/>
      <c r="N1157" s="70"/>
      <c r="O1157" s="70"/>
      <c r="P1157" s="70"/>
      <c r="Q1157" s="70"/>
      <c r="R1157" s="70"/>
      <c r="S1157" s="70"/>
      <c r="T1157" s="91"/>
      <c r="U1157" s="91"/>
      <c r="V1157" s="70"/>
      <c r="W1157" s="58"/>
      <c r="X1157" s="58"/>
      <c r="Y1157" s="70"/>
      <c r="Z1157" s="83"/>
      <c r="AA1157" s="70"/>
      <c r="AB1157" s="70"/>
      <c r="AC1157" s="70"/>
      <c r="AE1157" s="70"/>
      <c r="AF1157" s="70"/>
      <c r="AG1157" s="70"/>
      <c r="AH1157" s="70"/>
      <c r="AI1157" s="70"/>
      <c r="AJ1157" s="70"/>
      <c r="AK1157" s="70"/>
      <c r="AL1157" s="70"/>
      <c r="AM1157" s="70"/>
      <c r="AN1157" s="70"/>
      <c r="AO1157" s="70"/>
      <c r="AP1157" s="70"/>
      <c r="AQ1157" s="70"/>
      <c r="AR1157" s="70"/>
      <c r="AS1157" s="70"/>
      <c r="AT1157" s="70"/>
    </row>
    <row r="1158" ht="15.0" customHeight="1">
      <c r="A1158" s="70"/>
      <c r="B1158" s="70"/>
      <c r="C1158" s="70"/>
      <c r="D1158" s="80"/>
      <c r="E1158" s="70"/>
      <c r="F1158" s="70"/>
      <c r="G1158" s="70"/>
      <c r="I1158" s="70"/>
      <c r="J1158" s="70"/>
      <c r="L1158" s="70"/>
      <c r="M1158" s="70"/>
      <c r="N1158" s="70"/>
      <c r="O1158" s="70"/>
      <c r="P1158" s="70"/>
      <c r="Q1158" s="70"/>
      <c r="R1158" s="70"/>
      <c r="S1158" s="70"/>
      <c r="T1158" s="91"/>
      <c r="U1158" s="91"/>
      <c r="V1158" s="70"/>
      <c r="W1158" s="58"/>
      <c r="X1158" s="58"/>
      <c r="Y1158" s="70"/>
      <c r="Z1158" s="83"/>
      <c r="AA1158" s="70"/>
      <c r="AB1158" s="70"/>
      <c r="AC1158" s="70"/>
      <c r="AE1158" s="70"/>
      <c r="AF1158" s="70"/>
      <c r="AG1158" s="70"/>
      <c r="AH1158" s="70"/>
      <c r="AI1158" s="70"/>
      <c r="AJ1158" s="70"/>
      <c r="AK1158" s="70"/>
      <c r="AL1158" s="70"/>
      <c r="AM1158" s="70"/>
      <c r="AN1158" s="70"/>
      <c r="AO1158" s="70"/>
      <c r="AP1158" s="70"/>
      <c r="AQ1158" s="70"/>
      <c r="AR1158" s="70"/>
      <c r="AS1158" s="70"/>
      <c r="AT1158" s="70"/>
    </row>
    <row r="1159" ht="15.0" customHeight="1">
      <c r="A1159" s="70"/>
      <c r="B1159" s="70"/>
      <c r="C1159" s="70"/>
      <c r="D1159" s="80"/>
      <c r="E1159" s="70"/>
      <c r="F1159" s="70"/>
      <c r="G1159" s="70"/>
      <c r="I1159" s="70"/>
      <c r="J1159" s="70"/>
      <c r="L1159" s="70"/>
      <c r="M1159" s="70"/>
      <c r="N1159" s="70"/>
      <c r="O1159" s="70"/>
      <c r="P1159" s="70"/>
      <c r="Q1159" s="70"/>
      <c r="R1159" s="70"/>
      <c r="S1159" s="70"/>
      <c r="T1159" s="91"/>
      <c r="U1159" s="91"/>
      <c r="V1159" s="70"/>
      <c r="W1159" s="58"/>
      <c r="X1159" s="58"/>
      <c r="Y1159" s="70"/>
      <c r="Z1159" s="83"/>
      <c r="AA1159" s="70"/>
      <c r="AB1159" s="70"/>
      <c r="AC1159" s="70"/>
      <c r="AE1159" s="70"/>
      <c r="AF1159" s="70"/>
      <c r="AG1159" s="70"/>
      <c r="AH1159" s="70"/>
      <c r="AI1159" s="70"/>
      <c r="AJ1159" s="70"/>
      <c r="AK1159" s="70"/>
      <c r="AL1159" s="70"/>
      <c r="AM1159" s="70"/>
      <c r="AN1159" s="70"/>
      <c r="AO1159" s="70"/>
      <c r="AP1159" s="70"/>
      <c r="AQ1159" s="70"/>
      <c r="AR1159" s="70"/>
      <c r="AS1159" s="70"/>
      <c r="AT1159" s="70"/>
    </row>
    <row r="1160" ht="15.0" customHeight="1">
      <c r="A1160" s="70"/>
      <c r="B1160" s="70"/>
      <c r="C1160" s="70"/>
      <c r="D1160" s="80"/>
      <c r="E1160" s="70"/>
      <c r="F1160" s="70"/>
      <c r="G1160" s="70"/>
      <c r="I1160" s="70"/>
      <c r="J1160" s="70"/>
      <c r="L1160" s="70"/>
      <c r="M1160" s="70"/>
      <c r="N1160" s="70"/>
      <c r="O1160" s="70"/>
      <c r="P1160" s="70"/>
      <c r="Q1160" s="70"/>
      <c r="R1160" s="70"/>
      <c r="S1160" s="70"/>
      <c r="T1160" s="91"/>
      <c r="U1160" s="91"/>
      <c r="V1160" s="70"/>
      <c r="W1160" s="58"/>
      <c r="X1160" s="58"/>
      <c r="Y1160" s="70"/>
      <c r="Z1160" s="83"/>
      <c r="AA1160" s="70"/>
      <c r="AB1160" s="70"/>
      <c r="AC1160" s="70"/>
      <c r="AE1160" s="70"/>
      <c r="AF1160" s="70"/>
      <c r="AG1160" s="70"/>
      <c r="AH1160" s="70"/>
      <c r="AI1160" s="70"/>
      <c r="AJ1160" s="70"/>
      <c r="AK1160" s="70"/>
      <c r="AL1160" s="70"/>
      <c r="AM1160" s="70"/>
      <c r="AN1160" s="70"/>
      <c r="AO1160" s="70"/>
      <c r="AP1160" s="70"/>
      <c r="AQ1160" s="70"/>
      <c r="AR1160" s="70"/>
      <c r="AS1160" s="70"/>
      <c r="AT1160" s="70"/>
    </row>
    <row r="1161" ht="15.0" customHeight="1">
      <c r="A1161" s="70"/>
      <c r="B1161" s="70"/>
      <c r="C1161" s="70"/>
      <c r="D1161" s="80"/>
      <c r="E1161" s="70"/>
      <c r="F1161" s="70"/>
      <c r="G1161" s="70"/>
      <c r="I1161" s="70"/>
      <c r="J1161" s="70"/>
      <c r="L1161" s="70"/>
      <c r="M1161" s="70"/>
      <c r="N1161" s="70"/>
      <c r="O1161" s="70"/>
      <c r="P1161" s="70"/>
      <c r="Q1161" s="70"/>
      <c r="R1161" s="70"/>
      <c r="S1161" s="70"/>
      <c r="T1161" s="91"/>
      <c r="U1161" s="91"/>
      <c r="V1161" s="70"/>
      <c r="W1161" s="58"/>
      <c r="X1161" s="58"/>
      <c r="Y1161" s="70"/>
      <c r="Z1161" s="83"/>
      <c r="AA1161" s="70"/>
      <c r="AB1161" s="70"/>
      <c r="AC1161" s="70"/>
      <c r="AE1161" s="70"/>
      <c r="AF1161" s="70"/>
      <c r="AG1161" s="70"/>
      <c r="AH1161" s="70"/>
      <c r="AI1161" s="70"/>
      <c r="AJ1161" s="70"/>
      <c r="AK1161" s="70"/>
      <c r="AL1161" s="70"/>
      <c r="AM1161" s="70"/>
      <c r="AN1161" s="70"/>
      <c r="AO1161" s="70"/>
      <c r="AP1161" s="70"/>
      <c r="AQ1161" s="70"/>
      <c r="AR1161" s="70"/>
      <c r="AS1161" s="70"/>
      <c r="AT1161" s="70"/>
    </row>
    <row r="1162" ht="15.0" customHeight="1">
      <c r="A1162" s="70"/>
      <c r="B1162" s="70"/>
      <c r="C1162" s="70"/>
      <c r="D1162" s="80"/>
      <c r="E1162" s="70"/>
      <c r="F1162" s="70"/>
      <c r="G1162" s="70"/>
      <c r="I1162" s="70"/>
      <c r="J1162" s="70"/>
      <c r="L1162" s="70"/>
      <c r="M1162" s="70"/>
      <c r="N1162" s="70"/>
      <c r="O1162" s="70"/>
      <c r="P1162" s="70"/>
      <c r="Q1162" s="70"/>
      <c r="R1162" s="70"/>
      <c r="S1162" s="70"/>
      <c r="T1162" s="91"/>
      <c r="U1162" s="91"/>
      <c r="V1162" s="70"/>
      <c r="W1162" s="58"/>
      <c r="X1162" s="58"/>
      <c r="Y1162" s="70"/>
      <c r="Z1162" s="83"/>
      <c r="AA1162" s="70"/>
      <c r="AB1162" s="70"/>
      <c r="AC1162" s="70"/>
      <c r="AE1162" s="70"/>
      <c r="AF1162" s="70"/>
      <c r="AG1162" s="70"/>
      <c r="AH1162" s="70"/>
      <c r="AI1162" s="70"/>
      <c r="AJ1162" s="70"/>
      <c r="AK1162" s="70"/>
      <c r="AL1162" s="70"/>
      <c r="AM1162" s="70"/>
      <c r="AN1162" s="70"/>
      <c r="AO1162" s="70"/>
      <c r="AP1162" s="70"/>
      <c r="AQ1162" s="70"/>
      <c r="AR1162" s="70"/>
      <c r="AS1162" s="70"/>
      <c r="AT1162" s="70"/>
    </row>
    <row r="1163" ht="15.0" customHeight="1">
      <c r="A1163" s="70"/>
      <c r="B1163" s="70"/>
      <c r="C1163" s="70"/>
      <c r="D1163" s="80"/>
      <c r="E1163" s="70"/>
      <c r="F1163" s="70"/>
      <c r="G1163" s="70"/>
      <c r="I1163" s="70"/>
      <c r="J1163" s="70"/>
      <c r="L1163" s="70"/>
      <c r="M1163" s="70"/>
      <c r="N1163" s="70"/>
      <c r="O1163" s="70"/>
      <c r="P1163" s="70"/>
      <c r="Q1163" s="70"/>
      <c r="R1163" s="70"/>
      <c r="S1163" s="70"/>
      <c r="T1163" s="91"/>
      <c r="U1163" s="91"/>
      <c r="V1163" s="70"/>
      <c r="W1163" s="58"/>
      <c r="X1163" s="58"/>
      <c r="Y1163" s="70"/>
      <c r="Z1163" s="83"/>
      <c r="AA1163" s="70"/>
      <c r="AB1163" s="70"/>
      <c r="AC1163" s="70"/>
      <c r="AE1163" s="70"/>
      <c r="AF1163" s="70"/>
      <c r="AG1163" s="70"/>
      <c r="AH1163" s="70"/>
      <c r="AI1163" s="70"/>
      <c r="AJ1163" s="70"/>
      <c r="AK1163" s="70"/>
      <c r="AL1163" s="70"/>
      <c r="AM1163" s="70"/>
      <c r="AN1163" s="70"/>
      <c r="AO1163" s="70"/>
      <c r="AP1163" s="70"/>
      <c r="AQ1163" s="70"/>
      <c r="AR1163" s="70"/>
      <c r="AS1163" s="70"/>
      <c r="AT1163" s="70"/>
    </row>
    <row r="1164" ht="15.0" customHeight="1">
      <c r="A1164" s="70"/>
      <c r="B1164" s="70"/>
      <c r="C1164" s="70"/>
      <c r="D1164" s="80"/>
      <c r="E1164" s="70"/>
      <c r="F1164" s="70"/>
      <c r="G1164" s="70"/>
      <c r="I1164" s="70"/>
      <c r="J1164" s="70"/>
      <c r="L1164" s="70"/>
      <c r="M1164" s="70"/>
      <c r="N1164" s="70"/>
      <c r="O1164" s="70"/>
      <c r="P1164" s="70"/>
      <c r="Q1164" s="70"/>
      <c r="R1164" s="70"/>
      <c r="S1164" s="70"/>
      <c r="T1164" s="91"/>
      <c r="U1164" s="91"/>
      <c r="V1164" s="70"/>
      <c r="W1164" s="58"/>
      <c r="X1164" s="58"/>
      <c r="Y1164" s="70"/>
      <c r="Z1164" s="83"/>
      <c r="AA1164" s="70"/>
      <c r="AB1164" s="70"/>
      <c r="AC1164" s="70"/>
      <c r="AE1164" s="70"/>
      <c r="AF1164" s="70"/>
      <c r="AG1164" s="70"/>
      <c r="AH1164" s="70"/>
      <c r="AI1164" s="70"/>
      <c r="AJ1164" s="70"/>
      <c r="AK1164" s="70"/>
      <c r="AL1164" s="70"/>
      <c r="AM1164" s="70"/>
      <c r="AN1164" s="70"/>
      <c r="AO1164" s="70"/>
      <c r="AP1164" s="70"/>
      <c r="AQ1164" s="70"/>
      <c r="AR1164" s="70"/>
      <c r="AS1164" s="70"/>
      <c r="AT1164" s="70"/>
    </row>
    <row r="1165" ht="15.0" customHeight="1">
      <c r="A1165" s="70"/>
      <c r="B1165" s="70"/>
      <c r="C1165" s="70"/>
      <c r="D1165" s="80"/>
      <c r="E1165" s="70"/>
      <c r="F1165" s="70"/>
      <c r="G1165" s="70"/>
      <c r="I1165" s="70"/>
      <c r="J1165" s="70"/>
      <c r="L1165" s="70"/>
      <c r="M1165" s="70"/>
      <c r="N1165" s="70"/>
      <c r="O1165" s="70"/>
      <c r="P1165" s="70"/>
      <c r="Q1165" s="70"/>
      <c r="R1165" s="70"/>
      <c r="S1165" s="70"/>
      <c r="T1165" s="91"/>
      <c r="U1165" s="91"/>
      <c r="V1165" s="70"/>
      <c r="W1165" s="58"/>
      <c r="X1165" s="58"/>
      <c r="Y1165" s="70"/>
      <c r="Z1165" s="83"/>
      <c r="AA1165" s="70"/>
      <c r="AB1165" s="70"/>
      <c r="AC1165" s="70"/>
      <c r="AE1165" s="70"/>
      <c r="AF1165" s="70"/>
      <c r="AG1165" s="70"/>
      <c r="AH1165" s="70"/>
      <c r="AI1165" s="70"/>
      <c r="AJ1165" s="70"/>
      <c r="AK1165" s="70"/>
      <c r="AL1165" s="70"/>
      <c r="AM1165" s="70"/>
      <c r="AN1165" s="70"/>
      <c r="AO1165" s="70"/>
      <c r="AP1165" s="70"/>
      <c r="AQ1165" s="70"/>
      <c r="AR1165" s="70"/>
      <c r="AS1165" s="70"/>
      <c r="AT1165" s="70"/>
    </row>
    <row r="1166" ht="15.0" customHeight="1">
      <c r="A1166" s="70"/>
      <c r="B1166" s="70"/>
      <c r="C1166" s="70"/>
      <c r="D1166" s="80"/>
      <c r="E1166" s="70"/>
      <c r="F1166" s="70"/>
      <c r="G1166" s="70"/>
      <c r="I1166" s="70"/>
      <c r="J1166" s="70"/>
      <c r="L1166" s="70"/>
      <c r="M1166" s="70"/>
      <c r="N1166" s="70"/>
      <c r="O1166" s="70"/>
      <c r="P1166" s="70"/>
      <c r="Q1166" s="70"/>
      <c r="R1166" s="70"/>
      <c r="S1166" s="70"/>
      <c r="T1166" s="91"/>
      <c r="U1166" s="91"/>
      <c r="V1166" s="70"/>
      <c r="W1166" s="58"/>
      <c r="X1166" s="58"/>
      <c r="Y1166" s="70"/>
      <c r="Z1166" s="83"/>
      <c r="AA1166" s="70"/>
      <c r="AB1166" s="70"/>
      <c r="AC1166" s="70"/>
      <c r="AE1166" s="70"/>
      <c r="AF1166" s="70"/>
      <c r="AG1166" s="70"/>
      <c r="AH1166" s="70"/>
      <c r="AI1166" s="70"/>
      <c r="AJ1166" s="70"/>
      <c r="AK1166" s="70"/>
      <c r="AL1166" s="70"/>
      <c r="AM1166" s="70"/>
      <c r="AN1166" s="70"/>
      <c r="AO1166" s="70"/>
      <c r="AP1166" s="70"/>
      <c r="AQ1166" s="70"/>
      <c r="AR1166" s="70"/>
      <c r="AS1166" s="70"/>
      <c r="AT1166" s="70"/>
    </row>
    <row r="1167" ht="15.0" customHeight="1">
      <c r="A1167" s="70"/>
      <c r="B1167" s="70"/>
      <c r="C1167" s="70"/>
      <c r="D1167" s="80"/>
      <c r="E1167" s="70"/>
      <c r="F1167" s="70"/>
      <c r="G1167" s="70"/>
      <c r="I1167" s="70"/>
      <c r="J1167" s="70"/>
      <c r="L1167" s="70"/>
      <c r="M1167" s="70"/>
      <c r="N1167" s="70"/>
      <c r="O1167" s="70"/>
      <c r="P1167" s="70"/>
      <c r="Q1167" s="70"/>
      <c r="R1167" s="70"/>
      <c r="S1167" s="70"/>
      <c r="T1167" s="91"/>
      <c r="U1167" s="91"/>
      <c r="V1167" s="70"/>
      <c r="W1167" s="58"/>
      <c r="X1167" s="58"/>
      <c r="Y1167" s="70"/>
      <c r="Z1167" s="83"/>
      <c r="AA1167" s="70"/>
      <c r="AB1167" s="70"/>
      <c r="AC1167" s="70"/>
      <c r="AE1167" s="70"/>
      <c r="AF1167" s="70"/>
      <c r="AG1167" s="70"/>
      <c r="AH1167" s="70"/>
      <c r="AI1167" s="70"/>
      <c r="AJ1167" s="70"/>
      <c r="AK1167" s="70"/>
      <c r="AL1167" s="70"/>
      <c r="AM1167" s="70"/>
      <c r="AN1167" s="70"/>
      <c r="AO1167" s="70"/>
      <c r="AP1167" s="70"/>
      <c r="AQ1167" s="70"/>
      <c r="AR1167" s="70"/>
      <c r="AS1167" s="70"/>
      <c r="AT1167" s="70"/>
    </row>
    <row r="1168" ht="15.0" customHeight="1">
      <c r="A1168" s="70"/>
      <c r="B1168" s="70"/>
      <c r="C1168" s="70"/>
      <c r="D1168" s="80"/>
      <c r="E1168" s="70"/>
      <c r="F1168" s="70"/>
      <c r="G1168" s="70"/>
      <c r="I1168" s="70"/>
      <c r="J1168" s="70"/>
      <c r="L1168" s="70"/>
      <c r="M1168" s="70"/>
      <c r="N1168" s="70"/>
      <c r="O1168" s="70"/>
      <c r="P1168" s="70"/>
      <c r="Q1168" s="70"/>
      <c r="R1168" s="70"/>
      <c r="S1168" s="70"/>
      <c r="T1168" s="91"/>
      <c r="U1168" s="91"/>
      <c r="V1168" s="70"/>
      <c r="W1168" s="58"/>
      <c r="X1168" s="58"/>
      <c r="Y1168" s="70"/>
      <c r="Z1168" s="83"/>
      <c r="AA1168" s="70"/>
      <c r="AB1168" s="70"/>
      <c r="AC1168" s="70"/>
      <c r="AE1168" s="70"/>
      <c r="AF1168" s="70"/>
      <c r="AG1168" s="70"/>
      <c r="AH1168" s="70"/>
      <c r="AI1168" s="70"/>
      <c r="AJ1168" s="70"/>
      <c r="AK1168" s="70"/>
      <c r="AL1168" s="70"/>
      <c r="AM1168" s="70"/>
      <c r="AN1168" s="70"/>
      <c r="AO1168" s="70"/>
      <c r="AP1168" s="70"/>
      <c r="AQ1168" s="70"/>
      <c r="AR1168" s="70"/>
      <c r="AS1168" s="70"/>
      <c r="AT1168" s="70"/>
    </row>
    <row r="1169" ht="15.0" customHeight="1">
      <c r="A1169" s="70"/>
      <c r="B1169" s="70"/>
      <c r="C1169" s="70"/>
      <c r="D1169" s="80"/>
      <c r="E1169" s="70"/>
      <c r="F1169" s="70"/>
      <c r="G1169" s="70"/>
      <c r="I1169" s="70"/>
      <c r="J1169" s="70"/>
      <c r="L1169" s="70"/>
      <c r="M1169" s="70"/>
      <c r="N1169" s="70"/>
      <c r="O1169" s="70"/>
      <c r="P1169" s="70"/>
      <c r="Q1169" s="70"/>
      <c r="R1169" s="70"/>
      <c r="S1169" s="70"/>
      <c r="T1169" s="91"/>
      <c r="U1169" s="91"/>
      <c r="V1169" s="70"/>
      <c r="W1169" s="58"/>
      <c r="X1169" s="58"/>
      <c r="Y1169" s="70"/>
      <c r="Z1169" s="83"/>
      <c r="AA1169" s="70"/>
      <c r="AB1169" s="70"/>
      <c r="AC1169" s="70"/>
      <c r="AE1169" s="70"/>
      <c r="AF1169" s="70"/>
      <c r="AG1169" s="70"/>
      <c r="AH1169" s="70"/>
      <c r="AI1169" s="70"/>
      <c r="AJ1169" s="70"/>
      <c r="AK1169" s="70"/>
      <c r="AL1169" s="70"/>
      <c r="AM1169" s="70"/>
      <c r="AN1169" s="70"/>
      <c r="AO1169" s="70"/>
      <c r="AP1169" s="70"/>
      <c r="AQ1169" s="70"/>
      <c r="AR1169" s="70"/>
      <c r="AS1169" s="70"/>
      <c r="AT1169" s="70"/>
    </row>
    <row r="1170" ht="15.0" customHeight="1">
      <c r="A1170" s="70"/>
      <c r="B1170" s="70"/>
      <c r="C1170" s="70"/>
      <c r="D1170" s="80"/>
      <c r="E1170" s="70"/>
      <c r="F1170" s="70"/>
      <c r="G1170" s="70"/>
      <c r="I1170" s="70"/>
      <c r="J1170" s="70"/>
      <c r="L1170" s="70"/>
      <c r="M1170" s="70"/>
      <c r="N1170" s="70"/>
      <c r="O1170" s="70"/>
      <c r="P1170" s="70"/>
      <c r="Q1170" s="70"/>
      <c r="R1170" s="70"/>
      <c r="S1170" s="70"/>
      <c r="T1170" s="91"/>
      <c r="U1170" s="91"/>
      <c r="V1170" s="70"/>
      <c r="W1170" s="58"/>
      <c r="X1170" s="58"/>
      <c r="Y1170" s="70"/>
      <c r="Z1170" s="83"/>
      <c r="AA1170" s="70"/>
      <c r="AB1170" s="70"/>
      <c r="AC1170" s="70"/>
      <c r="AE1170" s="70"/>
      <c r="AF1170" s="70"/>
      <c r="AG1170" s="70"/>
      <c r="AH1170" s="70"/>
      <c r="AI1170" s="70"/>
      <c r="AJ1170" s="70"/>
      <c r="AK1170" s="70"/>
      <c r="AL1170" s="70"/>
      <c r="AM1170" s="70"/>
      <c r="AN1170" s="70"/>
      <c r="AO1170" s="70"/>
      <c r="AP1170" s="70"/>
      <c r="AQ1170" s="70"/>
      <c r="AR1170" s="70"/>
      <c r="AS1170" s="70"/>
      <c r="AT1170" s="70"/>
    </row>
    <row r="1171" ht="15.0" customHeight="1">
      <c r="A1171" s="70"/>
      <c r="B1171" s="70"/>
      <c r="C1171" s="70"/>
      <c r="D1171" s="80"/>
      <c r="E1171" s="70"/>
      <c r="F1171" s="70"/>
      <c r="G1171" s="70"/>
      <c r="I1171" s="70"/>
      <c r="J1171" s="70"/>
      <c r="L1171" s="70"/>
      <c r="M1171" s="70"/>
      <c r="N1171" s="70"/>
      <c r="O1171" s="70"/>
      <c r="P1171" s="70"/>
      <c r="Q1171" s="70"/>
      <c r="R1171" s="70"/>
      <c r="S1171" s="70"/>
      <c r="T1171" s="91"/>
      <c r="U1171" s="91"/>
      <c r="V1171" s="70"/>
      <c r="W1171" s="58"/>
      <c r="X1171" s="58"/>
      <c r="Y1171" s="70"/>
      <c r="Z1171" s="83"/>
      <c r="AA1171" s="70"/>
      <c r="AB1171" s="70"/>
      <c r="AC1171" s="70"/>
      <c r="AE1171" s="70"/>
      <c r="AF1171" s="70"/>
      <c r="AG1171" s="70"/>
      <c r="AH1171" s="70"/>
      <c r="AI1171" s="70"/>
      <c r="AJ1171" s="70"/>
      <c r="AK1171" s="70"/>
      <c r="AL1171" s="70"/>
      <c r="AM1171" s="70"/>
      <c r="AN1171" s="70"/>
      <c r="AO1171" s="70"/>
      <c r="AP1171" s="70"/>
      <c r="AQ1171" s="70"/>
      <c r="AR1171" s="70"/>
      <c r="AS1171" s="70"/>
      <c r="AT1171" s="70"/>
    </row>
    <row r="1172" ht="15.0" customHeight="1">
      <c r="A1172" s="70"/>
      <c r="B1172" s="70"/>
      <c r="C1172" s="70"/>
      <c r="D1172" s="80"/>
      <c r="E1172" s="70"/>
      <c r="F1172" s="70"/>
      <c r="G1172" s="70"/>
      <c r="I1172" s="70"/>
      <c r="J1172" s="70"/>
      <c r="L1172" s="70"/>
      <c r="M1172" s="70"/>
      <c r="N1172" s="70"/>
      <c r="O1172" s="70"/>
      <c r="P1172" s="70"/>
      <c r="Q1172" s="70"/>
      <c r="R1172" s="70"/>
      <c r="S1172" s="70"/>
      <c r="T1172" s="91"/>
      <c r="U1172" s="91"/>
      <c r="V1172" s="70"/>
      <c r="W1172" s="58"/>
      <c r="X1172" s="58"/>
      <c r="Y1172" s="70"/>
      <c r="Z1172" s="83"/>
      <c r="AA1172" s="70"/>
      <c r="AB1172" s="70"/>
      <c r="AC1172" s="70"/>
      <c r="AE1172" s="70"/>
      <c r="AF1172" s="70"/>
      <c r="AG1172" s="70"/>
      <c r="AH1172" s="70"/>
      <c r="AI1172" s="70"/>
      <c r="AJ1172" s="70"/>
      <c r="AK1172" s="70"/>
      <c r="AL1172" s="70"/>
      <c r="AM1172" s="70"/>
      <c r="AN1172" s="70"/>
      <c r="AO1172" s="70"/>
      <c r="AP1172" s="70"/>
      <c r="AQ1172" s="70"/>
      <c r="AR1172" s="70"/>
      <c r="AS1172" s="70"/>
      <c r="AT1172" s="70"/>
    </row>
    <row r="1173" ht="15.0" customHeight="1">
      <c r="A1173" s="70"/>
      <c r="B1173" s="70"/>
      <c r="C1173" s="70"/>
      <c r="D1173" s="80"/>
      <c r="E1173" s="70"/>
      <c r="F1173" s="70"/>
      <c r="G1173" s="70"/>
      <c r="I1173" s="70"/>
      <c r="J1173" s="70"/>
      <c r="L1173" s="70"/>
      <c r="M1173" s="70"/>
      <c r="N1173" s="70"/>
      <c r="O1173" s="70"/>
      <c r="P1173" s="70"/>
      <c r="Q1173" s="70"/>
      <c r="R1173" s="70"/>
      <c r="S1173" s="70"/>
      <c r="T1173" s="91"/>
      <c r="U1173" s="91"/>
      <c r="V1173" s="70"/>
      <c r="W1173" s="58"/>
      <c r="X1173" s="58"/>
      <c r="Y1173" s="70"/>
      <c r="Z1173" s="83"/>
      <c r="AA1173" s="70"/>
      <c r="AB1173" s="70"/>
      <c r="AC1173" s="70"/>
      <c r="AE1173" s="70"/>
      <c r="AF1173" s="70"/>
      <c r="AG1173" s="70"/>
      <c r="AH1173" s="70"/>
      <c r="AI1173" s="70"/>
      <c r="AJ1173" s="70"/>
      <c r="AK1173" s="70"/>
      <c r="AL1173" s="70"/>
      <c r="AM1173" s="70"/>
      <c r="AN1173" s="70"/>
      <c r="AO1173" s="70"/>
      <c r="AP1173" s="70"/>
      <c r="AQ1173" s="70"/>
      <c r="AR1173" s="70"/>
      <c r="AS1173" s="70"/>
      <c r="AT1173" s="70"/>
    </row>
    <row r="1174" ht="15.0" customHeight="1">
      <c r="A1174" s="70"/>
      <c r="B1174" s="70"/>
      <c r="C1174" s="70"/>
      <c r="D1174" s="80"/>
      <c r="E1174" s="70"/>
      <c r="F1174" s="70"/>
      <c r="G1174" s="70"/>
      <c r="I1174" s="70"/>
      <c r="J1174" s="70"/>
      <c r="L1174" s="70"/>
      <c r="M1174" s="70"/>
      <c r="N1174" s="70"/>
      <c r="O1174" s="70"/>
      <c r="P1174" s="70"/>
      <c r="Q1174" s="70"/>
      <c r="R1174" s="70"/>
      <c r="S1174" s="70"/>
      <c r="T1174" s="91"/>
      <c r="U1174" s="91"/>
      <c r="V1174" s="70"/>
      <c r="W1174" s="58"/>
      <c r="X1174" s="58"/>
      <c r="Y1174" s="70"/>
      <c r="Z1174" s="83"/>
      <c r="AA1174" s="70"/>
      <c r="AB1174" s="70"/>
      <c r="AC1174" s="70"/>
      <c r="AE1174" s="70"/>
      <c r="AF1174" s="70"/>
      <c r="AG1174" s="70"/>
      <c r="AH1174" s="70"/>
      <c r="AI1174" s="70"/>
      <c r="AJ1174" s="70"/>
      <c r="AK1174" s="70"/>
      <c r="AL1174" s="70"/>
      <c r="AM1174" s="70"/>
      <c r="AN1174" s="70"/>
      <c r="AO1174" s="70"/>
      <c r="AP1174" s="70"/>
      <c r="AQ1174" s="70"/>
      <c r="AR1174" s="70"/>
      <c r="AS1174" s="70"/>
      <c r="AT1174" s="70"/>
    </row>
  </sheetData>
  <dataValidations>
    <dataValidation type="list" allowBlank="1" showErrorMessage="1" sqref="G24:G1174">
      <formula1>OFFSET(Subcat!$A29,0,0,1,COUNTA(Subcat!29:29))</formula1>
    </dataValidation>
    <dataValidation type="custom" allowBlank="1" showInputMessage="1" showErrorMessage="1" prompt="Please enter 80 characters or less." sqref="C3:C1174">
      <formula1>LTE(LEN(C3),(80))</formula1>
    </dataValidation>
    <dataValidation type="list" allowBlank="1" showErrorMessage="1" sqref="G3">
      <formula1>'Dept Cat Subcat Taxonomy'!$C:$C</formula1>
    </dataValidation>
    <dataValidation type="custom" allowBlank="1" showInputMessage="1" showErrorMessage="1" prompt="Please enter 25 characters or less." sqref="Q3:S1174">
      <formula1>LTE(LEN(Q3),(25))</formula1>
    </dataValidation>
    <dataValidation type="decimal" allowBlank="1" showInputMessage="1" showErrorMessage="1" prompt="Please enter a whole number between 0 and 999999999999999" sqref="T3:T1174">
      <formula1>0.0</formula1>
      <formula2>9.99999999999999E14</formula2>
    </dataValidation>
    <dataValidation type="list" allowBlank="1" showInputMessage="1" showErrorMessage="1" prompt="Please select from the predefines colors" sqref="L3:L1174">
      <formula1>Colors</formula1>
    </dataValidation>
    <dataValidation type="list" allowBlank="1" showErrorMessage="1" sqref="G18:G20">
      <formula1>OFFSET(Subcat!$A21,0,0,1,COUNTA(Subcat!21:21))</formula1>
    </dataValidation>
    <dataValidation type="decimal" allowBlank="1" showInputMessage="1" showErrorMessage="1" prompt="Please enter a whole number between 0 and 999999" sqref="U3:U1174">
      <formula1>0.0</formula1>
      <formula2>999999.0</formula2>
    </dataValidation>
    <dataValidation type="custom" allowBlank="1" showInputMessage="1" showErrorMessage="1" prompt="Please enter 1500 characters or less." sqref="D3:D1174">
      <formula1>LTE(LEN(D3),(1500))</formula1>
    </dataValidation>
    <dataValidation type="list" allowBlank="1" showErrorMessage="1" sqref="F3:F1174">
      <formula1>'Dept Cat Subcat Taxonomy'!$B:$B</formula1>
    </dataValidation>
    <dataValidation type="list" allowBlank="1" showInputMessage="1" showErrorMessage="1" prompt="Please select from the predefined departments" sqref="E3:E1174">
      <formula1>Options!$E$1:$E$6</formula1>
    </dataValidation>
    <dataValidation type="list" allowBlank="1" showErrorMessage="1" sqref="G5:G16">
      <formula1>OFFSET(Subcat!$A5,0,0,1,COUNTA(Subcat!5:5))</formula1>
    </dataValidation>
    <dataValidation type="list" allowBlank="1" showErrorMessage="1" sqref="J3:J1174">
      <formula1>"NWT,Like New,Good,Fair"</formula1>
    </dataValidation>
    <dataValidation type="list" allowBlank="1" showInputMessage="1" prompt="Please select from dropdown or leave blank for no shipping discount" sqref="V3:V1174">
      <formula1>"4.99,FREE"</formula1>
    </dataValidation>
    <dataValidation type="custom" allowBlank="1" showInputMessage="1" showErrorMessage="1" prompt="Wrong Time Format - Please use the following format: _x000a_MM/DD/YY HH:MM AM/PM_x000a__x000a_Please use only 30 min increments" sqref="Z3:Z229">
      <formula1>AND(ISNUMBER(Z3),CELL("format",Z3)="D4",MOD(LEFT(RIGHT(TEXT(Z3,"MM/DD/YY hh:mm AM/PM"),5),2),30)=0)</formula1>
    </dataValidation>
    <dataValidation type="custom" allowBlank="1" showInputMessage="1" showErrorMessage="1" prompt="Wrong Time Format - Please use the following format: _x000a_MM/DD/YY HH:MM AM/PM" sqref="Z230:Z1174">
      <formula1>AND(ISNUMBER(Z230),CELL("format",Z230)="D4",MOD(LEFT(RIGHT(TEXT(Z230,"MM/DD/YY hh:mm AM/PM"),5),2),30)=0)</formula1>
    </dataValidation>
    <dataValidation type="custom" allowBlank="1" showInputMessage="1" showErrorMessage="1" prompt="Please enter 14 characters or less." sqref="B3:B1174">
      <formula1>LTE(LEN(B3),(14))</formula1>
    </dataValidation>
    <dataValidation type="list" allowBlank="1" showInputMessage="1" showErrorMessage="1" prompt="Please select Y for Yes if you are updating an existing listing's SKU" sqref="AC3:AC1174">
      <formula1>"Y"</formula1>
    </dataValidation>
    <dataValidation type="custom" allowBlank="1" showInputMessage="1" showErrorMessage="1" prompt="Please enter 400 characters or less." sqref="AE3:AT1174">
      <formula1>LTE(LEN(AE3),(400))</formula1>
    </dataValidation>
    <dataValidation type="list" allowBlank="1" showErrorMessage="1" sqref="G21:G23">
      <formula1>OFFSET(Subcat!$A25,0,0,1,COUNTA(Subcat!25:25))</formula1>
    </dataValidation>
    <dataValidation type="list" allowBlank="1" showInputMessage="1" showErrorMessage="1" prompt="Please try again. Only Size is a valid Attribute at this time." sqref="P3:P1174">
      <formula1>"Size"</formula1>
    </dataValidation>
    <dataValidation type="list" allowBlank="1" showInputMessage="1" showErrorMessage="1" prompt="Please select Y for Yes or N for No" sqref="AB3:AB1174">
      <formula1>"Y,N"</formula1>
    </dataValidation>
    <dataValidation type="list" allowBlank="1" showErrorMessage="1" sqref="Y3:Y1174">
      <formula1>"For Sale,Not For Sale,Drops,Draft"</formula1>
    </dataValidation>
    <dataValidation type="custom" allowBlank="1" showInputMessage="1" showErrorMessage="1" prompt="Please enter 50 characters or less." sqref="N3:N1174">
      <formula1>LTE(LEN(N3),(15))</formula1>
    </dataValidation>
    <dataValidation type="list" allowBlank="1" showInputMessage="1" showErrorMessage="1" prompt="Please select from the predefined colors" sqref="M3:M1174">
      <formula1>Colors</formula1>
    </dataValidation>
    <dataValidation type="custom" allowBlank="1" showInputMessage="1" showErrorMessage="1" prompt="Please enter 500 characters or less." sqref="A3:A1174 AA3:AA1174">
      <formula1>LTE(LEN(A3),(500))</formula1>
    </dataValidation>
    <dataValidation type="list" allowBlank="1" showErrorMessage="1" sqref="G4">
      <formula1>OFFSET(Subcat!$A3,0,0,1,COUNTA(Subcat!3:3))</formula1>
    </dataValidation>
    <dataValidation type="list" allowBlank="1" showInputMessage="1" prompt="Click and enter a value from range" sqref="I3:I1174">
      <formula1>'Size Taxonomy'!$B:$B</formula1>
    </dataValidation>
    <dataValidation type="list" allowBlank="1" showErrorMessage="1" sqref="G17">
      <formula1>OFFSET(Subcat!$A18,0,0,1,COUNTA(Subcat!18:18))</formula1>
    </dataValidation>
    <dataValidation type="list" allowBlank="1" showInputMessage="1" showErrorMessage="1" prompt="Please select Parent for the first size in your listing and Child for all subsequent sizes" sqref="O3:O1174">
      <formula1>"Parent,Child"</formula1>
    </dataValidation>
  </dataValidations>
  <hyperlinks>
    <hyperlink r:id="rId1" ref="AE3"/>
    <hyperlink r:id="rId2" ref="AE4"/>
    <hyperlink r:id="rId3" ref="AE5"/>
    <hyperlink r:id="rId4" ref="AE6"/>
    <hyperlink r:id="rId5" ref="AE7"/>
    <hyperlink r:id="rId6" ref="AE8"/>
    <hyperlink r:id="rId7" ref="AE9"/>
    <hyperlink r:id="rId8" ref="AE10"/>
    <hyperlink r:id="rId9" ref="AE11"/>
    <hyperlink r:id="rId10" ref="AF11"/>
    <hyperlink r:id="rId11" ref="AE12"/>
    <hyperlink r:id="rId12" ref="AE13"/>
    <hyperlink r:id="rId13" ref="AE14"/>
    <hyperlink r:id="rId14" ref="AE15"/>
    <hyperlink r:id="rId15" ref="AE16"/>
    <hyperlink r:id="rId16" ref="AE17"/>
    <hyperlink r:id="rId17" ref="AE18"/>
    <hyperlink r:id="rId18" ref="AE19"/>
    <hyperlink r:id="rId19" ref="AE20"/>
    <hyperlink r:id="rId20" ref="AE21"/>
    <hyperlink r:id="rId21" ref="AE22"/>
    <hyperlink r:id="rId22" ref="AE23"/>
    <hyperlink r:id="rId23" ref="AE24"/>
    <hyperlink r:id="rId24" ref="AE25"/>
    <hyperlink r:id="rId25" ref="AE26"/>
    <hyperlink r:id="rId26" ref="AE27"/>
    <hyperlink r:id="rId27" ref="AE28"/>
    <hyperlink r:id="rId28" ref="AE29"/>
  </hyperlinks>
  <printOptions/>
  <pageMargins bottom="0.75" footer="0.0" header="0.0" left="0.7" right="0.7" top="0.75"/>
  <pageSetup orientation="landscape"/>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c r="A1" s="58" t="s">
        <v>2957</v>
      </c>
      <c r="B1" s="58" t="s">
        <v>343</v>
      </c>
    </row>
    <row r="2" ht="12.75" customHeight="1">
      <c r="A2" s="58" t="s">
        <v>3012</v>
      </c>
      <c r="B2" s="58" t="s">
        <v>343</v>
      </c>
    </row>
    <row r="3" ht="12.75" customHeight="1">
      <c r="A3" s="58" t="s">
        <v>3118</v>
      </c>
      <c r="B3" s="58" t="s">
        <v>343</v>
      </c>
    </row>
    <row r="4" ht="12.75" customHeight="1">
      <c r="A4" s="58" t="s">
        <v>3032</v>
      </c>
      <c r="B4" s="58" t="s">
        <v>343</v>
      </c>
    </row>
    <row r="5" ht="12.75" customHeight="1">
      <c r="A5" s="58" t="s">
        <v>3119</v>
      </c>
      <c r="B5" s="58" t="s">
        <v>343</v>
      </c>
    </row>
    <row r="6" ht="12.75" customHeight="1">
      <c r="A6" s="58" t="s">
        <v>2969</v>
      </c>
      <c r="B6" s="58" t="s">
        <v>343</v>
      </c>
    </row>
    <row r="7" ht="12.75" customHeight="1">
      <c r="A7" s="58" t="s">
        <v>3120</v>
      </c>
      <c r="B7" s="58" t="s">
        <v>343</v>
      </c>
    </row>
    <row r="8" ht="12.75" customHeight="1">
      <c r="A8" s="58" t="s">
        <v>3121</v>
      </c>
      <c r="B8" s="58" t="s">
        <v>343</v>
      </c>
    </row>
    <row r="9" ht="12.75" customHeight="1">
      <c r="A9" s="58" t="s">
        <v>3122</v>
      </c>
      <c r="B9" s="58" t="s">
        <v>343</v>
      </c>
    </row>
    <row r="10" ht="12.75" customHeight="1">
      <c r="A10" s="58" t="s">
        <v>2958</v>
      </c>
      <c r="B10" s="58" t="s">
        <v>343</v>
      </c>
    </row>
    <row r="11" ht="12.75" customHeight="1">
      <c r="A11" s="58" t="s">
        <v>3077</v>
      </c>
      <c r="B11" s="58" t="s">
        <v>343</v>
      </c>
    </row>
    <row r="12" ht="12.75" customHeight="1">
      <c r="A12" s="58" t="s">
        <v>3027</v>
      </c>
      <c r="B12" s="58" t="s">
        <v>343</v>
      </c>
    </row>
    <row r="13" ht="12.75" customHeight="1">
      <c r="A13" s="58" t="s">
        <v>3123</v>
      </c>
      <c r="B13" s="58" t="s">
        <v>343</v>
      </c>
    </row>
    <row r="14" ht="12.75" customHeight="1">
      <c r="A14" s="58" t="s">
        <v>3038</v>
      </c>
      <c r="B14" s="58" t="s">
        <v>343</v>
      </c>
    </row>
    <row r="15" ht="12.75" customHeight="1">
      <c r="A15" s="58" t="s">
        <v>3124</v>
      </c>
      <c r="B15" s="58" t="s">
        <v>343</v>
      </c>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6" width="11.5"/>
    <col customWidth="1" min="7" max="26" width="14.5"/>
  </cols>
  <sheetData>
    <row r="1" ht="12.75" customHeight="1">
      <c r="A1" s="70" t="str">
        <f>ARRAY_CONSTRAIN(ARRAYFORMULA(IFERROR(TRANSPOSE(_xlfn.UNIQUE(_xlfn._xlws.FILTER(Table_1[Category],Table_1[Department]='Listing Details'!E3))),"")), 1, 1)</f>
        <v>#ERROR!</v>
      </c>
    </row>
    <row r="2" ht="12.75" customHeight="1">
      <c r="A2" s="70" t="str">
        <f>ARRAY_CONSTRAIN(ARRAYFORMULA(IFERROR(TRANSPOSE(_xlfn.UNIQUE(_xlfn._xlws.FILTER(Table_1[Category],Table_1[Department]='Listing Details'!E4))),"")), 1, 1)</f>
        <v>#ERROR!</v>
      </c>
    </row>
    <row r="3" ht="12.75" customHeight="1">
      <c r="A3" s="70" t="str">
        <f>ARRAY_CONSTRAIN(ARRAYFORMULA(IFERROR(TRANSPOSE(_xlfn.UNIQUE(_xlfn._xlws.FILTER(Table_1[Category],Table_1[Department]='Listing Details'!E5))),"")), 1, 1)</f>
        <v>#ERROR!</v>
      </c>
    </row>
    <row r="4" ht="12.75" customHeight="1">
      <c r="A4" s="70" t="str">
        <f>ARRAY_CONSTRAIN(ARRAYFORMULA(IFERROR(TRANSPOSE(_xlfn.UNIQUE(_xlfn._xlws.FILTER(Table_1[Category],Table_1[Department]='Listing Details'!E6))),"")), 1, 1)</f>
        <v>#ERROR!</v>
      </c>
    </row>
    <row r="5" ht="12.75" customHeight="1">
      <c r="A5" s="70" t="str">
        <f>ARRAY_CONSTRAIN(ARRAYFORMULA(IFERROR(TRANSPOSE(_xlfn.UNIQUE(_xlfn._xlws.FILTER(Table_1[Category],Table_1[Department]='Listing Details'!E7))),"")), 1, 1)</f>
        <v>#ERROR!</v>
      </c>
    </row>
    <row r="6" ht="12.75" customHeight="1">
      <c r="A6" s="70" t="str">
        <f>ARRAY_CONSTRAIN(ARRAYFORMULA(IFERROR(TRANSPOSE(_xlfn.UNIQUE(_xlfn._xlws.FILTER(Table_1[Category],Table_1[Department]='Listing Details'!E8))),"")), 1, 1)</f>
        <v>#ERROR!</v>
      </c>
    </row>
    <row r="7" ht="12.75" customHeight="1">
      <c r="A7" s="70" t="str">
        <f>ARRAY_CONSTRAIN(ARRAYFORMULA(IFERROR(TRANSPOSE(_xlfn.UNIQUE(_xlfn._xlws.FILTER(Table_1[Category],Table_1[Department]='Listing Details'!E9))),"")), 1, 1)</f>
        <v>#ERROR!</v>
      </c>
    </row>
    <row r="8" ht="12.75" customHeight="1">
      <c r="A8" s="70" t="str">
        <f>ARRAY_CONSTRAIN(ARRAYFORMULA(IFERROR(TRANSPOSE(_xlfn.UNIQUE(_xlfn._xlws.FILTER(Table_1[Category],Table_1[Department]='Listing Details'!E10))),"")), 1, 1)</f>
        <v>#ERROR!</v>
      </c>
    </row>
    <row r="9" ht="12.75" customHeight="1">
      <c r="A9" s="70" t="str">
        <f>ARRAY_CONSTRAIN(ARRAYFORMULA(IFERROR(TRANSPOSE(_xlfn.UNIQUE(_xlfn._xlws.FILTER(Table_1[Category],Table_1[Department]='Listing Details'!E11))),"")), 1, 1)</f>
        <v>#ERROR!</v>
      </c>
    </row>
    <row r="10" ht="12.75" customHeight="1">
      <c r="A10" s="70" t="str">
        <f>ARRAY_CONSTRAIN(ARRAYFORMULA(IFERROR(TRANSPOSE(_xlfn.UNIQUE(_xlfn._xlws.FILTER(Table_1[Category],Table_1[Department]='Listing Details'!E12))),"")), 1, 1)</f>
        <v>#ERROR!</v>
      </c>
    </row>
    <row r="11" ht="12.75" customHeight="1">
      <c r="A11" s="70" t="str">
        <f>ARRAY_CONSTRAIN(ARRAYFORMULA(IFERROR(TRANSPOSE(_xlfn.UNIQUE(_xlfn._xlws.FILTER(Table_1[Category],Table_1[Department]='Listing Details'!E13))),"")), 1, 1)</f>
        <v>#ERROR!</v>
      </c>
    </row>
    <row r="12" ht="12.75" customHeight="1">
      <c r="A12" s="70" t="str">
        <f>ARRAY_CONSTRAIN(ARRAYFORMULA(IFERROR(TRANSPOSE(_xlfn.UNIQUE(_xlfn._xlws.FILTER(Table_1[Category],Table_1[Department]='Listing Details'!E14))),"")), 1, 1)</f>
        <v>#ERROR!</v>
      </c>
    </row>
    <row r="13" ht="12.75" customHeight="1">
      <c r="A13" s="70" t="str">
        <f>ARRAY_CONSTRAIN(ARRAYFORMULA(IFERROR(TRANSPOSE(_xlfn.UNIQUE(_xlfn._xlws.FILTER(Table_1[Category],Table_1[Department]='Listing Details'!E15))),"")), 1, 1)</f>
        <v>#ERROR!</v>
      </c>
    </row>
    <row r="14" ht="12.75" customHeight="1">
      <c r="A14" s="70" t="str">
        <f>ARRAY_CONSTRAIN(ARRAYFORMULA(IFERROR(TRANSPOSE(_xlfn.UNIQUE(_xlfn._xlws.FILTER(Table_1[Category],Table_1[Department]='Listing Details'!E16))),"")), 1, 1)</f>
        <v>#ERROR!</v>
      </c>
    </row>
    <row r="15" ht="12.75" customHeight="1">
      <c r="A15" s="70" t="str">
        <f>ARRAY_CONSTRAIN(ARRAYFORMULA(IFERROR(TRANSPOSE(_xlfn.UNIQUE(_xlfn._xlws.FILTER(Table_1[Category],Table_1[Department]='Listing Details'!E17))),"")), 1, 1)</f>
        <v>#ERROR!</v>
      </c>
    </row>
    <row r="16" ht="12.75" customHeight="1">
      <c r="A16" s="70" t="str">
        <f>ARRAY_CONSTRAIN(ARRAYFORMULA(IFERROR(TRANSPOSE(_xlfn.UNIQUE(_xlfn._xlws.FILTER(Table_1[Category],Table_1[Department]='Listing Details'!E18))),"")), 1, 1)</f>
        <v>#ERROR!</v>
      </c>
    </row>
    <row r="17" ht="12.75" customHeight="1">
      <c r="A17" s="70" t="str">
        <f>ARRAY_CONSTRAIN(ARRAYFORMULA(IFERROR(TRANSPOSE(_xlfn.UNIQUE(_xlfn._xlws.FILTER(Table_1[Category],Table_1[Department]='Listing Details'!E19))),"")), 1, 1)</f>
        <v>#ERROR!</v>
      </c>
    </row>
    <row r="18" ht="12.75" customHeight="1">
      <c r="A18" s="70" t="str">
        <f>ARRAY_CONSTRAIN(ARRAYFORMULA(IFERROR(TRANSPOSE(_xlfn.UNIQUE(_xlfn._xlws.FILTER(Table_1[Category],Table_1[Department]='Listing Details'!E20))),"")), 1, 1)</f>
        <v>#ERROR!</v>
      </c>
    </row>
    <row r="19" ht="12.75" customHeight="1">
      <c r="A19" s="70" t="str">
        <f>ARRAY_CONSTRAIN(ARRAYFORMULA(IFERROR(TRANSPOSE(_xlfn.UNIQUE(_xlfn._xlws.FILTER(Table_1[Category],Table_1[Department]='Listing Details'!E21))),"")), 1, 1)</f>
        <v>#ERROR!</v>
      </c>
    </row>
    <row r="20" ht="12.75" customHeight="1">
      <c r="A20" s="70" t="str">
        <f>ARRAY_CONSTRAIN(ARRAYFORMULA(IFERROR(TRANSPOSE(_xlfn.UNIQUE(_xlfn._xlws.FILTER(Table_1[Category],Table_1[Department]='Listing Details'!E22))),"")), 1, 1)</f>
        <v>#ERROR!</v>
      </c>
    </row>
    <row r="21" ht="12.75" customHeight="1">
      <c r="A21" s="70" t="str">
        <f>ARRAY_CONSTRAIN(ARRAYFORMULA(IFERROR(TRANSPOSE(_xlfn.UNIQUE(_xlfn._xlws.FILTER(Table_1[Category],Table_1[Department]='Listing Details'!E23))),"")), 1, 1)</f>
        <v>#ERROR!</v>
      </c>
    </row>
    <row r="22" ht="12.75" customHeight="1">
      <c r="A22" s="70" t="str">
        <f>ARRAY_CONSTRAIN(ARRAYFORMULA(IFERROR(TRANSPOSE(_xlfn.UNIQUE(_xlfn._xlws.FILTER(Table_1[Category],Table_1[Department]='Listing Details'!E24))),"")), 1, 1)</f>
        <v>#ERROR!</v>
      </c>
    </row>
    <row r="23" ht="12.75" customHeight="1">
      <c r="A23" s="70" t="str">
        <f>ARRAY_CONSTRAIN(ARRAYFORMULA(IFERROR(TRANSPOSE(_xlfn.UNIQUE(_xlfn._xlws.FILTER(Table_1[Category],Table_1[Department]='Listing Details'!E25))),"")), 1, 1)</f>
        <v>#ERROR!</v>
      </c>
    </row>
    <row r="24" ht="12.75" customHeight="1">
      <c r="A24" s="70" t="str">
        <f>ARRAY_CONSTRAIN(ARRAYFORMULA(IFERROR(TRANSPOSE(_xlfn.UNIQUE(_xlfn._xlws.FILTER(Table_1[Category],Table_1[Department]='Listing Details'!E26))),"")), 1, 1)</f>
        <v>#ERROR!</v>
      </c>
    </row>
    <row r="25" ht="12.75" customHeight="1">
      <c r="A25" s="70" t="str">
        <f>ARRAY_CONSTRAIN(ARRAYFORMULA(IFERROR(TRANSPOSE(_xlfn.UNIQUE(_xlfn._xlws.FILTER(Table_1[Category],Table_1[Department]='Listing Details'!E27))),"")), 1, 1)</f>
        <v>#ERROR!</v>
      </c>
    </row>
    <row r="26" ht="12.75" customHeight="1">
      <c r="A26" s="70" t="str">
        <f>ARRAY_CONSTRAIN(ARRAYFORMULA(IFERROR(TRANSPOSE(_xlfn.UNIQUE(_xlfn._xlws.FILTER(Table_1[Category],Table_1[Department]='Listing Details'!E28))),"")), 1, 1)</f>
        <v>#ERROR!</v>
      </c>
    </row>
    <row r="27" ht="12.75" customHeight="1">
      <c r="A27" s="70" t="str">
        <f>ARRAY_CONSTRAIN(ARRAYFORMULA(IFERROR(TRANSPOSE(_xlfn.UNIQUE(_xlfn._xlws.FILTER(Table_1[Category],Table_1[Department]='Listing Details'!E29))),"")), 1, 1)</f>
        <v>#ERROR!</v>
      </c>
    </row>
    <row r="28" ht="12.75" customHeight="1">
      <c r="A28" s="70" t="str">
        <f>ARRAY_CONSTRAIN(ARRAYFORMULA(IFERROR(TRANSPOSE(_xlfn.UNIQUE(_xlfn._xlws.FILTER(Table_1[Category],Table_1[Department]='Listing Details'!E30))),"")), 1, 1)</f>
        <v>#ERROR!</v>
      </c>
    </row>
    <row r="29" ht="12.75" customHeight="1">
      <c r="A29" s="70" t="str">
        <f>ARRAY_CONSTRAIN(ARRAYFORMULA(IFERROR(TRANSPOSE(_xlfn.UNIQUE(_xlfn._xlws.FILTER(Table_1[Category],Table_1[Department]='Listing Details'!E31))),"")), 1, 1)</f>
        <v>#ERROR!</v>
      </c>
    </row>
    <row r="30" ht="12.75" customHeight="1">
      <c r="A30" s="70" t="str">
        <f>ARRAY_CONSTRAIN(ARRAYFORMULA(IFERROR(TRANSPOSE(_xlfn.UNIQUE(_xlfn._xlws.FILTER(Table_1[Category],Table_1[Department]='Listing Details'!E32))),"")), 1, 1)</f>
        <v>#ERROR!</v>
      </c>
    </row>
    <row r="31" ht="12.75" customHeight="1">
      <c r="A31" s="70" t="str">
        <f>ARRAY_CONSTRAIN(ARRAYFORMULA(IFERROR(TRANSPOSE(_xlfn.UNIQUE(_xlfn._xlws.FILTER(Table_1[Category],Table_1[Department]='Listing Details'!E33))),"")), 1, 1)</f>
        <v>#ERROR!</v>
      </c>
    </row>
    <row r="32" ht="12.75" customHeight="1">
      <c r="A32" s="70" t="str">
        <f>ARRAY_CONSTRAIN(ARRAYFORMULA(IFERROR(TRANSPOSE(_xlfn.UNIQUE(_xlfn._xlws.FILTER(Table_1[Category],Table_1[Department]='Listing Details'!E34))),"")), 1, 1)</f>
        <v>#ERROR!</v>
      </c>
    </row>
    <row r="33" ht="12.75" customHeight="1">
      <c r="A33" s="70" t="str">
        <f>ARRAY_CONSTRAIN(ARRAYFORMULA(IFERROR(TRANSPOSE(_xlfn.UNIQUE(_xlfn._xlws.FILTER(Table_1[Category],Table_1[Department]='Listing Details'!E35))),"")), 1, 1)</f>
        <v>#ERROR!</v>
      </c>
    </row>
    <row r="34" ht="12.75" customHeight="1">
      <c r="A34" s="70" t="str">
        <f>ARRAY_CONSTRAIN(ARRAYFORMULA(IFERROR(TRANSPOSE(_xlfn.UNIQUE(_xlfn._xlws.FILTER(Table_1[Category],Table_1[Department]='Listing Details'!E36))),"")), 1, 1)</f>
        <v>#ERROR!</v>
      </c>
    </row>
    <row r="35" ht="12.75" customHeight="1">
      <c r="A35" s="70" t="str">
        <f>ARRAY_CONSTRAIN(ARRAYFORMULA(IFERROR(TRANSPOSE(_xlfn.UNIQUE(_xlfn._xlws.FILTER(Table_1[Category],Table_1[Department]='Listing Details'!E37))),"")), 1, 1)</f>
        <v>#ERROR!</v>
      </c>
    </row>
    <row r="36" ht="12.75" customHeight="1">
      <c r="A36" s="70" t="str">
        <f>ARRAY_CONSTRAIN(ARRAYFORMULA(IFERROR(TRANSPOSE(_xlfn.UNIQUE(_xlfn._xlws.FILTER(Table_1[Category],Table_1[Department]='Listing Details'!E38))),"")), 1, 1)</f>
        <v>#ERROR!</v>
      </c>
    </row>
    <row r="37" ht="12.75" customHeight="1">
      <c r="A37" s="70" t="str">
        <f>ARRAY_CONSTRAIN(ARRAYFORMULA(IFERROR(TRANSPOSE(_xlfn.UNIQUE(_xlfn._xlws.FILTER(Table_1[Category],Table_1[Department]='Listing Details'!E39))),"")), 1, 1)</f>
        <v>#ERROR!</v>
      </c>
      <c r="F37" s="70" t="str">
        <f>'Listing Details'!F16</f>
        <v>Tops</v>
      </c>
    </row>
    <row r="38" ht="12.75" customHeight="1">
      <c r="A38" s="70" t="str">
        <f>ARRAY_CONSTRAIN(ARRAYFORMULA(IFERROR(TRANSPOSE(_xlfn.UNIQUE(_xlfn._xlws.FILTER(Table_1[Category],Table_1[Department]='Listing Details'!E40))),"")), 1, 1)</f>
        <v>#ERROR!</v>
      </c>
    </row>
    <row r="39" ht="12.75" customHeight="1">
      <c r="A39" s="70" t="str">
        <f>ARRAY_CONSTRAIN(ARRAYFORMULA(IFERROR(TRANSPOSE(_xlfn.UNIQUE(_xlfn._xlws.FILTER(Table_1[Category],Table_1[Department]='Listing Details'!E41))),"")), 1, 1)</f>
        <v>#ERROR!</v>
      </c>
    </row>
    <row r="40" ht="12.75" customHeight="1">
      <c r="A40" s="70" t="str">
        <f>ARRAY_CONSTRAIN(ARRAYFORMULA(IFERROR(TRANSPOSE(_xlfn.UNIQUE(_xlfn._xlws.FILTER(Table_1[Category],Table_1[Department]='Listing Details'!E42))),"")), 1, 1)</f>
        <v>#ERROR!</v>
      </c>
    </row>
    <row r="41" ht="12.75" customHeight="1">
      <c r="A41" s="70" t="str">
        <f>ARRAY_CONSTRAIN(ARRAYFORMULA(IFERROR(TRANSPOSE(_xlfn.UNIQUE(_xlfn._xlws.FILTER(Table_1[Category],Table_1[Department]='Listing Details'!E43))),"")), 1, 1)</f>
        <v>#ERROR!</v>
      </c>
    </row>
    <row r="42" ht="12.75" customHeight="1">
      <c r="A42" s="70" t="str">
        <f>ARRAY_CONSTRAIN(ARRAYFORMULA(IFERROR(TRANSPOSE(_xlfn.UNIQUE(_xlfn._xlws.FILTER(Table_1[Category],Table_1[Department]='Listing Details'!E44))),"")), 1, 1)</f>
        <v>#ERROR!</v>
      </c>
    </row>
    <row r="43" ht="12.75" customHeight="1">
      <c r="A43" s="70" t="str">
        <f>ARRAY_CONSTRAIN(ARRAYFORMULA(IFERROR(TRANSPOSE(_xlfn.UNIQUE(_xlfn._xlws.FILTER(Table_1[Category],Table_1[Department]='Listing Details'!E45))),"")), 1, 1)</f>
        <v>#ERROR!</v>
      </c>
    </row>
    <row r="44" ht="12.75" customHeight="1">
      <c r="A44" s="70" t="str">
        <f>ARRAY_CONSTRAIN(ARRAYFORMULA(IFERROR(TRANSPOSE(_xlfn.UNIQUE(_xlfn._xlws.FILTER(Table_1[Category],Table_1[Department]='Listing Details'!E46))),"")), 1, 1)</f>
        <v>#ERROR!</v>
      </c>
    </row>
    <row r="45" ht="12.75" customHeight="1">
      <c r="A45" s="70" t="str">
        <f>ARRAY_CONSTRAIN(ARRAYFORMULA(IFERROR(TRANSPOSE(_xlfn.UNIQUE(_xlfn._xlws.FILTER(Table_1[Category],Table_1[Department]='Listing Details'!E47))),"")), 1, 1)</f>
        <v>#ERROR!</v>
      </c>
    </row>
    <row r="46" ht="12.75" customHeight="1">
      <c r="A46" s="70" t="str">
        <f>ARRAY_CONSTRAIN(ARRAYFORMULA(IFERROR(TRANSPOSE(_xlfn.UNIQUE(_xlfn._xlws.FILTER(Table_1[Category],Table_1[Department]='Listing Details'!E48))),"")), 1, 1)</f>
        <v>#ERROR!</v>
      </c>
    </row>
    <row r="47" ht="12.75" customHeight="1">
      <c r="A47" s="70" t="str">
        <f>ARRAY_CONSTRAIN(ARRAYFORMULA(IFERROR(TRANSPOSE(_xlfn.UNIQUE(_xlfn._xlws.FILTER(Table_1[Category],Table_1[Department]='Listing Details'!E49))),"")), 1, 1)</f>
        <v>#ERROR!</v>
      </c>
    </row>
    <row r="48" ht="12.75" customHeight="1">
      <c r="A48" s="70" t="str">
        <f>ARRAY_CONSTRAIN(ARRAYFORMULA(IFERROR(TRANSPOSE(_xlfn.UNIQUE(_xlfn._xlws.FILTER(Table_1[Category],Table_1[Department]='Listing Details'!E50))),"")), 1, 1)</f>
        <v>#ERROR!</v>
      </c>
    </row>
    <row r="49" ht="12.75" customHeight="1">
      <c r="A49" s="70" t="str">
        <f>ARRAY_CONSTRAIN(ARRAYFORMULA(IFERROR(TRANSPOSE(_xlfn.UNIQUE(_xlfn._xlws.FILTER(Table_1[Category],Table_1[Department]='Listing Details'!E51))),"")), 1, 1)</f>
        <v>#ERROR!</v>
      </c>
    </row>
    <row r="50" ht="12.75" customHeight="1">
      <c r="A50" s="70" t="str">
        <f>ARRAY_CONSTRAIN(ARRAYFORMULA(IFERROR(TRANSPOSE(_xlfn.UNIQUE(_xlfn._xlws.FILTER(Table_1[Category],Table_1[Department]='Listing Details'!E52))),"")), 1, 1)</f>
        <v>#ERROR!</v>
      </c>
    </row>
    <row r="51" ht="12.75" customHeight="1">
      <c r="A51" s="70" t="str">
        <f>ARRAY_CONSTRAIN(ARRAYFORMULA(IFERROR(TRANSPOSE(_xlfn.UNIQUE(_xlfn._xlws.FILTER(Table_1[Category],Table_1[Department]='Listing Details'!E53))),"")), 1, 1)</f>
        <v>#ERROR!</v>
      </c>
    </row>
    <row r="52" ht="12.75" customHeight="1">
      <c r="A52" s="70" t="str">
        <f>ARRAY_CONSTRAIN(ARRAYFORMULA(IFERROR(TRANSPOSE(_xlfn.UNIQUE(_xlfn._xlws.FILTER(Table_1[Category],Table_1[Department]='Listing Details'!E54))),"")), 1, 1)</f>
        <v>#ERROR!</v>
      </c>
    </row>
    <row r="53" ht="12.75" customHeight="1">
      <c r="A53" s="70" t="str">
        <f>ARRAY_CONSTRAIN(ARRAYFORMULA(IFERROR(TRANSPOSE(_xlfn.UNIQUE(_xlfn._xlws.FILTER(Table_1[Category],Table_1[Department]='Listing Details'!E55))),"")), 1, 1)</f>
        <v>#ERROR!</v>
      </c>
    </row>
    <row r="54" ht="12.75" customHeight="1">
      <c r="A54" s="70" t="str">
        <f>ARRAY_CONSTRAIN(ARRAYFORMULA(IFERROR(TRANSPOSE(_xlfn.UNIQUE(_xlfn._xlws.FILTER(Table_1[Category],Table_1[Department]='Listing Details'!E56))),"")), 1, 1)</f>
        <v>#ERROR!</v>
      </c>
    </row>
    <row r="55" ht="12.75" customHeight="1">
      <c r="A55" s="70" t="str">
        <f>ARRAY_CONSTRAIN(ARRAYFORMULA(IFERROR(TRANSPOSE(_xlfn.UNIQUE(_xlfn._xlws.FILTER(Table_1[Category],Table_1[Department]='Listing Details'!E57))),"")), 1, 1)</f>
        <v>#ERROR!</v>
      </c>
    </row>
    <row r="56" ht="12.75" customHeight="1">
      <c r="A56" s="70" t="str">
        <f>ARRAY_CONSTRAIN(ARRAYFORMULA(IFERROR(TRANSPOSE(_xlfn.UNIQUE(_xlfn._xlws.FILTER(Table_1[Category],Table_1[Department]='Listing Details'!E58))),"")), 1, 1)</f>
        <v>#ERROR!</v>
      </c>
    </row>
    <row r="57" ht="12.75" customHeight="1">
      <c r="A57" s="70" t="str">
        <f>ARRAY_CONSTRAIN(ARRAYFORMULA(IFERROR(TRANSPOSE(_xlfn.UNIQUE(_xlfn._xlws.FILTER(Table_1[Category],Table_1[Department]='Listing Details'!E59))),"")), 1, 1)</f>
        <v>#ERROR!</v>
      </c>
    </row>
    <row r="58" ht="12.75" customHeight="1">
      <c r="A58" s="70" t="str">
        <f>ARRAY_CONSTRAIN(ARRAYFORMULA(IFERROR(TRANSPOSE(_xlfn.UNIQUE(_xlfn._xlws.FILTER(Table_1[Category],Table_1[Department]='Listing Details'!E60))),"")), 1, 1)</f>
        <v>#ERROR!</v>
      </c>
    </row>
    <row r="59" ht="12.75" customHeight="1">
      <c r="A59" s="70" t="str">
        <f>ARRAY_CONSTRAIN(ARRAYFORMULA(IFERROR(TRANSPOSE(_xlfn.UNIQUE(_xlfn._xlws.FILTER(Table_1[Category],Table_1[Department]='Listing Details'!E61))),"")), 1, 1)</f>
        <v>#ERROR!</v>
      </c>
    </row>
    <row r="60" ht="12.75" customHeight="1">
      <c r="A60" s="70" t="str">
        <f>ARRAY_CONSTRAIN(ARRAYFORMULA(IFERROR(TRANSPOSE(_xlfn.UNIQUE(_xlfn._xlws.FILTER(Table_1[Category],Table_1[Department]='Listing Details'!E62))),"")), 1, 1)</f>
        <v>#ERROR!</v>
      </c>
    </row>
    <row r="61" ht="12.75" customHeight="1">
      <c r="A61" s="70" t="str">
        <f>ARRAY_CONSTRAIN(ARRAYFORMULA(IFERROR(TRANSPOSE(_xlfn.UNIQUE(_xlfn._xlws.FILTER(Table_1[Category],Table_1[Department]='Listing Details'!E63))),"")), 1, 1)</f>
        <v>#ERROR!</v>
      </c>
    </row>
    <row r="62" ht="12.75" customHeight="1">
      <c r="A62" s="70" t="str">
        <f>ARRAY_CONSTRAIN(ARRAYFORMULA(IFERROR(TRANSPOSE(_xlfn.UNIQUE(_xlfn._xlws.FILTER(Table_1[Category],Table_1[Department]='Listing Details'!E64))),"")), 1, 1)</f>
        <v>#ERROR!</v>
      </c>
    </row>
    <row r="63" ht="12.75" customHeight="1">
      <c r="A63" s="70" t="str">
        <f>ARRAY_CONSTRAIN(ARRAYFORMULA(IFERROR(TRANSPOSE(_xlfn.UNIQUE(_xlfn._xlws.FILTER(Table_1[Category],Table_1[Department]='Listing Details'!E65))),"")), 1, 1)</f>
        <v>#ERROR!</v>
      </c>
    </row>
    <row r="64" ht="12.75" customHeight="1">
      <c r="A64" s="70" t="str">
        <f>ARRAY_CONSTRAIN(ARRAYFORMULA(IFERROR(TRANSPOSE(_xlfn.UNIQUE(_xlfn._xlws.FILTER(Table_1[Category],Table_1[Department]='Listing Details'!E66))),"")), 1, 1)</f>
        <v>#ERROR!</v>
      </c>
    </row>
    <row r="65" ht="12.75" customHeight="1">
      <c r="A65" s="70" t="str">
        <f>ARRAY_CONSTRAIN(ARRAYFORMULA(IFERROR(TRANSPOSE(_xlfn.UNIQUE(_xlfn._xlws.FILTER(Table_1[Category],Table_1[Department]='Listing Details'!E67))),"")), 1, 1)</f>
        <v>#ERROR!</v>
      </c>
    </row>
    <row r="66" ht="12.75" customHeight="1">
      <c r="A66" s="70" t="str">
        <f>ARRAY_CONSTRAIN(ARRAYFORMULA(IFERROR(TRANSPOSE(_xlfn.UNIQUE(_xlfn._xlws.FILTER(Table_1[Category],Table_1[Department]='Listing Details'!E68))),"")), 1, 1)</f>
        <v>#ERROR!</v>
      </c>
    </row>
    <row r="67" ht="12.75" customHeight="1">
      <c r="A67" s="70" t="str">
        <f>ARRAY_CONSTRAIN(ARRAYFORMULA(IFERROR(TRANSPOSE(_xlfn.UNIQUE(_xlfn._xlws.FILTER(Table_1[Category],Table_1[Department]='Listing Details'!E69))),"")), 1, 1)</f>
        <v>#ERROR!</v>
      </c>
    </row>
    <row r="68" ht="12.75" customHeight="1">
      <c r="A68" s="70" t="str">
        <f>ARRAY_CONSTRAIN(ARRAYFORMULA(IFERROR(TRANSPOSE(_xlfn.UNIQUE(_xlfn._xlws.FILTER(Table_1[Category],Table_1[Department]='Listing Details'!E70))),"")), 1, 1)</f>
        <v>#ERROR!</v>
      </c>
    </row>
    <row r="69" ht="12.75" customHeight="1">
      <c r="A69" s="70" t="str">
        <f>ARRAY_CONSTRAIN(ARRAYFORMULA(IFERROR(TRANSPOSE(_xlfn.UNIQUE(_xlfn._xlws.FILTER(Table_1[Category],Table_1[Department]='Listing Details'!E71))),"")), 1, 1)</f>
        <v>#ERROR!</v>
      </c>
    </row>
    <row r="70" ht="12.75" customHeight="1">
      <c r="A70" s="70" t="str">
        <f>ARRAY_CONSTRAIN(ARRAYFORMULA(IFERROR(TRANSPOSE(_xlfn.UNIQUE(_xlfn._xlws.FILTER(Table_1[Category],Table_1[Department]='Listing Details'!E72))),"")), 1, 1)</f>
        <v>#ERROR!</v>
      </c>
    </row>
    <row r="71" ht="12.75" customHeight="1">
      <c r="A71" s="70" t="str">
        <f>ARRAY_CONSTRAIN(ARRAYFORMULA(IFERROR(TRANSPOSE(_xlfn.UNIQUE(_xlfn._xlws.FILTER(Table_1[Category],Table_1[Department]='Listing Details'!E73))),"")), 1, 1)</f>
        <v>#ERROR!</v>
      </c>
    </row>
    <row r="72" ht="12.75" customHeight="1">
      <c r="A72" s="70" t="str">
        <f>ARRAY_CONSTRAIN(ARRAYFORMULA(IFERROR(TRANSPOSE(_xlfn.UNIQUE(_xlfn._xlws.FILTER(Table_1[Category],Table_1[Department]='Listing Details'!E74))),"")), 1, 1)</f>
        <v>#ERROR!</v>
      </c>
    </row>
    <row r="73" ht="12.75" customHeight="1">
      <c r="A73" s="70" t="str">
        <f>ARRAY_CONSTRAIN(ARRAYFORMULA(IFERROR(TRANSPOSE(_xlfn.UNIQUE(_xlfn._xlws.FILTER(Table_1[Category],Table_1[Department]='Listing Details'!E75))),"")), 1, 1)</f>
        <v>#ERROR!</v>
      </c>
    </row>
    <row r="74" ht="12.75" customHeight="1">
      <c r="A74" s="70" t="str">
        <f>ARRAY_CONSTRAIN(ARRAYFORMULA(IFERROR(TRANSPOSE(_xlfn.UNIQUE(_xlfn._xlws.FILTER(Table_1[Category],Table_1[Department]='Listing Details'!E76))),"")), 1, 1)</f>
        <v>#ERROR!</v>
      </c>
    </row>
    <row r="75" ht="12.75" customHeight="1">
      <c r="A75" s="70" t="str">
        <f>ARRAY_CONSTRAIN(ARRAYFORMULA(IFERROR(TRANSPOSE(_xlfn.UNIQUE(_xlfn._xlws.FILTER(Table_1[Category],Table_1[Department]='Listing Details'!E77))),"")), 1, 1)</f>
        <v>#ERROR!</v>
      </c>
    </row>
    <row r="76" ht="12.75" customHeight="1">
      <c r="A76" s="70" t="str">
        <f>ARRAY_CONSTRAIN(ARRAYFORMULA(IFERROR(TRANSPOSE(_xlfn.UNIQUE(_xlfn._xlws.FILTER(Table_1[Category],Table_1[Department]='Listing Details'!E78))),"")), 1, 1)</f>
        <v>#ERROR!</v>
      </c>
    </row>
    <row r="77" ht="12.75" customHeight="1">
      <c r="A77" s="70" t="str">
        <f>ARRAY_CONSTRAIN(ARRAYFORMULA(IFERROR(TRANSPOSE(_xlfn.UNIQUE(_xlfn._xlws.FILTER(Table_1[Category],Table_1[Department]='Listing Details'!E79))),"")), 1, 1)</f>
        <v>#ERROR!</v>
      </c>
    </row>
    <row r="78" ht="12.75" customHeight="1">
      <c r="A78" s="70" t="str">
        <f>ARRAY_CONSTRAIN(ARRAYFORMULA(IFERROR(TRANSPOSE(_xlfn.UNIQUE(_xlfn._xlws.FILTER(Table_1[Category],Table_1[Department]='Listing Details'!E80))),"")), 1, 1)</f>
        <v>#ERROR!</v>
      </c>
    </row>
    <row r="79" ht="12.75" customHeight="1">
      <c r="A79" s="70" t="str">
        <f>ARRAY_CONSTRAIN(ARRAYFORMULA(IFERROR(TRANSPOSE(_xlfn.UNIQUE(_xlfn._xlws.FILTER(Table_1[Category],Table_1[Department]='Listing Details'!E81))),"")), 1, 1)</f>
        <v>#ERROR!</v>
      </c>
    </row>
    <row r="80" ht="12.75" customHeight="1">
      <c r="A80" s="70" t="str">
        <f>ARRAY_CONSTRAIN(ARRAYFORMULA(IFERROR(TRANSPOSE(_xlfn.UNIQUE(_xlfn._xlws.FILTER(Table_1[Category],Table_1[Department]='Listing Details'!E82))),"")), 1, 1)</f>
        <v>#ERROR!</v>
      </c>
    </row>
    <row r="81" ht="12.75" customHeight="1">
      <c r="A81" s="70" t="str">
        <f>ARRAY_CONSTRAIN(ARRAYFORMULA(IFERROR(TRANSPOSE(_xlfn.UNIQUE(_xlfn._xlws.FILTER(Table_1[Category],Table_1[Department]='Listing Details'!E83))),"")), 1, 1)</f>
        <v>#ERROR!</v>
      </c>
    </row>
    <row r="82" ht="12.75" customHeight="1">
      <c r="A82" s="70" t="str">
        <f>ARRAY_CONSTRAIN(ARRAYFORMULA(IFERROR(TRANSPOSE(_xlfn.UNIQUE(_xlfn._xlws.FILTER(Table_1[Category],Table_1[Department]='Listing Details'!E84))),"")), 1, 1)</f>
        <v>#ERROR!</v>
      </c>
    </row>
    <row r="83" ht="12.75" customHeight="1">
      <c r="A83" s="70" t="str">
        <f>ARRAY_CONSTRAIN(ARRAYFORMULA(IFERROR(TRANSPOSE(_xlfn.UNIQUE(_xlfn._xlws.FILTER(Table_1[Category],Table_1[Department]='Listing Details'!E85))),"")), 1, 1)</f>
        <v>#ERROR!</v>
      </c>
    </row>
    <row r="84" ht="12.75" customHeight="1">
      <c r="A84" s="70" t="str">
        <f>ARRAY_CONSTRAIN(ARRAYFORMULA(IFERROR(TRANSPOSE(_xlfn.UNIQUE(_xlfn._xlws.FILTER(Table_1[Category],Table_1[Department]='Listing Details'!E86))),"")), 1, 1)</f>
        <v>#ERROR!</v>
      </c>
    </row>
    <row r="85" ht="12.75" customHeight="1">
      <c r="A85" s="70" t="str">
        <f>ARRAY_CONSTRAIN(ARRAYFORMULA(IFERROR(TRANSPOSE(_xlfn.UNIQUE(_xlfn._xlws.FILTER(Table_1[Category],Table_1[Department]='Listing Details'!E87))),"")), 1, 1)</f>
        <v>#ERROR!</v>
      </c>
    </row>
    <row r="86" ht="12.75" customHeight="1">
      <c r="A86" s="70" t="str">
        <f>ARRAY_CONSTRAIN(ARRAYFORMULA(IFERROR(TRANSPOSE(_xlfn.UNIQUE(_xlfn._xlws.FILTER(Table_1[Category],Table_1[Department]='Listing Details'!E88))),"")), 1, 1)</f>
        <v>#ERROR!</v>
      </c>
    </row>
    <row r="87" ht="12.75" customHeight="1">
      <c r="A87" s="70" t="str">
        <f>ARRAY_CONSTRAIN(ARRAYFORMULA(IFERROR(TRANSPOSE(_xlfn.UNIQUE(_xlfn._xlws.FILTER(Table_1[Category],Table_1[Department]='Listing Details'!E89))),"")), 1, 1)</f>
        <v>#ERROR!</v>
      </c>
    </row>
    <row r="88" ht="12.75" customHeight="1">
      <c r="A88" s="70" t="str">
        <f>ARRAY_CONSTRAIN(ARRAYFORMULA(IFERROR(TRANSPOSE(_xlfn.UNIQUE(_xlfn._xlws.FILTER(Table_1[Category],Table_1[Department]='Listing Details'!E90))),"")), 1, 1)</f>
        <v>#ERROR!</v>
      </c>
    </row>
    <row r="89" ht="12.75" customHeight="1">
      <c r="A89" s="70" t="str">
        <f>ARRAY_CONSTRAIN(ARRAYFORMULA(IFERROR(TRANSPOSE(_xlfn.UNIQUE(_xlfn._xlws.FILTER(Table_1[Category],Table_1[Department]='Listing Details'!E91))),"")), 1, 1)</f>
        <v>#ERROR!</v>
      </c>
    </row>
    <row r="90" ht="12.75" customHeight="1">
      <c r="A90" s="70" t="str">
        <f>ARRAY_CONSTRAIN(ARRAYFORMULA(IFERROR(TRANSPOSE(_xlfn.UNIQUE(_xlfn._xlws.FILTER(Table_1[Category],Table_1[Department]='Listing Details'!E92))),"")), 1, 1)</f>
        <v>#ERROR!</v>
      </c>
    </row>
    <row r="91" ht="12.75" customHeight="1">
      <c r="A91" s="70" t="str">
        <f>ARRAY_CONSTRAIN(ARRAYFORMULA(IFERROR(TRANSPOSE(_xlfn.UNIQUE(_xlfn._xlws.FILTER(Table_1[Category],Table_1[Department]='Listing Details'!E93))),"")), 1, 1)</f>
        <v>#ERROR!</v>
      </c>
    </row>
    <row r="92" ht="12.75" customHeight="1">
      <c r="A92" s="70" t="str">
        <f>ARRAY_CONSTRAIN(ARRAYFORMULA(IFERROR(TRANSPOSE(_xlfn.UNIQUE(_xlfn._xlws.FILTER(Table_1[Category],Table_1[Department]='Listing Details'!E94))),"")), 1, 1)</f>
        <v>#ERROR!</v>
      </c>
    </row>
    <row r="93" ht="12.75" customHeight="1">
      <c r="A93" s="70" t="str">
        <f>ARRAY_CONSTRAIN(ARRAYFORMULA(IFERROR(TRANSPOSE(_xlfn.UNIQUE(_xlfn._xlws.FILTER(Table_1[Category],Table_1[Department]='Listing Details'!E95))),"")), 1, 1)</f>
        <v>#ERROR!</v>
      </c>
    </row>
    <row r="94" ht="12.75" customHeight="1">
      <c r="A94" s="70" t="str">
        <f>ARRAY_CONSTRAIN(ARRAYFORMULA(IFERROR(TRANSPOSE(_xlfn.UNIQUE(_xlfn._xlws.FILTER(Table_1[Category],Table_1[Department]='Listing Details'!E96))),"")), 1, 1)</f>
        <v>#ERROR!</v>
      </c>
    </row>
    <row r="95" ht="12.75" customHeight="1">
      <c r="A95" s="70" t="str">
        <f>ARRAY_CONSTRAIN(ARRAYFORMULA(IFERROR(TRANSPOSE(_xlfn.UNIQUE(_xlfn._xlws.FILTER(Table_1[Category],Table_1[Department]='Listing Details'!E97))),"")), 1, 1)</f>
        <v>#ERROR!</v>
      </c>
    </row>
    <row r="96" ht="12.75" customHeight="1">
      <c r="A96" s="70" t="str">
        <f>ARRAY_CONSTRAIN(ARRAYFORMULA(IFERROR(TRANSPOSE(_xlfn.UNIQUE(_xlfn._xlws.FILTER(Table_1[Category],Table_1[Department]='Listing Details'!E98))),"")), 1, 1)</f>
        <v>#ERROR!</v>
      </c>
    </row>
    <row r="97" ht="12.75" customHeight="1">
      <c r="A97" s="70" t="str">
        <f>ARRAY_CONSTRAIN(ARRAYFORMULA(IFERROR(TRANSPOSE(_xlfn.UNIQUE(_xlfn._xlws.FILTER(Table_1[Category],Table_1[Department]='Listing Details'!E99))),"")), 1, 1)</f>
        <v>#ERROR!</v>
      </c>
    </row>
    <row r="98" ht="12.75" customHeight="1">
      <c r="A98" s="70" t="str">
        <f>ARRAY_CONSTRAIN(ARRAYFORMULA(IFERROR(TRANSPOSE(_xlfn.UNIQUE(_xlfn._xlws.FILTER(Table_1[Category],Table_1[Department]='Listing Details'!E100))),"")), 1, 1)</f>
        <v>#ERROR!</v>
      </c>
    </row>
    <row r="99" ht="12.75" customHeight="1">
      <c r="A99" s="70" t="str">
        <f>ARRAY_CONSTRAIN(ARRAYFORMULA(IFERROR(TRANSPOSE(_xlfn.UNIQUE(_xlfn._xlws.FILTER(Table_1[Category],Table_1[Department]='Listing Details'!E101))),"")), 1, 1)</f>
        <v>#ERROR!</v>
      </c>
    </row>
    <row r="100" ht="12.75" customHeight="1">
      <c r="A100" s="70" t="str">
        <f>ARRAY_CONSTRAIN(ARRAYFORMULA(IFERROR(TRANSPOSE(_xlfn.UNIQUE(_xlfn._xlws.FILTER(Table_1[Category],Table_1[Department]='Listing Details'!E102))),"")), 1, 1)</f>
        <v>#ERROR!</v>
      </c>
    </row>
    <row r="101" ht="12.75" customHeight="1">
      <c r="A101" s="70" t="str">
        <f>ARRAY_CONSTRAIN(ARRAYFORMULA(IFERROR(TRANSPOSE(_xlfn.UNIQUE(_xlfn._xlws.FILTER(Table_1[Category],Table_1[Department]='Listing Details'!E103))),"")), 1, 1)</f>
        <v>#ERROR!</v>
      </c>
    </row>
    <row r="102" ht="12.75" customHeight="1">
      <c r="A102" s="70" t="str">
        <f>ARRAY_CONSTRAIN(ARRAYFORMULA(IFERROR(TRANSPOSE(_xlfn.UNIQUE(_xlfn._xlws.FILTER(Table_1[Category],Table_1[Department]='Listing Details'!E104))),"")), 1, 1)</f>
        <v>#ERROR!</v>
      </c>
    </row>
    <row r="103" ht="12.75" customHeight="1">
      <c r="A103" s="70" t="str">
        <f>ARRAY_CONSTRAIN(ARRAYFORMULA(IFERROR(TRANSPOSE(_xlfn.UNIQUE(_xlfn._xlws.FILTER(Table_1[Category],Table_1[Department]='Listing Details'!E105))),"")), 1, 1)</f>
        <v>#ERROR!</v>
      </c>
    </row>
    <row r="104" ht="12.75" customHeight="1">
      <c r="A104" s="70" t="str">
        <f>ARRAY_CONSTRAIN(ARRAYFORMULA(IFERROR(TRANSPOSE(_xlfn.UNIQUE(_xlfn._xlws.FILTER(Table_1[Category],Table_1[Department]='Listing Details'!E106))),"")), 1, 1)</f>
        <v>#ERROR!</v>
      </c>
    </row>
    <row r="105" ht="12.75" customHeight="1">
      <c r="A105" s="70" t="str">
        <f>ARRAY_CONSTRAIN(ARRAYFORMULA(IFERROR(TRANSPOSE(_xlfn.UNIQUE(_xlfn._xlws.FILTER(Table_1[Category],Table_1[Department]='Listing Details'!E107))),"")), 1, 1)</f>
        <v>#ERROR!</v>
      </c>
    </row>
    <row r="106" ht="12.75" customHeight="1">
      <c r="A106" s="70" t="str">
        <f>ARRAY_CONSTRAIN(ARRAYFORMULA(IFERROR(TRANSPOSE(_xlfn.UNIQUE(_xlfn._xlws.FILTER(Table_1[Category],Table_1[Department]='Listing Details'!E108))),"")), 1, 1)</f>
        <v>#ERROR!</v>
      </c>
    </row>
    <row r="107" ht="12.75" customHeight="1">
      <c r="A107" s="70" t="str">
        <f>ARRAY_CONSTRAIN(ARRAYFORMULA(IFERROR(TRANSPOSE(_xlfn.UNIQUE(_xlfn._xlws.FILTER(Table_1[Category],Table_1[Department]='Listing Details'!E109))),"")), 1, 1)</f>
        <v>#ERROR!</v>
      </c>
    </row>
    <row r="108" ht="12.75" customHeight="1">
      <c r="A108" s="70" t="str">
        <f>ARRAY_CONSTRAIN(ARRAYFORMULA(IFERROR(TRANSPOSE(_xlfn.UNIQUE(_xlfn._xlws.FILTER(Table_1[Category],Table_1[Department]='Listing Details'!E110))),"")), 1, 1)</f>
        <v>#ERROR!</v>
      </c>
    </row>
    <row r="109" ht="12.75" customHeight="1">
      <c r="A109" s="70" t="str">
        <f>ARRAY_CONSTRAIN(ARRAYFORMULA(IFERROR(TRANSPOSE(_xlfn.UNIQUE(_xlfn._xlws.FILTER(Table_1[Category],Table_1[Department]='Listing Details'!E111))),"")), 1, 1)</f>
        <v>#ERROR!</v>
      </c>
    </row>
    <row r="110" ht="12.75" customHeight="1">
      <c r="A110" s="70" t="str">
        <f>ARRAY_CONSTRAIN(ARRAYFORMULA(IFERROR(TRANSPOSE(_xlfn.UNIQUE(_xlfn._xlws.FILTER(Table_1[Category],Table_1[Department]='Listing Details'!E112))),"")), 1, 1)</f>
        <v>#ERROR!</v>
      </c>
    </row>
    <row r="111" ht="12.75" customHeight="1">
      <c r="A111" s="70" t="str">
        <f>ARRAY_CONSTRAIN(ARRAYFORMULA(IFERROR(TRANSPOSE(_xlfn.UNIQUE(_xlfn._xlws.FILTER(Table_1[Category],Table_1[Department]='Listing Details'!E113))),"")), 1, 1)</f>
        <v>#ERROR!</v>
      </c>
    </row>
    <row r="112" ht="12.75" customHeight="1">
      <c r="A112" s="70" t="str">
        <f>ARRAY_CONSTRAIN(ARRAYFORMULA(IFERROR(TRANSPOSE(_xlfn.UNIQUE(_xlfn._xlws.FILTER(Table_1[Category],Table_1[Department]='Listing Details'!E114))),"")), 1, 1)</f>
        <v>#ERROR!</v>
      </c>
    </row>
    <row r="113" ht="12.75" customHeight="1">
      <c r="A113" s="70" t="str">
        <f>ARRAY_CONSTRAIN(ARRAYFORMULA(IFERROR(TRANSPOSE(_xlfn.UNIQUE(_xlfn._xlws.FILTER(Table_1[Category],Table_1[Department]='Listing Details'!E115))),"")), 1, 1)</f>
        <v>#ERROR!</v>
      </c>
    </row>
    <row r="114" ht="12.75" customHeight="1">
      <c r="A114" s="70" t="str">
        <f>ARRAY_CONSTRAIN(ARRAYFORMULA(IFERROR(TRANSPOSE(_xlfn.UNIQUE(_xlfn._xlws.FILTER(Table_1[Category],Table_1[Department]='Listing Details'!E116))),"")), 1, 1)</f>
        <v>#ERROR!</v>
      </c>
    </row>
    <row r="115" ht="12.75" customHeight="1">
      <c r="A115" s="70" t="str">
        <f>ARRAY_CONSTRAIN(ARRAYFORMULA(IFERROR(TRANSPOSE(_xlfn.UNIQUE(_xlfn._xlws.FILTER(Table_1[Category],Table_1[Department]='Listing Details'!E117))),"")), 1, 1)</f>
        <v>#ERROR!</v>
      </c>
    </row>
    <row r="116" ht="12.75" customHeight="1">
      <c r="A116" s="70" t="str">
        <f>ARRAY_CONSTRAIN(ARRAYFORMULA(IFERROR(TRANSPOSE(_xlfn.UNIQUE(_xlfn._xlws.FILTER(Table_1[Category],Table_1[Department]='Listing Details'!E118))),"")), 1, 1)</f>
        <v>#ERROR!</v>
      </c>
    </row>
    <row r="117" ht="12.75" customHeight="1">
      <c r="A117" s="70" t="str">
        <f>ARRAY_CONSTRAIN(ARRAYFORMULA(IFERROR(TRANSPOSE(_xlfn.UNIQUE(_xlfn._xlws.FILTER(Table_1[Category],Table_1[Department]='Listing Details'!E119))),"")), 1, 1)</f>
        <v>#ERROR!</v>
      </c>
    </row>
    <row r="118" ht="12.75" customHeight="1">
      <c r="A118" s="70" t="str">
        <f>ARRAY_CONSTRAIN(ARRAYFORMULA(IFERROR(TRANSPOSE(_xlfn.UNIQUE(_xlfn._xlws.FILTER(Table_1[Category],Table_1[Department]='Listing Details'!E120))),"")), 1, 1)</f>
        <v>#ERROR!</v>
      </c>
    </row>
    <row r="119" ht="12.75" customHeight="1">
      <c r="A119" s="70" t="str">
        <f>ARRAY_CONSTRAIN(ARRAYFORMULA(IFERROR(TRANSPOSE(_xlfn.UNIQUE(_xlfn._xlws.FILTER(Table_1[Category],Table_1[Department]='Listing Details'!E121))),"")), 1, 1)</f>
        <v>#ERROR!</v>
      </c>
    </row>
    <row r="120" ht="12.75" customHeight="1">
      <c r="A120" s="70" t="str">
        <f>ARRAY_CONSTRAIN(ARRAYFORMULA(IFERROR(TRANSPOSE(_xlfn.UNIQUE(_xlfn._xlws.FILTER(Table_1[Category],Table_1[Department]='Listing Details'!E122))),"")), 1, 1)</f>
        <v>#ERROR!</v>
      </c>
    </row>
    <row r="121" ht="12.75" customHeight="1">
      <c r="A121" s="70" t="str">
        <f>ARRAY_CONSTRAIN(ARRAYFORMULA(IFERROR(TRANSPOSE(_xlfn.UNIQUE(_xlfn._xlws.FILTER(Table_1[Category],Table_1[Department]='Listing Details'!E123))),"")), 1, 1)</f>
        <v>#ERROR!</v>
      </c>
    </row>
    <row r="122" ht="12.75" customHeight="1">
      <c r="A122" s="70" t="str">
        <f>ARRAY_CONSTRAIN(ARRAYFORMULA(IFERROR(TRANSPOSE(_xlfn.UNIQUE(_xlfn._xlws.FILTER(Table_1[Category],Table_1[Department]='Listing Details'!E124))),"")), 1, 1)</f>
        <v>#ERROR!</v>
      </c>
    </row>
    <row r="123" ht="12.75" customHeight="1">
      <c r="A123" s="70" t="str">
        <f>ARRAY_CONSTRAIN(ARRAYFORMULA(IFERROR(TRANSPOSE(_xlfn.UNIQUE(_xlfn._xlws.FILTER(Table_1[Category],Table_1[Department]='Listing Details'!E125))),"")), 1, 1)</f>
        <v>#ERROR!</v>
      </c>
    </row>
    <row r="124" ht="12.75" customHeight="1">
      <c r="A124" s="70" t="str">
        <f>ARRAY_CONSTRAIN(ARRAYFORMULA(IFERROR(TRANSPOSE(_xlfn.UNIQUE(_xlfn._xlws.FILTER(Table_1[Category],Table_1[Department]='Listing Details'!E126))),"")), 1, 1)</f>
        <v>#ERROR!</v>
      </c>
    </row>
    <row r="125" ht="12.75" customHeight="1">
      <c r="A125" s="70" t="str">
        <f>ARRAY_CONSTRAIN(ARRAYFORMULA(IFERROR(TRANSPOSE(_xlfn.UNIQUE(_xlfn._xlws.FILTER(Table_1[Category],Table_1[Department]='Listing Details'!E127))),"")), 1, 1)</f>
        <v>#ERROR!</v>
      </c>
    </row>
    <row r="126" ht="12.75" customHeight="1">
      <c r="A126" s="70" t="str">
        <f>ARRAY_CONSTRAIN(ARRAYFORMULA(IFERROR(TRANSPOSE(_xlfn.UNIQUE(_xlfn._xlws.FILTER(Table_1[Category],Table_1[Department]='Listing Details'!E128))),"")), 1, 1)</f>
        <v>#ERROR!</v>
      </c>
    </row>
    <row r="127" ht="12.75" customHeight="1">
      <c r="A127" s="70" t="str">
        <f>ARRAY_CONSTRAIN(ARRAYFORMULA(IFERROR(TRANSPOSE(_xlfn.UNIQUE(_xlfn._xlws.FILTER(Table_1[Category],Table_1[Department]='Listing Details'!E129))),"")), 1, 1)</f>
        <v>#ERROR!</v>
      </c>
    </row>
    <row r="128" ht="12.75" customHeight="1">
      <c r="A128" s="70" t="str">
        <f>ARRAY_CONSTRAIN(ARRAYFORMULA(IFERROR(TRANSPOSE(_xlfn.UNIQUE(_xlfn._xlws.FILTER(Table_1[Category],Table_1[Department]='Listing Details'!E130))),"")), 1, 1)</f>
        <v>#ERROR!</v>
      </c>
    </row>
    <row r="129" ht="12.75" customHeight="1">
      <c r="A129" s="70" t="str">
        <f>ARRAY_CONSTRAIN(ARRAYFORMULA(IFERROR(TRANSPOSE(_xlfn.UNIQUE(_xlfn._xlws.FILTER(Table_1[Category],Table_1[Department]='Listing Details'!E131))),"")), 1, 1)</f>
        <v>#ERROR!</v>
      </c>
    </row>
    <row r="130" ht="12.75" customHeight="1">
      <c r="A130" s="70" t="str">
        <f>ARRAY_CONSTRAIN(ARRAYFORMULA(IFERROR(TRANSPOSE(_xlfn.UNIQUE(_xlfn._xlws.FILTER(Table_1[Category],Table_1[Department]='Listing Details'!E132))),"")), 1, 1)</f>
        <v>#ERROR!</v>
      </c>
    </row>
    <row r="131" ht="12.75" customHeight="1">
      <c r="A131" s="70" t="str">
        <f>ARRAY_CONSTRAIN(ARRAYFORMULA(IFERROR(TRANSPOSE(_xlfn.UNIQUE(_xlfn._xlws.FILTER(Table_1[Category],Table_1[Department]='Listing Details'!E133))),"")), 1, 1)</f>
        <v>#ERROR!</v>
      </c>
    </row>
    <row r="132" ht="12.75" customHeight="1">
      <c r="A132" s="70" t="str">
        <f>ARRAY_CONSTRAIN(ARRAYFORMULA(IFERROR(TRANSPOSE(_xlfn.UNIQUE(_xlfn._xlws.FILTER(Table_1[Category],Table_1[Department]='Listing Details'!E134))),"")), 1, 1)</f>
        <v>#ERROR!</v>
      </c>
    </row>
    <row r="133" ht="12.75" customHeight="1">
      <c r="A133" s="70" t="str">
        <f>ARRAY_CONSTRAIN(ARRAYFORMULA(IFERROR(TRANSPOSE(_xlfn.UNIQUE(_xlfn._xlws.FILTER(Table_1[Category],Table_1[Department]='Listing Details'!E135))),"")), 1, 1)</f>
        <v>#ERROR!</v>
      </c>
    </row>
    <row r="134" ht="12.75" customHeight="1">
      <c r="A134" s="70" t="str">
        <f>ARRAY_CONSTRAIN(ARRAYFORMULA(IFERROR(TRANSPOSE(_xlfn.UNIQUE(_xlfn._xlws.FILTER(Table_1[Category],Table_1[Department]='Listing Details'!E136))),"")), 1, 1)</f>
        <v>#ERROR!</v>
      </c>
    </row>
    <row r="135" ht="12.75" customHeight="1">
      <c r="A135" s="70" t="str">
        <f>ARRAY_CONSTRAIN(ARRAYFORMULA(IFERROR(TRANSPOSE(_xlfn.UNIQUE(_xlfn._xlws.FILTER(Table_1[Category],Table_1[Department]='Listing Details'!E137))),"")), 1, 1)</f>
        <v>#ERROR!</v>
      </c>
    </row>
    <row r="136" ht="12.75" customHeight="1">
      <c r="A136" s="70" t="str">
        <f>ARRAY_CONSTRAIN(ARRAYFORMULA(IFERROR(TRANSPOSE(_xlfn.UNIQUE(_xlfn._xlws.FILTER(Table_1[Category],Table_1[Department]='Listing Details'!E138))),"")), 1, 1)</f>
        <v>#ERROR!</v>
      </c>
    </row>
    <row r="137" ht="12.75" customHeight="1">
      <c r="A137" s="70" t="str">
        <f>ARRAY_CONSTRAIN(ARRAYFORMULA(IFERROR(TRANSPOSE(_xlfn.UNIQUE(_xlfn._xlws.FILTER(Table_1[Category],Table_1[Department]='Listing Details'!E139))),"")), 1, 1)</f>
        <v>#ERROR!</v>
      </c>
    </row>
    <row r="138" ht="12.75" customHeight="1">
      <c r="A138" s="70" t="str">
        <f>ARRAY_CONSTRAIN(ARRAYFORMULA(IFERROR(TRANSPOSE(_xlfn.UNIQUE(_xlfn._xlws.FILTER(Table_1[Category],Table_1[Department]='Listing Details'!E140))),"")), 1, 1)</f>
        <v>#ERROR!</v>
      </c>
    </row>
    <row r="139" ht="12.75" customHeight="1">
      <c r="A139" s="70" t="str">
        <f>ARRAY_CONSTRAIN(ARRAYFORMULA(IFERROR(TRANSPOSE(_xlfn.UNIQUE(_xlfn._xlws.FILTER(Table_1[Category],Table_1[Department]='Listing Details'!E141))),"")), 1, 1)</f>
        <v>#ERROR!</v>
      </c>
    </row>
    <row r="140" ht="12.75" customHeight="1">
      <c r="A140" s="70" t="str">
        <f>ARRAY_CONSTRAIN(ARRAYFORMULA(IFERROR(TRANSPOSE(_xlfn.UNIQUE(_xlfn._xlws.FILTER(Table_1[Category],Table_1[Department]='Listing Details'!E142))),"")), 1, 1)</f>
        <v>#ERROR!</v>
      </c>
    </row>
    <row r="141" ht="12.75" customHeight="1">
      <c r="A141" s="70" t="str">
        <f>ARRAY_CONSTRAIN(ARRAYFORMULA(IFERROR(TRANSPOSE(_xlfn.UNIQUE(_xlfn._xlws.FILTER(Table_1[Category],Table_1[Department]='Listing Details'!E143))),"")), 1, 1)</f>
        <v>#ERROR!</v>
      </c>
    </row>
    <row r="142" ht="12.75" customHeight="1">
      <c r="A142" s="70" t="str">
        <f>ARRAY_CONSTRAIN(ARRAYFORMULA(IFERROR(TRANSPOSE(_xlfn.UNIQUE(_xlfn._xlws.FILTER(Table_1[Category],Table_1[Department]='Listing Details'!E144))),"")), 1, 1)</f>
        <v>#ERROR!</v>
      </c>
    </row>
    <row r="143" ht="12.75" customHeight="1">
      <c r="A143" s="70" t="str">
        <f>ARRAY_CONSTRAIN(ARRAYFORMULA(IFERROR(TRANSPOSE(_xlfn.UNIQUE(_xlfn._xlws.FILTER(Table_1[Category],Table_1[Department]='Listing Details'!E145))),"")), 1, 1)</f>
        <v>#ERROR!</v>
      </c>
    </row>
    <row r="144" ht="12.75" customHeight="1">
      <c r="A144" s="70" t="str">
        <f>ARRAY_CONSTRAIN(ARRAYFORMULA(IFERROR(TRANSPOSE(_xlfn.UNIQUE(_xlfn._xlws.FILTER(Table_1[Category],Table_1[Department]='Listing Details'!E146))),"")), 1, 1)</f>
        <v>#ERROR!</v>
      </c>
    </row>
    <row r="145" ht="12.75" customHeight="1">
      <c r="A145" s="70" t="str">
        <f>ARRAY_CONSTRAIN(ARRAYFORMULA(IFERROR(TRANSPOSE(_xlfn.UNIQUE(_xlfn._xlws.FILTER(Table_1[Category],Table_1[Department]='Listing Details'!E147))),"")), 1, 1)</f>
        <v>#ERROR!</v>
      </c>
    </row>
    <row r="146" ht="12.75" customHeight="1">
      <c r="A146" s="70" t="str">
        <f>ARRAY_CONSTRAIN(ARRAYFORMULA(IFERROR(TRANSPOSE(_xlfn.UNIQUE(_xlfn._xlws.FILTER(Table_1[Category],Table_1[Department]='Listing Details'!E148))),"")), 1, 1)</f>
        <v>#ERROR!</v>
      </c>
    </row>
    <row r="147" ht="12.75" customHeight="1">
      <c r="A147" s="70" t="str">
        <f>ARRAY_CONSTRAIN(ARRAYFORMULA(IFERROR(TRANSPOSE(_xlfn.UNIQUE(_xlfn._xlws.FILTER(Table_1[Category],Table_1[Department]='Listing Details'!E149))),"")), 1, 1)</f>
        <v>#ERROR!</v>
      </c>
    </row>
    <row r="148" ht="12.75" customHeight="1">
      <c r="A148" s="70" t="str">
        <f>ARRAY_CONSTRAIN(ARRAYFORMULA(IFERROR(TRANSPOSE(_xlfn.UNIQUE(_xlfn._xlws.FILTER(Table_1[Category],Table_1[Department]='Listing Details'!E150))),"")), 1, 1)</f>
        <v>#ERROR!</v>
      </c>
    </row>
    <row r="149" ht="12.75" customHeight="1">
      <c r="A149" s="70" t="str">
        <f>ARRAY_CONSTRAIN(ARRAYFORMULA(IFERROR(TRANSPOSE(_xlfn.UNIQUE(_xlfn._xlws.FILTER(Table_1[Category],Table_1[Department]='Listing Details'!E151))),"")), 1, 1)</f>
        <v>#ERROR!</v>
      </c>
    </row>
    <row r="150" ht="12.75" customHeight="1">
      <c r="A150" s="70" t="str">
        <f>ARRAY_CONSTRAIN(ARRAYFORMULA(IFERROR(TRANSPOSE(_xlfn.UNIQUE(_xlfn._xlws.FILTER(Table_1[Category],Table_1[Department]='Listing Details'!E152))),"")), 1, 1)</f>
        <v>#ERROR!</v>
      </c>
    </row>
    <row r="151" ht="12.75" customHeight="1">
      <c r="A151" s="70" t="str">
        <f>ARRAY_CONSTRAIN(ARRAYFORMULA(IFERROR(TRANSPOSE(_xlfn.UNIQUE(_xlfn._xlws.FILTER(Table_1[Category],Table_1[Department]='Listing Details'!E153))),"")), 1, 1)</f>
        <v>#ERROR!</v>
      </c>
    </row>
    <row r="152" ht="12.75" customHeight="1">
      <c r="A152" s="70" t="str">
        <f>ARRAY_CONSTRAIN(ARRAYFORMULA(IFERROR(TRANSPOSE(_xlfn.UNIQUE(_xlfn._xlws.FILTER(Table_1[Category],Table_1[Department]='Listing Details'!E154))),"")), 1, 1)</f>
        <v>#ERROR!</v>
      </c>
    </row>
    <row r="153" ht="12.75" customHeight="1">
      <c r="A153" s="70" t="str">
        <f>ARRAY_CONSTRAIN(ARRAYFORMULA(IFERROR(TRANSPOSE(_xlfn.UNIQUE(_xlfn._xlws.FILTER(Table_1[Category],Table_1[Department]='Listing Details'!E155))),"")), 1, 1)</f>
        <v>#ERROR!</v>
      </c>
    </row>
    <row r="154" ht="12.75" customHeight="1">
      <c r="A154" s="70" t="str">
        <f>ARRAY_CONSTRAIN(ARRAYFORMULA(IFERROR(TRANSPOSE(_xlfn.UNIQUE(_xlfn._xlws.FILTER(Table_1[Category],Table_1[Department]='Listing Details'!E156))),"")), 1, 1)</f>
        <v>#ERROR!</v>
      </c>
    </row>
    <row r="155" ht="12.75" customHeight="1">
      <c r="A155" s="70" t="str">
        <f>ARRAY_CONSTRAIN(ARRAYFORMULA(IFERROR(TRANSPOSE(_xlfn.UNIQUE(_xlfn._xlws.FILTER(Table_1[Category],Table_1[Department]='Listing Details'!E157))),"")), 1, 1)</f>
        <v>#ERROR!</v>
      </c>
    </row>
    <row r="156" ht="12.75" customHeight="1">
      <c r="A156" s="70" t="str">
        <f>ARRAY_CONSTRAIN(ARRAYFORMULA(IFERROR(TRANSPOSE(_xlfn.UNIQUE(_xlfn._xlws.FILTER(Table_1[Category],Table_1[Department]='Listing Details'!E158))),"")), 1, 1)</f>
        <v>#ERROR!</v>
      </c>
    </row>
    <row r="157" ht="12.75" customHeight="1">
      <c r="A157" s="70" t="str">
        <f>ARRAY_CONSTRAIN(ARRAYFORMULA(IFERROR(TRANSPOSE(_xlfn.UNIQUE(_xlfn._xlws.FILTER(Table_1[Category],Table_1[Department]='Listing Details'!E159))),"")), 1, 1)</f>
        <v>#ERROR!</v>
      </c>
    </row>
    <row r="158" ht="12.75" customHeight="1">
      <c r="A158" s="70" t="str">
        <f>ARRAY_CONSTRAIN(ARRAYFORMULA(IFERROR(TRANSPOSE(_xlfn.UNIQUE(_xlfn._xlws.FILTER(Table_1[Category],Table_1[Department]='Listing Details'!E160))),"")), 1, 1)</f>
        <v>#ERROR!</v>
      </c>
    </row>
    <row r="159" ht="12.75" customHeight="1">
      <c r="A159" s="70" t="str">
        <f>ARRAY_CONSTRAIN(ARRAYFORMULA(IFERROR(TRANSPOSE(_xlfn.UNIQUE(_xlfn._xlws.FILTER(Table_1[Category],Table_1[Department]='Listing Details'!E161))),"")), 1, 1)</f>
        <v>#ERROR!</v>
      </c>
    </row>
    <row r="160" ht="12.75" customHeight="1">
      <c r="A160" s="70" t="str">
        <f>ARRAY_CONSTRAIN(ARRAYFORMULA(IFERROR(TRANSPOSE(_xlfn.UNIQUE(_xlfn._xlws.FILTER(Table_1[Category],Table_1[Department]='Listing Details'!E162))),"")), 1, 1)</f>
        <v>#ERROR!</v>
      </c>
    </row>
    <row r="161" ht="12.75" customHeight="1">
      <c r="A161" s="70" t="str">
        <f>ARRAY_CONSTRAIN(ARRAYFORMULA(IFERROR(TRANSPOSE(_xlfn.UNIQUE(_xlfn._xlws.FILTER(Table_1[Category],Table_1[Department]='Listing Details'!E163))),"")), 1, 1)</f>
        <v>#ERROR!</v>
      </c>
    </row>
    <row r="162" ht="12.75" customHeight="1">
      <c r="A162" s="70" t="str">
        <f>ARRAY_CONSTRAIN(ARRAYFORMULA(IFERROR(TRANSPOSE(_xlfn.UNIQUE(_xlfn._xlws.FILTER(Table_1[Category],Table_1[Department]='Listing Details'!E164))),"")), 1, 1)</f>
        <v>#ERROR!</v>
      </c>
    </row>
    <row r="163" ht="12.75" customHeight="1">
      <c r="A163" s="70" t="str">
        <f>ARRAY_CONSTRAIN(ARRAYFORMULA(IFERROR(TRANSPOSE(_xlfn.UNIQUE(_xlfn._xlws.FILTER(Table_1[Category],Table_1[Department]='Listing Details'!E165))),"")), 1, 1)</f>
        <v>#ERROR!</v>
      </c>
    </row>
    <row r="164" ht="12.75" customHeight="1">
      <c r="A164" s="70" t="str">
        <f>ARRAY_CONSTRAIN(ARRAYFORMULA(IFERROR(TRANSPOSE(_xlfn.UNIQUE(_xlfn._xlws.FILTER(Table_1[Category],Table_1[Department]='Listing Details'!E166))),"")), 1, 1)</f>
        <v>#ERROR!</v>
      </c>
    </row>
    <row r="165" ht="12.75" customHeight="1">
      <c r="A165" s="70" t="str">
        <f>ARRAY_CONSTRAIN(ARRAYFORMULA(IFERROR(TRANSPOSE(_xlfn.UNIQUE(_xlfn._xlws.FILTER(Table_1[Category],Table_1[Department]='Listing Details'!E167))),"")), 1, 1)</f>
        <v>#ERROR!</v>
      </c>
    </row>
    <row r="166" ht="12.75" customHeight="1">
      <c r="A166" s="70" t="str">
        <f>ARRAY_CONSTRAIN(ARRAYFORMULA(IFERROR(TRANSPOSE(_xlfn.UNIQUE(_xlfn._xlws.FILTER(Table_1[Category],Table_1[Department]='Listing Details'!E168))),"")), 1, 1)</f>
        <v>#ERROR!</v>
      </c>
    </row>
    <row r="167" ht="12.75" customHeight="1">
      <c r="A167" s="70" t="str">
        <f>ARRAY_CONSTRAIN(ARRAYFORMULA(IFERROR(TRANSPOSE(_xlfn.UNIQUE(_xlfn._xlws.FILTER(Table_1[Category],Table_1[Department]='Listing Details'!E169))),"")), 1, 1)</f>
        <v>#ERROR!</v>
      </c>
    </row>
    <row r="168" ht="12.75" customHeight="1">
      <c r="A168" s="70" t="str">
        <f>ARRAY_CONSTRAIN(ARRAYFORMULA(IFERROR(TRANSPOSE(_xlfn.UNIQUE(_xlfn._xlws.FILTER(Table_1[Category],Table_1[Department]='Listing Details'!E170))),"")), 1, 1)</f>
        <v>#ERROR!</v>
      </c>
    </row>
    <row r="169" ht="12.75" customHeight="1">
      <c r="A169" s="70" t="str">
        <f>ARRAY_CONSTRAIN(ARRAYFORMULA(IFERROR(TRANSPOSE(_xlfn.UNIQUE(_xlfn._xlws.FILTER(Table_1[Category],Table_1[Department]='Listing Details'!E171))),"")), 1, 1)</f>
        <v>#ERROR!</v>
      </c>
    </row>
    <row r="170" ht="12.75" customHeight="1">
      <c r="A170" s="70" t="str">
        <f>ARRAY_CONSTRAIN(ARRAYFORMULA(IFERROR(TRANSPOSE(_xlfn.UNIQUE(_xlfn._xlws.FILTER(Table_1[Category],Table_1[Department]='Listing Details'!E172))),"")), 1, 1)</f>
        <v>#ERROR!</v>
      </c>
    </row>
    <row r="171" ht="12.75" customHeight="1">
      <c r="A171" s="70" t="str">
        <f>ARRAY_CONSTRAIN(ARRAYFORMULA(IFERROR(TRANSPOSE(_xlfn.UNIQUE(_xlfn._xlws.FILTER(Table_1[Category],Table_1[Department]='Listing Details'!E173))),"")), 1, 1)</f>
        <v>#ERROR!</v>
      </c>
    </row>
    <row r="172" ht="12.75" customHeight="1">
      <c r="A172" s="70" t="str">
        <f>ARRAY_CONSTRAIN(ARRAYFORMULA(IFERROR(TRANSPOSE(_xlfn.UNIQUE(_xlfn._xlws.FILTER(Table_1[Category],Table_1[Department]='Listing Details'!E174))),"")), 1, 1)</f>
        <v>#ERROR!</v>
      </c>
    </row>
    <row r="173" ht="12.75" customHeight="1">
      <c r="A173" s="70" t="str">
        <f>ARRAY_CONSTRAIN(ARRAYFORMULA(IFERROR(TRANSPOSE(_xlfn.UNIQUE(_xlfn._xlws.FILTER(Table_1[Category],Table_1[Department]='Listing Details'!E175))),"")), 1, 1)</f>
        <v>#ERROR!</v>
      </c>
    </row>
    <row r="174" ht="12.75" customHeight="1">
      <c r="A174" s="70" t="str">
        <f>ARRAY_CONSTRAIN(ARRAYFORMULA(IFERROR(TRANSPOSE(_xlfn.UNIQUE(_xlfn._xlws.FILTER(Table_1[Category],Table_1[Department]='Listing Details'!E176))),"")), 1, 1)</f>
        <v>#ERROR!</v>
      </c>
    </row>
    <row r="175" ht="12.75" customHeight="1">
      <c r="A175" s="70" t="str">
        <f>ARRAY_CONSTRAIN(ARRAYFORMULA(IFERROR(TRANSPOSE(_xlfn.UNIQUE(_xlfn._xlws.FILTER(Table_1[Category],Table_1[Department]='Listing Details'!E177))),"")), 1, 1)</f>
        <v>#ERROR!</v>
      </c>
    </row>
    <row r="176" ht="12.75" customHeight="1">
      <c r="A176" s="70" t="str">
        <f>ARRAY_CONSTRAIN(ARRAYFORMULA(IFERROR(TRANSPOSE(_xlfn.UNIQUE(_xlfn._xlws.FILTER(Table_1[Category],Table_1[Department]='Listing Details'!E178))),"")), 1, 1)</f>
        <v>#ERROR!</v>
      </c>
    </row>
    <row r="177" ht="12.75" customHeight="1">
      <c r="A177" s="70" t="str">
        <f>ARRAY_CONSTRAIN(ARRAYFORMULA(IFERROR(TRANSPOSE(_xlfn.UNIQUE(_xlfn._xlws.FILTER(Table_1[Category],Table_1[Department]='Listing Details'!E179))),"")), 1, 1)</f>
        <v>#ERROR!</v>
      </c>
    </row>
    <row r="178" ht="12.75" customHeight="1">
      <c r="A178" s="70" t="str">
        <f>ARRAY_CONSTRAIN(ARRAYFORMULA(IFERROR(TRANSPOSE(_xlfn.UNIQUE(_xlfn._xlws.FILTER(Table_1[Category],Table_1[Department]='Listing Details'!E180))),"")), 1, 1)</f>
        <v>#ERROR!</v>
      </c>
    </row>
    <row r="179" ht="12.75" customHeight="1">
      <c r="A179" s="70" t="str">
        <f>ARRAY_CONSTRAIN(ARRAYFORMULA(IFERROR(TRANSPOSE(_xlfn.UNIQUE(_xlfn._xlws.FILTER(Table_1[Category],Table_1[Department]='Listing Details'!E181))),"")), 1, 1)</f>
        <v>#ERROR!</v>
      </c>
    </row>
    <row r="180" ht="12.75" customHeight="1">
      <c r="A180" s="70" t="str">
        <f>ARRAY_CONSTRAIN(ARRAYFORMULA(IFERROR(TRANSPOSE(_xlfn.UNIQUE(_xlfn._xlws.FILTER(Table_1[Category],Table_1[Department]='Listing Details'!E182))),"")), 1, 1)</f>
        <v>#ERROR!</v>
      </c>
    </row>
    <row r="181" ht="12.75" customHeight="1">
      <c r="A181" s="70" t="str">
        <f>ARRAY_CONSTRAIN(ARRAYFORMULA(IFERROR(TRANSPOSE(_xlfn.UNIQUE(_xlfn._xlws.FILTER(Table_1[Category],Table_1[Department]='Listing Details'!E183))),"")), 1, 1)</f>
        <v>#ERROR!</v>
      </c>
    </row>
    <row r="182" ht="12.75" customHeight="1">
      <c r="A182" s="70" t="str">
        <f>ARRAY_CONSTRAIN(ARRAYFORMULA(IFERROR(TRANSPOSE(_xlfn.UNIQUE(_xlfn._xlws.FILTER(Table_1[Category],Table_1[Department]='Listing Details'!E184))),"")), 1, 1)</f>
        <v>#ERROR!</v>
      </c>
    </row>
    <row r="183" ht="12.75" customHeight="1">
      <c r="A183" s="70" t="str">
        <f>ARRAY_CONSTRAIN(ARRAYFORMULA(IFERROR(TRANSPOSE(_xlfn.UNIQUE(_xlfn._xlws.FILTER(Table_1[Category],Table_1[Department]='Listing Details'!E185))),"")), 1, 1)</f>
        <v>#ERROR!</v>
      </c>
    </row>
    <row r="184" ht="12.75" customHeight="1">
      <c r="A184" s="70" t="str">
        <f>ARRAY_CONSTRAIN(ARRAYFORMULA(IFERROR(TRANSPOSE(_xlfn.UNIQUE(_xlfn._xlws.FILTER(Table_1[Category],Table_1[Department]='Listing Details'!E186))),"")), 1, 1)</f>
        <v>#ERROR!</v>
      </c>
    </row>
    <row r="185" ht="12.75" customHeight="1">
      <c r="A185" s="70" t="str">
        <f>ARRAY_CONSTRAIN(ARRAYFORMULA(IFERROR(TRANSPOSE(_xlfn.UNIQUE(_xlfn._xlws.FILTER(Table_1[Category],Table_1[Department]='Listing Details'!E187))),"")), 1, 1)</f>
        <v>#ERROR!</v>
      </c>
    </row>
    <row r="186" ht="12.75" customHeight="1">
      <c r="A186" s="70" t="str">
        <f>ARRAY_CONSTRAIN(ARRAYFORMULA(IFERROR(TRANSPOSE(_xlfn.UNIQUE(_xlfn._xlws.FILTER(Table_1[Category],Table_1[Department]='Listing Details'!E188))),"")), 1, 1)</f>
        <v>#ERROR!</v>
      </c>
    </row>
    <row r="187" ht="12.75" customHeight="1">
      <c r="A187" s="70" t="str">
        <f>ARRAY_CONSTRAIN(ARRAYFORMULA(IFERROR(TRANSPOSE(_xlfn.UNIQUE(_xlfn._xlws.FILTER(Table_1[Category],Table_1[Department]='Listing Details'!E189))),"")), 1, 1)</f>
        <v>#ERROR!</v>
      </c>
    </row>
    <row r="188" ht="12.75" customHeight="1">
      <c r="A188" s="70" t="str">
        <f>ARRAY_CONSTRAIN(ARRAYFORMULA(IFERROR(TRANSPOSE(_xlfn.UNIQUE(_xlfn._xlws.FILTER(Table_1[Category],Table_1[Department]='Listing Details'!E190))),"")), 1, 1)</f>
        <v>#ERROR!</v>
      </c>
    </row>
    <row r="189" ht="12.75" customHeight="1">
      <c r="A189" s="70" t="str">
        <f>ARRAY_CONSTRAIN(ARRAYFORMULA(IFERROR(TRANSPOSE(_xlfn.UNIQUE(_xlfn._xlws.FILTER(Table_1[Category],Table_1[Department]='Listing Details'!E191))),"")), 1, 1)</f>
        <v>#ERROR!</v>
      </c>
    </row>
    <row r="190" ht="12.75" customHeight="1">
      <c r="A190" s="70" t="str">
        <f>ARRAY_CONSTRAIN(ARRAYFORMULA(IFERROR(TRANSPOSE(_xlfn.UNIQUE(_xlfn._xlws.FILTER(Table_1[Category],Table_1[Department]='Listing Details'!E192))),"")), 1, 1)</f>
        <v>#ERROR!</v>
      </c>
    </row>
    <row r="191" ht="12.75" customHeight="1">
      <c r="A191" s="70" t="str">
        <f>ARRAY_CONSTRAIN(ARRAYFORMULA(IFERROR(TRANSPOSE(_xlfn.UNIQUE(_xlfn._xlws.FILTER(Table_1[Category],Table_1[Department]='Listing Details'!E193))),"")), 1, 1)</f>
        <v>#ERROR!</v>
      </c>
    </row>
    <row r="192" ht="12.75" customHeight="1">
      <c r="A192" s="70" t="str">
        <f>ARRAY_CONSTRAIN(ARRAYFORMULA(IFERROR(TRANSPOSE(_xlfn.UNIQUE(_xlfn._xlws.FILTER(Table_1[Category],Table_1[Department]='Listing Details'!E194))),"")), 1, 1)</f>
        <v>#ERROR!</v>
      </c>
    </row>
    <row r="193" ht="12.75" customHeight="1">
      <c r="A193" s="70" t="str">
        <f>ARRAY_CONSTRAIN(ARRAYFORMULA(IFERROR(TRANSPOSE(_xlfn.UNIQUE(_xlfn._xlws.FILTER(Table_1[Category],Table_1[Department]='Listing Details'!E195))),"")), 1, 1)</f>
        <v>#ERROR!</v>
      </c>
    </row>
    <row r="194" ht="12.75" customHeight="1">
      <c r="A194" s="70" t="str">
        <f>ARRAY_CONSTRAIN(ARRAYFORMULA(IFERROR(TRANSPOSE(_xlfn.UNIQUE(_xlfn._xlws.FILTER(Table_1[Category],Table_1[Department]='Listing Details'!E196))),"")), 1, 1)</f>
        <v>#ERROR!</v>
      </c>
    </row>
    <row r="195" ht="12.75" customHeight="1">
      <c r="A195" s="70" t="str">
        <f>ARRAY_CONSTRAIN(ARRAYFORMULA(IFERROR(TRANSPOSE(_xlfn.UNIQUE(_xlfn._xlws.FILTER(Table_1[Category],Table_1[Department]='Listing Details'!E197))),"")), 1, 1)</f>
        <v>#ERROR!</v>
      </c>
    </row>
    <row r="196" ht="12.75" customHeight="1">
      <c r="A196" s="70" t="str">
        <f>ARRAY_CONSTRAIN(ARRAYFORMULA(IFERROR(TRANSPOSE(_xlfn.UNIQUE(_xlfn._xlws.FILTER(Table_1[Category],Table_1[Department]='Listing Details'!E198))),"")), 1, 1)</f>
        <v>#ERROR!</v>
      </c>
    </row>
    <row r="197" ht="12.75" customHeight="1">
      <c r="A197" s="70" t="str">
        <f>ARRAY_CONSTRAIN(ARRAYFORMULA(IFERROR(TRANSPOSE(_xlfn.UNIQUE(_xlfn._xlws.FILTER(Table_1[Category],Table_1[Department]='Listing Details'!E199))),"")), 1, 1)</f>
        <v>#ERROR!</v>
      </c>
    </row>
    <row r="198" ht="12.75" customHeight="1">
      <c r="A198" s="70" t="str">
        <f>ARRAY_CONSTRAIN(ARRAYFORMULA(IFERROR(TRANSPOSE(_xlfn.UNIQUE(_xlfn._xlws.FILTER(Table_1[Category],Table_1[Department]='Listing Details'!E200))),"")), 1, 1)</f>
        <v>#ERROR!</v>
      </c>
    </row>
    <row r="199" ht="12.75" customHeight="1">
      <c r="A199" s="70" t="str">
        <f>ARRAY_CONSTRAIN(ARRAYFORMULA(IFERROR(TRANSPOSE(_xlfn.UNIQUE(_xlfn._xlws.FILTER(Table_1[Category],Table_1[Department]='Listing Details'!E201))),"")), 1, 1)</f>
        <v>#ERROR!</v>
      </c>
    </row>
    <row r="200" ht="12.75" customHeight="1">
      <c r="A200" s="70" t="str">
        <f>ARRAY_CONSTRAIN(ARRAYFORMULA(IFERROR(TRANSPOSE(_xlfn.UNIQUE(_xlfn._xlws.FILTER(Table_1[Category],Table_1[Department]='Listing Details'!E202))),"")), 1, 1)</f>
        <v>#ERROR!</v>
      </c>
    </row>
    <row r="201" ht="12.75" customHeight="1">
      <c r="A201" s="70" t="str">
        <f>ARRAY_CONSTRAIN(ARRAYFORMULA(IFERROR(TRANSPOSE(_xlfn.UNIQUE(_xlfn._xlws.FILTER(Table_1[Category],Table_1[Department]='Listing Details'!E203))),"")), 1, 1)</f>
        <v>#ERROR!</v>
      </c>
    </row>
    <row r="202" ht="12.75" customHeight="1">
      <c r="A202" s="70" t="str">
        <f>ARRAY_CONSTRAIN(ARRAYFORMULA(IFERROR(TRANSPOSE(_xlfn.UNIQUE(_xlfn._xlws.FILTER(Table_1[Category],Table_1[Department]='Listing Details'!E204))),"")), 1, 1)</f>
        <v>#ERROR!</v>
      </c>
    </row>
    <row r="203" ht="12.75" customHeight="1">
      <c r="A203" s="70" t="str">
        <f>ARRAY_CONSTRAIN(ARRAYFORMULA(IFERROR(TRANSPOSE(_xlfn.UNIQUE(_xlfn._xlws.FILTER(Table_1[Category],Table_1[Department]='Listing Details'!E205))),"")), 1, 1)</f>
        <v>#ERROR!</v>
      </c>
    </row>
    <row r="204" ht="12.75" customHeight="1">
      <c r="A204" s="70" t="str">
        <f>ARRAY_CONSTRAIN(ARRAYFORMULA(IFERROR(TRANSPOSE(_xlfn.UNIQUE(_xlfn._xlws.FILTER(Table_1[Category],Table_1[Department]='Listing Details'!E206))),"")), 1, 1)</f>
        <v>#ERROR!</v>
      </c>
    </row>
    <row r="205" ht="12.75" customHeight="1">
      <c r="A205" s="70" t="str">
        <f>ARRAY_CONSTRAIN(ARRAYFORMULA(IFERROR(TRANSPOSE(_xlfn.UNIQUE(_xlfn._xlws.FILTER(Table_1[Category],Table_1[Department]='Listing Details'!E207))),"")), 1, 1)</f>
        <v>#ERROR!</v>
      </c>
    </row>
    <row r="206" ht="12.75" customHeight="1">
      <c r="A206" s="70" t="str">
        <f>ARRAY_CONSTRAIN(ARRAYFORMULA(IFERROR(TRANSPOSE(_xlfn.UNIQUE(_xlfn._xlws.FILTER(Table_1[Category],Table_1[Department]='Listing Details'!E208))),"")), 1, 1)</f>
        <v>#ERROR!</v>
      </c>
    </row>
    <row r="207" ht="12.75" customHeight="1">
      <c r="A207" s="70" t="str">
        <f>ARRAY_CONSTRAIN(ARRAYFORMULA(IFERROR(TRANSPOSE(_xlfn.UNIQUE(_xlfn._xlws.FILTER(Table_1[Category],Table_1[Department]='Listing Details'!E209))),"")), 1, 1)</f>
        <v>#ERROR!</v>
      </c>
    </row>
    <row r="208" ht="12.75" customHeight="1">
      <c r="A208" s="70" t="str">
        <f>ARRAY_CONSTRAIN(ARRAYFORMULA(IFERROR(TRANSPOSE(_xlfn.UNIQUE(_xlfn._xlws.FILTER(Table_1[Category],Table_1[Department]='Listing Details'!E210))),"")), 1, 1)</f>
        <v>#ERROR!</v>
      </c>
    </row>
    <row r="209" ht="12.75" customHeight="1">
      <c r="A209" s="70" t="str">
        <f>ARRAY_CONSTRAIN(ARRAYFORMULA(IFERROR(TRANSPOSE(_xlfn.UNIQUE(_xlfn._xlws.FILTER(Table_1[Category],Table_1[Department]='Listing Details'!E211))),"")), 1, 1)</f>
        <v>#ERROR!</v>
      </c>
    </row>
    <row r="210" ht="12.75" customHeight="1">
      <c r="A210" s="70" t="str">
        <f>ARRAY_CONSTRAIN(ARRAYFORMULA(IFERROR(TRANSPOSE(_xlfn.UNIQUE(_xlfn._xlws.FILTER(Table_1[Category],Table_1[Department]='Listing Details'!E212))),"")), 1, 1)</f>
        <v>#ERROR!</v>
      </c>
    </row>
    <row r="211" ht="12.75" customHeight="1">
      <c r="A211" s="70" t="str">
        <f>ARRAY_CONSTRAIN(ARRAYFORMULA(IFERROR(TRANSPOSE(_xlfn.UNIQUE(_xlfn._xlws.FILTER(Table_1[Category],Table_1[Department]='Listing Details'!E213))),"")), 1, 1)</f>
        <v>#ERROR!</v>
      </c>
    </row>
    <row r="212" ht="12.75" customHeight="1">
      <c r="A212" s="70" t="str">
        <f>ARRAY_CONSTRAIN(ARRAYFORMULA(IFERROR(TRANSPOSE(_xlfn.UNIQUE(_xlfn._xlws.FILTER(Table_1[Category],Table_1[Department]='Listing Details'!E214))),"")), 1, 1)</f>
        <v>#ERROR!</v>
      </c>
    </row>
    <row r="213" ht="12.75" customHeight="1">
      <c r="A213" s="70" t="str">
        <f>ARRAY_CONSTRAIN(ARRAYFORMULA(IFERROR(TRANSPOSE(_xlfn.UNIQUE(_xlfn._xlws.FILTER(Table_1[Category],Table_1[Department]='Listing Details'!E215))),"")), 1, 1)</f>
        <v>#ERROR!</v>
      </c>
    </row>
    <row r="214" ht="12.75" customHeight="1">
      <c r="A214" s="70" t="str">
        <f>ARRAY_CONSTRAIN(ARRAYFORMULA(IFERROR(TRANSPOSE(_xlfn.UNIQUE(_xlfn._xlws.FILTER(Table_1[Category],Table_1[Department]='Listing Details'!E216))),"")), 1, 1)</f>
        <v>#ERROR!</v>
      </c>
    </row>
    <row r="215" ht="12.75" customHeight="1">
      <c r="A215" s="70" t="str">
        <f>ARRAY_CONSTRAIN(ARRAYFORMULA(IFERROR(TRANSPOSE(_xlfn.UNIQUE(_xlfn._xlws.FILTER(Table_1[Category],Table_1[Department]='Listing Details'!E217))),"")), 1, 1)</f>
        <v>#ERROR!</v>
      </c>
    </row>
    <row r="216" ht="12.75" customHeight="1">
      <c r="A216" s="70" t="str">
        <f>ARRAY_CONSTRAIN(ARRAYFORMULA(IFERROR(TRANSPOSE(_xlfn.UNIQUE(_xlfn._xlws.FILTER(Table_1[Category],Table_1[Department]='Listing Details'!E218))),"")), 1, 1)</f>
        <v>#ERROR!</v>
      </c>
    </row>
    <row r="217" ht="12.75" customHeight="1">
      <c r="A217" s="70" t="str">
        <f>ARRAY_CONSTRAIN(ARRAYFORMULA(IFERROR(TRANSPOSE(_xlfn.UNIQUE(_xlfn._xlws.FILTER(Table_1[Category],Table_1[Department]='Listing Details'!E219))),"")), 1, 1)</f>
        <v>#ERROR!</v>
      </c>
    </row>
    <row r="218" ht="12.75" customHeight="1">
      <c r="A218" s="70" t="str">
        <f>ARRAY_CONSTRAIN(ARRAYFORMULA(IFERROR(TRANSPOSE(_xlfn.UNIQUE(_xlfn._xlws.FILTER(Table_1[Category],Table_1[Department]='Listing Details'!E220))),"")), 1, 1)</f>
        <v>#ERROR!</v>
      </c>
    </row>
    <row r="219" ht="12.75" customHeight="1">
      <c r="A219" s="70" t="str">
        <f>ARRAY_CONSTRAIN(ARRAYFORMULA(IFERROR(TRANSPOSE(_xlfn.UNIQUE(_xlfn._xlws.FILTER(Table_1[Category],Table_1[Department]='Listing Details'!E221))),"")), 1, 1)</f>
        <v>#ERROR!</v>
      </c>
    </row>
    <row r="220" ht="12.75" customHeight="1">
      <c r="A220" s="70" t="str">
        <f>ARRAY_CONSTRAIN(ARRAYFORMULA(IFERROR(TRANSPOSE(_xlfn.UNIQUE(_xlfn._xlws.FILTER(Table_1[Category],Table_1[Department]='Listing Details'!E222))),"")), 1, 1)</f>
        <v>#ERROR!</v>
      </c>
    </row>
    <row r="221" ht="12.75" customHeight="1">
      <c r="A221" s="70" t="str">
        <f>ARRAY_CONSTRAIN(ARRAYFORMULA(IFERROR(TRANSPOSE(_xlfn.UNIQUE(_xlfn._xlws.FILTER(Table_1[Category],Table_1[Department]='Listing Details'!E223))),"")), 1, 1)</f>
        <v>#ERROR!</v>
      </c>
    </row>
    <row r="222" ht="12.75" customHeight="1">
      <c r="A222" s="70" t="str">
        <f>ARRAY_CONSTRAIN(ARRAYFORMULA(IFERROR(TRANSPOSE(_xlfn.UNIQUE(_xlfn._xlws.FILTER(Table_1[Category],Table_1[Department]='Listing Details'!E224))),"")), 1, 1)</f>
        <v>#ERROR!</v>
      </c>
    </row>
    <row r="223" ht="12.75" customHeight="1">
      <c r="A223" s="70" t="str">
        <f>ARRAY_CONSTRAIN(ARRAYFORMULA(IFERROR(TRANSPOSE(_xlfn.UNIQUE(_xlfn._xlws.FILTER(Table_1[Category],Table_1[Department]='Listing Details'!E225))),"")), 1, 1)</f>
        <v>#ERROR!</v>
      </c>
    </row>
    <row r="224" ht="12.75" customHeight="1">
      <c r="A224" s="70" t="str">
        <f>ARRAY_CONSTRAIN(ARRAYFORMULA(IFERROR(TRANSPOSE(_xlfn.UNIQUE(_xlfn._xlws.FILTER(Table_1[Category],Table_1[Department]='Listing Details'!E226))),"")), 1, 1)</f>
        <v>#ERROR!</v>
      </c>
    </row>
    <row r="225" ht="12.75" customHeight="1">
      <c r="A225" s="70" t="str">
        <f>ARRAY_CONSTRAIN(ARRAYFORMULA(IFERROR(TRANSPOSE(_xlfn.UNIQUE(_xlfn._xlws.FILTER(Table_1[Category],Table_1[Department]='Listing Details'!E227))),"")), 1, 1)</f>
        <v>#ERROR!</v>
      </c>
    </row>
    <row r="226" ht="12.75" customHeight="1">
      <c r="A226" s="70" t="str">
        <f>ARRAY_CONSTRAIN(ARRAYFORMULA(IFERROR(TRANSPOSE(_xlfn.UNIQUE(_xlfn._xlws.FILTER(Table_1[Category],Table_1[Department]='Listing Details'!E228))),"")), 1, 1)</f>
        <v>#ERROR!</v>
      </c>
    </row>
    <row r="227" ht="12.75" customHeight="1">
      <c r="A227" s="70" t="str">
        <f>ARRAY_CONSTRAIN(ARRAYFORMULA(IFERROR(TRANSPOSE(_xlfn.UNIQUE(_xlfn._xlws.FILTER(Table_1[Category],Table_1[Department]='Listing Details'!E229))),"")), 1, 1)</f>
        <v>#ERROR!</v>
      </c>
    </row>
    <row r="228" ht="12.75" customHeight="1">
      <c r="A228" s="70" t="str">
        <f>ARRAY_CONSTRAIN(ARRAYFORMULA(IFERROR(TRANSPOSE(_xlfn.UNIQUE(_xlfn._xlws.FILTER(Table_1[Category],Table_1[Department]='Listing Details'!E230))),"")), 1, 1)</f>
        <v>#ERROR!</v>
      </c>
    </row>
    <row r="229" ht="12.75" customHeight="1">
      <c r="A229" s="70" t="str">
        <f>ARRAY_CONSTRAIN(ARRAYFORMULA(IFERROR(TRANSPOSE(_xlfn.UNIQUE(_xlfn._xlws.FILTER(Table_1[Category],Table_1[Department]='Listing Details'!E231))),"")), 1, 1)</f>
        <v>#ERROR!</v>
      </c>
    </row>
    <row r="230" ht="12.75" customHeight="1">
      <c r="A230" s="70" t="str">
        <f>ARRAY_CONSTRAIN(ARRAYFORMULA(IFERROR(TRANSPOSE(_xlfn.UNIQUE(_xlfn._xlws.FILTER(Table_1[Category],Table_1[Department]='Listing Details'!E232))),"")), 1, 1)</f>
        <v>#ERROR!</v>
      </c>
    </row>
    <row r="231" ht="12.75" customHeight="1">
      <c r="A231" s="70" t="str">
        <f>ARRAY_CONSTRAIN(ARRAYFORMULA(IFERROR(TRANSPOSE(_xlfn.UNIQUE(_xlfn._xlws.FILTER(Table_1[Category],Table_1[Department]='Listing Details'!E233))),"")), 1, 1)</f>
        <v>#ERROR!</v>
      </c>
    </row>
    <row r="232" ht="12.75" customHeight="1">
      <c r="A232" s="70" t="str">
        <f>ARRAY_CONSTRAIN(ARRAYFORMULA(IFERROR(TRANSPOSE(_xlfn.UNIQUE(_xlfn._xlws.FILTER(Table_1[Category],Table_1[Department]='Listing Details'!E234))),"")), 1, 1)</f>
        <v>#ERROR!</v>
      </c>
    </row>
    <row r="233" ht="12.75" customHeight="1">
      <c r="A233" s="70" t="str">
        <f>ARRAY_CONSTRAIN(ARRAYFORMULA(IFERROR(TRANSPOSE(_xlfn.UNIQUE(_xlfn._xlws.FILTER(Table_1[Category],Table_1[Department]='Listing Details'!E235))),"")), 1, 1)</f>
        <v>#ERROR!</v>
      </c>
    </row>
    <row r="234" ht="12.75" customHeight="1">
      <c r="A234" s="70" t="str">
        <f>ARRAY_CONSTRAIN(ARRAYFORMULA(IFERROR(TRANSPOSE(_xlfn.UNIQUE(_xlfn._xlws.FILTER(Table_1[Category],Table_1[Department]='Listing Details'!E236))),"")), 1, 1)</f>
        <v>#ERROR!</v>
      </c>
    </row>
    <row r="235" ht="12.75" customHeight="1">
      <c r="A235" s="70" t="str">
        <f>ARRAY_CONSTRAIN(ARRAYFORMULA(IFERROR(TRANSPOSE(_xlfn.UNIQUE(_xlfn._xlws.FILTER(Table_1[Category],Table_1[Department]='Listing Details'!E237))),"")), 1, 1)</f>
        <v>#ERROR!</v>
      </c>
    </row>
    <row r="236" ht="12.75" customHeight="1">
      <c r="A236" s="70" t="str">
        <f>ARRAY_CONSTRAIN(ARRAYFORMULA(IFERROR(TRANSPOSE(_xlfn.UNIQUE(_xlfn._xlws.FILTER(Table_1[Category],Table_1[Department]='Listing Details'!E238))),"")), 1, 1)</f>
        <v>#ERROR!</v>
      </c>
    </row>
    <row r="237" ht="12.75" customHeight="1">
      <c r="A237" s="70" t="str">
        <f>ARRAY_CONSTRAIN(ARRAYFORMULA(IFERROR(TRANSPOSE(_xlfn.UNIQUE(_xlfn._xlws.FILTER(Table_1[Category],Table_1[Department]='Listing Details'!E239))),"")), 1, 1)</f>
        <v>#ERROR!</v>
      </c>
    </row>
    <row r="238" ht="12.75" customHeight="1">
      <c r="A238" s="70" t="str">
        <f>ARRAY_CONSTRAIN(ARRAYFORMULA(IFERROR(TRANSPOSE(_xlfn.UNIQUE(_xlfn._xlws.FILTER(Table_1[Category],Table_1[Department]='Listing Details'!E240))),"")), 1, 1)</f>
        <v>#ERROR!</v>
      </c>
    </row>
    <row r="239" ht="12.75" customHeight="1">
      <c r="A239" s="70" t="str">
        <f>ARRAY_CONSTRAIN(ARRAYFORMULA(IFERROR(TRANSPOSE(_xlfn.UNIQUE(_xlfn._xlws.FILTER(Table_1[Category],Table_1[Department]='Listing Details'!E241))),"")), 1, 1)</f>
        <v>#ERROR!</v>
      </c>
    </row>
    <row r="240" ht="12.75" customHeight="1">
      <c r="A240" s="70" t="str">
        <f>ARRAY_CONSTRAIN(ARRAYFORMULA(IFERROR(TRANSPOSE(_xlfn.UNIQUE(_xlfn._xlws.FILTER(Table_1[Category],Table_1[Department]='Listing Details'!E242))),"")), 1, 1)</f>
        <v>#ERROR!</v>
      </c>
    </row>
    <row r="241" ht="12.75" customHeight="1">
      <c r="A241" s="70" t="str">
        <f>ARRAY_CONSTRAIN(ARRAYFORMULA(IFERROR(TRANSPOSE(_xlfn.UNIQUE(_xlfn._xlws.FILTER(Table_1[Category],Table_1[Department]='Listing Details'!E243))),"")), 1, 1)</f>
        <v>#ERROR!</v>
      </c>
    </row>
    <row r="242" ht="12.75" customHeight="1">
      <c r="A242" s="70" t="str">
        <f>ARRAY_CONSTRAIN(ARRAYFORMULA(IFERROR(TRANSPOSE(_xlfn.UNIQUE(_xlfn._xlws.FILTER(Table_1[Category],Table_1[Department]='Listing Details'!E244))),"")), 1, 1)</f>
        <v>#ERROR!</v>
      </c>
    </row>
    <row r="243" ht="12.75" customHeight="1">
      <c r="A243" s="70" t="str">
        <f>ARRAY_CONSTRAIN(ARRAYFORMULA(IFERROR(TRANSPOSE(_xlfn.UNIQUE(_xlfn._xlws.FILTER(Table_1[Category],Table_1[Department]='Listing Details'!E245))),"")), 1, 1)</f>
        <v>#ERROR!</v>
      </c>
    </row>
    <row r="244" ht="12.75" customHeight="1">
      <c r="A244" s="70" t="str">
        <f>ARRAY_CONSTRAIN(ARRAYFORMULA(IFERROR(TRANSPOSE(_xlfn.UNIQUE(_xlfn._xlws.FILTER(Table_1[Category],Table_1[Department]='Listing Details'!E246))),"")), 1, 1)</f>
        <v>#ERROR!</v>
      </c>
    </row>
    <row r="245" ht="12.75" customHeight="1">
      <c r="A245" s="70" t="str">
        <f>ARRAY_CONSTRAIN(ARRAYFORMULA(IFERROR(TRANSPOSE(_xlfn.UNIQUE(_xlfn._xlws.FILTER(Table_1[Category],Table_1[Department]='Listing Details'!E247))),"")), 1, 1)</f>
        <v>#ERROR!</v>
      </c>
    </row>
    <row r="246" ht="12.75" customHeight="1">
      <c r="A246" s="70" t="str">
        <f>ARRAY_CONSTRAIN(ARRAYFORMULA(IFERROR(TRANSPOSE(_xlfn.UNIQUE(_xlfn._xlws.FILTER(Table_1[Category],Table_1[Department]='Listing Details'!E248))),"")), 1, 1)</f>
        <v>#ERROR!</v>
      </c>
    </row>
    <row r="247" ht="12.75" customHeight="1">
      <c r="A247" s="70" t="str">
        <f>ARRAY_CONSTRAIN(ARRAYFORMULA(IFERROR(TRANSPOSE(_xlfn.UNIQUE(_xlfn._xlws.FILTER(Table_1[Category],Table_1[Department]='Listing Details'!E249))),"")), 1, 1)</f>
        <v>#ERROR!</v>
      </c>
    </row>
    <row r="248" ht="12.75" customHeight="1">
      <c r="A248" s="70" t="str">
        <f>ARRAY_CONSTRAIN(ARRAYFORMULA(IFERROR(TRANSPOSE(_xlfn.UNIQUE(_xlfn._xlws.FILTER(Table_1[Category],Table_1[Department]='Listing Details'!E250))),"")), 1, 1)</f>
        <v>#ERROR!</v>
      </c>
    </row>
    <row r="249" ht="12.75" customHeight="1">
      <c r="A249" s="70" t="str">
        <f>ARRAY_CONSTRAIN(ARRAYFORMULA(IFERROR(TRANSPOSE(_xlfn.UNIQUE(_xlfn._xlws.FILTER(Table_1[Category],Table_1[Department]='Listing Details'!E251))),"")), 1, 1)</f>
        <v>#ERROR!</v>
      </c>
    </row>
    <row r="250" ht="12.75" customHeight="1">
      <c r="A250" s="70" t="str">
        <f>ARRAY_CONSTRAIN(ARRAYFORMULA(IFERROR(TRANSPOSE(_xlfn.UNIQUE(_xlfn._xlws.FILTER(Table_1[Category],Table_1[Department]='Listing Details'!E252))),"")), 1, 1)</f>
        <v>#ERROR!</v>
      </c>
    </row>
    <row r="251" ht="12.75" customHeight="1">
      <c r="A251" s="70" t="str">
        <f>ARRAY_CONSTRAIN(ARRAYFORMULA(IFERROR(TRANSPOSE(_xlfn.UNIQUE(_xlfn._xlws.FILTER(Table_1[Category],Table_1[Department]='Listing Details'!E253))),"")), 1, 1)</f>
        <v>#ERROR!</v>
      </c>
    </row>
    <row r="252" ht="12.75" customHeight="1">
      <c r="A252" s="70" t="str">
        <f>ARRAY_CONSTRAIN(ARRAYFORMULA(IFERROR(TRANSPOSE(_xlfn.UNIQUE(_xlfn._xlws.FILTER(Table_1[Category],Table_1[Department]='Listing Details'!E254))),"")), 1, 1)</f>
        <v>#ERROR!</v>
      </c>
    </row>
    <row r="253" ht="12.75" customHeight="1">
      <c r="A253" s="70" t="str">
        <f>ARRAY_CONSTRAIN(ARRAYFORMULA(IFERROR(TRANSPOSE(_xlfn.UNIQUE(_xlfn._xlws.FILTER(Table_1[Category],Table_1[Department]='Listing Details'!E255))),"")), 1, 1)</f>
        <v>#ERROR!</v>
      </c>
    </row>
    <row r="254" ht="12.75" customHeight="1">
      <c r="A254" s="70" t="str">
        <f>ARRAY_CONSTRAIN(ARRAYFORMULA(IFERROR(TRANSPOSE(_xlfn.UNIQUE(_xlfn._xlws.FILTER(Table_1[Category],Table_1[Department]='Listing Details'!E256))),"")), 1, 1)</f>
        <v>#ERROR!</v>
      </c>
    </row>
    <row r="255" ht="12.75" customHeight="1">
      <c r="A255" s="70" t="str">
        <f>ARRAY_CONSTRAIN(ARRAYFORMULA(IFERROR(TRANSPOSE(_xlfn.UNIQUE(_xlfn._xlws.FILTER(Table_1[Category],Table_1[Department]='Listing Details'!E257))),"")), 1, 1)</f>
        <v>#ERROR!</v>
      </c>
    </row>
    <row r="256" ht="12.75" customHeight="1">
      <c r="A256" s="70" t="str">
        <f>ARRAY_CONSTRAIN(ARRAYFORMULA(IFERROR(TRANSPOSE(_xlfn.UNIQUE(_xlfn._xlws.FILTER(Table_1[Category],Table_1[Department]='Listing Details'!E258))),"")), 1, 1)</f>
        <v>#ERROR!</v>
      </c>
    </row>
    <row r="257" ht="12.75" customHeight="1">
      <c r="A257" s="70" t="str">
        <f>ARRAY_CONSTRAIN(ARRAYFORMULA(IFERROR(TRANSPOSE(_xlfn.UNIQUE(_xlfn._xlws.FILTER(Table_1[Category],Table_1[Department]='Listing Details'!E259))),"")), 1, 1)</f>
        <v>#ERROR!</v>
      </c>
    </row>
    <row r="258" ht="12.75" customHeight="1">
      <c r="A258" s="70" t="str">
        <f>ARRAY_CONSTRAIN(ARRAYFORMULA(IFERROR(TRANSPOSE(_xlfn.UNIQUE(_xlfn._xlws.FILTER(Table_1[Category],Table_1[Department]='Listing Details'!E260))),"")), 1, 1)</f>
        <v>#ERROR!</v>
      </c>
    </row>
    <row r="259" ht="12.75" customHeight="1">
      <c r="A259" s="70" t="str">
        <f>ARRAY_CONSTRAIN(ARRAYFORMULA(IFERROR(TRANSPOSE(_xlfn.UNIQUE(_xlfn._xlws.FILTER(Table_1[Category],Table_1[Department]='Listing Details'!E261))),"")), 1, 1)</f>
        <v>#ERROR!</v>
      </c>
    </row>
    <row r="260" ht="12.75" customHeight="1">
      <c r="A260" s="70" t="str">
        <f>ARRAY_CONSTRAIN(ARRAYFORMULA(IFERROR(TRANSPOSE(_xlfn.UNIQUE(_xlfn._xlws.FILTER(Table_1[Category],Table_1[Department]='Listing Details'!E262))),"")), 1, 1)</f>
        <v>#ERROR!</v>
      </c>
    </row>
    <row r="261" ht="12.75" customHeight="1">
      <c r="A261" s="70" t="str">
        <f>ARRAY_CONSTRAIN(ARRAYFORMULA(IFERROR(TRANSPOSE(_xlfn.UNIQUE(_xlfn._xlws.FILTER(Table_1[Category],Table_1[Department]='Listing Details'!E263))),"")), 1, 1)</f>
        <v>#ERROR!</v>
      </c>
    </row>
    <row r="262" ht="12.75" customHeight="1">
      <c r="A262" s="70" t="str">
        <f>ARRAY_CONSTRAIN(ARRAYFORMULA(IFERROR(TRANSPOSE(_xlfn.UNIQUE(_xlfn._xlws.FILTER(Table_1[Category],Table_1[Department]='Listing Details'!E264))),"")), 1, 1)</f>
        <v>#ERROR!</v>
      </c>
    </row>
    <row r="263" ht="12.75" customHeight="1">
      <c r="A263" s="70" t="str">
        <f>ARRAY_CONSTRAIN(ARRAYFORMULA(IFERROR(TRANSPOSE(_xlfn.UNIQUE(_xlfn._xlws.FILTER(Table_1[Category],Table_1[Department]='Listing Details'!E265))),"")), 1, 1)</f>
        <v>#ERROR!</v>
      </c>
    </row>
    <row r="264" ht="12.75" customHeight="1">
      <c r="A264" s="70" t="str">
        <f>ARRAY_CONSTRAIN(ARRAYFORMULA(IFERROR(TRANSPOSE(_xlfn.UNIQUE(_xlfn._xlws.FILTER(Table_1[Category],Table_1[Department]='Listing Details'!E266))),"")), 1, 1)</f>
        <v>#ERROR!</v>
      </c>
    </row>
    <row r="265" ht="12.75" customHeight="1">
      <c r="A265" s="70" t="str">
        <f>ARRAY_CONSTRAIN(ARRAYFORMULA(IFERROR(TRANSPOSE(_xlfn.UNIQUE(_xlfn._xlws.FILTER(Table_1[Category],Table_1[Department]='Listing Details'!E267))),"")), 1, 1)</f>
        <v>#ERROR!</v>
      </c>
    </row>
    <row r="266" ht="12.75" customHeight="1">
      <c r="A266" s="70" t="str">
        <f>ARRAY_CONSTRAIN(ARRAYFORMULA(IFERROR(TRANSPOSE(_xlfn.UNIQUE(_xlfn._xlws.FILTER(Table_1[Category],Table_1[Department]='Listing Details'!E268))),"")), 1, 1)</f>
        <v>#ERROR!</v>
      </c>
    </row>
    <row r="267" ht="12.75" customHeight="1">
      <c r="A267" s="70" t="str">
        <f>ARRAY_CONSTRAIN(ARRAYFORMULA(IFERROR(TRANSPOSE(_xlfn.UNIQUE(_xlfn._xlws.FILTER(Table_1[Category],Table_1[Department]='Listing Details'!E269))),"")), 1, 1)</f>
        <v>#ERROR!</v>
      </c>
    </row>
    <row r="268" ht="12.75" customHeight="1">
      <c r="A268" s="70" t="str">
        <f>ARRAY_CONSTRAIN(ARRAYFORMULA(IFERROR(TRANSPOSE(_xlfn.UNIQUE(_xlfn._xlws.FILTER(Table_1[Category],Table_1[Department]='Listing Details'!E270))),"")), 1, 1)</f>
        <v>#ERROR!</v>
      </c>
    </row>
    <row r="269" ht="12.75" customHeight="1">
      <c r="A269" s="70" t="str">
        <f>ARRAY_CONSTRAIN(ARRAYFORMULA(IFERROR(TRANSPOSE(_xlfn.UNIQUE(_xlfn._xlws.FILTER(Table_1[Category],Table_1[Department]='Listing Details'!E271))),"")), 1, 1)</f>
        <v>#ERROR!</v>
      </c>
    </row>
    <row r="270" ht="12.75" customHeight="1">
      <c r="A270" s="70" t="str">
        <f>ARRAY_CONSTRAIN(ARRAYFORMULA(IFERROR(TRANSPOSE(_xlfn.UNIQUE(_xlfn._xlws.FILTER(Table_1[Category],Table_1[Department]='Listing Details'!E272))),"")), 1, 1)</f>
        <v>#ERROR!</v>
      </c>
    </row>
    <row r="271" ht="12.75" customHeight="1">
      <c r="A271" s="70" t="str">
        <f>ARRAY_CONSTRAIN(ARRAYFORMULA(IFERROR(TRANSPOSE(_xlfn.UNIQUE(_xlfn._xlws.FILTER(Table_1[Category],Table_1[Department]='Listing Details'!E273))),"")), 1, 1)</f>
        <v>#ERROR!</v>
      </c>
    </row>
    <row r="272" ht="12.75" customHeight="1">
      <c r="A272" s="70" t="str">
        <f>ARRAY_CONSTRAIN(ARRAYFORMULA(IFERROR(TRANSPOSE(_xlfn.UNIQUE(_xlfn._xlws.FILTER(Table_1[Category],Table_1[Department]='Listing Details'!E274))),"")), 1, 1)</f>
        <v>#ERROR!</v>
      </c>
    </row>
    <row r="273" ht="12.75" customHeight="1">
      <c r="A273" s="70" t="str">
        <f>ARRAY_CONSTRAIN(ARRAYFORMULA(IFERROR(TRANSPOSE(_xlfn.UNIQUE(_xlfn._xlws.FILTER(Table_1[Category],Table_1[Department]='Listing Details'!E275))),"")), 1, 1)</f>
        <v>#ERROR!</v>
      </c>
    </row>
    <row r="274" ht="12.75" customHeight="1">
      <c r="A274" s="70" t="str">
        <f>ARRAY_CONSTRAIN(ARRAYFORMULA(IFERROR(TRANSPOSE(_xlfn.UNIQUE(_xlfn._xlws.FILTER(Table_1[Category],Table_1[Department]='Listing Details'!E276))),"")), 1, 1)</f>
        <v>#ERROR!</v>
      </c>
    </row>
    <row r="275" ht="12.75" customHeight="1">
      <c r="A275" s="70" t="str">
        <f>ARRAY_CONSTRAIN(ARRAYFORMULA(IFERROR(TRANSPOSE(_xlfn.UNIQUE(_xlfn._xlws.FILTER(Table_1[Category],Table_1[Department]='Listing Details'!E277))),"")), 1, 1)</f>
        <v>#ERROR!</v>
      </c>
    </row>
    <row r="276" ht="12.75" customHeight="1">
      <c r="A276" s="70" t="str">
        <f>ARRAY_CONSTRAIN(ARRAYFORMULA(IFERROR(TRANSPOSE(_xlfn.UNIQUE(_xlfn._xlws.FILTER(Table_1[Category],Table_1[Department]='Listing Details'!E278))),"")), 1, 1)</f>
        <v>#ERROR!</v>
      </c>
    </row>
    <row r="277" ht="12.75" customHeight="1">
      <c r="A277" s="70" t="str">
        <f>ARRAY_CONSTRAIN(ARRAYFORMULA(IFERROR(TRANSPOSE(_xlfn.UNIQUE(_xlfn._xlws.FILTER(Table_1[Category],Table_1[Department]='Listing Details'!E279))),"")), 1, 1)</f>
        <v>#ERROR!</v>
      </c>
    </row>
    <row r="278" ht="12.75" customHeight="1">
      <c r="A278" s="70" t="str">
        <f>ARRAY_CONSTRAIN(ARRAYFORMULA(IFERROR(TRANSPOSE(_xlfn.UNIQUE(_xlfn._xlws.FILTER(Table_1[Category],Table_1[Department]='Listing Details'!E280))),"")), 1, 1)</f>
        <v>#ERROR!</v>
      </c>
    </row>
    <row r="279" ht="12.75" customHeight="1">
      <c r="A279" s="70" t="str">
        <f>ARRAY_CONSTRAIN(ARRAYFORMULA(IFERROR(TRANSPOSE(_xlfn.UNIQUE(_xlfn._xlws.FILTER(Table_1[Category],Table_1[Department]='Listing Details'!E281))),"")), 1, 1)</f>
        <v>#ERROR!</v>
      </c>
    </row>
    <row r="280" ht="12.75" customHeight="1">
      <c r="A280" s="70" t="str">
        <f>ARRAY_CONSTRAIN(ARRAYFORMULA(IFERROR(TRANSPOSE(_xlfn.UNIQUE(_xlfn._xlws.FILTER(Table_1[Category],Table_1[Department]='Listing Details'!E282))),"")), 1, 1)</f>
        <v>#ERROR!</v>
      </c>
    </row>
    <row r="281" ht="12.75" customHeight="1">
      <c r="A281" s="70" t="str">
        <f>ARRAY_CONSTRAIN(ARRAYFORMULA(IFERROR(TRANSPOSE(_xlfn.UNIQUE(_xlfn._xlws.FILTER(Table_1[Category],Table_1[Department]='Listing Details'!E283))),"")), 1, 1)</f>
        <v>#ERROR!</v>
      </c>
    </row>
    <row r="282" ht="12.75" customHeight="1">
      <c r="A282" s="70" t="str">
        <f>ARRAY_CONSTRAIN(ARRAYFORMULA(IFERROR(TRANSPOSE(_xlfn.UNIQUE(_xlfn._xlws.FILTER(Table_1[Category],Table_1[Department]='Listing Details'!E284))),"")), 1, 1)</f>
        <v>#ERROR!</v>
      </c>
    </row>
    <row r="283" ht="12.75" customHeight="1">
      <c r="A283" s="70" t="str">
        <f>ARRAY_CONSTRAIN(ARRAYFORMULA(IFERROR(TRANSPOSE(_xlfn.UNIQUE(_xlfn._xlws.FILTER(Table_1[Category],Table_1[Department]='Listing Details'!E285))),"")), 1, 1)</f>
        <v>#ERROR!</v>
      </c>
    </row>
    <row r="284" ht="12.75" customHeight="1">
      <c r="A284" s="70" t="str">
        <f>ARRAY_CONSTRAIN(ARRAYFORMULA(IFERROR(TRANSPOSE(_xlfn.UNIQUE(_xlfn._xlws.FILTER(Table_1[Category],Table_1[Department]='Listing Details'!E286))),"")), 1, 1)</f>
        <v>#ERROR!</v>
      </c>
    </row>
    <row r="285" ht="12.75" customHeight="1">
      <c r="A285" s="70" t="str">
        <f>ARRAY_CONSTRAIN(ARRAYFORMULA(IFERROR(TRANSPOSE(_xlfn.UNIQUE(_xlfn._xlws.FILTER(Table_1[Category],Table_1[Department]='Listing Details'!E287))),"")), 1, 1)</f>
        <v>#ERROR!</v>
      </c>
    </row>
    <row r="286" ht="12.75" customHeight="1">
      <c r="A286" s="70" t="str">
        <f>ARRAY_CONSTRAIN(ARRAYFORMULA(IFERROR(TRANSPOSE(_xlfn.UNIQUE(_xlfn._xlws.FILTER(Table_1[Category],Table_1[Department]='Listing Details'!E288))),"")), 1, 1)</f>
        <v>#ERROR!</v>
      </c>
    </row>
    <row r="287" ht="12.75" customHeight="1">
      <c r="A287" s="70" t="str">
        <f>ARRAY_CONSTRAIN(ARRAYFORMULA(IFERROR(TRANSPOSE(_xlfn.UNIQUE(_xlfn._xlws.FILTER(Table_1[Category],Table_1[Department]='Listing Details'!E289))),"")), 1, 1)</f>
        <v>#ERROR!</v>
      </c>
    </row>
    <row r="288" ht="12.75" customHeight="1">
      <c r="A288" s="70" t="str">
        <f>ARRAY_CONSTRAIN(ARRAYFORMULA(IFERROR(TRANSPOSE(_xlfn.UNIQUE(_xlfn._xlws.FILTER(Table_1[Category],Table_1[Department]='Listing Details'!E290))),"")), 1, 1)</f>
        <v>#ERROR!</v>
      </c>
    </row>
    <row r="289" ht="12.75" customHeight="1">
      <c r="A289" s="70" t="str">
        <f>ARRAY_CONSTRAIN(ARRAYFORMULA(IFERROR(TRANSPOSE(_xlfn.UNIQUE(_xlfn._xlws.FILTER(Table_1[Category],Table_1[Department]='Listing Details'!E291))),"")), 1, 1)</f>
        <v>#ERROR!</v>
      </c>
    </row>
    <row r="290" ht="12.75" customHeight="1">
      <c r="A290" s="70" t="str">
        <f>ARRAY_CONSTRAIN(ARRAYFORMULA(IFERROR(TRANSPOSE(_xlfn.UNIQUE(_xlfn._xlws.FILTER(Table_1[Category],Table_1[Department]='Listing Details'!E292))),"")), 1, 1)</f>
        <v>#ERROR!</v>
      </c>
    </row>
    <row r="291" ht="12.75" customHeight="1">
      <c r="A291" s="70" t="str">
        <f>ARRAY_CONSTRAIN(ARRAYFORMULA(IFERROR(TRANSPOSE(_xlfn.UNIQUE(_xlfn._xlws.FILTER(Table_1[Category],Table_1[Department]='Listing Details'!E293))),"")), 1, 1)</f>
        <v>#ERROR!</v>
      </c>
    </row>
    <row r="292" ht="12.75" customHeight="1">
      <c r="A292" s="70" t="str">
        <f>ARRAY_CONSTRAIN(ARRAYFORMULA(IFERROR(TRANSPOSE(_xlfn.UNIQUE(_xlfn._xlws.FILTER(Table_1[Category],Table_1[Department]='Listing Details'!E294))),"")), 1, 1)</f>
        <v>#ERROR!</v>
      </c>
    </row>
    <row r="293" ht="12.75" customHeight="1">
      <c r="A293" s="70" t="str">
        <f>ARRAY_CONSTRAIN(ARRAYFORMULA(IFERROR(TRANSPOSE(_xlfn.UNIQUE(_xlfn._xlws.FILTER(Table_1[Category],Table_1[Department]='Listing Details'!E295))),"")), 1, 1)</f>
        <v>#ERROR!</v>
      </c>
    </row>
    <row r="294" ht="12.75" customHeight="1">
      <c r="A294" s="70" t="str">
        <f>ARRAY_CONSTRAIN(ARRAYFORMULA(IFERROR(TRANSPOSE(_xlfn.UNIQUE(_xlfn._xlws.FILTER(Table_1[Category],Table_1[Department]='Listing Details'!E296))),"")), 1, 1)</f>
        <v>#ERROR!</v>
      </c>
    </row>
    <row r="295" ht="12.75" customHeight="1">
      <c r="A295" s="70" t="str">
        <f>ARRAY_CONSTRAIN(ARRAYFORMULA(IFERROR(TRANSPOSE(_xlfn.UNIQUE(_xlfn._xlws.FILTER(Table_1[Category],Table_1[Department]='Listing Details'!E297))),"")), 1, 1)</f>
        <v>#ERROR!</v>
      </c>
    </row>
    <row r="296" ht="12.75" customHeight="1">
      <c r="A296" s="70" t="str">
        <f>ARRAY_CONSTRAIN(ARRAYFORMULA(IFERROR(TRANSPOSE(_xlfn.UNIQUE(_xlfn._xlws.FILTER(Table_1[Category],Table_1[Department]='Listing Details'!E298))),"")), 1, 1)</f>
        <v>#ERROR!</v>
      </c>
    </row>
    <row r="297" ht="12.75" customHeight="1">
      <c r="A297" s="70" t="str">
        <f>ARRAY_CONSTRAIN(ARRAYFORMULA(IFERROR(TRANSPOSE(_xlfn.UNIQUE(_xlfn._xlws.FILTER(Table_1[Category],Table_1[Department]='Listing Details'!E299))),"")), 1, 1)</f>
        <v>#ERROR!</v>
      </c>
    </row>
    <row r="298" ht="12.75" customHeight="1">
      <c r="A298" s="70" t="str">
        <f>ARRAY_CONSTRAIN(ARRAYFORMULA(IFERROR(TRANSPOSE(_xlfn.UNIQUE(_xlfn._xlws.FILTER(Table_1[Category],Table_1[Department]='Listing Details'!E300))),"")), 1, 1)</f>
        <v>#ERROR!</v>
      </c>
    </row>
    <row r="299" ht="12.75" customHeight="1">
      <c r="A299" s="70" t="str">
        <f>ARRAY_CONSTRAIN(ARRAYFORMULA(IFERROR(TRANSPOSE(_xlfn.UNIQUE(_xlfn._xlws.FILTER(Table_1[Category],Table_1[Department]='Listing Details'!E301))),"")), 1, 1)</f>
        <v>#ERROR!</v>
      </c>
    </row>
    <row r="300" ht="12.75" customHeight="1">
      <c r="A300" s="70" t="str">
        <f>ARRAY_CONSTRAIN(ARRAYFORMULA(IFERROR(TRANSPOSE(_xlfn.UNIQUE(_xlfn._xlws.FILTER(Table_1[Category],Table_1[Department]='Listing Details'!E302))),"")), 1, 1)</f>
        <v>#ERROR!</v>
      </c>
    </row>
    <row r="301" ht="12.75" customHeight="1">
      <c r="A301" s="70" t="str">
        <f>ARRAY_CONSTRAIN(ARRAYFORMULA(IFERROR(TRANSPOSE(_xlfn.UNIQUE(_xlfn._xlws.FILTER(Table_1[Category],Table_1[Department]='Listing Details'!E303))),"")), 1, 1)</f>
        <v>#ERROR!</v>
      </c>
    </row>
    <row r="302" ht="12.75" customHeight="1">
      <c r="A302" s="70" t="str">
        <f>ARRAY_CONSTRAIN(ARRAYFORMULA(IFERROR(TRANSPOSE(_xlfn.UNIQUE(_xlfn._xlws.FILTER(Table_1[Category],Table_1[Department]='Listing Details'!E304))),"")), 1, 1)</f>
        <v>#ERROR!</v>
      </c>
    </row>
    <row r="303" ht="12.75" customHeight="1">
      <c r="A303" s="70" t="str">
        <f>ARRAY_CONSTRAIN(ARRAYFORMULA(IFERROR(TRANSPOSE(_xlfn.UNIQUE(_xlfn._xlws.FILTER(Table_1[Category],Table_1[Department]='Listing Details'!E305))),"")), 1, 1)</f>
        <v>#ERROR!</v>
      </c>
    </row>
    <row r="304" ht="12.75" customHeight="1">
      <c r="A304" s="70" t="str">
        <f>ARRAY_CONSTRAIN(ARRAYFORMULA(IFERROR(TRANSPOSE(_xlfn.UNIQUE(_xlfn._xlws.FILTER(Table_1[Category],Table_1[Department]='Listing Details'!E306))),"")), 1, 1)</f>
        <v>#ERROR!</v>
      </c>
    </row>
    <row r="305" ht="12.75" customHeight="1">
      <c r="A305" s="70" t="str">
        <f>ARRAY_CONSTRAIN(ARRAYFORMULA(IFERROR(TRANSPOSE(_xlfn.UNIQUE(_xlfn._xlws.FILTER(Table_1[Category],Table_1[Department]='Listing Details'!E307))),"")), 1, 1)</f>
        <v>#ERROR!</v>
      </c>
    </row>
    <row r="306" ht="12.75" customHeight="1">
      <c r="A306" s="70" t="str">
        <f>ARRAY_CONSTRAIN(ARRAYFORMULA(IFERROR(TRANSPOSE(_xlfn.UNIQUE(_xlfn._xlws.FILTER(Table_1[Category],Table_1[Department]='Listing Details'!E308))),"")), 1, 1)</f>
        <v>#ERROR!</v>
      </c>
    </row>
    <row r="307" ht="12.75" customHeight="1">
      <c r="A307" s="70" t="str">
        <f>ARRAY_CONSTRAIN(ARRAYFORMULA(IFERROR(TRANSPOSE(_xlfn.UNIQUE(_xlfn._xlws.FILTER(Table_1[Category],Table_1[Department]='Listing Details'!E309))),"")), 1, 1)</f>
        <v>#ERROR!</v>
      </c>
    </row>
    <row r="308" ht="12.75" customHeight="1">
      <c r="A308" s="70" t="str">
        <f>ARRAY_CONSTRAIN(ARRAYFORMULA(IFERROR(TRANSPOSE(_xlfn.UNIQUE(_xlfn._xlws.FILTER(Table_1[Category],Table_1[Department]='Listing Details'!E310))),"")), 1, 1)</f>
        <v>#ERROR!</v>
      </c>
    </row>
    <row r="309" ht="12.75" customHeight="1">
      <c r="A309" s="70" t="str">
        <f>ARRAY_CONSTRAIN(ARRAYFORMULA(IFERROR(TRANSPOSE(_xlfn.UNIQUE(_xlfn._xlws.FILTER(Table_1[Category],Table_1[Department]='Listing Details'!E311))),"")), 1, 1)</f>
        <v>#ERROR!</v>
      </c>
    </row>
    <row r="310" ht="12.75" customHeight="1">
      <c r="A310" s="70" t="str">
        <f>ARRAY_CONSTRAIN(ARRAYFORMULA(IFERROR(TRANSPOSE(_xlfn.UNIQUE(_xlfn._xlws.FILTER(Table_1[Category],Table_1[Department]='Listing Details'!E312))),"")), 1, 1)</f>
        <v>#ERROR!</v>
      </c>
    </row>
    <row r="311" ht="12.75" customHeight="1">
      <c r="A311" s="70" t="str">
        <f>ARRAY_CONSTRAIN(ARRAYFORMULA(IFERROR(TRANSPOSE(_xlfn.UNIQUE(_xlfn._xlws.FILTER(Table_1[Category],Table_1[Department]='Listing Details'!E313))),"")), 1, 1)</f>
        <v>#ERROR!</v>
      </c>
    </row>
    <row r="312" ht="12.75" customHeight="1">
      <c r="A312" s="70" t="str">
        <f>ARRAY_CONSTRAIN(ARRAYFORMULA(IFERROR(TRANSPOSE(_xlfn.UNIQUE(_xlfn._xlws.FILTER(Table_1[Category],Table_1[Department]='Listing Details'!E314))),"")), 1, 1)</f>
        <v>#ERROR!</v>
      </c>
    </row>
    <row r="313" ht="12.75" customHeight="1">
      <c r="A313" s="70" t="str">
        <f>ARRAY_CONSTRAIN(ARRAYFORMULA(IFERROR(TRANSPOSE(_xlfn.UNIQUE(_xlfn._xlws.FILTER(Table_1[Category],Table_1[Department]='Listing Details'!E315))),"")), 1, 1)</f>
        <v>#ERROR!</v>
      </c>
    </row>
    <row r="314" ht="12.75" customHeight="1">
      <c r="A314" s="70" t="str">
        <f>ARRAY_CONSTRAIN(ARRAYFORMULA(IFERROR(TRANSPOSE(_xlfn.UNIQUE(_xlfn._xlws.FILTER(Table_1[Category],Table_1[Department]='Listing Details'!E316))),"")), 1, 1)</f>
        <v>#ERROR!</v>
      </c>
    </row>
    <row r="315" ht="12.75" customHeight="1">
      <c r="A315" s="70" t="str">
        <f>ARRAY_CONSTRAIN(ARRAYFORMULA(IFERROR(TRANSPOSE(_xlfn.UNIQUE(_xlfn._xlws.FILTER(Table_1[Category],Table_1[Department]='Listing Details'!E317))),"")), 1, 1)</f>
        <v>#ERROR!</v>
      </c>
    </row>
    <row r="316" ht="12.75" customHeight="1">
      <c r="A316" s="70" t="str">
        <f>ARRAY_CONSTRAIN(ARRAYFORMULA(IFERROR(TRANSPOSE(_xlfn.UNIQUE(_xlfn._xlws.FILTER(Table_1[Category],Table_1[Department]='Listing Details'!E318))),"")), 1, 1)</f>
        <v>#ERROR!</v>
      </c>
    </row>
    <row r="317" ht="12.75" customHeight="1">
      <c r="A317" s="70" t="str">
        <f>ARRAY_CONSTRAIN(ARRAYFORMULA(IFERROR(TRANSPOSE(_xlfn.UNIQUE(_xlfn._xlws.FILTER(Table_1[Category],Table_1[Department]='Listing Details'!E319))),"")), 1, 1)</f>
        <v>#ERROR!</v>
      </c>
    </row>
    <row r="318" ht="12.75" customHeight="1">
      <c r="A318" s="70" t="str">
        <f>ARRAY_CONSTRAIN(ARRAYFORMULA(IFERROR(TRANSPOSE(_xlfn.UNIQUE(_xlfn._xlws.FILTER(Table_1[Category],Table_1[Department]='Listing Details'!E320))),"")), 1, 1)</f>
        <v>#ERROR!</v>
      </c>
    </row>
    <row r="319" ht="12.75" customHeight="1">
      <c r="A319" s="70" t="str">
        <f>ARRAY_CONSTRAIN(ARRAYFORMULA(IFERROR(TRANSPOSE(_xlfn.UNIQUE(_xlfn._xlws.FILTER(Table_1[Category],Table_1[Department]='Listing Details'!E321))),"")), 1, 1)</f>
        <v>#ERROR!</v>
      </c>
    </row>
    <row r="320" ht="12.75" customHeight="1">
      <c r="A320" s="70" t="str">
        <f>ARRAY_CONSTRAIN(ARRAYFORMULA(IFERROR(TRANSPOSE(_xlfn.UNIQUE(_xlfn._xlws.FILTER(Table_1[Category],Table_1[Department]='Listing Details'!E322))),"")), 1, 1)</f>
        <v>#ERROR!</v>
      </c>
    </row>
    <row r="321" ht="12.75" customHeight="1">
      <c r="A321" s="70" t="str">
        <f>ARRAY_CONSTRAIN(ARRAYFORMULA(IFERROR(TRANSPOSE(_xlfn.UNIQUE(_xlfn._xlws.FILTER(Table_1[Category],Table_1[Department]='Listing Details'!E323))),"")), 1, 1)</f>
        <v>#ERROR!</v>
      </c>
    </row>
    <row r="322" ht="12.75" customHeight="1">
      <c r="A322" s="70" t="str">
        <f>ARRAY_CONSTRAIN(ARRAYFORMULA(IFERROR(TRANSPOSE(_xlfn.UNIQUE(_xlfn._xlws.FILTER(Table_1[Category],Table_1[Department]='Listing Details'!E324))),"")), 1, 1)</f>
        <v>#ERROR!</v>
      </c>
    </row>
    <row r="323" ht="12.75" customHeight="1">
      <c r="A323" s="70" t="str">
        <f>ARRAY_CONSTRAIN(ARRAYFORMULA(IFERROR(TRANSPOSE(_xlfn.UNIQUE(_xlfn._xlws.FILTER(Table_1[Category],Table_1[Department]='Listing Details'!E325))),"")), 1, 1)</f>
        <v>#ERROR!</v>
      </c>
    </row>
    <row r="324" ht="12.75" customHeight="1">
      <c r="A324" s="70" t="str">
        <f>ARRAY_CONSTRAIN(ARRAYFORMULA(IFERROR(TRANSPOSE(_xlfn.UNIQUE(_xlfn._xlws.FILTER(Table_1[Category],Table_1[Department]='Listing Details'!E326))),"")), 1, 1)</f>
        <v>#ERROR!</v>
      </c>
    </row>
    <row r="325" ht="12.75" customHeight="1">
      <c r="A325" s="70" t="str">
        <f>ARRAY_CONSTRAIN(ARRAYFORMULA(IFERROR(TRANSPOSE(_xlfn.UNIQUE(_xlfn._xlws.FILTER(Table_1[Category],Table_1[Department]='Listing Details'!E327))),"")), 1, 1)</f>
        <v>#ERROR!</v>
      </c>
    </row>
    <row r="326" ht="12.75" customHeight="1">
      <c r="A326" s="70" t="str">
        <f>ARRAY_CONSTRAIN(ARRAYFORMULA(IFERROR(TRANSPOSE(_xlfn.UNIQUE(_xlfn._xlws.FILTER(Table_1[Category],Table_1[Department]='Listing Details'!E328))),"")), 1, 1)</f>
        <v>#ERROR!</v>
      </c>
    </row>
    <row r="327" ht="12.75" customHeight="1">
      <c r="A327" s="70" t="str">
        <f>ARRAY_CONSTRAIN(ARRAYFORMULA(IFERROR(TRANSPOSE(_xlfn.UNIQUE(_xlfn._xlws.FILTER(Table_1[Category],Table_1[Department]='Listing Details'!E329))),"")), 1, 1)</f>
        <v>#ERROR!</v>
      </c>
    </row>
    <row r="328" ht="12.75" customHeight="1">
      <c r="A328" s="70" t="str">
        <f>ARRAY_CONSTRAIN(ARRAYFORMULA(IFERROR(TRANSPOSE(_xlfn.UNIQUE(_xlfn._xlws.FILTER(Table_1[Category],Table_1[Department]='Listing Details'!E330))),"")), 1, 1)</f>
        <v>#ERROR!</v>
      </c>
    </row>
    <row r="329" ht="12.75" customHeight="1">
      <c r="A329" s="70" t="str">
        <f>ARRAY_CONSTRAIN(ARRAYFORMULA(IFERROR(TRANSPOSE(_xlfn.UNIQUE(_xlfn._xlws.FILTER(Table_1[Category],Table_1[Department]='Listing Details'!E331))),"")), 1, 1)</f>
        <v>#ERROR!</v>
      </c>
    </row>
    <row r="330" ht="12.75" customHeight="1">
      <c r="A330" s="70" t="str">
        <f>ARRAY_CONSTRAIN(ARRAYFORMULA(IFERROR(TRANSPOSE(_xlfn.UNIQUE(_xlfn._xlws.FILTER(Table_1[Category],Table_1[Department]='Listing Details'!E332))),"")), 1, 1)</f>
        <v>#ERROR!</v>
      </c>
    </row>
    <row r="331" ht="12.75" customHeight="1">
      <c r="A331" s="70" t="str">
        <f>ARRAY_CONSTRAIN(ARRAYFORMULA(IFERROR(TRANSPOSE(_xlfn.UNIQUE(_xlfn._xlws.FILTER(Table_1[Category],Table_1[Department]='Listing Details'!E333))),"")), 1, 1)</f>
        <v>#ERROR!</v>
      </c>
    </row>
    <row r="332" ht="12.75" customHeight="1">
      <c r="A332" s="70" t="str">
        <f>ARRAY_CONSTRAIN(ARRAYFORMULA(IFERROR(TRANSPOSE(_xlfn.UNIQUE(_xlfn._xlws.FILTER(Table_1[Category],Table_1[Department]='Listing Details'!E334))),"")), 1, 1)</f>
        <v>#ERROR!</v>
      </c>
    </row>
    <row r="333" ht="12.75" customHeight="1">
      <c r="A333" s="70" t="str">
        <f>ARRAY_CONSTRAIN(ARRAYFORMULA(IFERROR(TRANSPOSE(_xlfn.UNIQUE(_xlfn._xlws.FILTER(Table_1[Category],Table_1[Department]='Listing Details'!E335))),"")), 1, 1)</f>
        <v>#ERROR!</v>
      </c>
    </row>
    <row r="334" ht="12.75" customHeight="1">
      <c r="A334" s="70" t="str">
        <f>ARRAY_CONSTRAIN(ARRAYFORMULA(IFERROR(TRANSPOSE(_xlfn.UNIQUE(_xlfn._xlws.FILTER(Table_1[Category],Table_1[Department]='Listing Details'!E336))),"")), 1, 1)</f>
        <v>#ERROR!</v>
      </c>
    </row>
    <row r="335" ht="12.75" customHeight="1">
      <c r="A335" s="70" t="str">
        <f>ARRAY_CONSTRAIN(ARRAYFORMULA(IFERROR(TRANSPOSE(_xlfn.UNIQUE(_xlfn._xlws.FILTER(Table_1[Category],Table_1[Department]='Listing Details'!E337))),"")), 1, 1)</f>
        <v>#ERROR!</v>
      </c>
    </row>
    <row r="336" ht="12.75" customHeight="1">
      <c r="A336" s="70" t="str">
        <f>ARRAY_CONSTRAIN(ARRAYFORMULA(IFERROR(TRANSPOSE(_xlfn.UNIQUE(_xlfn._xlws.FILTER(Table_1[Category],Table_1[Department]='Listing Details'!E338))),"")), 1, 1)</f>
        <v>#ERROR!</v>
      </c>
    </row>
    <row r="337" ht="12.75" customHeight="1">
      <c r="A337" s="70" t="str">
        <f>ARRAY_CONSTRAIN(ARRAYFORMULA(IFERROR(TRANSPOSE(_xlfn.UNIQUE(_xlfn._xlws.FILTER(Table_1[Category],Table_1[Department]='Listing Details'!E339))),"")), 1, 1)</f>
        <v>#ERROR!</v>
      </c>
    </row>
    <row r="338" ht="12.75" customHeight="1">
      <c r="A338" s="70" t="str">
        <f>ARRAY_CONSTRAIN(ARRAYFORMULA(IFERROR(TRANSPOSE(_xlfn.UNIQUE(_xlfn._xlws.FILTER(Table_1[Category],Table_1[Department]='Listing Details'!E340))),"")), 1, 1)</f>
        <v>#ERROR!</v>
      </c>
    </row>
    <row r="339" ht="12.75" customHeight="1">
      <c r="A339" s="70" t="str">
        <f>ARRAY_CONSTRAIN(ARRAYFORMULA(IFERROR(TRANSPOSE(_xlfn.UNIQUE(_xlfn._xlws.FILTER(Table_1[Category],Table_1[Department]='Listing Details'!E341))),"")), 1, 1)</f>
        <v>#ERROR!</v>
      </c>
    </row>
    <row r="340" ht="12.75" customHeight="1">
      <c r="A340" s="70" t="str">
        <f>ARRAY_CONSTRAIN(ARRAYFORMULA(IFERROR(TRANSPOSE(_xlfn.UNIQUE(_xlfn._xlws.FILTER(Table_1[Category],Table_1[Department]='Listing Details'!E342))),"")), 1, 1)</f>
        <v>#ERROR!</v>
      </c>
    </row>
    <row r="341" ht="12.75" customHeight="1">
      <c r="A341" s="70" t="str">
        <f>ARRAY_CONSTRAIN(ARRAYFORMULA(IFERROR(TRANSPOSE(_xlfn.UNIQUE(_xlfn._xlws.FILTER(Table_1[Category],Table_1[Department]='Listing Details'!E343))),"")), 1, 1)</f>
        <v>#ERROR!</v>
      </c>
    </row>
    <row r="342" ht="12.75" customHeight="1">
      <c r="A342" s="70" t="str">
        <f>ARRAY_CONSTRAIN(ARRAYFORMULA(IFERROR(TRANSPOSE(_xlfn.UNIQUE(_xlfn._xlws.FILTER(Table_1[Category],Table_1[Department]='Listing Details'!E344))),"")), 1, 1)</f>
        <v>#ERROR!</v>
      </c>
    </row>
    <row r="343" ht="12.75" customHeight="1">
      <c r="A343" s="70" t="str">
        <f>ARRAY_CONSTRAIN(ARRAYFORMULA(IFERROR(TRANSPOSE(_xlfn.UNIQUE(_xlfn._xlws.FILTER(Table_1[Category],Table_1[Department]='Listing Details'!E345))),"")), 1, 1)</f>
        <v>#ERROR!</v>
      </c>
    </row>
    <row r="344" ht="12.75" customHeight="1">
      <c r="A344" s="70" t="str">
        <f>ARRAY_CONSTRAIN(ARRAYFORMULA(IFERROR(TRANSPOSE(_xlfn.UNIQUE(_xlfn._xlws.FILTER(Table_1[Category],Table_1[Department]='Listing Details'!E346))),"")), 1, 1)</f>
        <v>#ERROR!</v>
      </c>
    </row>
    <row r="345" ht="12.75" customHeight="1">
      <c r="A345" s="70" t="str">
        <f>ARRAY_CONSTRAIN(ARRAYFORMULA(IFERROR(TRANSPOSE(_xlfn.UNIQUE(_xlfn._xlws.FILTER(Table_1[Category],Table_1[Department]='Listing Details'!E347))),"")), 1, 1)</f>
        <v>#ERROR!</v>
      </c>
    </row>
    <row r="346" ht="12.75" customHeight="1">
      <c r="A346" s="70" t="str">
        <f>ARRAY_CONSTRAIN(ARRAYFORMULA(IFERROR(TRANSPOSE(_xlfn.UNIQUE(_xlfn._xlws.FILTER(Table_1[Category],Table_1[Department]='Listing Details'!E348))),"")), 1, 1)</f>
        <v>#ERROR!</v>
      </c>
    </row>
    <row r="347" ht="12.75" customHeight="1">
      <c r="A347" s="70" t="str">
        <f>ARRAY_CONSTRAIN(ARRAYFORMULA(IFERROR(TRANSPOSE(_xlfn.UNIQUE(_xlfn._xlws.FILTER(Table_1[Category],Table_1[Department]='Listing Details'!E349))),"")), 1, 1)</f>
        <v>#ERROR!</v>
      </c>
    </row>
    <row r="348" ht="12.75" customHeight="1">
      <c r="A348" s="70" t="str">
        <f>ARRAY_CONSTRAIN(ARRAYFORMULA(IFERROR(TRANSPOSE(_xlfn.UNIQUE(_xlfn._xlws.FILTER(Table_1[Category],Table_1[Department]='Listing Details'!E350))),"")), 1, 1)</f>
        <v>#ERROR!</v>
      </c>
    </row>
    <row r="349" ht="12.75" customHeight="1">
      <c r="A349" s="70" t="str">
        <f>ARRAY_CONSTRAIN(ARRAYFORMULA(IFERROR(TRANSPOSE(_xlfn.UNIQUE(_xlfn._xlws.FILTER(Table_1[Category],Table_1[Department]='Listing Details'!E351))),"")), 1, 1)</f>
        <v>#ERROR!</v>
      </c>
    </row>
    <row r="350" ht="12.75" customHeight="1">
      <c r="A350" s="70" t="str">
        <f>ARRAY_CONSTRAIN(ARRAYFORMULA(IFERROR(TRANSPOSE(_xlfn.UNIQUE(_xlfn._xlws.FILTER(Table_1[Category],Table_1[Department]='Listing Details'!E352))),"")), 1, 1)</f>
        <v>#ERROR!</v>
      </c>
    </row>
    <row r="351" ht="12.75" customHeight="1">
      <c r="A351" s="70" t="str">
        <f>ARRAY_CONSTRAIN(ARRAYFORMULA(IFERROR(TRANSPOSE(_xlfn.UNIQUE(_xlfn._xlws.FILTER(Table_1[Category],Table_1[Department]='Listing Details'!E353))),"")), 1, 1)</f>
        <v>#ERROR!</v>
      </c>
    </row>
    <row r="352" ht="12.75" customHeight="1">
      <c r="A352" s="70" t="str">
        <f>ARRAY_CONSTRAIN(ARRAYFORMULA(IFERROR(TRANSPOSE(_xlfn.UNIQUE(_xlfn._xlws.FILTER(Table_1[Category],Table_1[Department]='Listing Details'!E354))),"")), 1, 1)</f>
        <v>#ERROR!</v>
      </c>
    </row>
    <row r="353" ht="12.75" customHeight="1">
      <c r="A353" s="70" t="str">
        <f>ARRAY_CONSTRAIN(ARRAYFORMULA(IFERROR(TRANSPOSE(_xlfn.UNIQUE(_xlfn._xlws.FILTER(Table_1[Category],Table_1[Department]='Listing Details'!E355))),"")), 1, 1)</f>
        <v>#ERROR!</v>
      </c>
    </row>
    <row r="354" ht="12.75" customHeight="1">
      <c r="A354" s="70" t="str">
        <f>ARRAY_CONSTRAIN(ARRAYFORMULA(IFERROR(TRANSPOSE(_xlfn.UNIQUE(_xlfn._xlws.FILTER(Table_1[Category],Table_1[Department]='Listing Details'!E356))),"")), 1, 1)</f>
        <v>#ERROR!</v>
      </c>
    </row>
    <row r="355" ht="12.75" customHeight="1">
      <c r="A355" s="70" t="str">
        <f>ARRAY_CONSTRAIN(ARRAYFORMULA(IFERROR(TRANSPOSE(_xlfn.UNIQUE(_xlfn._xlws.FILTER(Table_1[Category],Table_1[Department]='Listing Details'!E357))),"")), 1, 1)</f>
        <v>#ERROR!</v>
      </c>
    </row>
    <row r="356" ht="12.75" customHeight="1">
      <c r="A356" s="70" t="str">
        <f>ARRAY_CONSTRAIN(ARRAYFORMULA(IFERROR(TRANSPOSE(_xlfn.UNIQUE(_xlfn._xlws.FILTER(Table_1[Category],Table_1[Department]='Listing Details'!E358))),"")), 1, 1)</f>
        <v>#ERROR!</v>
      </c>
    </row>
    <row r="357" ht="12.75" customHeight="1">
      <c r="A357" s="70" t="str">
        <f>ARRAY_CONSTRAIN(ARRAYFORMULA(IFERROR(TRANSPOSE(_xlfn.UNIQUE(_xlfn._xlws.FILTER(Table_1[Category],Table_1[Department]='Listing Details'!E359))),"")), 1, 1)</f>
        <v>#ERROR!</v>
      </c>
    </row>
    <row r="358" ht="12.75" customHeight="1">
      <c r="A358" s="70" t="str">
        <f>ARRAY_CONSTRAIN(ARRAYFORMULA(IFERROR(TRANSPOSE(_xlfn.UNIQUE(_xlfn._xlws.FILTER(Table_1[Category],Table_1[Department]='Listing Details'!E360))),"")), 1, 1)</f>
        <v>#ERROR!</v>
      </c>
    </row>
    <row r="359" ht="12.75" customHeight="1">
      <c r="A359" s="70" t="str">
        <f>ARRAY_CONSTRAIN(ARRAYFORMULA(IFERROR(TRANSPOSE(_xlfn.UNIQUE(_xlfn._xlws.FILTER(Table_1[Category],Table_1[Department]='Listing Details'!E361))),"")), 1, 1)</f>
        <v>#ERROR!</v>
      </c>
    </row>
    <row r="360" ht="12.75" customHeight="1">
      <c r="A360" s="70" t="str">
        <f>ARRAY_CONSTRAIN(ARRAYFORMULA(IFERROR(TRANSPOSE(_xlfn.UNIQUE(_xlfn._xlws.FILTER(Table_1[Category],Table_1[Department]='Listing Details'!E362))),"")), 1, 1)</f>
        <v>#ERROR!</v>
      </c>
    </row>
    <row r="361" ht="12.75" customHeight="1">
      <c r="A361" s="70" t="str">
        <f>ARRAY_CONSTRAIN(ARRAYFORMULA(IFERROR(TRANSPOSE(_xlfn.UNIQUE(_xlfn._xlws.FILTER(Table_1[Category],Table_1[Department]='Listing Details'!E363))),"")), 1, 1)</f>
        <v>#ERROR!</v>
      </c>
    </row>
    <row r="362" ht="12.75" customHeight="1">
      <c r="A362" s="70" t="str">
        <f>ARRAY_CONSTRAIN(ARRAYFORMULA(IFERROR(TRANSPOSE(_xlfn.UNIQUE(_xlfn._xlws.FILTER(Table_1[Category],Table_1[Department]='Listing Details'!E364))),"")), 1, 1)</f>
        <v>#ERROR!</v>
      </c>
    </row>
    <row r="363" ht="12.75" customHeight="1">
      <c r="A363" s="70" t="str">
        <f>ARRAY_CONSTRAIN(ARRAYFORMULA(IFERROR(TRANSPOSE(_xlfn.UNIQUE(_xlfn._xlws.FILTER(Table_1[Category],Table_1[Department]='Listing Details'!E365))),"")), 1, 1)</f>
        <v>#ERROR!</v>
      </c>
    </row>
    <row r="364" ht="12.75" customHeight="1">
      <c r="A364" s="70" t="str">
        <f>ARRAY_CONSTRAIN(ARRAYFORMULA(IFERROR(TRANSPOSE(_xlfn.UNIQUE(_xlfn._xlws.FILTER(Table_1[Category],Table_1[Department]='Listing Details'!E366))),"")), 1, 1)</f>
        <v>#ERROR!</v>
      </c>
    </row>
    <row r="365" ht="12.75" customHeight="1">
      <c r="A365" s="70" t="str">
        <f>ARRAY_CONSTRAIN(ARRAYFORMULA(IFERROR(TRANSPOSE(_xlfn.UNIQUE(_xlfn._xlws.FILTER(Table_1[Category],Table_1[Department]='Listing Details'!E367))),"")), 1, 1)</f>
        <v>#ERROR!</v>
      </c>
    </row>
    <row r="366" ht="12.75" customHeight="1">
      <c r="A366" s="70" t="str">
        <f>ARRAY_CONSTRAIN(ARRAYFORMULA(IFERROR(TRANSPOSE(_xlfn.UNIQUE(_xlfn._xlws.FILTER(Table_1[Category],Table_1[Department]='Listing Details'!E368))),"")), 1, 1)</f>
        <v>#ERROR!</v>
      </c>
    </row>
    <row r="367" ht="12.75" customHeight="1">
      <c r="A367" s="70" t="str">
        <f>ARRAY_CONSTRAIN(ARRAYFORMULA(IFERROR(TRANSPOSE(_xlfn.UNIQUE(_xlfn._xlws.FILTER(Table_1[Category],Table_1[Department]='Listing Details'!E369))),"")), 1, 1)</f>
        <v>#ERROR!</v>
      </c>
    </row>
    <row r="368" ht="12.75" customHeight="1">
      <c r="A368" s="70" t="str">
        <f>ARRAY_CONSTRAIN(ARRAYFORMULA(IFERROR(TRANSPOSE(_xlfn.UNIQUE(_xlfn._xlws.FILTER(Table_1[Category],Table_1[Department]='Listing Details'!E370))),"")), 1, 1)</f>
        <v>#ERROR!</v>
      </c>
    </row>
    <row r="369" ht="12.75" customHeight="1">
      <c r="A369" s="70" t="str">
        <f>ARRAY_CONSTRAIN(ARRAYFORMULA(IFERROR(TRANSPOSE(_xlfn.UNIQUE(_xlfn._xlws.FILTER(Table_1[Category],Table_1[Department]='Listing Details'!E371))),"")), 1, 1)</f>
        <v>#ERROR!</v>
      </c>
    </row>
    <row r="370" ht="12.75" customHeight="1">
      <c r="A370" s="70" t="str">
        <f>ARRAY_CONSTRAIN(ARRAYFORMULA(IFERROR(TRANSPOSE(_xlfn.UNIQUE(_xlfn._xlws.FILTER(Table_1[Category],Table_1[Department]='Listing Details'!E372))),"")), 1, 1)</f>
        <v>#ERROR!</v>
      </c>
    </row>
    <row r="371" ht="12.75" customHeight="1">
      <c r="A371" s="70" t="str">
        <f>ARRAY_CONSTRAIN(ARRAYFORMULA(IFERROR(TRANSPOSE(_xlfn.UNIQUE(_xlfn._xlws.FILTER(Table_1[Category],Table_1[Department]='Listing Details'!E373))),"")), 1, 1)</f>
        <v>#ERROR!</v>
      </c>
    </row>
    <row r="372" ht="12.75" customHeight="1">
      <c r="A372" s="70" t="str">
        <f>ARRAY_CONSTRAIN(ARRAYFORMULA(IFERROR(TRANSPOSE(_xlfn.UNIQUE(_xlfn._xlws.FILTER(Table_1[Category],Table_1[Department]='Listing Details'!E374))),"")), 1, 1)</f>
        <v>#ERROR!</v>
      </c>
    </row>
    <row r="373" ht="12.75" customHeight="1">
      <c r="A373" s="70" t="str">
        <f>ARRAY_CONSTRAIN(ARRAYFORMULA(IFERROR(TRANSPOSE(_xlfn.UNIQUE(_xlfn._xlws.FILTER(Table_1[Category],Table_1[Department]='Listing Details'!E375))),"")), 1, 1)</f>
        <v>#ERROR!</v>
      </c>
    </row>
    <row r="374" ht="12.75" customHeight="1">
      <c r="A374" s="70" t="str">
        <f>ARRAY_CONSTRAIN(ARRAYFORMULA(IFERROR(TRANSPOSE(_xlfn.UNIQUE(_xlfn._xlws.FILTER(Table_1[Category],Table_1[Department]='Listing Details'!E376))),"")), 1, 1)</f>
        <v>#ERROR!</v>
      </c>
    </row>
    <row r="375" ht="12.75" customHeight="1">
      <c r="A375" s="70" t="str">
        <f>ARRAY_CONSTRAIN(ARRAYFORMULA(IFERROR(TRANSPOSE(_xlfn.UNIQUE(_xlfn._xlws.FILTER(Table_1[Category],Table_1[Department]='Listing Details'!E377))),"")), 1, 1)</f>
        <v>#ERROR!</v>
      </c>
    </row>
    <row r="376" ht="12.75" customHeight="1">
      <c r="A376" s="70" t="str">
        <f>ARRAY_CONSTRAIN(ARRAYFORMULA(IFERROR(TRANSPOSE(_xlfn.UNIQUE(_xlfn._xlws.FILTER(Table_1[Category],Table_1[Department]='Listing Details'!E378))),"")), 1, 1)</f>
        <v>#ERROR!</v>
      </c>
    </row>
    <row r="377" ht="12.75" customHeight="1">
      <c r="A377" s="70" t="str">
        <f>ARRAY_CONSTRAIN(ARRAYFORMULA(IFERROR(TRANSPOSE(_xlfn.UNIQUE(_xlfn._xlws.FILTER(Table_1[Category],Table_1[Department]='Listing Details'!E379))),"")), 1, 1)</f>
        <v>#ERROR!</v>
      </c>
    </row>
    <row r="378" ht="12.75" customHeight="1">
      <c r="A378" s="70" t="str">
        <f>ARRAY_CONSTRAIN(ARRAYFORMULA(IFERROR(TRANSPOSE(_xlfn.UNIQUE(_xlfn._xlws.FILTER(Table_1[Category],Table_1[Department]='Listing Details'!E380))),"")), 1, 1)</f>
        <v>#ERROR!</v>
      </c>
    </row>
    <row r="379" ht="12.75" customHeight="1">
      <c r="A379" s="70" t="str">
        <f>ARRAY_CONSTRAIN(ARRAYFORMULA(IFERROR(TRANSPOSE(_xlfn.UNIQUE(_xlfn._xlws.FILTER(Table_1[Category],Table_1[Department]='Listing Details'!E381))),"")), 1, 1)</f>
        <v>#ERROR!</v>
      </c>
    </row>
    <row r="380" ht="12.75" customHeight="1">
      <c r="A380" s="70" t="str">
        <f>ARRAY_CONSTRAIN(ARRAYFORMULA(IFERROR(TRANSPOSE(_xlfn.UNIQUE(_xlfn._xlws.FILTER(Table_1[Category],Table_1[Department]='Listing Details'!E382))),"")), 1, 1)</f>
        <v>#ERROR!</v>
      </c>
    </row>
    <row r="381" ht="12.75" customHeight="1">
      <c r="A381" s="70" t="str">
        <f>ARRAY_CONSTRAIN(ARRAYFORMULA(IFERROR(TRANSPOSE(_xlfn.UNIQUE(_xlfn._xlws.FILTER(Table_1[Category],Table_1[Department]='Listing Details'!E383))),"")), 1, 1)</f>
        <v>#ERROR!</v>
      </c>
    </row>
    <row r="382" ht="12.75" customHeight="1">
      <c r="A382" s="70" t="str">
        <f>ARRAY_CONSTRAIN(ARRAYFORMULA(IFERROR(TRANSPOSE(_xlfn.UNIQUE(_xlfn._xlws.FILTER(Table_1[Category],Table_1[Department]='Listing Details'!E384))),"")), 1, 1)</f>
        <v>#ERROR!</v>
      </c>
    </row>
    <row r="383" ht="12.75" customHeight="1">
      <c r="A383" s="70" t="str">
        <f>ARRAY_CONSTRAIN(ARRAYFORMULA(IFERROR(TRANSPOSE(_xlfn.UNIQUE(_xlfn._xlws.FILTER(Table_1[Category],Table_1[Department]='Listing Details'!E385))),"")), 1, 1)</f>
        <v>#ERROR!</v>
      </c>
    </row>
    <row r="384" ht="12.75" customHeight="1">
      <c r="A384" s="70" t="str">
        <f>ARRAY_CONSTRAIN(ARRAYFORMULA(IFERROR(TRANSPOSE(_xlfn.UNIQUE(_xlfn._xlws.FILTER(Table_1[Category],Table_1[Department]='Listing Details'!E386))),"")), 1, 1)</f>
        <v>#ERROR!</v>
      </c>
    </row>
    <row r="385" ht="12.75" customHeight="1">
      <c r="A385" s="70" t="str">
        <f>ARRAY_CONSTRAIN(ARRAYFORMULA(IFERROR(TRANSPOSE(_xlfn.UNIQUE(_xlfn._xlws.FILTER(Table_1[Category],Table_1[Department]='Listing Details'!E387))),"")), 1, 1)</f>
        <v>#ERROR!</v>
      </c>
    </row>
    <row r="386" ht="12.75" customHeight="1">
      <c r="A386" s="70" t="str">
        <f>ARRAY_CONSTRAIN(ARRAYFORMULA(IFERROR(TRANSPOSE(_xlfn.UNIQUE(_xlfn._xlws.FILTER(Table_1[Category],Table_1[Department]='Listing Details'!E388))),"")), 1, 1)</f>
        <v>#ERROR!</v>
      </c>
    </row>
    <row r="387" ht="12.75" customHeight="1">
      <c r="A387" s="70" t="str">
        <f>ARRAY_CONSTRAIN(ARRAYFORMULA(IFERROR(TRANSPOSE(_xlfn.UNIQUE(_xlfn._xlws.FILTER(Table_1[Category],Table_1[Department]='Listing Details'!E389))),"")), 1, 1)</f>
        <v>#ERROR!</v>
      </c>
    </row>
    <row r="388" ht="12.75" customHeight="1">
      <c r="A388" s="70" t="str">
        <f>ARRAY_CONSTRAIN(ARRAYFORMULA(IFERROR(TRANSPOSE(_xlfn.UNIQUE(_xlfn._xlws.FILTER(Table_1[Category],Table_1[Department]='Listing Details'!E390))),"")), 1, 1)</f>
        <v>#ERROR!</v>
      </c>
    </row>
    <row r="389" ht="12.75" customHeight="1">
      <c r="A389" s="70" t="str">
        <f>ARRAY_CONSTRAIN(ARRAYFORMULA(IFERROR(TRANSPOSE(_xlfn.UNIQUE(_xlfn._xlws.FILTER(Table_1[Category],Table_1[Department]='Listing Details'!E391))),"")), 1, 1)</f>
        <v>#ERROR!</v>
      </c>
    </row>
    <row r="390" ht="12.75" customHeight="1">
      <c r="A390" s="70" t="str">
        <f>ARRAY_CONSTRAIN(ARRAYFORMULA(IFERROR(TRANSPOSE(_xlfn.UNIQUE(_xlfn._xlws.FILTER(Table_1[Category],Table_1[Department]='Listing Details'!E392))),"")), 1, 1)</f>
        <v>#ERROR!</v>
      </c>
    </row>
    <row r="391" ht="12.75" customHeight="1">
      <c r="A391" s="70" t="str">
        <f>ARRAY_CONSTRAIN(ARRAYFORMULA(IFERROR(TRANSPOSE(_xlfn.UNIQUE(_xlfn._xlws.FILTER(Table_1[Category],Table_1[Department]='Listing Details'!E393))),"")), 1, 1)</f>
        <v>#ERROR!</v>
      </c>
    </row>
    <row r="392" ht="12.75" customHeight="1">
      <c r="A392" s="70" t="str">
        <f>ARRAY_CONSTRAIN(ARRAYFORMULA(IFERROR(TRANSPOSE(_xlfn.UNIQUE(_xlfn._xlws.FILTER(Table_1[Category],Table_1[Department]='Listing Details'!E394))),"")), 1, 1)</f>
        <v>#ERROR!</v>
      </c>
    </row>
    <row r="393" ht="12.75" customHeight="1">
      <c r="A393" s="70" t="str">
        <f>ARRAY_CONSTRAIN(ARRAYFORMULA(IFERROR(TRANSPOSE(_xlfn.UNIQUE(_xlfn._xlws.FILTER(Table_1[Category],Table_1[Department]='Listing Details'!E395))),"")), 1, 1)</f>
        <v>#ERROR!</v>
      </c>
    </row>
    <row r="394" ht="12.75" customHeight="1">
      <c r="A394" s="70" t="str">
        <f>ARRAY_CONSTRAIN(ARRAYFORMULA(IFERROR(TRANSPOSE(_xlfn.UNIQUE(_xlfn._xlws.FILTER(Table_1[Category],Table_1[Department]='Listing Details'!E396))),"")), 1, 1)</f>
        <v>#ERROR!</v>
      </c>
    </row>
    <row r="395" ht="12.75" customHeight="1">
      <c r="A395" s="70" t="str">
        <f>ARRAY_CONSTRAIN(ARRAYFORMULA(IFERROR(TRANSPOSE(_xlfn.UNIQUE(_xlfn._xlws.FILTER(Table_1[Category],Table_1[Department]='Listing Details'!E397))),"")), 1, 1)</f>
        <v>#ERROR!</v>
      </c>
    </row>
    <row r="396" ht="12.75" customHeight="1">
      <c r="A396" s="70" t="str">
        <f>ARRAY_CONSTRAIN(ARRAYFORMULA(IFERROR(TRANSPOSE(_xlfn.UNIQUE(_xlfn._xlws.FILTER(Table_1[Category],Table_1[Department]='Listing Details'!E398))),"")), 1, 1)</f>
        <v>#ERROR!</v>
      </c>
    </row>
    <row r="397" ht="12.75" customHeight="1">
      <c r="A397" s="70" t="str">
        <f>ARRAY_CONSTRAIN(ARRAYFORMULA(IFERROR(TRANSPOSE(_xlfn.UNIQUE(_xlfn._xlws.FILTER(Table_1[Category],Table_1[Department]='Listing Details'!E399))),"")), 1, 1)</f>
        <v>#ERROR!</v>
      </c>
    </row>
    <row r="398" ht="12.75" customHeight="1">
      <c r="A398" s="70" t="str">
        <f>ARRAY_CONSTRAIN(ARRAYFORMULA(IFERROR(TRANSPOSE(_xlfn.UNIQUE(_xlfn._xlws.FILTER(Table_1[Category],Table_1[Department]='Listing Details'!E400))),"")), 1, 1)</f>
        <v>#ERROR!</v>
      </c>
    </row>
    <row r="399" ht="12.75" customHeight="1">
      <c r="A399" s="70" t="str">
        <f>ARRAY_CONSTRAIN(ARRAYFORMULA(IFERROR(TRANSPOSE(_xlfn.UNIQUE(_xlfn._xlws.FILTER(Table_1[Category],Table_1[Department]='Listing Details'!E401))),"")), 1, 1)</f>
        <v>#ERROR!</v>
      </c>
    </row>
    <row r="400" ht="12.75" customHeight="1">
      <c r="A400" s="70" t="str">
        <f>ARRAY_CONSTRAIN(ARRAYFORMULA(IFERROR(TRANSPOSE(_xlfn.UNIQUE(_xlfn._xlws.FILTER(Table_1[Category],Table_1[Department]='Listing Details'!E402))),"")), 1, 1)</f>
        <v>#ERROR!</v>
      </c>
    </row>
    <row r="401" ht="12.75" customHeight="1">
      <c r="A401" s="70" t="str">
        <f>ARRAY_CONSTRAIN(ARRAYFORMULA(IFERROR(TRANSPOSE(_xlfn.UNIQUE(_xlfn._xlws.FILTER(Table_1[Category],Table_1[Department]='Listing Details'!E403))),"")), 1, 1)</f>
        <v>#ERROR!</v>
      </c>
    </row>
    <row r="402" ht="12.75" customHeight="1">
      <c r="A402" s="70" t="str">
        <f>ARRAY_CONSTRAIN(ARRAYFORMULA(IFERROR(TRANSPOSE(_xlfn.UNIQUE(_xlfn._xlws.FILTER(Table_1[Category],Table_1[Department]='Listing Details'!E404))),"")), 1, 1)</f>
        <v>#ERROR!</v>
      </c>
    </row>
    <row r="403" ht="12.75" customHeight="1">
      <c r="A403" s="70" t="str">
        <f>ARRAY_CONSTRAIN(ARRAYFORMULA(IFERROR(TRANSPOSE(_xlfn.UNIQUE(_xlfn._xlws.FILTER(Table_1[Category],Table_1[Department]='Listing Details'!E405))),"")), 1, 1)</f>
        <v>#ERROR!</v>
      </c>
    </row>
    <row r="404" ht="12.75" customHeight="1">
      <c r="A404" s="70" t="str">
        <f>ARRAY_CONSTRAIN(ARRAYFORMULA(IFERROR(TRANSPOSE(_xlfn.UNIQUE(_xlfn._xlws.FILTER(Table_1[Category],Table_1[Department]='Listing Details'!E406))),"")), 1, 1)</f>
        <v>#ERROR!</v>
      </c>
    </row>
    <row r="405" ht="12.75" customHeight="1">
      <c r="A405" s="70" t="str">
        <f>ARRAY_CONSTRAIN(ARRAYFORMULA(IFERROR(TRANSPOSE(_xlfn.UNIQUE(_xlfn._xlws.FILTER(Table_1[Category],Table_1[Department]='Listing Details'!E407))),"")), 1, 1)</f>
        <v>#ERROR!</v>
      </c>
    </row>
    <row r="406" ht="12.75" customHeight="1">
      <c r="A406" s="70" t="str">
        <f>ARRAY_CONSTRAIN(ARRAYFORMULA(IFERROR(TRANSPOSE(_xlfn.UNIQUE(_xlfn._xlws.FILTER(Table_1[Category],Table_1[Department]='Listing Details'!E408))),"")), 1, 1)</f>
        <v>#ERROR!</v>
      </c>
    </row>
    <row r="407" ht="12.75" customHeight="1">
      <c r="A407" s="70" t="str">
        <f>ARRAY_CONSTRAIN(ARRAYFORMULA(IFERROR(TRANSPOSE(_xlfn.UNIQUE(_xlfn._xlws.FILTER(Table_1[Category],Table_1[Department]='Listing Details'!E409))),"")), 1, 1)</f>
        <v>#ERROR!</v>
      </c>
    </row>
    <row r="408" ht="12.75" customHeight="1">
      <c r="A408" s="70" t="str">
        <f>ARRAY_CONSTRAIN(ARRAYFORMULA(IFERROR(TRANSPOSE(_xlfn.UNIQUE(_xlfn._xlws.FILTER(Table_1[Category],Table_1[Department]='Listing Details'!E410))),"")), 1, 1)</f>
        <v>#ERROR!</v>
      </c>
    </row>
    <row r="409" ht="12.75" customHeight="1">
      <c r="A409" s="70" t="str">
        <f>ARRAY_CONSTRAIN(ARRAYFORMULA(IFERROR(TRANSPOSE(_xlfn.UNIQUE(_xlfn._xlws.FILTER(Table_1[Category],Table_1[Department]='Listing Details'!E411))),"")), 1, 1)</f>
        <v>#ERROR!</v>
      </c>
    </row>
    <row r="410" ht="12.75" customHeight="1">
      <c r="A410" s="70" t="str">
        <f>ARRAY_CONSTRAIN(ARRAYFORMULA(IFERROR(TRANSPOSE(_xlfn.UNIQUE(_xlfn._xlws.FILTER(Table_1[Category],Table_1[Department]='Listing Details'!E412))),"")), 1, 1)</f>
        <v>#ERROR!</v>
      </c>
    </row>
    <row r="411" ht="12.75" customHeight="1">
      <c r="A411" s="70" t="str">
        <f>ARRAY_CONSTRAIN(ARRAYFORMULA(IFERROR(TRANSPOSE(_xlfn.UNIQUE(_xlfn._xlws.FILTER(Table_1[Category],Table_1[Department]='Listing Details'!E413))),"")), 1, 1)</f>
        <v>#ERROR!</v>
      </c>
    </row>
    <row r="412" ht="12.75" customHeight="1">
      <c r="A412" s="70" t="str">
        <f>ARRAY_CONSTRAIN(ARRAYFORMULA(IFERROR(TRANSPOSE(_xlfn.UNIQUE(_xlfn._xlws.FILTER(Table_1[Category],Table_1[Department]='Listing Details'!E414))),"")), 1, 1)</f>
        <v>#ERROR!</v>
      </c>
    </row>
    <row r="413" ht="12.75" customHeight="1">
      <c r="A413" s="70" t="str">
        <f>ARRAY_CONSTRAIN(ARRAYFORMULA(IFERROR(TRANSPOSE(_xlfn.UNIQUE(_xlfn._xlws.FILTER(Table_1[Category],Table_1[Department]='Listing Details'!E415))),"")), 1, 1)</f>
        <v>#ERROR!</v>
      </c>
    </row>
    <row r="414" ht="12.75" customHeight="1">
      <c r="A414" s="70" t="str">
        <f>ARRAY_CONSTRAIN(ARRAYFORMULA(IFERROR(TRANSPOSE(_xlfn.UNIQUE(_xlfn._xlws.FILTER(Table_1[Category],Table_1[Department]='Listing Details'!E416))),"")), 1, 1)</f>
        <v>#ERROR!</v>
      </c>
    </row>
    <row r="415" ht="12.75" customHeight="1">
      <c r="A415" s="70" t="str">
        <f>ARRAY_CONSTRAIN(ARRAYFORMULA(IFERROR(TRANSPOSE(_xlfn.UNIQUE(_xlfn._xlws.FILTER(Table_1[Category],Table_1[Department]='Listing Details'!E417))),"")), 1, 1)</f>
        <v>#ERROR!</v>
      </c>
    </row>
    <row r="416" ht="12.75" customHeight="1">
      <c r="A416" s="70" t="str">
        <f>ARRAY_CONSTRAIN(ARRAYFORMULA(IFERROR(TRANSPOSE(_xlfn.UNIQUE(_xlfn._xlws.FILTER(Table_1[Category],Table_1[Department]='Listing Details'!E418))),"")), 1, 1)</f>
        <v>#ERROR!</v>
      </c>
    </row>
    <row r="417" ht="12.75" customHeight="1">
      <c r="A417" s="70" t="str">
        <f>ARRAY_CONSTRAIN(ARRAYFORMULA(IFERROR(TRANSPOSE(_xlfn.UNIQUE(_xlfn._xlws.FILTER(Table_1[Category],Table_1[Department]='Listing Details'!E419))),"")), 1, 1)</f>
        <v>#ERROR!</v>
      </c>
    </row>
    <row r="418" ht="12.75" customHeight="1">
      <c r="A418" s="70" t="str">
        <f>ARRAY_CONSTRAIN(ARRAYFORMULA(IFERROR(TRANSPOSE(_xlfn.UNIQUE(_xlfn._xlws.FILTER(Table_1[Category],Table_1[Department]='Listing Details'!E420))),"")), 1, 1)</f>
        <v>#ERROR!</v>
      </c>
    </row>
    <row r="419" ht="12.75" customHeight="1">
      <c r="A419" s="70" t="str">
        <f>ARRAY_CONSTRAIN(ARRAYFORMULA(IFERROR(TRANSPOSE(_xlfn.UNIQUE(_xlfn._xlws.FILTER(Table_1[Category],Table_1[Department]='Listing Details'!E421))),"")), 1, 1)</f>
        <v>#ERROR!</v>
      </c>
    </row>
    <row r="420" ht="12.75" customHeight="1">
      <c r="A420" s="70" t="str">
        <f>ARRAY_CONSTRAIN(ARRAYFORMULA(IFERROR(TRANSPOSE(_xlfn.UNIQUE(_xlfn._xlws.FILTER(Table_1[Category],Table_1[Department]='Listing Details'!E422))),"")), 1, 1)</f>
        <v>#ERROR!</v>
      </c>
    </row>
    <row r="421" ht="12.75" customHeight="1">
      <c r="A421" s="70" t="str">
        <f>ARRAY_CONSTRAIN(ARRAYFORMULA(IFERROR(TRANSPOSE(_xlfn.UNIQUE(_xlfn._xlws.FILTER(Table_1[Category],Table_1[Department]='Listing Details'!E423))),"")), 1, 1)</f>
        <v>#ERROR!</v>
      </c>
    </row>
    <row r="422" ht="12.75" customHeight="1">
      <c r="A422" s="70" t="str">
        <f>ARRAY_CONSTRAIN(ARRAYFORMULA(IFERROR(TRANSPOSE(_xlfn.UNIQUE(_xlfn._xlws.FILTER(Table_1[Category],Table_1[Department]='Listing Details'!E424))),"")), 1, 1)</f>
        <v>#ERROR!</v>
      </c>
    </row>
    <row r="423" ht="12.75" customHeight="1">
      <c r="A423" s="70" t="str">
        <f>ARRAY_CONSTRAIN(ARRAYFORMULA(IFERROR(TRANSPOSE(_xlfn.UNIQUE(_xlfn._xlws.FILTER(Table_1[Category],Table_1[Department]='Listing Details'!E425))),"")), 1, 1)</f>
        <v>#ERROR!</v>
      </c>
    </row>
    <row r="424" ht="12.75" customHeight="1">
      <c r="A424" s="70" t="str">
        <f>ARRAY_CONSTRAIN(ARRAYFORMULA(IFERROR(TRANSPOSE(_xlfn.UNIQUE(_xlfn._xlws.FILTER(Table_1[Category],Table_1[Department]='Listing Details'!E426))),"")), 1, 1)</f>
        <v>#ERROR!</v>
      </c>
    </row>
    <row r="425" ht="12.75" customHeight="1">
      <c r="A425" s="70" t="str">
        <f>ARRAY_CONSTRAIN(ARRAYFORMULA(IFERROR(TRANSPOSE(_xlfn.UNIQUE(_xlfn._xlws.FILTER(Table_1[Category],Table_1[Department]='Listing Details'!E427))),"")), 1, 1)</f>
        <v>#ERROR!</v>
      </c>
    </row>
    <row r="426" ht="12.75" customHeight="1">
      <c r="A426" s="70" t="str">
        <f>ARRAY_CONSTRAIN(ARRAYFORMULA(IFERROR(TRANSPOSE(_xlfn.UNIQUE(_xlfn._xlws.FILTER(Table_1[Category],Table_1[Department]='Listing Details'!E428))),"")), 1, 1)</f>
        <v>#ERROR!</v>
      </c>
    </row>
    <row r="427" ht="12.75" customHeight="1">
      <c r="A427" s="70" t="str">
        <f>ARRAY_CONSTRAIN(ARRAYFORMULA(IFERROR(TRANSPOSE(_xlfn.UNIQUE(_xlfn._xlws.FILTER(Table_1[Category],Table_1[Department]='Listing Details'!E429))),"")), 1, 1)</f>
        <v>#ERROR!</v>
      </c>
    </row>
    <row r="428" ht="12.75" customHeight="1">
      <c r="A428" s="70" t="str">
        <f>ARRAY_CONSTRAIN(ARRAYFORMULA(IFERROR(TRANSPOSE(_xlfn.UNIQUE(_xlfn._xlws.FILTER(Table_1[Category],Table_1[Department]='Listing Details'!E430))),"")), 1, 1)</f>
        <v>#ERROR!</v>
      </c>
    </row>
    <row r="429" ht="12.75" customHeight="1">
      <c r="A429" s="70" t="str">
        <f>ARRAY_CONSTRAIN(ARRAYFORMULA(IFERROR(TRANSPOSE(_xlfn.UNIQUE(_xlfn._xlws.FILTER(Table_1[Category],Table_1[Department]='Listing Details'!E431))),"")), 1, 1)</f>
        <v>#ERROR!</v>
      </c>
    </row>
    <row r="430" ht="12.75" customHeight="1">
      <c r="A430" s="70" t="str">
        <f>ARRAY_CONSTRAIN(ARRAYFORMULA(IFERROR(TRANSPOSE(_xlfn.UNIQUE(_xlfn._xlws.FILTER(Table_1[Category],Table_1[Department]='Listing Details'!E432))),"")), 1, 1)</f>
        <v>#ERROR!</v>
      </c>
    </row>
    <row r="431" ht="12.75" customHeight="1">
      <c r="A431" s="70" t="str">
        <f>ARRAY_CONSTRAIN(ARRAYFORMULA(IFERROR(TRANSPOSE(_xlfn.UNIQUE(_xlfn._xlws.FILTER(Table_1[Category],Table_1[Department]='Listing Details'!E433))),"")), 1, 1)</f>
        <v>#ERROR!</v>
      </c>
    </row>
    <row r="432" ht="12.75" customHeight="1">
      <c r="A432" s="70" t="str">
        <f>ARRAY_CONSTRAIN(ARRAYFORMULA(IFERROR(TRANSPOSE(_xlfn.UNIQUE(_xlfn._xlws.FILTER(Table_1[Category],Table_1[Department]='Listing Details'!E434))),"")), 1, 1)</f>
        <v>#ERROR!</v>
      </c>
    </row>
    <row r="433" ht="12.75" customHeight="1">
      <c r="A433" s="70" t="str">
        <f>ARRAY_CONSTRAIN(ARRAYFORMULA(IFERROR(TRANSPOSE(_xlfn.UNIQUE(_xlfn._xlws.FILTER(Table_1[Category],Table_1[Department]='Listing Details'!E435))),"")), 1, 1)</f>
        <v>#ERROR!</v>
      </c>
    </row>
    <row r="434" ht="12.75" customHeight="1">
      <c r="A434" s="70" t="str">
        <f>ARRAY_CONSTRAIN(ARRAYFORMULA(IFERROR(TRANSPOSE(_xlfn.UNIQUE(_xlfn._xlws.FILTER(Table_1[Category],Table_1[Department]='Listing Details'!E436))),"")), 1, 1)</f>
        <v>#ERROR!</v>
      </c>
    </row>
    <row r="435" ht="12.75" customHeight="1">
      <c r="A435" s="70" t="str">
        <f>ARRAY_CONSTRAIN(ARRAYFORMULA(IFERROR(TRANSPOSE(_xlfn.UNIQUE(_xlfn._xlws.FILTER(Table_1[Category],Table_1[Department]='Listing Details'!E437))),"")), 1, 1)</f>
        <v>#ERROR!</v>
      </c>
    </row>
    <row r="436" ht="12.75" customHeight="1">
      <c r="A436" s="70" t="str">
        <f>ARRAY_CONSTRAIN(ARRAYFORMULA(IFERROR(TRANSPOSE(_xlfn.UNIQUE(_xlfn._xlws.FILTER(Table_1[Category],Table_1[Department]='Listing Details'!E438))),"")), 1, 1)</f>
        <v>#ERROR!</v>
      </c>
    </row>
    <row r="437" ht="12.75" customHeight="1">
      <c r="A437" s="70" t="str">
        <f>ARRAY_CONSTRAIN(ARRAYFORMULA(IFERROR(TRANSPOSE(_xlfn.UNIQUE(_xlfn._xlws.FILTER(Table_1[Category],Table_1[Department]='Listing Details'!E439))),"")), 1, 1)</f>
        <v>#ERROR!</v>
      </c>
    </row>
    <row r="438" ht="12.75" customHeight="1">
      <c r="A438" s="70" t="str">
        <f>ARRAY_CONSTRAIN(ARRAYFORMULA(IFERROR(TRANSPOSE(_xlfn.UNIQUE(_xlfn._xlws.FILTER(Table_1[Category],Table_1[Department]='Listing Details'!E440))),"")), 1, 1)</f>
        <v>#ERROR!</v>
      </c>
    </row>
    <row r="439" ht="12.75" customHeight="1">
      <c r="A439" s="70" t="str">
        <f>ARRAY_CONSTRAIN(ARRAYFORMULA(IFERROR(TRANSPOSE(_xlfn.UNIQUE(_xlfn._xlws.FILTER(Table_1[Category],Table_1[Department]='Listing Details'!E441))),"")), 1, 1)</f>
        <v>#ERROR!</v>
      </c>
    </row>
    <row r="440" ht="12.75" customHeight="1">
      <c r="A440" s="70" t="str">
        <f>ARRAY_CONSTRAIN(ARRAYFORMULA(IFERROR(TRANSPOSE(_xlfn.UNIQUE(_xlfn._xlws.FILTER(Table_1[Category],Table_1[Department]='Listing Details'!E442))),"")), 1, 1)</f>
        <v>#ERROR!</v>
      </c>
    </row>
    <row r="441" ht="12.75" customHeight="1">
      <c r="A441" s="70" t="str">
        <f>ARRAY_CONSTRAIN(ARRAYFORMULA(IFERROR(TRANSPOSE(_xlfn.UNIQUE(_xlfn._xlws.FILTER(Table_1[Category],Table_1[Department]='Listing Details'!E443))),"")), 1, 1)</f>
        <v>#ERROR!</v>
      </c>
    </row>
    <row r="442" ht="12.75" customHeight="1">
      <c r="A442" s="70" t="str">
        <f>ARRAY_CONSTRAIN(ARRAYFORMULA(IFERROR(TRANSPOSE(_xlfn.UNIQUE(_xlfn._xlws.FILTER(Table_1[Category],Table_1[Department]='Listing Details'!E444))),"")), 1, 1)</f>
        <v>#ERROR!</v>
      </c>
    </row>
    <row r="443" ht="12.75" customHeight="1">
      <c r="A443" s="70" t="str">
        <f>ARRAY_CONSTRAIN(ARRAYFORMULA(IFERROR(TRANSPOSE(_xlfn.UNIQUE(_xlfn._xlws.FILTER(Table_1[Category],Table_1[Department]='Listing Details'!E445))),"")), 1, 1)</f>
        <v>#ERROR!</v>
      </c>
    </row>
    <row r="444" ht="12.75" customHeight="1">
      <c r="A444" s="70" t="str">
        <f>ARRAY_CONSTRAIN(ARRAYFORMULA(IFERROR(TRANSPOSE(_xlfn.UNIQUE(_xlfn._xlws.FILTER(Table_1[Category],Table_1[Department]='Listing Details'!E446))),"")), 1, 1)</f>
        <v>#ERROR!</v>
      </c>
    </row>
    <row r="445" ht="12.75" customHeight="1">
      <c r="A445" s="70" t="str">
        <f>ARRAY_CONSTRAIN(ARRAYFORMULA(IFERROR(TRANSPOSE(_xlfn.UNIQUE(_xlfn._xlws.FILTER(Table_1[Category],Table_1[Department]='Listing Details'!E447))),"")), 1, 1)</f>
        <v>#ERROR!</v>
      </c>
    </row>
    <row r="446" ht="12.75" customHeight="1">
      <c r="A446" s="70" t="str">
        <f>ARRAY_CONSTRAIN(ARRAYFORMULA(IFERROR(TRANSPOSE(_xlfn.UNIQUE(_xlfn._xlws.FILTER(Table_1[Category],Table_1[Department]='Listing Details'!E448))),"")), 1, 1)</f>
        <v>#ERROR!</v>
      </c>
    </row>
    <row r="447" ht="12.75" customHeight="1">
      <c r="A447" s="70" t="str">
        <f>ARRAY_CONSTRAIN(ARRAYFORMULA(IFERROR(TRANSPOSE(_xlfn.UNIQUE(_xlfn._xlws.FILTER(Table_1[Category],Table_1[Department]='Listing Details'!E449))),"")), 1, 1)</f>
        <v>#ERROR!</v>
      </c>
    </row>
    <row r="448" ht="12.75" customHeight="1">
      <c r="A448" s="70" t="str">
        <f>ARRAY_CONSTRAIN(ARRAYFORMULA(IFERROR(TRANSPOSE(_xlfn.UNIQUE(_xlfn._xlws.FILTER(Table_1[Category],Table_1[Department]='Listing Details'!E450))),"")), 1, 1)</f>
        <v>#ERROR!</v>
      </c>
    </row>
    <row r="449" ht="12.75" customHeight="1">
      <c r="A449" s="70" t="str">
        <f>ARRAY_CONSTRAIN(ARRAYFORMULA(IFERROR(TRANSPOSE(_xlfn.UNIQUE(_xlfn._xlws.FILTER(Table_1[Category],Table_1[Department]='Listing Details'!E451))),"")), 1, 1)</f>
        <v>#ERROR!</v>
      </c>
    </row>
    <row r="450" ht="12.75" customHeight="1">
      <c r="A450" s="70" t="str">
        <f>ARRAY_CONSTRAIN(ARRAYFORMULA(IFERROR(TRANSPOSE(_xlfn.UNIQUE(_xlfn._xlws.FILTER(Table_1[Category],Table_1[Department]='Listing Details'!E452))),"")), 1, 1)</f>
        <v>#ERROR!</v>
      </c>
    </row>
    <row r="451" ht="12.75" customHeight="1">
      <c r="A451" s="70" t="str">
        <f>ARRAY_CONSTRAIN(ARRAYFORMULA(IFERROR(TRANSPOSE(_xlfn.UNIQUE(_xlfn._xlws.FILTER(Table_1[Category],Table_1[Department]='Listing Details'!E453))),"")), 1, 1)</f>
        <v>#ERROR!</v>
      </c>
    </row>
    <row r="452" ht="12.75" customHeight="1">
      <c r="A452" s="70" t="str">
        <f>ARRAY_CONSTRAIN(ARRAYFORMULA(IFERROR(TRANSPOSE(_xlfn.UNIQUE(_xlfn._xlws.FILTER(Table_1[Category],Table_1[Department]='Listing Details'!E454))),"")), 1, 1)</f>
        <v>#ERROR!</v>
      </c>
    </row>
    <row r="453" ht="12.75" customHeight="1">
      <c r="A453" s="70" t="str">
        <f>ARRAY_CONSTRAIN(ARRAYFORMULA(IFERROR(TRANSPOSE(_xlfn.UNIQUE(_xlfn._xlws.FILTER(Table_1[Category],Table_1[Department]='Listing Details'!E455))),"")), 1, 1)</f>
        <v>#ERROR!</v>
      </c>
    </row>
    <row r="454" ht="12.75" customHeight="1">
      <c r="A454" s="70" t="str">
        <f>ARRAY_CONSTRAIN(ARRAYFORMULA(IFERROR(TRANSPOSE(_xlfn.UNIQUE(_xlfn._xlws.FILTER(Table_1[Category],Table_1[Department]='Listing Details'!E456))),"")), 1, 1)</f>
        <v>#ERROR!</v>
      </c>
    </row>
    <row r="455" ht="12.75" customHeight="1">
      <c r="A455" s="70" t="str">
        <f>ARRAY_CONSTRAIN(ARRAYFORMULA(IFERROR(TRANSPOSE(_xlfn.UNIQUE(_xlfn._xlws.FILTER(Table_1[Category],Table_1[Department]='Listing Details'!E457))),"")), 1, 1)</f>
        <v>#ERROR!</v>
      </c>
    </row>
    <row r="456" ht="12.75" customHeight="1">
      <c r="A456" s="70" t="str">
        <f>ARRAY_CONSTRAIN(ARRAYFORMULA(IFERROR(TRANSPOSE(_xlfn.UNIQUE(_xlfn._xlws.FILTER(Table_1[Category],Table_1[Department]='Listing Details'!E458))),"")), 1, 1)</f>
        <v>#ERROR!</v>
      </c>
    </row>
    <row r="457" ht="12.75" customHeight="1">
      <c r="A457" s="70" t="str">
        <f>ARRAY_CONSTRAIN(ARRAYFORMULA(IFERROR(TRANSPOSE(_xlfn.UNIQUE(_xlfn._xlws.FILTER(Table_1[Category],Table_1[Department]='Listing Details'!E459))),"")), 1, 1)</f>
        <v>#ERROR!</v>
      </c>
    </row>
    <row r="458" ht="12.75" customHeight="1">
      <c r="A458" s="70" t="str">
        <f>ARRAY_CONSTRAIN(ARRAYFORMULA(IFERROR(TRANSPOSE(_xlfn.UNIQUE(_xlfn._xlws.FILTER(Table_1[Category],Table_1[Department]='Listing Details'!E460))),"")), 1, 1)</f>
        <v>#ERROR!</v>
      </c>
    </row>
    <row r="459" ht="12.75" customHeight="1">
      <c r="A459" s="70" t="str">
        <f>ARRAY_CONSTRAIN(ARRAYFORMULA(IFERROR(TRANSPOSE(_xlfn.UNIQUE(_xlfn._xlws.FILTER(Table_1[Category],Table_1[Department]='Listing Details'!E461))),"")), 1, 1)</f>
        <v>#ERROR!</v>
      </c>
    </row>
    <row r="460" ht="12.75" customHeight="1">
      <c r="A460" s="70"/>
    </row>
    <row r="461" ht="12.75" customHeight="1">
      <c r="A461" s="70"/>
    </row>
    <row r="462" ht="12.75" customHeight="1">
      <c r="A462" s="70"/>
    </row>
    <row r="463" ht="12.75" customHeight="1">
      <c r="A463" s="70"/>
    </row>
    <row r="464" ht="12.75" customHeight="1">
      <c r="A464" s="70"/>
    </row>
    <row r="465" ht="12.75" customHeight="1">
      <c r="A465" s="70"/>
    </row>
    <row r="466" ht="12.75" customHeight="1">
      <c r="A466" s="70"/>
    </row>
    <row r="467" ht="12.75" customHeight="1">
      <c r="A467" s="70"/>
    </row>
    <row r="468" ht="12.75" customHeight="1">
      <c r="A468" s="70"/>
    </row>
    <row r="469" ht="12.75" customHeight="1">
      <c r="A469" s="70"/>
    </row>
    <row r="470" ht="12.75" customHeight="1">
      <c r="A470" s="70"/>
    </row>
    <row r="471" ht="12.75" customHeight="1">
      <c r="A471" s="70"/>
    </row>
    <row r="472" ht="12.75" customHeight="1">
      <c r="A472" s="70"/>
    </row>
    <row r="473" ht="12.75" customHeight="1">
      <c r="A473" s="70"/>
    </row>
    <row r="474" ht="12.75" customHeight="1">
      <c r="A474" s="70"/>
    </row>
    <row r="475" ht="12.75" customHeight="1">
      <c r="A475" s="70"/>
    </row>
    <row r="476" ht="12.75" customHeight="1">
      <c r="A476" s="70"/>
    </row>
    <row r="477" ht="12.75" customHeight="1">
      <c r="A477" s="70"/>
    </row>
    <row r="478" ht="12.75" customHeight="1">
      <c r="A478" s="70"/>
    </row>
    <row r="479" ht="12.75" customHeight="1">
      <c r="A479" s="70"/>
    </row>
    <row r="480" ht="12.75" customHeight="1">
      <c r="A480" s="70"/>
    </row>
    <row r="481" ht="12.75" customHeight="1">
      <c r="A481" s="70"/>
    </row>
    <row r="482" ht="12.75" customHeight="1">
      <c r="A482" s="70"/>
    </row>
    <row r="483" ht="12.75" customHeight="1">
      <c r="A483" s="70"/>
    </row>
    <row r="484" ht="12.75" customHeight="1">
      <c r="A484" s="70"/>
    </row>
    <row r="485" ht="12.75" customHeight="1">
      <c r="A485" s="70"/>
    </row>
    <row r="486" ht="12.75" customHeight="1">
      <c r="A486" s="70"/>
    </row>
    <row r="487" ht="12.75" customHeight="1">
      <c r="A487" s="70"/>
    </row>
    <row r="488" ht="12.75" customHeight="1">
      <c r="A488" s="70"/>
    </row>
    <row r="489" ht="12.75" customHeight="1">
      <c r="A489" s="70"/>
    </row>
    <row r="490" ht="12.75" customHeight="1">
      <c r="A490" s="70"/>
    </row>
    <row r="491" ht="12.75" customHeight="1">
      <c r="A491" s="70"/>
    </row>
    <row r="492" ht="12.75" customHeight="1">
      <c r="A492" s="70"/>
    </row>
    <row r="493" ht="12.75" customHeight="1">
      <c r="A493" s="70"/>
    </row>
    <row r="494" ht="12.75" customHeight="1">
      <c r="A494" s="70"/>
    </row>
    <row r="495" ht="12.75" customHeight="1">
      <c r="A495" s="70"/>
    </row>
    <row r="496" ht="12.75" customHeight="1">
      <c r="A496" s="70"/>
    </row>
    <row r="497" ht="12.75" customHeight="1">
      <c r="A497" s="70"/>
    </row>
    <row r="498" ht="12.75" customHeight="1">
      <c r="A498" s="70"/>
    </row>
    <row r="499" ht="12.75" customHeight="1">
      <c r="A499" s="70"/>
    </row>
    <row r="500" ht="12.75" customHeight="1">
      <c r="A500" s="70"/>
    </row>
    <row r="501" ht="12.75" customHeight="1">
      <c r="A501" s="70"/>
    </row>
    <row r="502" ht="12.75" customHeight="1">
      <c r="A502" s="70"/>
    </row>
    <row r="503" ht="12.75" customHeight="1">
      <c r="A503" s="70"/>
    </row>
    <row r="504" ht="12.75" customHeight="1">
      <c r="A504" s="70"/>
    </row>
    <row r="505" ht="12.75" customHeight="1">
      <c r="A505" s="70"/>
    </row>
    <row r="506" ht="12.75" customHeight="1">
      <c r="A506" s="70"/>
    </row>
    <row r="507" ht="12.75" customHeight="1">
      <c r="A507" s="70"/>
    </row>
    <row r="508" ht="12.75" customHeight="1">
      <c r="A508" s="70"/>
    </row>
    <row r="509" ht="12.75" customHeight="1">
      <c r="A509" s="70"/>
    </row>
    <row r="510" ht="12.75" customHeight="1">
      <c r="A510" s="70"/>
    </row>
    <row r="511" ht="12.75" customHeight="1">
      <c r="A511" s="70"/>
    </row>
    <row r="512" ht="12.75" customHeight="1">
      <c r="A512" s="70"/>
    </row>
    <row r="513" ht="12.75" customHeight="1">
      <c r="A513" s="70"/>
    </row>
    <row r="514" ht="12.75" customHeight="1">
      <c r="A514" s="70"/>
    </row>
    <row r="515" ht="12.75" customHeight="1">
      <c r="A515" s="70"/>
    </row>
    <row r="516" ht="12.75" customHeight="1">
      <c r="A516" s="70"/>
    </row>
    <row r="517" ht="12.75" customHeight="1">
      <c r="A517" s="70"/>
    </row>
    <row r="518" ht="12.75" customHeight="1">
      <c r="A518" s="70"/>
    </row>
    <row r="519" ht="12.75" customHeight="1">
      <c r="A519" s="70"/>
    </row>
    <row r="520" ht="12.75" customHeight="1">
      <c r="A520" s="70"/>
    </row>
    <row r="521" ht="12.75" customHeight="1">
      <c r="A521" s="70"/>
    </row>
    <row r="522" ht="12.75" customHeight="1">
      <c r="A522" s="70"/>
    </row>
    <row r="523" ht="12.75" customHeight="1">
      <c r="A523" s="70"/>
    </row>
    <row r="524" ht="12.75" customHeight="1">
      <c r="A524" s="70"/>
    </row>
    <row r="525" ht="12.75" customHeight="1">
      <c r="A525" s="70"/>
    </row>
    <row r="526" ht="12.75" customHeight="1">
      <c r="A526" s="70"/>
    </row>
    <row r="527" ht="12.75" customHeight="1">
      <c r="A527" s="70"/>
    </row>
    <row r="528" ht="12.75" customHeight="1">
      <c r="A528" s="70"/>
    </row>
    <row r="529" ht="12.75" customHeight="1">
      <c r="A529" s="70"/>
    </row>
    <row r="530" ht="12.75" customHeight="1">
      <c r="A530" s="70"/>
    </row>
    <row r="531" ht="12.75" customHeight="1">
      <c r="A531" s="70"/>
    </row>
    <row r="532" ht="12.75" customHeight="1">
      <c r="A532" s="70"/>
    </row>
    <row r="533" ht="12.75" customHeight="1">
      <c r="A533" s="70"/>
    </row>
    <row r="534" ht="12.75" customHeight="1">
      <c r="A534" s="70"/>
    </row>
    <row r="535" ht="12.75" customHeight="1">
      <c r="A535" s="70"/>
    </row>
    <row r="536" ht="12.75" customHeight="1">
      <c r="A536" s="70"/>
    </row>
    <row r="537" ht="12.75" customHeight="1">
      <c r="A537" s="70"/>
    </row>
    <row r="538" ht="12.75" customHeight="1">
      <c r="A538" s="70"/>
    </row>
    <row r="539" ht="12.75" customHeight="1">
      <c r="A539" s="70"/>
    </row>
    <row r="540" ht="12.75" customHeight="1">
      <c r="A540" s="70"/>
    </row>
    <row r="541" ht="12.75" customHeight="1">
      <c r="A541" s="70"/>
    </row>
    <row r="542" ht="12.75" customHeight="1">
      <c r="A542" s="70"/>
    </row>
    <row r="543" ht="12.75" customHeight="1">
      <c r="A543" s="70"/>
    </row>
    <row r="544" ht="12.75" customHeight="1">
      <c r="A544" s="70"/>
    </row>
    <row r="545" ht="12.75" customHeight="1">
      <c r="A545" s="70"/>
    </row>
    <row r="546" ht="12.75" customHeight="1">
      <c r="A546" s="70"/>
    </row>
    <row r="547" ht="12.75" customHeight="1">
      <c r="A547" s="70"/>
    </row>
    <row r="548" ht="12.75" customHeight="1">
      <c r="A548" s="70"/>
    </row>
    <row r="549" ht="12.75" customHeight="1">
      <c r="A549" s="70"/>
    </row>
    <row r="550" ht="12.75" customHeight="1">
      <c r="A550" s="70"/>
    </row>
    <row r="551" ht="12.75" customHeight="1">
      <c r="A551" s="70"/>
    </row>
    <row r="552" ht="12.75" customHeight="1">
      <c r="A552" s="70"/>
    </row>
    <row r="553" ht="12.75" customHeight="1">
      <c r="A553" s="70"/>
    </row>
    <row r="554" ht="12.75" customHeight="1">
      <c r="A554" s="70"/>
    </row>
    <row r="555" ht="12.75" customHeight="1">
      <c r="A555" s="70"/>
    </row>
    <row r="556" ht="12.75" customHeight="1">
      <c r="A556" s="70"/>
    </row>
    <row r="557" ht="12.75" customHeight="1">
      <c r="A557" s="70"/>
    </row>
    <row r="558" ht="12.75" customHeight="1">
      <c r="A558" s="70"/>
    </row>
    <row r="559" ht="12.75" customHeight="1">
      <c r="A559" s="70"/>
    </row>
    <row r="560" ht="12.75" customHeight="1">
      <c r="A560" s="70"/>
    </row>
    <row r="561" ht="12.75" customHeight="1">
      <c r="A561" s="70"/>
    </row>
    <row r="562" ht="12.75" customHeight="1">
      <c r="A562" s="70"/>
    </row>
    <row r="563" ht="12.75" customHeight="1">
      <c r="A563" s="70"/>
    </row>
    <row r="564" ht="12.75" customHeight="1">
      <c r="A564" s="70"/>
    </row>
    <row r="565" ht="12.75" customHeight="1">
      <c r="A565" s="70"/>
    </row>
    <row r="566" ht="12.75" customHeight="1">
      <c r="A566" s="70"/>
    </row>
    <row r="567" ht="12.75" customHeight="1">
      <c r="A567" s="70"/>
    </row>
    <row r="568" ht="12.75" customHeight="1">
      <c r="A568" s="70"/>
    </row>
    <row r="569" ht="12.75" customHeight="1">
      <c r="A569" s="70"/>
    </row>
    <row r="570" ht="12.75" customHeight="1">
      <c r="A570" s="70"/>
    </row>
    <row r="571" ht="12.75" customHeight="1">
      <c r="A571" s="70"/>
    </row>
    <row r="572" ht="12.75" customHeight="1">
      <c r="A572" s="70"/>
    </row>
    <row r="573" ht="12.75" customHeight="1">
      <c r="A573" s="70"/>
    </row>
    <row r="574" ht="12.75" customHeight="1">
      <c r="A574" s="70"/>
    </row>
    <row r="575" ht="12.75" customHeight="1">
      <c r="A575" s="70"/>
    </row>
    <row r="576" ht="12.75" customHeight="1">
      <c r="A576" s="70"/>
    </row>
    <row r="577" ht="12.75" customHeight="1">
      <c r="A577" s="70"/>
    </row>
    <row r="578" ht="12.75" customHeight="1">
      <c r="A578" s="70"/>
    </row>
    <row r="579" ht="12.75" customHeight="1">
      <c r="A579" s="70"/>
    </row>
    <row r="580" ht="12.75" customHeight="1">
      <c r="A580" s="70"/>
    </row>
    <row r="581" ht="12.75" customHeight="1">
      <c r="A581" s="70"/>
    </row>
    <row r="582" ht="12.75" customHeight="1">
      <c r="A582" s="70"/>
    </row>
    <row r="583" ht="12.75" customHeight="1">
      <c r="A583" s="70"/>
    </row>
    <row r="584" ht="12.75" customHeight="1">
      <c r="A584" s="70"/>
    </row>
    <row r="585" ht="12.75" customHeight="1">
      <c r="A585" s="70"/>
    </row>
    <row r="586" ht="12.75" customHeight="1">
      <c r="A586" s="70"/>
    </row>
    <row r="587" ht="12.75" customHeight="1">
      <c r="A587" s="70"/>
    </row>
    <row r="588" ht="12.75" customHeight="1">
      <c r="A588" s="70"/>
    </row>
    <row r="589" ht="12.75" customHeight="1">
      <c r="A589" s="70"/>
    </row>
    <row r="590" ht="12.75" customHeight="1">
      <c r="A590" s="70"/>
    </row>
    <row r="591" ht="12.75" customHeight="1">
      <c r="A591" s="70"/>
    </row>
    <row r="592" ht="12.75" customHeight="1">
      <c r="A592" s="70"/>
    </row>
    <row r="593" ht="12.75" customHeight="1">
      <c r="A593" s="70"/>
    </row>
    <row r="594" ht="12.75" customHeight="1">
      <c r="A594" s="70"/>
    </row>
    <row r="595" ht="12.75" customHeight="1">
      <c r="A595" s="70"/>
    </row>
    <row r="596" ht="12.75" customHeight="1">
      <c r="A596" s="70"/>
    </row>
    <row r="597" ht="12.75" customHeight="1">
      <c r="A597" s="70"/>
    </row>
    <row r="598" ht="12.75" customHeight="1">
      <c r="A598" s="70"/>
    </row>
    <row r="599" ht="12.75" customHeight="1">
      <c r="A599" s="70"/>
    </row>
    <row r="600" ht="12.75" customHeight="1">
      <c r="A600" s="70"/>
    </row>
    <row r="601" ht="12.75" customHeight="1">
      <c r="A601" s="70"/>
    </row>
    <row r="602" ht="12.75" customHeight="1">
      <c r="A602" s="70"/>
    </row>
    <row r="603" ht="12.75" customHeight="1">
      <c r="A603" s="70"/>
    </row>
    <row r="604" ht="12.75" customHeight="1">
      <c r="A604" s="70"/>
    </row>
    <row r="605" ht="12.75" customHeight="1">
      <c r="A605" s="70"/>
    </row>
    <row r="606" ht="12.75" customHeight="1">
      <c r="A606" s="70"/>
    </row>
    <row r="607" ht="12.75" customHeight="1">
      <c r="A607" s="70"/>
    </row>
    <row r="608" ht="12.75" customHeight="1">
      <c r="A608" s="70"/>
    </row>
    <row r="609" ht="12.75" customHeight="1">
      <c r="A609" s="70"/>
    </row>
    <row r="610" ht="12.75" customHeight="1">
      <c r="A610" s="70"/>
    </row>
    <row r="611" ht="12.75" customHeight="1">
      <c r="A611" s="70"/>
    </row>
    <row r="612" ht="12.75" customHeight="1">
      <c r="A612" s="70"/>
    </row>
    <row r="613" ht="12.75" customHeight="1">
      <c r="A613" s="70"/>
    </row>
    <row r="614" ht="12.75" customHeight="1">
      <c r="A614" s="70"/>
    </row>
    <row r="615" ht="12.75" customHeight="1">
      <c r="A615" s="70"/>
    </row>
    <row r="616" ht="12.75" customHeight="1">
      <c r="A616" s="70"/>
    </row>
    <row r="617" ht="12.75" customHeight="1">
      <c r="A617" s="70"/>
    </row>
    <row r="618" ht="12.75" customHeight="1">
      <c r="A618" s="70"/>
    </row>
    <row r="619" ht="12.75" customHeight="1">
      <c r="A619" s="70"/>
    </row>
    <row r="620" ht="12.75" customHeight="1">
      <c r="A620" s="70"/>
    </row>
    <row r="621" ht="12.75" customHeight="1">
      <c r="A621" s="70"/>
    </row>
    <row r="622" ht="12.75" customHeight="1">
      <c r="A622" s="70"/>
    </row>
    <row r="623" ht="12.75" customHeight="1">
      <c r="A623" s="70"/>
    </row>
    <row r="624" ht="12.75" customHeight="1">
      <c r="A624" s="70"/>
    </row>
    <row r="625" ht="12.75" customHeight="1">
      <c r="A625" s="70"/>
    </row>
    <row r="626" ht="12.75" customHeight="1">
      <c r="A626" s="70"/>
    </row>
    <row r="627" ht="12.75" customHeight="1">
      <c r="A627" s="70"/>
    </row>
    <row r="628" ht="12.75" customHeight="1">
      <c r="A628" s="70"/>
    </row>
    <row r="629" ht="12.75" customHeight="1">
      <c r="A629" s="70"/>
    </row>
    <row r="630" ht="12.75" customHeight="1">
      <c r="A630" s="70"/>
    </row>
    <row r="631" ht="12.75" customHeight="1">
      <c r="A631" s="70"/>
    </row>
    <row r="632" ht="12.75" customHeight="1">
      <c r="A632" s="70"/>
    </row>
    <row r="633" ht="12.75" customHeight="1">
      <c r="A633" s="70"/>
    </row>
    <row r="634" ht="12.75" customHeight="1">
      <c r="A634" s="70"/>
    </row>
    <row r="635" ht="12.75" customHeight="1">
      <c r="A635" s="70"/>
    </row>
    <row r="636" ht="12.75" customHeight="1">
      <c r="A636" s="70"/>
    </row>
    <row r="637" ht="12.75" customHeight="1">
      <c r="A637" s="70"/>
    </row>
    <row r="638" ht="12.75" customHeight="1">
      <c r="A638" s="70"/>
    </row>
    <row r="639" ht="12.75" customHeight="1">
      <c r="A639" s="70"/>
    </row>
    <row r="640" ht="12.75" customHeight="1">
      <c r="A640" s="70"/>
    </row>
    <row r="641" ht="12.75" customHeight="1">
      <c r="A641" s="70"/>
    </row>
    <row r="642" ht="12.75" customHeight="1">
      <c r="A642" s="70"/>
    </row>
    <row r="643" ht="12.75" customHeight="1">
      <c r="A643" s="70"/>
    </row>
    <row r="644" ht="12.75" customHeight="1">
      <c r="A644" s="70"/>
    </row>
    <row r="645" ht="12.75" customHeight="1">
      <c r="A645" s="70"/>
    </row>
    <row r="646" ht="12.75" customHeight="1">
      <c r="A646" s="70"/>
    </row>
    <row r="647" ht="12.75" customHeight="1">
      <c r="A647" s="70"/>
    </row>
    <row r="648" ht="12.75" customHeight="1">
      <c r="A648" s="70"/>
    </row>
    <row r="649" ht="12.75" customHeight="1">
      <c r="A649" s="70"/>
    </row>
    <row r="650" ht="12.75" customHeight="1">
      <c r="A650" s="70"/>
    </row>
    <row r="651" ht="12.75" customHeight="1">
      <c r="A651" s="70"/>
    </row>
    <row r="652" ht="12.75" customHeight="1">
      <c r="A652" s="70"/>
    </row>
    <row r="653" ht="12.75" customHeight="1">
      <c r="A653" s="70"/>
    </row>
    <row r="654" ht="12.75" customHeight="1">
      <c r="A654" s="70"/>
    </row>
    <row r="655" ht="12.75" customHeight="1">
      <c r="A655" s="70"/>
    </row>
    <row r="656" ht="12.75" customHeight="1">
      <c r="A656" s="70"/>
    </row>
    <row r="657" ht="12.75" customHeight="1">
      <c r="A657" s="70"/>
    </row>
    <row r="658" ht="12.75" customHeight="1">
      <c r="A658" s="70"/>
    </row>
    <row r="659" ht="12.75" customHeight="1">
      <c r="A659" s="70"/>
    </row>
    <row r="660" ht="12.75" customHeight="1">
      <c r="A660" s="70"/>
    </row>
    <row r="661" ht="12.75" customHeight="1">
      <c r="A661" s="70"/>
    </row>
    <row r="662" ht="12.75" customHeight="1">
      <c r="A662" s="70"/>
    </row>
    <row r="663" ht="12.75" customHeight="1">
      <c r="A663" s="70"/>
    </row>
    <row r="664" ht="12.75" customHeight="1">
      <c r="A664" s="70"/>
    </row>
    <row r="665" ht="12.75" customHeight="1">
      <c r="A665" s="70"/>
    </row>
    <row r="666" ht="12.75" customHeight="1">
      <c r="A666" s="70"/>
    </row>
    <row r="667" ht="12.75" customHeight="1">
      <c r="A667" s="70"/>
    </row>
    <row r="668" ht="12.75" customHeight="1">
      <c r="A668" s="70"/>
    </row>
    <row r="669" ht="12.75" customHeight="1">
      <c r="A669" s="70"/>
    </row>
    <row r="670" ht="12.75" customHeight="1">
      <c r="A670" s="70"/>
    </row>
    <row r="671" ht="12.75" customHeight="1">
      <c r="A671" s="70"/>
    </row>
    <row r="672" ht="12.75" customHeight="1">
      <c r="A672" s="70"/>
    </row>
    <row r="673" ht="12.75" customHeight="1">
      <c r="A673" s="70"/>
    </row>
    <row r="674" ht="12.75" customHeight="1">
      <c r="A674" s="70"/>
    </row>
    <row r="675" ht="12.75" customHeight="1">
      <c r="A675" s="70"/>
    </row>
    <row r="676" ht="12.75" customHeight="1">
      <c r="A676" s="70"/>
    </row>
    <row r="677" ht="12.75" customHeight="1">
      <c r="A677" s="70"/>
    </row>
    <row r="678" ht="12.75" customHeight="1">
      <c r="A678" s="70"/>
    </row>
    <row r="679" ht="12.75" customHeight="1">
      <c r="A679" s="70"/>
    </row>
    <row r="680" ht="12.75" customHeight="1">
      <c r="A680" s="70"/>
    </row>
    <row r="681" ht="12.75" customHeight="1">
      <c r="A681" s="70"/>
    </row>
    <row r="682" ht="12.75" customHeight="1">
      <c r="A682" s="70"/>
    </row>
    <row r="683" ht="12.75" customHeight="1">
      <c r="A683" s="70"/>
    </row>
    <row r="684" ht="12.75" customHeight="1">
      <c r="A684" s="70"/>
    </row>
    <row r="685" ht="12.75" customHeight="1">
      <c r="A685" s="70"/>
    </row>
    <row r="686" ht="12.75" customHeight="1">
      <c r="A686" s="70"/>
    </row>
    <row r="687" ht="12.75" customHeight="1">
      <c r="A687" s="70"/>
    </row>
    <row r="688" ht="12.75" customHeight="1">
      <c r="A688" s="70"/>
    </row>
    <row r="689" ht="12.75" customHeight="1">
      <c r="A689" s="70"/>
    </row>
    <row r="690" ht="12.75" customHeight="1">
      <c r="A690" s="70"/>
    </row>
    <row r="691" ht="12.75" customHeight="1">
      <c r="A691" s="70"/>
    </row>
    <row r="692" ht="12.75" customHeight="1">
      <c r="A692" s="70"/>
    </row>
    <row r="693" ht="12.75" customHeight="1">
      <c r="A693" s="70"/>
    </row>
    <row r="694" ht="12.75" customHeight="1">
      <c r="A694" s="70"/>
    </row>
    <row r="695" ht="12.75" customHeight="1">
      <c r="A695" s="70"/>
    </row>
    <row r="696" ht="12.75" customHeight="1">
      <c r="A696" s="70"/>
    </row>
    <row r="697" ht="12.75" customHeight="1">
      <c r="A697" s="70"/>
    </row>
    <row r="698" ht="12.75" customHeight="1">
      <c r="A698" s="70"/>
    </row>
    <row r="699" ht="12.75" customHeight="1">
      <c r="A699" s="70"/>
    </row>
    <row r="700" ht="12.75" customHeight="1">
      <c r="A700" s="70"/>
    </row>
    <row r="701" ht="12.75" customHeight="1">
      <c r="A701" s="70"/>
    </row>
    <row r="702" ht="12.75" customHeight="1">
      <c r="A702" s="70"/>
    </row>
    <row r="703" ht="12.75" customHeight="1">
      <c r="A703" s="70"/>
    </row>
    <row r="704" ht="12.75" customHeight="1">
      <c r="A704" s="70"/>
    </row>
    <row r="705" ht="12.75" customHeight="1">
      <c r="A705" s="70"/>
    </row>
    <row r="706" ht="12.75" customHeight="1">
      <c r="A706" s="70"/>
    </row>
    <row r="707" ht="12.75" customHeight="1">
      <c r="A707" s="70"/>
    </row>
    <row r="708" ht="12.75" customHeight="1">
      <c r="A708" s="70"/>
    </row>
    <row r="709" ht="12.75" customHeight="1">
      <c r="A709" s="70"/>
    </row>
    <row r="710" ht="12.75" customHeight="1">
      <c r="A710" s="70"/>
    </row>
    <row r="711" ht="12.75" customHeight="1">
      <c r="A711" s="70"/>
    </row>
    <row r="712" ht="12.75" customHeight="1">
      <c r="A712" s="70"/>
    </row>
    <row r="713" ht="12.75" customHeight="1">
      <c r="A713" s="70"/>
    </row>
    <row r="714" ht="12.75" customHeight="1">
      <c r="A714" s="70"/>
    </row>
    <row r="715" ht="12.75" customHeight="1">
      <c r="A715" s="70"/>
    </row>
    <row r="716" ht="12.75" customHeight="1">
      <c r="A716" s="70"/>
    </row>
    <row r="717" ht="12.75" customHeight="1">
      <c r="A717" s="70"/>
    </row>
    <row r="718" ht="12.75" customHeight="1">
      <c r="A718" s="70"/>
    </row>
    <row r="719" ht="12.75" customHeight="1">
      <c r="A719" s="70"/>
    </row>
    <row r="720" ht="12.75" customHeight="1">
      <c r="A720" s="70"/>
    </row>
    <row r="721" ht="12.75" customHeight="1">
      <c r="A721" s="70"/>
    </row>
    <row r="722" ht="12.75" customHeight="1">
      <c r="A722" s="70"/>
    </row>
    <row r="723" ht="12.75" customHeight="1">
      <c r="A723" s="70"/>
    </row>
    <row r="724" ht="12.75" customHeight="1">
      <c r="A724" s="70"/>
    </row>
    <row r="725" ht="12.75" customHeight="1">
      <c r="A725" s="70"/>
    </row>
    <row r="726" ht="12.75" customHeight="1">
      <c r="A726" s="70"/>
    </row>
    <row r="727" ht="12.75" customHeight="1">
      <c r="A727" s="70"/>
    </row>
    <row r="728" ht="12.75" customHeight="1">
      <c r="A728" s="70"/>
    </row>
    <row r="729" ht="12.75" customHeight="1">
      <c r="A729" s="70"/>
    </row>
    <row r="730" ht="12.75" customHeight="1">
      <c r="A730" s="70"/>
    </row>
    <row r="731" ht="12.75" customHeight="1">
      <c r="A731" s="70"/>
    </row>
    <row r="732" ht="12.75" customHeight="1">
      <c r="A732" s="70"/>
    </row>
    <row r="733" ht="12.75" customHeight="1">
      <c r="A733" s="70"/>
    </row>
    <row r="734" ht="12.75" customHeight="1">
      <c r="A734" s="70"/>
    </row>
    <row r="735" ht="12.75" customHeight="1">
      <c r="A735" s="70"/>
    </row>
    <row r="736" ht="12.75" customHeight="1">
      <c r="A736" s="70"/>
    </row>
    <row r="737" ht="12.75" customHeight="1">
      <c r="A737" s="70"/>
    </row>
    <row r="738" ht="12.75" customHeight="1">
      <c r="A738" s="70"/>
    </row>
    <row r="739" ht="12.75" customHeight="1">
      <c r="A739" s="70"/>
    </row>
    <row r="740" ht="12.75" customHeight="1">
      <c r="A740" s="70"/>
    </row>
    <row r="741" ht="12.75" customHeight="1">
      <c r="A741" s="70"/>
    </row>
    <row r="742" ht="12.75" customHeight="1">
      <c r="A742" s="70"/>
    </row>
    <row r="743" ht="12.75" customHeight="1">
      <c r="A743" s="70"/>
    </row>
    <row r="744" ht="12.75" customHeight="1">
      <c r="A744" s="70"/>
    </row>
    <row r="745" ht="12.75" customHeight="1">
      <c r="A745" s="70"/>
    </row>
    <row r="746" ht="12.75" customHeight="1">
      <c r="A746" s="70"/>
    </row>
    <row r="747" ht="12.75" customHeight="1">
      <c r="A747" s="70"/>
    </row>
    <row r="748" ht="12.75" customHeight="1">
      <c r="A748" s="70"/>
    </row>
    <row r="749" ht="12.75" customHeight="1">
      <c r="A749" s="70"/>
    </row>
    <row r="750" ht="12.75" customHeight="1">
      <c r="A750" s="70"/>
    </row>
    <row r="751" ht="12.75" customHeight="1">
      <c r="A751" s="70"/>
    </row>
    <row r="752" ht="12.75" customHeight="1">
      <c r="A752" s="70"/>
    </row>
    <row r="753" ht="12.75" customHeight="1">
      <c r="A753" s="70"/>
    </row>
    <row r="754" ht="12.75" customHeight="1">
      <c r="A754" s="70"/>
    </row>
    <row r="755" ht="12.75" customHeight="1">
      <c r="A755" s="70"/>
    </row>
    <row r="756" ht="12.75" customHeight="1">
      <c r="A756" s="70"/>
    </row>
    <row r="757" ht="12.75" customHeight="1">
      <c r="A757" s="70"/>
    </row>
    <row r="758" ht="12.75" customHeight="1">
      <c r="A758" s="70"/>
    </row>
    <row r="759" ht="12.75" customHeight="1">
      <c r="A759" s="70"/>
    </row>
    <row r="760" ht="12.75" customHeight="1">
      <c r="A760" s="70"/>
    </row>
    <row r="761" ht="12.75" customHeight="1">
      <c r="A761" s="70"/>
    </row>
    <row r="762" ht="12.75" customHeight="1">
      <c r="A762" s="70"/>
    </row>
    <row r="763" ht="12.75" customHeight="1">
      <c r="A763" s="70"/>
    </row>
    <row r="764" ht="12.75" customHeight="1">
      <c r="A764" s="70"/>
    </row>
    <row r="765" ht="12.75" customHeight="1">
      <c r="A765" s="70"/>
    </row>
    <row r="766" ht="12.75" customHeight="1">
      <c r="A766" s="70"/>
    </row>
    <row r="767" ht="12.75" customHeight="1">
      <c r="A767" s="70"/>
    </row>
    <row r="768" ht="12.75" customHeight="1">
      <c r="A768" s="70"/>
    </row>
    <row r="769" ht="12.75" customHeight="1">
      <c r="A769" s="70"/>
    </row>
    <row r="770" ht="12.75" customHeight="1">
      <c r="A770" s="70"/>
    </row>
    <row r="771" ht="12.75" customHeight="1">
      <c r="A771" s="70"/>
    </row>
    <row r="772" ht="12.75" customHeight="1">
      <c r="A772" s="70"/>
    </row>
    <row r="773" ht="12.75" customHeight="1">
      <c r="A773" s="70"/>
    </row>
    <row r="774" ht="12.75" customHeight="1">
      <c r="A774" s="70"/>
    </row>
    <row r="775" ht="12.75" customHeight="1">
      <c r="A775" s="70"/>
    </row>
    <row r="776" ht="12.75" customHeight="1">
      <c r="A776" s="70"/>
    </row>
    <row r="777" ht="12.75" customHeight="1">
      <c r="A777" s="70"/>
    </row>
    <row r="778" ht="12.75" customHeight="1">
      <c r="A778" s="70"/>
    </row>
    <row r="779" ht="12.75" customHeight="1">
      <c r="A779" s="70"/>
    </row>
    <row r="780" ht="12.75" customHeight="1">
      <c r="A780" s="70"/>
    </row>
    <row r="781" ht="12.75" customHeight="1">
      <c r="A781" s="70"/>
    </row>
    <row r="782" ht="12.75" customHeight="1">
      <c r="A782" s="70"/>
    </row>
    <row r="783" ht="12.75" customHeight="1">
      <c r="A783" s="70"/>
    </row>
    <row r="784" ht="12.75" customHeight="1">
      <c r="A784" s="70"/>
    </row>
    <row r="785" ht="12.75" customHeight="1">
      <c r="A785" s="70"/>
    </row>
    <row r="786" ht="12.75" customHeight="1">
      <c r="A786" s="70"/>
    </row>
    <row r="787" ht="12.75" customHeight="1">
      <c r="A787" s="70"/>
    </row>
    <row r="788" ht="12.75" customHeight="1">
      <c r="A788" s="70"/>
    </row>
    <row r="789" ht="12.75" customHeight="1">
      <c r="A789" s="70"/>
    </row>
    <row r="790" ht="12.75" customHeight="1">
      <c r="A790" s="70"/>
    </row>
    <row r="791" ht="12.75" customHeight="1">
      <c r="A791" s="70"/>
    </row>
    <row r="792" ht="12.75" customHeight="1">
      <c r="A792" s="70"/>
    </row>
    <row r="793" ht="12.75" customHeight="1">
      <c r="A793" s="70"/>
    </row>
    <row r="794" ht="12.75" customHeight="1">
      <c r="A794" s="70"/>
    </row>
    <row r="795" ht="12.75" customHeight="1">
      <c r="A795" s="70"/>
    </row>
    <row r="796" ht="12.75" customHeight="1">
      <c r="A796" s="70"/>
    </row>
    <row r="797" ht="12.75" customHeight="1">
      <c r="A797" s="70"/>
    </row>
    <row r="798" ht="12.75" customHeight="1">
      <c r="A798" s="70"/>
    </row>
    <row r="799" ht="12.75" customHeight="1">
      <c r="A799" s="70"/>
    </row>
    <row r="800" ht="12.75" customHeight="1">
      <c r="A800" s="70"/>
    </row>
    <row r="801" ht="12.75" customHeight="1">
      <c r="A801" s="70"/>
    </row>
    <row r="802" ht="12.75" customHeight="1">
      <c r="A802" s="70"/>
    </row>
    <row r="803" ht="12.75" customHeight="1">
      <c r="A803" s="70"/>
    </row>
    <row r="804" ht="12.75" customHeight="1">
      <c r="A804" s="70"/>
    </row>
    <row r="805" ht="12.75" customHeight="1">
      <c r="A805" s="70"/>
    </row>
    <row r="806" ht="12.75" customHeight="1">
      <c r="A806" s="70"/>
    </row>
    <row r="807" ht="12.75" customHeight="1">
      <c r="A807" s="70"/>
    </row>
    <row r="808" ht="12.75" customHeight="1">
      <c r="A808" s="70"/>
    </row>
    <row r="809" ht="12.75" customHeight="1">
      <c r="A809" s="70"/>
    </row>
    <row r="810" ht="12.75" customHeight="1">
      <c r="A810" s="70"/>
    </row>
    <row r="811" ht="12.75" customHeight="1">
      <c r="A811" s="70"/>
    </row>
    <row r="812" ht="12.75" customHeight="1">
      <c r="A812" s="70"/>
    </row>
    <row r="813" ht="12.75" customHeight="1">
      <c r="A813" s="70"/>
    </row>
    <row r="814" ht="12.75" customHeight="1">
      <c r="A814" s="70"/>
    </row>
    <row r="815" ht="12.75" customHeight="1">
      <c r="A815" s="70"/>
    </row>
    <row r="816" ht="12.75" customHeight="1">
      <c r="A816" s="70"/>
    </row>
    <row r="817" ht="12.75" customHeight="1">
      <c r="A817" s="70"/>
    </row>
    <row r="818" ht="12.75" customHeight="1">
      <c r="A818" s="70"/>
    </row>
    <row r="819" ht="12.75" customHeight="1">
      <c r="A819" s="70"/>
    </row>
    <row r="820" ht="12.75" customHeight="1">
      <c r="A820" s="70"/>
    </row>
    <row r="821" ht="12.75" customHeight="1">
      <c r="A821" s="70"/>
    </row>
    <row r="822" ht="12.75" customHeight="1">
      <c r="A822" s="70"/>
    </row>
    <row r="823" ht="12.75" customHeight="1">
      <c r="A823" s="70"/>
    </row>
    <row r="824" ht="12.75" customHeight="1">
      <c r="A824" s="70"/>
    </row>
    <row r="825" ht="12.75" customHeight="1">
      <c r="A825" s="70"/>
    </row>
    <row r="826" ht="12.75" customHeight="1">
      <c r="A826" s="70"/>
    </row>
    <row r="827" ht="12.75" customHeight="1">
      <c r="A827" s="70"/>
    </row>
    <row r="828" ht="12.75" customHeight="1">
      <c r="A828" s="70"/>
    </row>
    <row r="829" ht="12.75" customHeight="1">
      <c r="A829" s="70"/>
    </row>
    <row r="830" ht="12.75" customHeight="1">
      <c r="A830" s="70"/>
    </row>
    <row r="831" ht="12.75" customHeight="1">
      <c r="A831" s="70"/>
    </row>
    <row r="832" ht="12.75" customHeight="1">
      <c r="A832" s="70"/>
    </row>
    <row r="833" ht="12.75" customHeight="1">
      <c r="A833" s="70"/>
    </row>
    <row r="834" ht="12.75" customHeight="1">
      <c r="A834" s="70"/>
    </row>
    <row r="835" ht="12.75" customHeight="1">
      <c r="A835" s="70"/>
    </row>
    <row r="836" ht="12.75" customHeight="1">
      <c r="A836" s="70"/>
    </row>
    <row r="837" ht="12.75" customHeight="1">
      <c r="A837" s="70"/>
    </row>
    <row r="838" ht="12.75" customHeight="1">
      <c r="A838" s="70"/>
    </row>
    <row r="839" ht="12.75" customHeight="1">
      <c r="A839" s="70"/>
    </row>
    <row r="840" ht="12.75" customHeight="1">
      <c r="A840" s="70"/>
    </row>
    <row r="841" ht="12.75" customHeight="1">
      <c r="A841" s="70"/>
    </row>
    <row r="842" ht="12.75" customHeight="1">
      <c r="A842" s="70"/>
    </row>
    <row r="843" ht="12.75" customHeight="1">
      <c r="A843" s="70"/>
    </row>
    <row r="844" ht="12.75" customHeight="1">
      <c r="A844" s="70"/>
    </row>
    <row r="845" ht="12.75" customHeight="1">
      <c r="A845" s="70"/>
    </row>
    <row r="846" ht="12.75" customHeight="1">
      <c r="A846" s="70"/>
    </row>
    <row r="847" ht="12.75" customHeight="1">
      <c r="A847" s="70"/>
    </row>
    <row r="848" ht="12.75" customHeight="1">
      <c r="A848" s="70"/>
    </row>
    <row r="849" ht="12.75" customHeight="1">
      <c r="A849" s="70"/>
    </row>
    <row r="850" ht="12.75" customHeight="1">
      <c r="A850" s="70"/>
    </row>
    <row r="851" ht="12.75" customHeight="1">
      <c r="A851" s="70"/>
    </row>
    <row r="852" ht="12.75" customHeight="1">
      <c r="A852" s="70"/>
    </row>
    <row r="853" ht="12.75" customHeight="1">
      <c r="A853" s="70"/>
    </row>
    <row r="854" ht="12.75" customHeight="1">
      <c r="A854" s="70"/>
    </row>
    <row r="855" ht="12.75" customHeight="1">
      <c r="A855" s="70"/>
    </row>
    <row r="856" ht="12.75" customHeight="1">
      <c r="A856" s="70"/>
    </row>
    <row r="857" ht="12.75" customHeight="1">
      <c r="A857" s="70"/>
    </row>
    <row r="858" ht="12.75" customHeight="1">
      <c r="A858" s="70"/>
    </row>
    <row r="859" ht="12.75" customHeight="1">
      <c r="A859" s="70"/>
    </row>
    <row r="860" ht="12.75" customHeight="1">
      <c r="A860" s="70"/>
    </row>
    <row r="861" ht="12.75" customHeight="1">
      <c r="A861" s="70"/>
    </row>
    <row r="862" ht="12.75" customHeight="1">
      <c r="A862" s="70"/>
    </row>
    <row r="863" ht="12.75" customHeight="1">
      <c r="A863" s="70"/>
    </row>
    <row r="864" ht="12.75" customHeight="1">
      <c r="A864" s="70"/>
    </row>
    <row r="865" ht="12.75" customHeight="1">
      <c r="A865" s="70"/>
    </row>
    <row r="866" ht="12.75" customHeight="1">
      <c r="A866" s="70"/>
    </row>
    <row r="867" ht="12.75" customHeight="1">
      <c r="A867" s="70"/>
    </row>
    <row r="868" ht="12.75" customHeight="1">
      <c r="A868" s="70"/>
    </row>
    <row r="869" ht="12.75" customHeight="1">
      <c r="A869" s="70"/>
    </row>
    <row r="870" ht="12.75" customHeight="1">
      <c r="A870" s="70"/>
    </row>
    <row r="871" ht="12.75" customHeight="1">
      <c r="A871" s="70"/>
    </row>
    <row r="872" ht="12.75" customHeight="1">
      <c r="A872" s="70"/>
    </row>
    <row r="873" ht="12.75" customHeight="1">
      <c r="A873" s="70"/>
    </row>
    <row r="874" ht="12.75" customHeight="1">
      <c r="A874" s="70"/>
    </row>
    <row r="875" ht="12.75" customHeight="1">
      <c r="A875" s="70"/>
    </row>
    <row r="876" ht="12.75" customHeight="1">
      <c r="A876" s="70"/>
    </row>
    <row r="877" ht="12.75" customHeight="1">
      <c r="A877" s="70"/>
    </row>
    <row r="878" ht="12.75" customHeight="1">
      <c r="A878" s="70"/>
    </row>
    <row r="879" ht="12.75" customHeight="1">
      <c r="A879" s="70"/>
    </row>
    <row r="880" ht="12.75" customHeight="1">
      <c r="A880" s="70"/>
    </row>
    <row r="881" ht="12.75" customHeight="1">
      <c r="A881" s="70"/>
    </row>
    <row r="882" ht="12.75" customHeight="1">
      <c r="A882" s="70"/>
    </row>
    <row r="883" ht="12.75" customHeight="1">
      <c r="A883" s="70"/>
    </row>
    <row r="884" ht="12.75" customHeight="1">
      <c r="A884" s="70"/>
    </row>
    <row r="885" ht="12.75" customHeight="1">
      <c r="A885" s="70"/>
    </row>
    <row r="886" ht="12.75" customHeight="1">
      <c r="A886" s="70"/>
    </row>
    <row r="887" ht="12.75" customHeight="1">
      <c r="A887" s="70"/>
    </row>
    <row r="888" ht="12.75" customHeight="1">
      <c r="A888" s="70"/>
    </row>
    <row r="889" ht="12.75" customHeight="1">
      <c r="A889" s="70"/>
    </row>
    <row r="890" ht="12.75" customHeight="1">
      <c r="A890" s="70"/>
    </row>
    <row r="891" ht="12.75" customHeight="1">
      <c r="A891" s="70"/>
    </row>
    <row r="892" ht="12.75" customHeight="1">
      <c r="A892" s="70"/>
    </row>
    <row r="893" ht="12.75" customHeight="1">
      <c r="A893" s="70"/>
    </row>
    <row r="894" ht="12.75" customHeight="1">
      <c r="A894" s="70"/>
    </row>
    <row r="895" ht="12.75" customHeight="1">
      <c r="A895" s="70"/>
    </row>
    <row r="896" ht="12.75" customHeight="1">
      <c r="A896" s="70"/>
    </row>
    <row r="897" ht="12.75" customHeight="1">
      <c r="A897" s="70"/>
    </row>
    <row r="898" ht="12.75" customHeight="1">
      <c r="A898" s="70"/>
    </row>
    <row r="899" ht="12.75" customHeight="1">
      <c r="A899" s="70"/>
    </row>
    <row r="900" ht="12.75" customHeight="1">
      <c r="A900" s="70"/>
    </row>
    <row r="901" ht="12.75" customHeight="1">
      <c r="A901" s="70"/>
    </row>
    <row r="902" ht="12.75" customHeight="1">
      <c r="A902" s="70"/>
    </row>
    <row r="903" ht="12.75" customHeight="1">
      <c r="A903" s="70"/>
    </row>
    <row r="904" ht="12.75" customHeight="1">
      <c r="A904" s="70"/>
    </row>
    <row r="905" ht="12.75" customHeight="1">
      <c r="A905" s="70"/>
    </row>
    <row r="906" ht="12.75" customHeight="1">
      <c r="A906" s="70"/>
    </row>
    <row r="907" ht="12.75" customHeight="1">
      <c r="A907" s="70"/>
    </row>
    <row r="908" ht="12.75" customHeight="1">
      <c r="A908" s="70"/>
    </row>
    <row r="909" ht="12.75" customHeight="1">
      <c r="A909" s="70"/>
    </row>
    <row r="910" ht="12.75" customHeight="1">
      <c r="A910" s="70"/>
    </row>
    <row r="911" ht="12.75" customHeight="1">
      <c r="A911" s="70"/>
    </row>
    <row r="912" ht="12.75" customHeight="1">
      <c r="A912" s="70"/>
    </row>
    <row r="913" ht="12.75" customHeight="1">
      <c r="A913" s="70"/>
    </row>
    <row r="914" ht="12.75" customHeight="1">
      <c r="A914" s="70"/>
    </row>
    <row r="915" ht="12.75" customHeight="1">
      <c r="A915" s="70"/>
    </row>
    <row r="916" ht="12.75" customHeight="1">
      <c r="A916" s="70"/>
    </row>
    <row r="917" ht="12.75" customHeight="1">
      <c r="A917" s="70"/>
    </row>
    <row r="918" ht="12.75" customHeight="1">
      <c r="A918" s="70"/>
    </row>
    <row r="919" ht="12.75" customHeight="1">
      <c r="A919" s="70"/>
    </row>
    <row r="920" ht="12.75" customHeight="1">
      <c r="A920" s="70"/>
    </row>
    <row r="921" ht="12.75" customHeight="1">
      <c r="A921" s="70"/>
    </row>
    <row r="922" ht="12.75" customHeight="1">
      <c r="A922" s="70"/>
    </row>
    <row r="923" ht="12.75" customHeight="1">
      <c r="A923" s="70"/>
    </row>
    <row r="924" ht="12.75" customHeight="1">
      <c r="A924" s="70"/>
    </row>
    <row r="925" ht="12.75" customHeight="1">
      <c r="A925" s="70"/>
    </row>
    <row r="926" ht="12.75" customHeight="1">
      <c r="A926" s="70"/>
    </row>
    <row r="927" ht="12.75" customHeight="1">
      <c r="A927" s="70"/>
    </row>
    <row r="928" ht="12.75" customHeight="1">
      <c r="A928" s="70"/>
    </row>
    <row r="929" ht="12.75" customHeight="1">
      <c r="A929" s="70"/>
    </row>
    <row r="930" ht="12.75" customHeight="1">
      <c r="A930" s="70"/>
    </row>
    <row r="931" ht="12.75" customHeight="1">
      <c r="A931" s="70"/>
    </row>
    <row r="932" ht="12.75" customHeight="1">
      <c r="A932" s="70"/>
    </row>
    <row r="933" ht="12.75" customHeight="1">
      <c r="A933" s="70"/>
    </row>
    <row r="934" ht="12.75" customHeight="1">
      <c r="A934" s="70"/>
    </row>
    <row r="935" ht="12.75" customHeight="1">
      <c r="A935" s="70"/>
    </row>
    <row r="936" ht="12.75" customHeight="1">
      <c r="A936" s="70"/>
    </row>
    <row r="937" ht="12.75" customHeight="1">
      <c r="A937" s="70"/>
    </row>
    <row r="938" ht="12.75" customHeight="1">
      <c r="A938" s="70"/>
    </row>
    <row r="939" ht="12.75" customHeight="1">
      <c r="A939" s="70"/>
    </row>
    <row r="940" ht="12.75" customHeight="1">
      <c r="A940" s="70"/>
    </row>
    <row r="941" ht="12.75" customHeight="1">
      <c r="A941" s="70"/>
    </row>
    <row r="942" ht="12.75" customHeight="1">
      <c r="A942" s="70"/>
    </row>
    <row r="943" ht="12.75" customHeight="1">
      <c r="A943" s="70"/>
    </row>
    <row r="944" ht="12.75" customHeight="1">
      <c r="A944" s="70"/>
    </row>
    <row r="945" ht="12.75" customHeight="1">
      <c r="A945" s="70"/>
    </row>
    <row r="946" ht="12.75" customHeight="1">
      <c r="A946" s="70"/>
    </row>
    <row r="947" ht="12.75" customHeight="1">
      <c r="A947" s="70"/>
    </row>
    <row r="948" ht="12.75" customHeight="1">
      <c r="A948" s="70"/>
    </row>
    <row r="949" ht="12.75" customHeight="1">
      <c r="A949" s="70"/>
    </row>
    <row r="950" ht="12.75" customHeight="1">
      <c r="A950" s="70"/>
    </row>
    <row r="951" ht="12.75" customHeight="1">
      <c r="A951" s="70"/>
    </row>
    <row r="952" ht="12.75" customHeight="1">
      <c r="A952" s="70"/>
    </row>
    <row r="953" ht="12.75" customHeight="1">
      <c r="A953" s="70"/>
    </row>
    <row r="954" ht="12.75" customHeight="1">
      <c r="A954" s="70"/>
    </row>
    <row r="955" ht="12.75" customHeight="1">
      <c r="A955" s="70"/>
    </row>
    <row r="956" ht="12.75" customHeight="1">
      <c r="A956" s="70"/>
    </row>
    <row r="957" ht="12.75" customHeight="1">
      <c r="A957" s="70"/>
    </row>
    <row r="958" ht="12.75" customHeight="1">
      <c r="A958" s="70"/>
    </row>
    <row r="959" ht="12.75" customHeight="1">
      <c r="A959" s="70"/>
    </row>
    <row r="960" ht="12.75" customHeight="1">
      <c r="A960" s="70"/>
    </row>
    <row r="961" ht="12.75" customHeight="1">
      <c r="A961" s="70"/>
    </row>
    <row r="962" ht="12.75" customHeight="1">
      <c r="A962" s="70"/>
    </row>
    <row r="963" ht="12.75" customHeight="1">
      <c r="A963" s="70"/>
    </row>
    <row r="964" ht="12.75" customHeight="1">
      <c r="A964" s="70"/>
    </row>
    <row r="965" ht="12.75" customHeight="1">
      <c r="A965" s="70"/>
    </row>
    <row r="966" ht="12.75" customHeight="1">
      <c r="A966" s="70"/>
    </row>
    <row r="967" ht="12.75" customHeight="1">
      <c r="A967" s="70"/>
    </row>
    <row r="968" ht="12.75" customHeight="1">
      <c r="A968" s="70"/>
    </row>
    <row r="969" ht="12.75" customHeight="1">
      <c r="A969" s="70"/>
    </row>
    <row r="970" ht="12.75" customHeight="1">
      <c r="A970" s="70"/>
    </row>
    <row r="971" ht="12.75" customHeight="1">
      <c r="A971" s="70"/>
    </row>
    <row r="972" ht="12.75" customHeight="1">
      <c r="A972" s="70"/>
    </row>
    <row r="973" ht="12.75" customHeight="1">
      <c r="A973" s="70"/>
    </row>
    <row r="974" ht="12.75" customHeight="1">
      <c r="A974" s="70"/>
    </row>
    <row r="975" ht="12.75" customHeight="1">
      <c r="A975" s="70"/>
    </row>
    <row r="976" ht="12.75" customHeight="1">
      <c r="A976" s="70"/>
    </row>
    <row r="977" ht="12.75" customHeight="1">
      <c r="A977" s="70"/>
    </row>
    <row r="978" ht="12.75" customHeight="1">
      <c r="A978" s="70"/>
    </row>
    <row r="979" ht="12.75" customHeight="1">
      <c r="A979" s="70"/>
    </row>
    <row r="980" ht="12.75" customHeight="1">
      <c r="A980" s="70"/>
    </row>
    <row r="981" ht="12.75" customHeight="1">
      <c r="A981" s="70"/>
    </row>
    <row r="982" ht="12.75" customHeight="1">
      <c r="A982" s="70"/>
    </row>
    <row r="983" ht="12.75" customHeight="1">
      <c r="A983" s="70"/>
    </row>
    <row r="984" ht="12.75" customHeight="1">
      <c r="A984" s="70"/>
    </row>
    <row r="985" ht="12.75" customHeight="1">
      <c r="A985" s="70"/>
    </row>
    <row r="986" ht="12.75" customHeight="1">
      <c r="A986" s="70"/>
    </row>
    <row r="987" ht="12.75" customHeight="1">
      <c r="A987" s="70"/>
    </row>
    <row r="988" ht="12.75" customHeight="1">
      <c r="A988" s="70"/>
    </row>
    <row r="989" ht="12.75" customHeight="1">
      <c r="A989" s="70"/>
    </row>
    <row r="990" ht="12.75" customHeight="1">
      <c r="A990" s="70"/>
    </row>
    <row r="991" ht="12.75" customHeight="1">
      <c r="A991" s="70"/>
    </row>
    <row r="992" ht="12.75" customHeight="1">
      <c r="A992" s="70"/>
    </row>
    <row r="993" ht="12.75" customHeight="1">
      <c r="A993" s="70"/>
    </row>
    <row r="994" ht="12.75" customHeight="1">
      <c r="A994" s="70"/>
    </row>
    <row r="995" ht="12.75" customHeight="1">
      <c r="A995" s="70"/>
    </row>
    <row r="996" ht="12.75" customHeight="1">
      <c r="A996" s="70"/>
    </row>
    <row r="997" ht="12.75" customHeight="1">
      <c r="A997" s="70"/>
    </row>
    <row r="998" ht="12.75" customHeight="1">
      <c r="A998" s="70"/>
    </row>
    <row r="999" ht="12.75" customHeight="1">
      <c r="A999" s="70"/>
    </row>
    <row r="1000" ht="12.75" customHeight="1">
      <c r="A1000" s="70"/>
    </row>
    <row r="1001" ht="12.75" customHeight="1">
      <c r="A1001" s="70"/>
    </row>
    <row r="1002" ht="12.75" customHeight="1">
      <c r="A1002" s="70"/>
    </row>
    <row r="1003" ht="12.75" customHeight="1">
      <c r="A1003" s="70"/>
    </row>
    <row r="1004" ht="12.75" customHeight="1">
      <c r="A1004" s="70"/>
    </row>
    <row r="1005" ht="12.75" customHeight="1">
      <c r="A1005" s="70"/>
    </row>
    <row r="1006" ht="12.75" customHeight="1">
      <c r="A1006" s="70"/>
    </row>
    <row r="1007" ht="12.75" customHeight="1">
      <c r="A1007" s="70"/>
    </row>
    <row r="1008" ht="12.75" customHeight="1">
      <c r="A1008" s="70"/>
    </row>
    <row r="1009" ht="12.75" customHeight="1">
      <c r="A1009" s="70"/>
    </row>
    <row r="1010" ht="12.75" customHeight="1">
      <c r="A1010" s="70"/>
    </row>
    <row r="1011" ht="12.75" customHeight="1">
      <c r="A1011" s="70"/>
    </row>
    <row r="1012" ht="12.75" customHeight="1">
      <c r="A1012" s="70"/>
    </row>
    <row r="1013" ht="12.75" customHeight="1">
      <c r="A1013" s="70"/>
    </row>
    <row r="1014" ht="12.75" customHeight="1">
      <c r="A1014" s="70"/>
    </row>
    <row r="1015" ht="12.75" customHeight="1">
      <c r="A1015" s="70"/>
    </row>
    <row r="1016" ht="12.75" customHeight="1">
      <c r="A1016" s="70"/>
    </row>
    <row r="1017" ht="12.75" customHeight="1">
      <c r="A1017" s="70"/>
    </row>
    <row r="1018" ht="12.75" customHeight="1">
      <c r="A1018" s="70"/>
    </row>
    <row r="1019" ht="12.75" customHeight="1">
      <c r="A1019" s="70"/>
    </row>
    <row r="1020" ht="12.75" customHeight="1">
      <c r="A1020" s="70"/>
    </row>
    <row r="1021" ht="12.75" customHeight="1">
      <c r="A1021" s="70"/>
    </row>
    <row r="1022" ht="12.75" customHeight="1">
      <c r="A1022" s="70"/>
    </row>
    <row r="1023" ht="12.75" customHeight="1">
      <c r="A1023" s="70"/>
    </row>
    <row r="1024" ht="12.75" customHeight="1">
      <c r="A1024" s="70"/>
    </row>
    <row r="1025" ht="12.75" customHeight="1">
      <c r="A1025" s="70"/>
    </row>
    <row r="1026" ht="12.75" customHeight="1">
      <c r="A1026" s="70"/>
    </row>
    <row r="1027" ht="12.75" customHeight="1">
      <c r="A1027" s="70"/>
    </row>
    <row r="1028" ht="12.75" customHeight="1">
      <c r="A1028" s="70"/>
    </row>
    <row r="1029" ht="12.75" customHeight="1">
      <c r="A1029" s="70"/>
    </row>
    <row r="1030" ht="12.75" customHeight="1">
      <c r="A1030" s="70"/>
    </row>
    <row r="1031" ht="12.75" customHeight="1">
      <c r="A1031" s="70"/>
    </row>
    <row r="1032" ht="12.75" customHeight="1">
      <c r="A1032" s="70"/>
    </row>
    <row r="1033" ht="12.75" customHeight="1">
      <c r="A1033" s="70"/>
    </row>
    <row r="1034" ht="12.75" customHeight="1">
      <c r="A1034" s="70"/>
    </row>
    <row r="1035" ht="12.75" customHeight="1">
      <c r="A1035" s="70"/>
    </row>
    <row r="1036" ht="12.75" customHeight="1">
      <c r="A1036" s="70"/>
    </row>
    <row r="1037" ht="12.75" customHeight="1">
      <c r="A1037" s="70"/>
    </row>
    <row r="1038" ht="12.75" customHeight="1">
      <c r="A1038" s="70"/>
    </row>
    <row r="1039" ht="12.75" customHeight="1">
      <c r="A1039" s="70"/>
    </row>
    <row r="1040" ht="12.75" customHeight="1">
      <c r="A1040" s="70"/>
    </row>
    <row r="1041" ht="12.75" customHeight="1">
      <c r="A1041" s="70"/>
    </row>
    <row r="1042" ht="12.75" customHeight="1">
      <c r="A1042" s="70"/>
    </row>
    <row r="1043" ht="12.75" customHeight="1">
      <c r="A1043" s="70"/>
    </row>
    <row r="1044" ht="12.75" customHeight="1">
      <c r="A1044" s="70"/>
    </row>
    <row r="1045" ht="12.75" customHeight="1">
      <c r="A1045" s="70"/>
    </row>
    <row r="1046" ht="12.75" customHeight="1">
      <c r="A1046" s="70"/>
    </row>
    <row r="1047" ht="12.75" customHeight="1">
      <c r="A1047" s="70"/>
    </row>
    <row r="1048" ht="12.75" customHeight="1">
      <c r="A1048" s="70"/>
    </row>
    <row r="1049" ht="12.75" customHeight="1">
      <c r="A1049" s="70"/>
    </row>
    <row r="1050" ht="12.75" customHeight="1">
      <c r="A1050" s="70"/>
    </row>
    <row r="1051" ht="12.75" customHeight="1">
      <c r="A1051" s="70"/>
    </row>
    <row r="1052" ht="12.75" customHeight="1">
      <c r="A1052" s="70"/>
    </row>
    <row r="1053" ht="12.75" customHeight="1">
      <c r="A1053" s="70"/>
    </row>
    <row r="1054" ht="12.75" customHeight="1">
      <c r="A1054" s="70"/>
    </row>
    <row r="1055" ht="12.75" customHeight="1">
      <c r="A1055" s="70"/>
    </row>
    <row r="1056" ht="12.75" customHeight="1">
      <c r="A1056" s="70"/>
    </row>
    <row r="1057" ht="12.75" customHeight="1">
      <c r="A1057" s="70"/>
    </row>
    <row r="1058" ht="12.75" customHeight="1">
      <c r="A1058" s="70"/>
    </row>
    <row r="1059" ht="12.75" customHeight="1">
      <c r="A1059" s="70"/>
    </row>
    <row r="1060" ht="12.75" customHeight="1">
      <c r="A1060" s="70"/>
    </row>
    <row r="1061" ht="12.75" customHeight="1">
      <c r="A1061" s="70"/>
    </row>
    <row r="1062" ht="12.75" customHeight="1">
      <c r="A1062" s="70"/>
    </row>
    <row r="1063" ht="12.75" customHeight="1">
      <c r="A1063" s="70"/>
    </row>
    <row r="1064" ht="12.75" customHeight="1">
      <c r="A1064" s="70"/>
    </row>
    <row r="1065" ht="12.75" customHeight="1">
      <c r="A1065" s="70"/>
    </row>
    <row r="1066" ht="12.75" customHeight="1">
      <c r="A1066" s="70"/>
    </row>
    <row r="1067" ht="12.75" customHeight="1">
      <c r="A1067" s="70"/>
    </row>
    <row r="1068" ht="12.75" customHeight="1">
      <c r="A1068" s="70"/>
    </row>
    <row r="1069" ht="12.75" customHeight="1">
      <c r="A1069" s="70"/>
    </row>
    <row r="1070" ht="12.75" customHeight="1">
      <c r="A1070" s="70"/>
    </row>
    <row r="1071" ht="12.75" customHeight="1">
      <c r="A1071" s="70"/>
    </row>
    <row r="1072" ht="12.75" customHeight="1">
      <c r="A1072" s="70"/>
    </row>
    <row r="1073" ht="12.75" customHeight="1">
      <c r="A1073" s="70"/>
    </row>
    <row r="1074" ht="12.75" customHeight="1">
      <c r="A1074" s="70"/>
    </row>
    <row r="1075" ht="12.75" customHeight="1">
      <c r="A1075" s="70"/>
    </row>
    <row r="1076" ht="12.75" customHeight="1">
      <c r="A1076" s="70"/>
    </row>
    <row r="1077" ht="12.75" customHeight="1">
      <c r="A1077" s="70"/>
    </row>
    <row r="1078" ht="12.75" customHeight="1">
      <c r="A1078" s="70"/>
    </row>
    <row r="1079" ht="12.75" customHeight="1">
      <c r="A1079" s="70"/>
    </row>
    <row r="1080" ht="12.75" customHeight="1">
      <c r="A1080" s="70"/>
    </row>
    <row r="1081" ht="12.75" customHeight="1">
      <c r="A1081" s="70"/>
    </row>
    <row r="1082" ht="12.75" customHeight="1">
      <c r="A1082" s="70"/>
    </row>
    <row r="1083" ht="12.75" customHeight="1">
      <c r="A1083" s="70"/>
    </row>
    <row r="1084" ht="12.75" customHeight="1">
      <c r="A1084" s="70"/>
    </row>
    <row r="1085" ht="12.75" customHeight="1">
      <c r="A1085" s="70"/>
    </row>
    <row r="1086" ht="12.75" customHeight="1">
      <c r="A1086" s="70"/>
    </row>
    <row r="1087" ht="12.75" customHeight="1">
      <c r="A1087" s="70"/>
    </row>
    <row r="1088" ht="12.75" customHeight="1">
      <c r="A1088" s="70"/>
    </row>
    <row r="1089" ht="12.75" customHeight="1">
      <c r="A1089" s="70"/>
    </row>
    <row r="1090" ht="12.75" customHeight="1">
      <c r="A1090" s="70"/>
    </row>
    <row r="1091" ht="12.75" customHeight="1">
      <c r="A1091" s="70"/>
    </row>
    <row r="1092" ht="12.75" customHeight="1">
      <c r="A1092" s="70"/>
    </row>
    <row r="1093" ht="12.75" customHeight="1">
      <c r="A1093" s="70"/>
    </row>
    <row r="1094" ht="12.75" customHeight="1">
      <c r="A1094" s="70"/>
    </row>
    <row r="1095" ht="12.75" customHeight="1">
      <c r="A1095" s="70"/>
    </row>
    <row r="1096" ht="12.75" customHeight="1">
      <c r="A1096" s="70"/>
    </row>
    <row r="1097" ht="12.75" customHeight="1">
      <c r="A1097" s="70"/>
    </row>
    <row r="1098" ht="12.75" customHeight="1">
      <c r="A1098" s="70"/>
    </row>
    <row r="1099" ht="12.75" customHeight="1">
      <c r="A1099" s="70"/>
    </row>
    <row r="1100" ht="12.75" customHeight="1">
      <c r="A1100" s="70"/>
    </row>
    <row r="1101" ht="12.75" customHeight="1">
      <c r="A1101" s="70"/>
    </row>
    <row r="1102" ht="12.75" customHeight="1">
      <c r="A1102" s="70"/>
    </row>
    <row r="1103" ht="12.75" customHeight="1">
      <c r="A1103" s="70"/>
    </row>
    <row r="1104" ht="12.75" customHeight="1">
      <c r="A1104" s="70"/>
    </row>
    <row r="1105" ht="12.75" customHeight="1">
      <c r="A1105" s="70"/>
    </row>
    <row r="1106" ht="12.75" customHeight="1">
      <c r="A1106" s="70"/>
    </row>
    <row r="1107" ht="12.75" customHeight="1">
      <c r="A1107" s="70"/>
    </row>
    <row r="1108" ht="12.75" customHeight="1">
      <c r="A1108" s="70"/>
    </row>
    <row r="1109" ht="12.75" customHeight="1">
      <c r="A1109" s="70"/>
    </row>
    <row r="1110" ht="12.75" customHeight="1">
      <c r="A1110" s="70"/>
    </row>
    <row r="1111" ht="12.75" customHeight="1">
      <c r="A1111" s="70"/>
    </row>
    <row r="1112" ht="12.75" customHeight="1">
      <c r="A1112" s="70"/>
    </row>
    <row r="1113" ht="12.75" customHeight="1">
      <c r="A1113" s="70"/>
    </row>
    <row r="1114" ht="12.75" customHeight="1">
      <c r="A1114" s="70"/>
    </row>
    <row r="1115" ht="12.75" customHeight="1">
      <c r="A1115" s="70"/>
    </row>
    <row r="1116" ht="12.75" customHeight="1">
      <c r="A1116" s="70"/>
    </row>
    <row r="1117" ht="12.75" customHeight="1">
      <c r="A1117" s="70"/>
    </row>
    <row r="1118" ht="12.75" customHeight="1">
      <c r="A1118" s="70"/>
    </row>
    <row r="1119" ht="12.75" customHeight="1">
      <c r="A1119" s="70"/>
    </row>
    <row r="1120" ht="12.75" customHeight="1">
      <c r="A1120" s="70"/>
    </row>
    <row r="1121" ht="12.75" customHeight="1">
      <c r="A1121" s="70"/>
    </row>
    <row r="1122" ht="12.75" customHeight="1">
      <c r="A1122" s="70"/>
    </row>
    <row r="1123" ht="12.75" customHeight="1">
      <c r="A1123" s="70"/>
    </row>
    <row r="1124" ht="12.75" customHeight="1">
      <c r="A1124" s="70"/>
    </row>
    <row r="1125" ht="12.75" customHeight="1">
      <c r="A1125" s="70"/>
    </row>
    <row r="1126" ht="12.75" customHeight="1">
      <c r="A1126" s="70"/>
    </row>
    <row r="1127" ht="12.75" customHeight="1">
      <c r="A1127" s="70"/>
    </row>
    <row r="1128" ht="12.75" customHeight="1">
      <c r="A1128" s="70"/>
    </row>
    <row r="1129" ht="12.75" customHeight="1">
      <c r="A1129" s="70"/>
    </row>
    <row r="1130" ht="12.75" customHeight="1">
      <c r="A1130" s="70"/>
    </row>
    <row r="1131" ht="12.75" customHeight="1">
      <c r="A1131" s="70"/>
    </row>
    <row r="1132" ht="12.75" customHeight="1">
      <c r="A1132" s="70"/>
    </row>
    <row r="1133" ht="12.75" customHeight="1">
      <c r="A1133" s="70"/>
    </row>
    <row r="1134" ht="12.75" customHeight="1">
      <c r="A1134" s="70"/>
    </row>
    <row r="1135" ht="12.75" customHeight="1">
      <c r="A1135" s="70"/>
    </row>
    <row r="1136" ht="12.75" customHeight="1">
      <c r="A1136" s="70"/>
    </row>
    <row r="1137" ht="12.75" customHeight="1">
      <c r="A1137" s="70"/>
    </row>
    <row r="1138" ht="12.75" customHeight="1">
      <c r="A1138" s="70"/>
    </row>
    <row r="1139" ht="12.75" customHeight="1">
      <c r="A1139" s="70"/>
    </row>
    <row r="1140" ht="12.75" customHeight="1">
      <c r="A1140" s="70"/>
    </row>
    <row r="1141" ht="12.75" customHeight="1">
      <c r="A1141" s="70"/>
    </row>
    <row r="1142" ht="12.75" customHeight="1">
      <c r="A1142" s="70"/>
    </row>
    <row r="1143" ht="12.75" customHeight="1">
      <c r="A1143" s="70"/>
    </row>
    <row r="1144" ht="12.75" customHeight="1">
      <c r="A1144" s="70"/>
    </row>
    <row r="1145" ht="12.75" customHeight="1">
      <c r="A1145" s="70"/>
    </row>
    <row r="1146" ht="12.75" customHeight="1">
      <c r="A1146" s="70"/>
    </row>
    <row r="1147" ht="12.75" customHeight="1">
      <c r="A1147" s="70"/>
    </row>
    <row r="1148" ht="12.75" customHeight="1">
      <c r="A1148" s="70"/>
    </row>
    <row r="1149" ht="12.75" customHeight="1">
      <c r="A1149" s="70"/>
    </row>
    <row r="1150" ht="12.75" customHeight="1">
      <c r="A1150" s="70"/>
    </row>
    <row r="1151" ht="12.75" customHeight="1">
      <c r="A1151" s="70"/>
    </row>
    <row r="1152" ht="12.75" customHeight="1">
      <c r="A1152" s="70"/>
    </row>
    <row r="1153" ht="12.75" customHeight="1">
      <c r="A1153" s="70"/>
    </row>
    <row r="1154" ht="12.75" customHeight="1">
      <c r="A1154" s="70"/>
    </row>
    <row r="1155" ht="12.75" customHeight="1">
      <c r="A1155" s="70"/>
    </row>
    <row r="1156" ht="12.75" customHeight="1">
      <c r="A1156" s="70"/>
    </row>
    <row r="1157" ht="12.75" customHeight="1">
      <c r="A1157" s="70"/>
    </row>
    <row r="1158" ht="12.75" customHeight="1">
      <c r="A1158" s="70"/>
    </row>
    <row r="1159" ht="12.75" customHeight="1">
      <c r="A1159" s="70"/>
    </row>
    <row r="1160" ht="12.75" customHeight="1">
      <c r="A1160" s="70"/>
    </row>
    <row r="1161" ht="12.75" customHeight="1">
      <c r="A1161" s="70"/>
    </row>
    <row r="1162" ht="12.75" customHeight="1">
      <c r="A1162" s="70"/>
    </row>
    <row r="1163" ht="12.75" customHeight="1">
      <c r="A1163" s="70"/>
    </row>
    <row r="1164" ht="12.75" customHeight="1">
      <c r="A1164" s="70"/>
    </row>
    <row r="1165" ht="12.75" customHeight="1">
      <c r="A1165" s="70"/>
    </row>
    <row r="1166" ht="12.75" customHeight="1">
      <c r="A1166" s="70"/>
    </row>
    <row r="1167" ht="12.75" customHeight="1">
      <c r="A1167" s="70"/>
    </row>
    <row r="1168" ht="12.75" customHeight="1">
      <c r="A1168" s="70"/>
    </row>
    <row r="1169" ht="12.75" customHeight="1">
      <c r="A1169" s="70"/>
    </row>
    <row r="1170" ht="12.75" customHeight="1">
      <c r="A1170" s="70"/>
    </row>
    <row r="1171" ht="12.75" customHeight="1">
      <c r="A1171" s="70"/>
    </row>
    <row r="1172" ht="12.75" customHeight="1">
      <c r="A1172" s="70"/>
    </row>
    <row r="1173" ht="12.75" customHeight="1">
      <c r="A1173" s="70"/>
    </row>
    <row r="1174" ht="12.75" customHeight="1">
      <c r="A1174" s="70"/>
    </row>
    <row r="1175" ht="12.75" customHeight="1">
      <c r="A1175" s="70"/>
    </row>
    <row r="1176" ht="12.75" customHeight="1">
      <c r="A1176" s="70"/>
    </row>
    <row r="1177" ht="12.75" customHeight="1">
      <c r="A1177" s="70"/>
    </row>
    <row r="1178" ht="12.75" customHeight="1">
      <c r="A1178" s="70"/>
    </row>
    <row r="1179" ht="12.75" customHeight="1">
      <c r="A1179" s="70"/>
    </row>
    <row r="1180" ht="12.75" customHeight="1">
      <c r="A1180" s="70"/>
    </row>
    <row r="1181" ht="12.75" customHeight="1">
      <c r="A1181" s="70"/>
    </row>
    <row r="1182" ht="12.75" customHeight="1">
      <c r="A1182" s="70"/>
    </row>
    <row r="1183" ht="12.75" customHeight="1">
      <c r="A1183" s="70"/>
    </row>
    <row r="1184" ht="12.75" customHeight="1">
      <c r="A1184" s="70"/>
    </row>
    <row r="1185" ht="12.75" customHeight="1">
      <c r="A1185" s="70"/>
    </row>
    <row r="1186" ht="12.75" customHeight="1">
      <c r="A1186" s="70"/>
    </row>
    <row r="1187" ht="12.75" customHeight="1">
      <c r="A1187" s="70"/>
    </row>
    <row r="1188" ht="12.75" customHeight="1">
      <c r="A1188" s="70"/>
    </row>
    <row r="1189" ht="12.75" customHeight="1">
      <c r="A1189" s="70"/>
    </row>
    <row r="1190" ht="12.75" customHeight="1">
      <c r="A1190" s="70"/>
    </row>
    <row r="1191" ht="12.75" customHeight="1">
      <c r="A1191" s="70"/>
    </row>
    <row r="1192" ht="12.75" customHeight="1">
      <c r="A1192" s="70"/>
    </row>
    <row r="1193" ht="12.75" customHeight="1">
      <c r="A1193" s="70"/>
    </row>
    <row r="1194" ht="12.75" customHeight="1">
      <c r="A1194" s="70"/>
    </row>
    <row r="1195" ht="12.75" customHeight="1">
      <c r="A1195" s="70"/>
    </row>
    <row r="1196" ht="12.75" customHeight="1">
      <c r="A1196" s="70"/>
    </row>
    <row r="1197" ht="12.75" customHeight="1">
      <c r="A1197" s="70"/>
    </row>
    <row r="1198" ht="12.75" customHeight="1">
      <c r="A1198" s="70"/>
    </row>
    <row r="1199" ht="12.75" customHeight="1">
      <c r="A1199" s="70"/>
    </row>
    <row r="1200" ht="12.75" customHeight="1">
      <c r="A1200" s="70"/>
    </row>
    <row r="1201" ht="12.75" customHeight="1">
      <c r="A1201" s="70"/>
    </row>
    <row r="1202" ht="12.75" customHeight="1">
      <c r="A1202" s="70"/>
    </row>
    <row r="1203" ht="12.75" customHeight="1">
      <c r="A1203" s="70"/>
    </row>
    <row r="1204" ht="12.75" customHeight="1">
      <c r="A1204" s="70"/>
    </row>
    <row r="1205" ht="12.75" customHeight="1">
      <c r="A1205" s="70"/>
    </row>
    <row r="1206" ht="12.75" customHeight="1">
      <c r="A1206" s="70"/>
    </row>
    <row r="1207" ht="12.75" customHeight="1">
      <c r="A1207" s="70"/>
    </row>
    <row r="1208" ht="12.75" customHeight="1">
      <c r="A1208" s="70"/>
    </row>
    <row r="1209" ht="12.75" customHeight="1">
      <c r="A1209" s="70"/>
    </row>
    <row r="1210" ht="12.75" customHeight="1">
      <c r="A1210" s="70"/>
    </row>
    <row r="1211" ht="12.75" customHeight="1">
      <c r="A1211" s="70"/>
    </row>
    <row r="1212" ht="12.75" customHeight="1">
      <c r="A1212" s="70"/>
    </row>
    <row r="1213" ht="12.75" customHeight="1">
      <c r="A1213" s="70"/>
    </row>
    <row r="1214" ht="12.75" customHeight="1">
      <c r="A1214" s="70"/>
    </row>
    <row r="1215" ht="12.75" customHeight="1">
      <c r="A1215" s="70"/>
    </row>
    <row r="1216" ht="12.75" customHeight="1">
      <c r="A1216" s="70"/>
    </row>
    <row r="1217" ht="12.75" customHeight="1">
      <c r="A1217" s="70"/>
    </row>
    <row r="1218" ht="12.75" customHeight="1">
      <c r="A1218" s="70"/>
    </row>
    <row r="1219" ht="12.75" customHeight="1">
      <c r="A1219" s="70"/>
    </row>
    <row r="1220" ht="12.75" customHeight="1">
      <c r="A1220" s="70"/>
    </row>
    <row r="1221" ht="12.75" customHeight="1">
      <c r="A1221" s="70"/>
    </row>
    <row r="1222" ht="12.75" customHeight="1">
      <c r="A1222" s="70"/>
    </row>
    <row r="1223" ht="12.75" customHeight="1">
      <c r="A1223" s="70"/>
    </row>
    <row r="1224" ht="12.75" customHeight="1">
      <c r="A1224" s="70"/>
    </row>
    <row r="1225" ht="12.75" customHeight="1">
      <c r="A1225" s="70"/>
    </row>
    <row r="1226" ht="12.75" customHeight="1">
      <c r="A1226" s="70"/>
    </row>
    <row r="1227" ht="12.75" customHeight="1">
      <c r="A1227" s="70"/>
    </row>
    <row r="1228" ht="12.75" customHeight="1">
      <c r="A1228" s="70"/>
    </row>
    <row r="1229" ht="12.75" customHeight="1">
      <c r="A1229" s="70"/>
    </row>
    <row r="1230" ht="12.75" customHeight="1">
      <c r="A1230" s="70"/>
    </row>
    <row r="1231" ht="12.75" customHeight="1">
      <c r="A1231" s="70"/>
    </row>
    <row r="1232" ht="12.75" customHeight="1">
      <c r="A1232" s="70"/>
    </row>
    <row r="1233" ht="12.75" customHeight="1">
      <c r="A1233" s="70"/>
    </row>
    <row r="1234" ht="12.75" customHeight="1">
      <c r="A1234" s="70"/>
    </row>
    <row r="1235" ht="12.75" customHeight="1">
      <c r="A1235" s="70"/>
    </row>
    <row r="1236" ht="12.75" customHeight="1">
      <c r="A1236" s="70"/>
    </row>
    <row r="1237" ht="12.75" customHeight="1">
      <c r="A1237" s="70"/>
    </row>
    <row r="1238" ht="12.75" customHeight="1">
      <c r="A1238" s="70"/>
    </row>
    <row r="1239" ht="12.75" customHeight="1">
      <c r="A1239" s="70"/>
    </row>
    <row r="1240" ht="12.75" customHeight="1">
      <c r="A1240" s="70"/>
    </row>
    <row r="1241" ht="12.75" customHeight="1">
      <c r="A1241" s="70"/>
    </row>
    <row r="1242" ht="12.75" customHeight="1">
      <c r="A1242" s="70"/>
    </row>
    <row r="1243" ht="12.75" customHeight="1">
      <c r="A1243" s="70"/>
    </row>
    <row r="1244" ht="12.75" customHeight="1">
      <c r="A1244" s="70"/>
    </row>
    <row r="1245" ht="12.75" customHeight="1">
      <c r="A1245" s="70"/>
    </row>
    <row r="1246" ht="12.75" customHeight="1">
      <c r="A1246" s="70"/>
    </row>
    <row r="1247" ht="12.75" customHeight="1">
      <c r="A1247" s="70"/>
    </row>
    <row r="1248" ht="12.75" customHeight="1">
      <c r="A1248" s="70"/>
    </row>
    <row r="1249" ht="12.75" customHeight="1">
      <c r="A1249" s="70"/>
    </row>
    <row r="1250" ht="12.75" customHeight="1">
      <c r="A1250" s="70"/>
    </row>
    <row r="1251" ht="12.75" customHeight="1">
      <c r="A1251" s="70"/>
    </row>
    <row r="1252" ht="12.75" customHeight="1">
      <c r="A1252" s="70"/>
    </row>
    <row r="1253" ht="12.75" customHeight="1">
      <c r="A1253" s="70"/>
    </row>
    <row r="1254" ht="12.75" customHeight="1">
      <c r="A1254" s="70"/>
    </row>
    <row r="1255" ht="12.75" customHeight="1">
      <c r="A1255" s="70"/>
    </row>
    <row r="1256" ht="12.75" customHeight="1">
      <c r="A1256" s="70"/>
    </row>
    <row r="1257" ht="12.75" customHeight="1">
      <c r="A1257" s="70"/>
    </row>
    <row r="1258" ht="12.75" customHeight="1">
      <c r="A1258" s="70"/>
    </row>
    <row r="1259" ht="12.75" customHeight="1">
      <c r="A1259" s="70"/>
    </row>
    <row r="1260" ht="12.75" customHeight="1">
      <c r="A1260" s="70"/>
    </row>
    <row r="1261" ht="12.75" customHeight="1">
      <c r="A1261" s="70"/>
    </row>
    <row r="1262" ht="12.75" customHeight="1">
      <c r="A1262" s="70"/>
    </row>
    <row r="1263" ht="12.75" customHeight="1">
      <c r="A1263" s="70"/>
    </row>
    <row r="1264" ht="12.75" customHeight="1">
      <c r="A1264" s="70"/>
    </row>
    <row r="1265" ht="12.75" customHeight="1">
      <c r="A1265" s="70"/>
    </row>
    <row r="1266" ht="12.75" customHeight="1">
      <c r="A1266" s="70"/>
    </row>
    <row r="1267" ht="12.75" customHeight="1">
      <c r="A1267" s="70"/>
    </row>
    <row r="1268" ht="12.75" customHeight="1">
      <c r="A1268" s="70"/>
    </row>
    <row r="1269" ht="12.75" customHeight="1">
      <c r="A1269" s="70"/>
    </row>
    <row r="1270" ht="12.75" customHeight="1">
      <c r="A1270" s="70"/>
    </row>
    <row r="1271" ht="12.75" customHeight="1">
      <c r="A1271" s="70"/>
    </row>
    <row r="1272" ht="12.75" customHeight="1">
      <c r="A1272" s="70"/>
    </row>
    <row r="1273" ht="12.75" customHeight="1">
      <c r="A1273" s="70"/>
    </row>
    <row r="1274" ht="12.75" customHeight="1">
      <c r="A1274" s="70"/>
    </row>
    <row r="1275" ht="12.75" customHeight="1">
      <c r="A1275" s="70"/>
    </row>
    <row r="1276" ht="12.75" customHeight="1">
      <c r="A1276" s="70"/>
    </row>
    <row r="1277" ht="12.75" customHeight="1">
      <c r="A1277" s="70"/>
    </row>
    <row r="1278" ht="12.75" customHeight="1">
      <c r="A1278" s="70"/>
    </row>
    <row r="1279" ht="12.75" customHeight="1">
      <c r="A1279" s="70"/>
    </row>
    <row r="1280" ht="12.75" customHeight="1">
      <c r="A1280" s="70"/>
    </row>
    <row r="1281" ht="12.75" customHeight="1">
      <c r="A1281" s="70"/>
    </row>
    <row r="1282" ht="12.75" customHeight="1">
      <c r="A1282" s="70"/>
    </row>
    <row r="1283" ht="12.75" customHeight="1">
      <c r="A1283" s="70"/>
    </row>
    <row r="1284" ht="12.75" customHeight="1">
      <c r="A1284" s="70"/>
    </row>
    <row r="1285" ht="12.75" customHeight="1">
      <c r="A1285" s="70"/>
    </row>
    <row r="1286" ht="12.75" customHeight="1">
      <c r="A1286" s="70"/>
    </row>
    <row r="1287" ht="12.75" customHeight="1">
      <c r="A1287" s="70"/>
    </row>
    <row r="1288" ht="12.75" customHeight="1">
      <c r="A1288" s="70"/>
    </row>
    <row r="1289" ht="12.75" customHeight="1">
      <c r="A1289" s="70"/>
    </row>
    <row r="1290" ht="12.75" customHeight="1">
      <c r="A1290" s="70"/>
    </row>
    <row r="1291" ht="12.75" customHeight="1">
      <c r="A1291" s="70"/>
    </row>
    <row r="1292" ht="12.75" customHeight="1">
      <c r="A1292" s="70"/>
    </row>
    <row r="1293" ht="12.75" customHeight="1">
      <c r="A1293" s="70"/>
    </row>
    <row r="1294" ht="12.75" customHeight="1">
      <c r="A1294" s="70"/>
    </row>
    <row r="1295" ht="12.75" customHeight="1">
      <c r="A1295" s="70"/>
    </row>
    <row r="1296" ht="12.75" customHeight="1">
      <c r="A1296" s="70"/>
    </row>
    <row r="1297" ht="12.75" customHeight="1">
      <c r="A1297" s="70"/>
    </row>
    <row r="1298" ht="12.75" customHeight="1">
      <c r="A1298" s="70"/>
    </row>
    <row r="1299" ht="12.75" customHeight="1">
      <c r="A1299" s="70"/>
    </row>
    <row r="1300" ht="12.75" customHeight="1">
      <c r="A1300" s="70"/>
    </row>
    <row r="1301" ht="12.75" customHeight="1">
      <c r="A1301" s="70"/>
    </row>
    <row r="1302" ht="12.75" customHeight="1">
      <c r="A1302" s="70"/>
    </row>
    <row r="1303" ht="12.75" customHeight="1">
      <c r="A1303" s="70"/>
    </row>
    <row r="1304" ht="12.75" customHeight="1">
      <c r="A1304" s="70"/>
    </row>
    <row r="1305" ht="12.75" customHeight="1">
      <c r="A1305" s="70"/>
    </row>
    <row r="1306" ht="12.75" customHeight="1">
      <c r="A1306" s="70"/>
    </row>
    <row r="1307" ht="12.75" customHeight="1">
      <c r="A1307" s="70"/>
    </row>
    <row r="1308" ht="12.75" customHeight="1">
      <c r="A1308" s="70"/>
    </row>
    <row r="1309" ht="12.75" customHeight="1">
      <c r="A1309" s="70"/>
    </row>
    <row r="1310" ht="12.75" customHeight="1">
      <c r="A1310" s="70"/>
    </row>
    <row r="1311" ht="12.75" customHeight="1">
      <c r="A1311" s="70"/>
    </row>
    <row r="1312" ht="12.75" customHeight="1">
      <c r="A1312" s="70"/>
    </row>
    <row r="1313" ht="12.75" customHeight="1">
      <c r="A1313" s="70"/>
    </row>
    <row r="1314" ht="12.75" customHeight="1">
      <c r="A1314" s="70"/>
    </row>
    <row r="1315" ht="12.75" customHeight="1">
      <c r="A1315" s="70"/>
    </row>
    <row r="1316" ht="12.75" customHeight="1">
      <c r="A1316" s="70"/>
    </row>
    <row r="1317" ht="12.75" customHeight="1">
      <c r="A1317" s="70"/>
    </row>
    <row r="1318" ht="12.75" customHeight="1">
      <c r="A1318" s="70"/>
    </row>
    <row r="1319" ht="12.75" customHeight="1">
      <c r="A1319" s="70"/>
    </row>
    <row r="1320" ht="12.75" customHeight="1">
      <c r="A1320" s="70"/>
    </row>
    <row r="1321" ht="12.75" customHeight="1">
      <c r="A1321" s="70"/>
    </row>
    <row r="1322" ht="12.75" customHeight="1">
      <c r="A1322" s="70"/>
    </row>
    <row r="1323" ht="12.75" customHeight="1">
      <c r="A1323" s="70"/>
    </row>
    <row r="1324" ht="12.75" customHeight="1">
      <c r="A1324" s="70"/>
    </row>
    <row r="1325" ht="12.75" customHeight="1">
      <c r="A1325" s="70"/>
    </row>
    <row r="1326" ht="12.75" customHeight="1">
      <c r="A1326" s="70"/>
    </row>
    <row r="1327" ht="12.75" customHeight="1">
      <c r="A1327" s="70"/>
    </row>
    <row r="1328" ht="12.75" customHeight="1">
      <c r="A1328" s="70"/>
    </row>
    <row r="1329" ht="12.75" customHeight="1">
      <c r="A1329" s="70"/>
    </row>
    <row r="1330" ht="12.75" customHeight="1">
      <c r="A1330" s="70"/>
    </row>
    <row r="1331" ht="12.75" customHeight="1">
      <c r="A1331" s="70"/>
    </row>
    <row r="1332" ht="12.75" customHeight="1">
      <c r="A1332" s="70"/>
    </row>
    <row r="1333" ht="12.75" customHeight="1">
      <c r="A1333" s="70"/>
    </row>
    <row r="1334" ht="12.75" customHeight="1">
      <c r="A1334" s="70"/>
    </row>
    <row r="1335" ht="12.75" customHeight="1">
      <c r="A1335" s="70"/>
    </row>
    <row r="1336" ht="12.75" customHeight="1">
      <c r="A1336" s="70"/>
    </row>
    <row r="1337" ht="12.75" customHeight="1">
      <c r="A1337" s="70"/>
    </row>
    <row r="1338" ht="12.75" customHeight="1">
      <c r="A1338" s="70"/>
    </row>
    <row r="1339" ht="12.75" customHeight="1">
      <c r="A1339" s="70"/>
    </row>
    <row r="1340" ht="12.75" customHeight="1">
      <c r="A1340" s="70"/>
    </row>
    <row r="1341" ht="12.75" customHeight="1">
      <c r="A1341" s="70"/>
    </row>
    <row r="1342" ht="12.75" customHeight="1">
      <c r="A1342" s="70"/>
    </row>
    <row r="1343" ht="12.75" customHeight="1">
      <c r="A1343" s="70"/>
    </row>
    <row r="1344" ht="12.75" customHeight="1">
      <c r="A1344" s="70"/>
    </row>
    <row r="1345" ht="12.75" customHeight="1">
      <c r="A1345" s="70"/>
    </row>
    <row r="1346" ht="12.75" customHeight="1">
      <c r="A1346" s="70"/>
    </row>
    <row r="1347" ht="12.75" customHeight="1">
      <c r="A1347" s="70"/>
    </row>
    <row r="1348" ht="12.75" customHeight="1">
      <c r="A1348" s="70"/>
    </row>
    <row r="1349" ht="12.75" customHeight="1">
      <c r="A1349" s="70"/>
    </row>
    <row r="1350" ht="12.75" customHeight="1">
      <c r="A1350" s="70"/>
    </row>
    <row r="1351" ht="12.75" customHeight="1">
      <c r="A1351" s="70"/>
    </row>
    <row r="1352" ht="12.75" customHeight="1">
      <c r="A1352" s="70"/>
    </row>
    <row r="1353" ht="12.75" customHeight="1">
      <c r="A1353" s="70"/>
    </row>
    <row r="1354" ht="12.75" customHeight="1">
      <c r="A1354" s="70"/>
    </row>
    <row r="1355" ht="12.75" customHeight="1">
      <c r="A1355" s="70"/>
    </row>
    <row r="1356" ht="12.75" customHeight="1">
      <c r="A1356" s="70"/>
    </row>
    <row r="1357" ht="12.75" customHeight="1">
      <c r="A1357" s="70"/>
    </row>
    <row r="1358" ht="12.75" customHeight="1">
      <c r="A1358" s="70"/>
    </row>
    <row r="1359" ht="12.75" customHeight="1">
      <c r="A1359" s="70"/>
    </row>
    <row r="1360" ht="12.75" customHeight="1">
      <c r="A1360" s="70"/>
    </row>
    <row r="1361" ht="12.75" customHeight="1">
      <c r="A1361" s="70"/>
    </row>
    <row r="1362" ht="12.75" customHeight="1">
      <c r="A1362" s="70"/>
    </row>
    <row r="1363" ht="12.75" customHeight="1">
      <c r="A1363" s="70"/>
    </row>
    <row r="1364" ht="12.75" customHeight="1">
      <c r="A1364" s="70"/>
    </row>
    <row r="1365" ht="12.75" customHeight="1">
      <c r="A1365" s="70"/>
    </row>
    <row r="1366" ht="12.75" customHeight="1">
      <c r="A1366" s="70"/>
    </row>
    <row r="1367" ht="12.75" customHeight="1">
      <c r="A1367" s="70"/>
    </row>
    <row r="1368" ht="12.75" customHeight="1">
      <c r="A1368" s="70"/>
    </row>
    <row r="1369" ht="12.75" customHeight="1">
      <c r="A1369" s="70"/>
    </row>
    <row r="1370" ht="12.75" customHeight="1">
      <c r="A1370" s="70"/>
    </row>
    <row r="1371" ht="12.75" customHeight="1">
      <c r="A1371" s="70"/>
    </row>
    <row r="1372" ht="12.75" customHeight="1">
      <c r="A1372" s="70"/>
    </row>
    <row r="1373" ht="12.75" customHeight="1">
      <c r="A1373" s="70"/>
    </row>
    <row r="1374" ht="12.75" customHeight="1">
      <c r="A1374" s="70"/>
    </row>
    <row r="1375" ht="12.75" customHeight="1">
      <c r="A1375" s="70"/>
    </row>
    <row r="1376" ht="12.75" customHeight="1">
      <c r="A1376" s="70"/>
    </row>
    <row r="1377" ht="12.75" customHeight="1">
      <c r="A1377" s="70"/>
    </row>
    <row r="1378" ht="12.75" customHeight="1">
      <c r="A1378" s="70"/>
    </row>
    <row r="1379" ht="12.75" customHeight="1">
      <c r="A1379" s="70"/>
    </row>
    <row r="1380" ht="12.75" customHeight="1">
      <c r="A1380" s="70"/>
    </row>
    <row r="1381" ht="12.75" customHeight="1">
      <c r="A1381" s="70"/>
    </row>
    <row r="1382" ht="12.75" customHeight="1">
      <c r="A1382" s="70"/>
    </row>
    <row r="1383" ht="12.75" customHeight="1">
      <c r="A1383" s="70"/>
    </row>
    <row r="1384" ht="12.75" customHeight="1">
      <c r="A1384" s="70"/>
    </row>
    <row r="1385" ht="12.75" customHeight="1">
      <c r="A1385" s="70"/>
    </row>
    <row r="1386" ht="12.75" customHeight="1">
      <c r="A1386" s="70"/>
    </row>
    <row r="1387" ht="12.75" customHeight="1">
      <c r="A1387" s="70"/>
    </row>
    <row r="1388" ht="12.75" customHeight="1">
      <c r="A1388" s="70"/>
    </row>
    <row r="1389" ht="12.75" customHeight="1">
      <c r="A1389" s="70"/>
    </row>
    <row r="1390" ht="12.75" customHeight="1">
      <c r="A1390" s="70"/>
    </row>
    <row r="1391" ht="12.75" customHeight="1">
      <c r="A1391" s="70"/>
    </row>
    <row r="1392" ht="12.75" customHeight="1">
      <c r="A1392" s="70"/>
    </row>
    <row r="1393" ht="12.75" customHeight="1">
      <c r="A1393" s="70"/>
    </row>
    <row r="1394" ht="12.75" customHeight="1">
      <c r="A1394" s="70"/>
    </row>
    <row r="1395" ht="12.75" customHeight="1">
      <c r="A1395" s="70"/>
    </row>
    <row r="1396" ht="12.75" customHeight="1">
      <c r="A1396" s="70"/>
    </row>
    <row r="1397" ht="12.75" customHeight="1">
      <c r="A1397" s="70"/>
    </row>
    <row r="1398" ht="12.75" customHeight="1">
      <c r="A1398" s="70"/>
    </row>
    <row r="1399" ht="12.75" customHeight="1">
      <c r="A1399" s="70"/>
    </row>
    <row r="1400" ht="12.75" customHeight="1">
      <c r="A1400" s="70"/>
    </row>
    <row r="1401" ht="12.75" customHeight="1">
      <c r="A1401" s="70"/>
    </row>
    <row r="1402" ht="12.75" customHeight="1">
      <c r="A1402" s="70"/>
    </row>
    <row r="1403" ht="12.75" customHeight="1">
      <c r="A1403" s="70"/>
    </row>
    <row r="1404" ht="12.75" customHeight="1">
      <c r="A1404" s="70"/>
    </row>
    <row r="1405" ht="12.75" customHeight="1">
      <c r="A1405" s="70"/>
    </row>
    <row r="1406" ht="12.75" customHeight="1">
      <c r="A1406" s="70"/>
    </row>
    <row r="1407" ht="12.75" customHeight="1">
      <c r="A1407" s="70"/>
    </row>
    <row r="1408" ht="12.75" customHeight="1">
      <c r="A1408" s="70"/>
    </row>
    <row r="1409" ht="12.75" customHeight="1">
      <c r="A1409" s="70"/>
    </row>
    <row r="1410" ht="12.75" customHeight="1">
      <c r="A1410" s="70"/>
    </row>
    <row r="1411" ht="12.75" customHeight="1">
      <c r="A1411" s="70"/>
    </row>
    <row r="1412" ht="12.75" customHeight="1">
      <c r="A1412" s="70"/>
    </row>
    <row r="1413" ht="12.75" customHeight="1">
      <c r="A1413" s="70"/>
    </row>
    <row r="1414" ht="12.75" customHeight="1">
      <c r="A1414" s="70"/>
    </row>
    <row r="1415" ht="12.75" customHeight="1">
      <c r="A1415" s="70"/>
    </row>
    <row r="1416" ht="12.75" customHeight="1">
      <c r="A1416" s="70"/>
    </row>
    <row r="1417" ht="12.75" customHeight="1">
      <c r="A1417" s="70"/>
    </row>
    <row r="1418" ht="12.75" customHeight="1">
      <c r="A1418" s="70"/>
    </row>
    <row r="1419" ht="12.75" customHeight="1">
      <c r="A1419" s="70"/>
    </row>
    <row r="1420" ht="12.75" customHeight="1">
      <c r="A1420" s="70"/>
    </row>
    <row r="1421" ht="12.75" customHeight="1">
      <c r="A1421" s="70"/>
    </row>
    <row r="1422" ht="12.75" customHeight="1">
      <c r="A1422" s="70"/>
    </row>
    <row r="1423" ht="12.75" customHeight="1">
      <c r="A1423" s="70"/>
    </row>
    <row r="1424" ht="12.75" customHeight="1">
      <c r="A1424" s="70"/>
    </row>
    <row r="1425" ht="12.75" customHeight="1">
      <c r="A1425" s="70"/>
    </row>
    <row r="1426" ht="12.75" customHeight="1">
      <c r="A1426" s="70"/>
    </row>
    <row r="1427" ht="12.75" customHeight="1">
      <c r="A1427" s="70"/>
    </row>
    <row r="1428" ht="12.75" customHeight="1">
      <c r="A1428" s="70"/>
    </row>
    <row r="1429" ht="12.75" customHeight="1">
      <c r="A1429" s="70"/>
    </row>
    <row r="1430" ht="12.75" customHeight="1">
      <c r="A1430" s="70"/>
    </row>
    <row r="1431" ht="12.75" customHeight="1">
      <c r="A1431" s="70"/>
    </row>
    <row r="1432" ht="12.75" customHeight="1">
      <c r="A1432" s="70"/>
    </row>
    <row r="1433" ht="12.75" customHeight="1">
      <c r="A1433" s="70"/>
    </row>
    <row r="1434" ht="12.75" customHeight="1">
      <c r="A1434" s="70"/>
    </row>
    <row r="1435" ht="12.75" customHeight="1">
      <c r="A1435" s="70"/>
    </row>
    <row r="1436" ht="12.75" customHeight="1">
      <c r="A1436" s="70"/>
    </row>
    <row r="1437" ht="12.75" customHeight="1">
      <c r="A1437" s="70"/>
    </row>
    <row r="1438" ht="12.75" customHeight="1">
      <c r="A1438" s="70"/>
    </row>
    <row r="1439" ht="12.75" customHeight="1">
      <c r="A1439" s="70"/>
    </row>
    <row r="1440" ht="12.75" customHeight="1">
      <c r="A1440" s="70"/>
    </row>
    <row r="1441" ht="12.75" customHeight="1">
      <c r="A1441" s="70"/>
    </row>
    <row r="1442" ht="12.75" customHeight="1">
      <c r="A1442" s="70"/>
    </row>
    <row r="1443" ht="12.75" customHeight="1">
      <c r="A1443" s="70"/>
    </row>
    <row r="1444" ht="12.75" customHeight="1">
      <c r="A1444" s="70"/>
    </row>
    <row r="1445" ht="12.75" customHeight="1">
      <c r="A1445" s="70"/>
    </row>
    <row r="1446" ht="12.75" customHeight="1">
      <c r="A1446" s="70"/>
    </row>
    <row r="1447" ht="12.75" customHeight="1">
      <c r="A1447" s="70"/>
    </row>
    <row r="1448" ht="12.75" customHeight="1">
      <c r="A1448" s="70"/>
    </row>
    <row r="1449" ht="12.75" customHeight="1">
      <c r="A1449" s="70"/>
    </row>
    <row r="1450" ht="12.75" customHeight="1">
      <c r="A1450" s="70"/>
    </row>
    <row r="1451" ht="12.75" customHeight="1">
      <c r="A1451" s="70"/>
    </row>
    <row r="1452" ht="12.75" customHeight="1">
      <c r="A1452" s="70"/>
    </row>
    <row r="1453" ht="12.75" customHeight="1">
      <c r="A1453" s="70"/>
    </row>
    <row r="1454" ht="12.75" customHeight="1">
      <c r="A1454" s="70"/>
    </row>
    <row r="1455" ht="12.75" customHeight="1">
      <c r="A1455" s="70"/>
    </row>
    <row r="1456" ht="12.75" customHeight="1">
      <c r="A1456" s="70"/>
    </row>
    <row r="1457" ht="12.75" customHeight="1">
      <c r="A1457" s="70"/>
    </row>
    <row r="1458" ht="12.75" customHeight="1">
      <c r="A1458" s="70"/>
    </row>
    <row r="1459" ht="12.75" customHeight="1">
      <c r="A1459" s="70"/>
    </row>
    <row r="1460" ht="12.75" customHeight="1">
      <c r="A1460" s="70"/>
    </row>
    <row r="1461" ht="12.75" customHeight="1">
      <c r="A1461" s="70"/>
    </row>
    <row r="1462" ht="12.75" customHeight="1">
      <c r="A1462" s="70"/>
    </row>
    <row r="1463" ht="12.75" customHeight="1">
      <c r="A1463" s="70"/>
    </row>
    <row r="1464" ht="12.75" customHeight="1">
      <c r="A1464" s="70"/>
    </row>
    <row r="1465" ht="12.75" customHeight="1">
      <c r="A1465" s="70"/>
    </row>
    <row r="1466" ht="12.75" customHeight="1">
      <c r="A1466" s="70"/>
    </row>
    <row r="1467" ht="12.75" customHeight="1">
      <c r="A1467" s="70"/>
    </row>
    <row r="1468" ht="12.75" customHeight="1">
      <c r="A1468" s="70"/>
    </row>
    <row r="1469" ht="12.75" customHeight="1">
      <c r="A1469" s="70"/>
    </row>
    <row r="1470" ht="12.75" customHeight="1">
      <c r="A1470" s="70"/>
    </row>
    <row r="1471" ht="12.75" customHeight="1">
      <c r="A1471" s="70"/>
    </row>
    <row r="1472" ht="12.75" customHeight="1">
      <c r="A1472" s="70"/>
    </row>
    <row r="1473" ht="12.75" customHeight="1">
      <c r="A1473" s="70"/>
    </row>
    <row r="1474" ht="12.75" customHeight="1">
      <c r="A1474" s="70"/>
    </row>
    <row r="1475" ht="12.75" customHeight="1">
      <c r="A1475" s="70"/>
    </row>
    <row r="1476" ht="12.75" customHeight="1">
      <c r="A1476" s="70"/>
    </row>
    <row r="1477" ht="12.75" customHeight="1">
      <c r="A1477" s="70"/>
    </row>
    <row r="1478" ht="12.75" customHeight="1">
      <c r="A1478" s="70"/>
    </row>
    <row r="1479" ht="12.75" customHeight="1">
      <c r="A1479" s="70"/>
    </row>
    <row r="1480" ht="12.75" customHeight="1">
      <c r="A1480" s="70"/>
    </row>
    <row r="1481" ht="12.75" customHeight="1">
      <c r="A1481" s="70"/>
    </row>
    <row r="1482" ht="12.75" customHeight="1">
      <c r="A1482" s="70"/>
    </row>
    <row r="1483" ht="12.75" customHeight="1">
      <c r="A1483" s="70"/>
    </row>
    <row r="1484" ht="12.75" customHeight="1">
      <c r="A1484" s="70"/>
    </row>
    <row r="1485" ht="12.75" customHeight="1">
      <c r="A1485" s="70"/>
    </row>
    <row r="1486" ht="12.75" customHeight="1">
      <c r="A1486" s="70"/>
    </row>
    <row r="1487" ht="12.75" customHeight="1">
      <c r="A1487" s="70"/>
    </row>
    <row r="1488" ht="12.75" customHeight="1">
      <c r="A1488" s="70"/>
    </row>
    <row r="1489" ht="12.75" customHeight="1">
      <c r="A1489" s="70"/>
    </row>
    <row r="1490" ht="12.75" customHeight="1">
      <c r="A1490" s="70"/>
    </row>
    <row r="1491" ht="12.75" customHeight="1">
      <c r="A1491" s="70"/>
    </row>
    <row r="1492" ht="12.75" customHeight="1">
      <c r="A1492" s="70"/>
    </row>
    <row r="1493" ht="12.75" customHeight="1">
      <c r="A1493" s="70"/>
    </row>
    <row r="1494" ht="12.75" customHeight="1">
      <c r="A1494" s="70"/>
    </row>
    <row r="1495" ht="12.75" customHeight="1">
      <c r="A1495" s="70"/>
    </row>
    <row r="1496" ht="12.75" customHeight="1">
      <c r="A1496" s="70"/>
    </row>
    <row r="1497" ht="12.75" customHeight="1">
      <c r="A1497" s="70"/>
    </row>
    <row r="1498" ht="12.75" customHeight="1">
      <c r="A1498" s="70"/>
    </row>
    <row r="1499" ht="12.75" customHeight="1">
      <c r="A1499" s="70"/>
    </row>
    <row r="1500" ht="12.75" customHeight="1">
      <c r="A1500" s="70"/>
    </row>
    <row r="1501" ht="12.75" customHeight="1">
      <c r="A1501" s="70"/>
    </row>
    <row r="1502" ht="12.75" customHeight="1">
      <c r="A1502" s="70"/>
    </row>
    <row r="1503" ht="12.75" customHeight="1">
      <c r="A1503" s="70"/>
    </row>
    <row r="1504" ht="12.75" customHeight="1">
      <c r="A1504" s="70"/>
    </row>
    <row r="1505" ht="12.75" customHeight="1">
      <c r="A1505" s="70"/>
    </row>
    <row r="1506" ht="12.75" customHeight="1">
      <c r="A1506" s="70"/>
    </row>
    <row r="1507" ht="12.75" customHeight="1">
      <c r="A1507" s="70"/>
    </row>
    <row r="1508" ht="12.75" customHeight="1">
      <c r="A1508" s="70"/>
    </row>
    <row r="1509" ht="12.75" customHeight="1">
      <c r="A1509" s="70"/>
    </row>
    <row r="1510" ht="12.75" customHeight="1">
      <c r="A1510" s="70"/>
    </row>
    <row r="1511" ht="12.75" customHeight="1">
      <c r="A1511" s="70"/>
    </row>
    <row r="1512" ht="12.75" customHeight="1">
      <c r="A1512" s="70"/>
    </row>
    <row r="1513" ht="12.75" customHeight="1">
      <c r="A1513" s="70"/>
    </row>
    <row r="1514" ht="12.75" customHeight="1">
      <c r="A1514" s="70"/>
    </row>
    <row r="1515" ht="12.75" customHeight="1">
      <c r="A1515" s="70"/>
    </row>
    <row r="1516" ht="12.75" customHeight="1">
      <c r="A1516" s="70"/>
    </row>
    <row r="1517" ht="12.75" customHeight="1">
      <c r="A1517" s="70"/>
    </row>
    <row r="1518" ht="12.75" customHeight="1">
      <c r="A1518" s="70"/>
    </row>
    <row r="1519" ht="12.75" customHeight="1">
      <c r="A1519" s="70"/>
    </row>
    <row r="1520" ht="12.75" customHeight="1">
      <c r="A1520" s="70"/>
    </row>
    <row r="1521" ht="12.75" customHeight="1">
      <c r="A1521" s="70"/>
    </row>
    <row r="1522" ht="12.75" customHeight="1">
      <c r="A1522" s="70"/>
    </row>
    <row r="1523" ht="12.75" customHeight="1">
      <c r="A1523" s="70"/>
    </row>
    <row r="1524" ht="12.75" customHeight="1">
      <c r="A1524" s="70"/>
    </row>
    <row r="1525" ht="12.75" customHeight="1">
      <c r="A1525" s="70"/>
    </row>
    <row r="1526" ht="12.75" customHeight="1">
      <c r="A1526" s="70"/>
    </row>
    <row r="1527" ht="12.75" customHeight="1">
      <c r="A1527" s="70"/>
    </row>
    <row r="1528" ht="12.75" customHeight="1">
      <c r="A1528" s="70"/>
    </row>
    <row r="1529" ht="12.75" customHeight="1">
      <c r="A1529" s="70"/>
    </row>
    <row r="1530" ht="12.75" customHeight="1">
      <c r="A1530" s="70"/>
    </row>
    <row r="1531" ht="12.75" customHeight="1">
      <c r="A1531" s="70"/>
    </row>
    <row r="1532" ht="12.75" customHeight="1">
      <c r="A1532" s="70"/>
    </row>
    <row r="1533" ht="12.75" customHeight="1">
      <c r="A1533" s="70"/>
    </row>
    <row r="1534" ht="12.75" customHeight="1">
      <c r="A1534" s="70"/>
    </row>
    <row r="1535" ht="12.75" customHeight="1">
      <c r="A1535" s="70"/>
    </row>
    <row r="1536" ht="12.75" customHeight="1">
      <c r="A1536" s="70"/>
    </row>
    <row r="1537" ht="12.75" customHeight="1">
      <c r="A1537" s="70"/>
    </row>
    <row r="1538" ht="12.75" customHeight="1">
      <c r="A1538" s="70"/>
    </row>
    <row r="1539" ht="12.75" customHeight="1">
      <c r="A1539" s="70"/>
    </row>
    <row r="1540" ht="12.75" customHeight="1">
      <c r="A1540" s="70"/>
    </row>
    <row r="1541" ht="12.75" customHeight="1">
      <c r="A1541" s="70"/>
    </row>
    <row r="1542" ht="12.75" customHeight="1">
      <c r="A1542" s="70"/>
    </row>
    <row r="1543" ht="12.75" customHeight="1">
      <c r="A1543" s="70"/>
    </row>
    <row r="1544" ht="12.75" customHeight="1">
      <c r="A1544" s="70"/>
    </row>
    <row r="1545" ht="12.75" customHeight="1">
      <c r="A1545" s="70"/>
    </row>
    <row r="1546" ht="12.75" customHeight="1">
      <c r="A1546" s="70"/>
    </row>
    <row r="1547" ht="12.75" customHeight="1">
      <c r="A1547" s="70"/>
    </row>
    <row r="1548" ht="12.75" customHeight="1">
      <c r="A1548" s="70"/>
    </row>
    <row r="1549" ht="12.75" customHeight="1">
      <c r="A1549" s="70"/>
    </row>
    <row r="1550" ht="12.75" customHeight="1">
      <c r="A1550" s="70"/>
    </row>
    <row r="1551" ht="12.75" customHeight="1">
      <c r="A1551" s="70"/>
    </row>
    <row r="1552" ht="12.75" customHeight="1">
      <c r="A1552" s="70"/>
    </row>
    <row r="1553" ht="12.75" customHeight="1">
      <c r="A1553" s="70"/>
    </row>
    <row r="1554" ht="12.75" customHeight="1">
      <c r="A1554" s="70"/>
    </row>
    <row r="1555" ht="12.75" customHeight="1">
      <c r="A1555" s="70"/>
    </row>
    <row r="1556" ht="12.75" customHeight="1">
      <c r="A1556" s="70"/>
    </row>
    <row r="1557" ht="12.75" customHeight="1">
      <c r="A1557" s="70"/>
    </row>
    <row r="1558" ht="12.75" customHeight="1">
      <c r="A1558" s="70"/>
    </row>
    <row r="1559" ht="12.75" customHeight="1">
      <c r="A1559" s="70"/>
    </row>
    <row r="1560" ht="12.75" customHeight="1">
      <c r="A1560" s="70"/>
    </row>
    <row r="1561" ht="12.75" customHeight="1">
      <c r="A1561" s="70"/>
    </row>
    <row r="1562" ht="12.75" customHeight="1">
      <c r="A1562" s="70"/>
    </row>
    <row r="1563" ht="12.75" customHeight="1">
      <c r="A1563" s="70"/>
    </row>
    <row r="1564" ht="12.75" customHeight="1">
      <c r="A1564" s="70"/>
    </row>
    <row r="1565" ht="12.75" customHeight="1">
      <c r="A1565" s="70"/>
    </row>
    <row r="1566" ht="12.75" customHeight="1">
      <c r="A1566" s="70"/>
    </row>
    <row r="1567" ht="12.75" customHeight="1">
      <c r="A1567" s="70"/>
    </row>
    <row r="1568" ht="12.75" customHeight="1">
      <c r="A1568" s="70"/>
    </row>
    <row r="1569" ht="12.75" customHeight="1">
      <c r="A1569" s="70"/>
    </row>
    <row r="1570" ht="12.75" customHeight="1">
      <c r="A1570" s="70"/>
    </row>
    <row r="1571" ht="12.75" customHeight="1">
      <c r="A1571" s="70"/>
    </row>
    <row r="1572" ht="12.75" customHeight="1">
      <c r="A1572" s="70"/>
    </row>
    <row r="1573" ht="12.75" customHeight="1">
      <c r="A1573" s="70"/>
    </row>
    <row r="1574" ht="12.75" customHeight="1">
      <c r="A1574" s="70"/>
    </row>
    <row r="1575" ht="12.75" customHeight="1">
      <c r="A1575" s="70"/>
    </row>
    <row r="1576" ht="12.75" customHeight="1">
      <c r="A1576" s="70"/>
    </row>
    <row r="1577" ht="12.75" customHeight="1">
      <c r="A1577" s="70"/>
    </row>
    <row r="1578" ht="12.75" customHeight="1">
      <c r="A1578" s="70"/>
    </row>
    <row r="1579" ht="12.75" customHeight="1">
      <c r="A1579" s="70"/>
    </row>
    <row r="1580" ht="12.75" customHeight="1">
      <c r="A1580" s="70"/>
    </row>
    <row r="1581" ht="12.75" customHeight="1">
      <c r="A1581" s="70"/>
    </row>
    <row r="1582" ht="12.75" customHeight="1">
      <c r="A1582" s="70"/>
    </row>
    <row r="1583" ht="12.75" customHeight="1">
      <c r="A1583" s="70"/>
    </row>
    <row r="1584" ht="12.75" customHeight="1">
      <c r="A1584" s="70"/>
    </row>
    <row r="1585" ht="12.75" customHeight="1">
      <c r="A1585" s="70"/>
    </row>
    <row r="1586" ht="12.75" customHeight="1">
      <c r="A1586" s="70"/>
    </row>
    <row r="1587" ht="12.75" customHeight="1">
      <c r="A1587" s="70"/>
    </row>
    <row r="1588" ht="12.75" customHeight="1">
      <c r="A1588" s="70"/>
    </row>
    <row r="1589" ht="12.75" customHeight="1">
      <c r="A1589" s="70"/>
    </row>
    <row r="1590" ht="12.75" customHeight="1">
      <c r="A1590" s="70"/>
    </row>
    <row r="1591" ht="12.75" customHeight="1">
      <c r="A1591" s="70"/>
    </row>
    <row r="1592" ht="12.75" customHeight="1">
      <c r="A1592" s="70"/>
    </row>
    <row r="1593" ht="12.75" customHeight="1">
      <c r="A1593" s="70"/>
    </row>
    <row r="1594" ht="12.75" customHeight="1">
      <c r="A1594" s="70"/>
    </row>
    <row r="1595" ht="12.75" customHeight="1">
      <c r="A1595" s="70"/>
    </row>
    <row r="1596" ht="12.75" customHeight="1">
      <c r="A1596" s="70"/>
    </row>
    <row r="1597" ht="12.75" customHeight="1">
      <c r="A1597" s="70"/>
    </row>
    <row r="1598" ht="12.75" customHeight="1">
      <c r="A1598" s="70"/>
    </row>
    <row r="1599" ht="12.75" customHeight="1">
      <c r="A1599" s="70"/>
    </row>
    <row r="1600" ht="12.75" customHeight="1">
      <c r="A1600" s="70"/>
    </row>
    <row r="1601" ht="12.75" customHeight="1">
      <c r="A1601" s="70"/>
    </row>
    <row r="1602" ht="12.75" customHeight="1">
      <c r="A1602" s="70"/>
    </row>
    <row r="1603" ht="12.75" customHeight="1">
      <c r="A1603" s="70"/>
    </row>
    <row r="1604" ht="12.75" customHeight="1">
      <c r="A1604" s="70"/>
    </row>
    <row r="1605" ht="12.75" customHeight="1">
      <c r="A1605" s="70"/>
    </row>
    <row r="1606" ht="12.75" customHeight="1">
      <c r="A1606" s="70"/>
    </row>
    <row r="1607" ht="12.75" customHeight="1">
      <c r="A1607" s="70"/>
    </row>
    <row r="1608" ht="12.75" customHeight="1">
      <c r="A1608" s="70"/>
    </row>
    <row r="1609" ht="12.75" customHeight="1">
      <c r="A1609" s="70"/>
    </row>
    <row r="1610" ht="12.75" customHeight="1">
      <c r="A1610" s="70"/>
    </row>
    <row r="1611" ht="12.75" customHeight="1">
      <c r="A1611" s="70"/>
    </row>
    <row r="1612" ht="12.75" customHeight="1">
      <c r="A1612" s="70"/>
    </row>
    <row r="1613" ht="12.75" customHeight="1">
      <c r="A1613" s="70"/>
    </row>
    <row r="1614" ht="12.75" customHeight="1">
      <c r="A1614" s="70"/>
    </row>
    <row r="1615" ht="12.75" customHeight="1">
      <c r="A1615" s="70"/>
    </row>
    <row r="1616" ht="12.75" customHeight="1">
      <c r="A1616" s="70"/>
    </row>
    <row r="1617" ht="12.75" customHeight="1">
      <c r="A1617" s="70"/>
    </row>
    <row r="1618" ht="12.75" customHeight="1">
      <c r="A1618" s="70"/>
    </row>
    <row r="1619" ht="12.75" customHeight="1">
      <c r="A1619" s="70"/>
    </row>
    <row r="1620" ht="12.75" customHeight="1">
      <c r="A1620" s="70"/>
    </row>
    <row r="1621" ht="12.75" customHeight="1">
      <c r="A1621" s="70"/>
    </row>
    <row r="1622" ht="12.75" customHeight="1">
      <c r="A1622" s="70"/>
    </row>
    <row r="1623" ht="12.75" customHeight="1">
      <c r="A1623" s="70"/>
    </row>
    <row r="1624" ht="12.75" customHeight="1">
      <c r="A1624" s="70"/>
    </row>
    <row r="1625" ht="12.75" customHeight="1">
      <c r="A1625" s="70"/>
    </row>
    <row r="1626" ht="12.75" customHeight="1">
      <c r="A1626" s="70"/>
    </row>
    <row r="1627" ht="12.75" customHeight="1">
      <c r="A1627" s="70"/>
    </row>
    <row r="1628" ht="12.75" customHeight="1">
      <c r="A1628" s="70"/>
    </row>
    <row r="1629" ht="12.75" customHeight="1">
      <c r="A1629" s="70"/>
    </row>
    <row r="1630" ht="12.75" customHeight="1">
      <c r="A1630" s="70"/>
    </row>
    <row r="1631" ht="12.75" customHeight="1">
      <c r="A1631" s="70"/>
    </row>
    <row r="1632" ht="12.75" customHeight="1">
      <c r="A1632" s="70"/>
    </row>
    <row r="1633" ht="12.75" customHeight="1">
      <c r="A1633" s="70"/>
    </row>
    <row r="1634" ht="12.75" customHeight="1">
      <c r="A1634" s="70"/>
    </row>
    <row r="1635" ht="12.75" customHeight="1">
      <c r="A1635" s="70"/>
    </row>
    <row r="1636" ht="12.75" customHeight="1">
      <c r="A1636" s="70"/>
    </row>
    <row r="1637" ht="12.75" customHeight="1">
      <c r="A1637" s="70"/>
    </row>
    <row r="1638" ht="12.75" customHeight="1">
      <c r="A1638" s="70"/>
    </row>
    <row r="1639" ht="12.75" customHeight="1">
      <c r="A1639" s="70"/>
    </row>
    <row r="1640" ht="12.75" customHeight="1">
      <c r="A1640" s="70"/>
    </row>
    <row r="1641" ht="12.75" customHeight="1">
      <c r="A1641" s="70"/>
    </row>
    <row r="1642" ht="12.75" customHeight="1">
      <c r="A1642" s="70"/>
    </row>
    <row r="1643" ht="12.75" customHeight="1">
      <c r="A1643" s="70"/>
    </row>
    <row r="1644" ht="12.75" customHeight="1">
      <c r="A1644" s="70"/>
    </row>
    <row r="1645" ht="12.75" customHeight="1">
      <c r="A1645" s="70"/>
    </row>
    <row r="1646" ht="12.75" customHeight="1">
      <c r="A1646" s="70"/>
    </row>
    <row r="1647" ht="12.75" customHeight="1">
      <c r="A1647" s="70"/>
    </row>
    <row r="1648" ht="12.75" customHeight="1">
      <c r="A1648" s="70"/>
    </row>
    <row r="1649" ht="12.75" customHeight="1">
      <c r="A1649" s="70"/>
    </row>
    <row r="1650" ht="12.75" customHeight="1">
      <c r="A1650" s="70"/>
    </row>
    <row r="1651" ht="12.75" customHeight="1">
      <c r="A1651" s="70"/>
    </row>
    <row r="1652" ht="12.75" customHeight="1">
      <c r="A1652" s="70"/>
    </row>
    <row r="1653" ht="12.75" customHeight="1">
      <c r="A1653" s="70"/>
    </row>
    <row r="1654" ht="12.75" customHeight="1">
      <c r="A1654" s="70"/>
    </row>
    <row r="1655" ht="12.75" customHeight="1">
      <c r="A1655" s="70"/>
    </row>
    <row r="1656" ht="12.75" customHeight="1">
      <c r="A1656" s="70"/>
    </row>
    <row r="1657" ht="12.75" customHeight="1">
      <c r="A1657" s="70"/>
    </row>
    <row r="1658" ht="12.75" customHeight="1">
      <c r="A1658" s="70"/>
    </row>
    <row r="1659" ht="12.75" customHeight="1">
      <c r="A1659" s="70"/>
    </row>
    <row r="1660" ht="12.75" customHeight="1">
      <c r="A1660" s="70"/>
    </row>
    <row r="1661" ht="12.75" customHeight="1">
      <c r="A1661" s="70"/>
    </row>
    <row r="1662" ht="12.75" customHeight="1">
      <c r="A1662" s="70"/>
    </row>
    <row r="1663" ht="12.75" customHeight="1">
      <c r="A1663" s="70"/>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c r="A1" s="70" t="str">
        <f>ARRAY_CONSTRAIN(ARRAYFORMULA(IF(IFERROR(TRANSPOSE(_xlfn._xlws.FILTER(Table_1[[Subcategory ]],(Table_1[Department]='Listing Details'!E3)*(Table_1[Category]='Listing Details'!F3))),"")=0,"",IFERROR(TRANSPOSE(_xlfn._xlws.FILTER(Table_1[[Subcategory ]],(Table_1[Department]='Listing Details'!E3)*(Table_1[Category]='Listing Details'!F3))),""))), 1, 1)</f>
        <v>#ERROR!</v>
      </c>
    </row>
    <row r="2" ht="12.75" customHeight="1">
      <c r="A2" s="70" t="str">
        <f>ARRAY_CONSTRAIN(ARRAYFORMULA(IF(IFERROR(TRANSPOSE(_xlfn._xlws.FILTER(Table_1[[Subcategory ]],(Table_1[Department]='Listing Details'!E4)*(Table_1[Category]='Listing Details'!F4))),"")=0,"",IFERROR(TRANSPOSE(_xlfn._xlws.FILTER(Table_1[[Subcategory ]],(Table_1[Department]='Listing Details'!E4)*(Table_1[Category]='Listing Details'!F4))),""))), 1, 1)</f>
        <v>#ERROR!</v>
      </c>
    </row>
    <row r="3" ht="12.75" customHeight="1">
      <c r="A3" s="70" t="str">
        <f>ARRAY_CONSTRAIN(ARRAYFORMULA(IF(IFERROR(TRANSPOSE(_xlfn._xlws.FILTER(Table_1[[Subcategory ]],(Table_1[Department]='Listing Details'!E5)*(Table_1[Category]='Listing Details'!F5))),"")=0,"",IFERROR(TRANSPOSE(_xlfn._xlws.FILTER(Table_1[[Subcategory ]],(Table_1[Department]='Listing Details'!E5)*(Table_1[Category]='Listing Details'!F5))),""))), 1, 1)</f>
        <v>#ERROR!</v>
      </c>
    </row>
    <row r="4" ht="12.75" customHeight="1">
      <c r="A4" s="70" t="str">
        <f>ARRAY_CONSTRAIN(ARRAYFORMULA(IF(IFERROR(TRANSPOSE(_xlfn._xlws.FILTER(Table_1[[Subcategory ]],(Table_1[Department]='Listing Details'!E6)*(Table_1[Category]='Listing Details'!F6))),"")=0,"",IFERROR(TRANSPOSE(_xlfn._xlws.FILTER(Table_1[[Subcategory ]],(Table_1[Department]='Listing Details'!E6)*(Table_1[Category]='Listing Details'!F6))),""))), 1, 1)</f>
        <v>#ERROR!</v>
      </c>
    </row>
    <row r="5" ht="12.75" customHeight="1">
      <c r="A5" s="70" t="str">
        <f>ARRAY_CONSTRAIN(ARRAYFORMULA(IF(IFERROR(TRANSPOSE(_xlfn._xlws.FILTER(Table_1[[Subcategory ]],(Table_1[Department]='Listing Details'!E7)*(Table_1[Category]='Listing Details'!F7))),"")=0,"",IFERROR(TRANSPOSE(_xlfn._xlws.FILTER(Table_1[[Subcategory ]],(Table_1[Department]='Listing Details'!E7)*(Table_1[Category]='Listing Details'!F7))),""))), 1, 1)</f>
        <v>#ERROR!</v>
      </c>
    </row>
    <row r="6" ht="12.75" customHeight="1">
      <c r="A6" s="70" t="str">
        <f>ARRAY_CONSTRAIN(ARRAYFORMULA(IF(IFERROR(TRANSPOSE(_xlfn._xlws.FILTER(Table_1[[Subcategory ]],(Table_1[Department]='Listing Details'!E8)*(Table_1[Category]='Listing Details'!F8))),"")=0,"",IFERROR(TRANSPOSE(_xlfn._xlws.FILTER(Table_1[[Subcategory ]],(Table_1[Department]='Listing Details'!E8)*(Table_1[Category]='Listing Details'!F8))),""))), 1, 1)</f>
        <v>#ERROR!</v>
      </c>
    </row>
    <row r="7" ht="12.75" customHeight="1">
      <c r="A7" s="70" t="str">
        <f>ARRAY_CONSTRAIN(ARRAYFORMULA(IF(IFERROR(TRANSPOSE(_xlfn._xlws.FILTER(Table_1[[Subcategory ]],(Table_1[Department]='Listing Details'!E9)*(Table_1[Category]='Listing Details'!F9))),"")=0,"",IFERROR(TRANSPOSE(_xlfn._xlws.FILTER(Table_1[[Subcategory ]],(Table_1[Department]='Listing Details'!E9)*(Table_1[Category]='Listing Details'!F9))),""))), 1, 1)</f>
        <v>#ERROR!</v>
      </c>
    </row>
    <row r="8" ht="12.75" customHeight="1">
      <c r="A8" s="70" t="str">
        <f>ARRAY_CONSTRAIN(ARRAYFORMULA(IF(IFERROR(TRANSPOSE(_xlfn._xlws.FILTER(Table_1[[Subcategory ]],(Table_1[Department]='Listing Details'!E10)*(Table_1[Category]='Listing Details'!F10))),"")=0,"",IFERROR(TRANSPOSE(_xlfn._xlws.FILTER(Table_1[[Subcategory ]],(Table_1[Department]='Listing Details'!E10)*(Table_1[Category]='Listing Details'!F10))),""))), 1, 1)</f>
        <v>#ERROR!</v>
      </c>
    </row>
    <row r="9" ht="12.75" customHeight="1">
      <c r="A9" s="70" t="str">
        <f>ARRAY_CONSTRAIN(ARRAYFORMULA(IF(IFERROR(TRANSPOSE(_xlfn._xlws.FILTER(Table_1[[Subcategory ]],(Table_1[Department]='Listing Details'!E11)*(Table_1[Category]='Listing Details'!F11))),"")=0,"",IFERROR(TRANSPOSE(_xlfn._xlws.FILTER(Table_1[[Subcategory ]],(Table_1[Department]='Listing Details'!E11)*(Table_1[Category]='Listing Details'!F11))),""))), 1, 1)</f>
        <v>#ERROR!</v>
      </c>
    </row>
    <row r="10" ht="12.75" customHeight="1">
      <c r="A10" s="70" t="str">
        <f>ARRAY_CONSTRAIN(ARRAYFORMULA(IF(IFERROR(TRANSPOSE(_xlfn._xlws.FILTER(Table_1[[Subcategory ]],(Table_1[Department]='Listing Details'!E12)*(Table_1[Category]='Listing Details'!F12))),"")=0,"",IFERROR(TRANSPOSE(_xlfn._xlws.FILTER(Table_1[[Subcategory ]],(Table_1[Department]='Listing Details'!E12)*(Table_1[Category]='Listing Details'!F12))),""))), 1, 1)</f>
        <v>#ERROR!</v>
      </c>
    </row>
    <row r="11" ht="12.75" customHeight="1">
      <c r="A11" s="70" t="str">
        <f>ARRAY_CONSTRAIN(ARRAYFORMULA(IF(IFERROR(TRANSPOSE(_xlfn._xlws.FILTER(Table_1[[Subcategory ]],(Table_1[Department]='Listing Details'!E13)*(Table_1[Category]='Listing Details'!F13))),"")=0,"",IFERROR(TRANSPOSE(_xlfn._xlws.FILTER(Table_1[[Subcategory ]],(Table_1[Department]='Listing Details'!E13)*(Table_1[Category]='Listing Details'!F13))),""))), 1, 1)</f>
        <v>#ERROR!</v>
      </c>
    </row>
    <row r="12" ht="12.75" customHeight="1">
      <c r="A12" s="70" t="str">
        <f>ARRAY_CONSTRAIN(ARRAYFORMULA(IF(IFERROR(TRANSPOSE(_xlfn._xlws.FILTER(Table_1[[Subcategory ]],(Table_1[Department]='Listing Details'!E14)*(Table_1[Category]='Listing Details'!F14))),"")=0,"",IFERROR(TRANSPOSE(_xlfn._xlws.FILTER(Table_1[[Subcategory ]],(Table_1[Department]='Listing Details'!E14)*(Table_1[Category]='Listing Details'!F14))),""))), 1, 1)</f>
        <v>#ERROR!</v>
      </c>
    </row>
    <row r="13" ht="12.75" customHeight="1">
      <c r="A13" s="70" t="str">
        <f>ARRAY_CONSTRAIN(ARRAYFORMULA(IF(IFERROR(TRANSPOSE(_xlfn._xlws.FILTER(Table_1[[Subcategory ]],(Table_1[Department]='Listing Details'!E15)*(Table_1[Category]='Listing Details'!F15))),"")=0,"",IFERROR(TRANSPOSE(_xlfn._xlws.FILTER(Table_1[[Subcategory ]],(Table_1[Department]='Listing Details'!E15)*(Table_1[Category]='Listing Details'!F15))),""))), 1, 1)</f>
        <v>#ERROR!</v>
      </c>
    </row>
    <row r="14" ht="12.75" customHeight="1">
      <c r="A14" s="70" t="str">
        <f>ARRAY_CONSTRAIN(ARRAYFORMULA(IF(IFERROR(TRANSPOSE(_xlfn._xlws.FILTER(Table_1[[Subcategory ]],(Table_1[Department]='Listing Details'!E16)*(Table_1[Category]='Listing Details'!F16))),"")=0,"",IFERROR(TRANSPOSE(_xlfn._xlws.FILTER(Table_1[[Subcategory ]],(Table_1[Department]='Listing Details'!E16)*(Table_1[Category]='Listing Details'!F16))),""))), 1, 1)</f>
        <v>#ERROR!</v>
      </c>
    </row>
    <row r="15" ht="12.75" customHeight="1">
      <c r="A15" s="70" t="str">
        <f>ARRAY_CONSTRAIN(ARRAYFORMULA(IF(IFERROR(TRANSPOSE(_xlfn._xlws.FILTER(Table_1[[Subcategory ]],(Table_1[Department]='Listing Details'!E17)*(Table_1[Category]='Listing Details'!F17))),"")=0,"",IFERROR(TRANSPOSE(_xlfn._xlws.FILTER(Table_1[[Subcategory ]],(Table_1[Department]='Listing Details'!E17)*(Table_1[Category]='Listing Details'!F17))),""))), 1, 1)</f>
        <v>#ERROR!</v>
      </c>
    </row>
    <row r="16" ht="12.75" customHeight="1">
      <c r="A16" s="70" t="str">
        <f>ARRAY_CONSTRAIN(ARRAYFORMULA(IF(IFERROR(TRANSPOSE(_xlfn._xlws.FILTER(Table_1[[Subcategory ]],(Table_1[Department]='Listing Details'!E18)*(Table_1[Category]='Listing Details'!F18))),"")=0,"",IFERROR(TRANSPOSE(_xlfn._xlws.FILTER(Table_1[[Subcategory ]],(Table_1[Department]='Listing Details'!E18)*(Table_1[Category]='Listing Details'!F18))),""))), 1, 1)</f>
        <v>#ERROR!</v>
      </c>
    </row>
    <row r="17" ht="12.75" customHeight="1">
      <c r="A17" s="70" t="str">
        <f>ARRAY_CONSTRAIN(ARRAYFORMULA(IF(IFERROR(TRANSPOSE(_xlfn._xlws.FILTER(Table_1[[Subcategory ]],(Table_1[Department]='Listing Details'!E19)*(Table_1[Category]='Listing Details'!F19))),"")=0,"",IFERROR(TRANSPOSE(_xlfn._xlws.FILTER(Table_1[[Subcategory ]],(Table_1[Department]='Listing Details'!E19)*(Table_1[Category]='Listing Details'!F19))),""))), 1, 1)</f>
        <v>#ERROR!</v>
      </c>
    </row>
    <row r="18" ht="12.75" customHeight="1">
      <c r="A18" s="70" t="str">
        <f>ARRAY_CONSTRAIN(ARRAYFORMULA(IF(IFERROR(TRANSPOSE(_xlfn._xlws.FILTER(Table_1[[Subcategory ]],(Table_1[Department]='Listing Details'!E20)*(Table_1[Category]='Listing Details'!F20))),"")=0,"",IFERROR(TRANSPOSE(_xlfn._xlws.FILTER(Table_1[[Subcategory ]],(Table_1[Department]='Listing Details'!E20)*(Table_1[Category]='Listing Details'!F20))),""))), 1, 1)</f>
        <v>#ERROR!</v>
      </c>
    </row>
    <row r="19" ht="12.75" customHeight="1">
      <c r="A19" s="70" t="str">
        <f>ARRAY_CONSTRAIN(ARRAYFORMULA(IF(IFERROR(TRANSPOSE(_xlfn._xlws.FILTER(Table_1[[Subcategory ]],(Table_1[Department]='Listing Details'!E21)*(Table_1[Category]='Listing Details'!F21))),"")=0,"",IFERROR(TRANSPOSE(_xlfn._xlws.FILTER(Table_1[[Subcategory ]],(Table_1[Department]='Listing Details'!E21)*(Table_1[Category]='Listing Details'!F21))),""))), 1, 1)</f>
        <v>#ERROR!</v>
      </c>
    </row>
    <row r="20" ht="12.75" customHeight="1">
      <c r="A20" s="70" t="str">
        <f>ARRAY_CONSTRAIN(ARRAYFORMULA(IF(IFERROR(TRANSPOSE(_xlfn._xlws.FILTER(Table_1[[Subcategory ]],(Table_1[Department]='Listing Details'!E22)*(Table_1[Category]='Listing Details'!F22))),"")=0,"",IFERROR(TRANSPOSE(_xlfn._xlws.FILTER(Table_1[[Subcategory ]],(Table_1[Department]='Listing Details'!E22)*(Table_1[Category]='Listing Details'!F22))),""))), 1, 1)</f>
        <v>#ERROR!</v>
      </c>
    </row>
    <row r="21" ht="12.75" customHeight="1">
      <c r="A21" s="70" t="str">
        <f>ARRAY_CONSTRAIN(ARRAYFORMULA(IF(IFERROR(TRANSPOSE(_xlfn._xlws.FILTER(Table_1[[Subcategory ]],(Table_1[Department]='Listing Details'!E23)*(Table_1[Category]='Listing Details'!F23))),"")=0,"",IFERROR(TRANSPOSE(_xlfn._xlws.FILTER(Table_1[[Subcategory ]],(Table_1[Department]='Listing Details'!E23)*(Table_1[Category]='Listing Details'!F23))),""))), 1, 1)</f>
        <v>#ERROR!</v>
      </c>
    </row>
    <row r="22" ht="12.75" customHeight="1">
      <c r="A22" s="70" t="str">
        <f>ARRAY_CONSTRAIN(ARRAYFORMULA(IF(IFERROR(TRANSPOSE(_xlfn._xlws.FILTER(Table_1[[Subcategory ]],(Table_1[Department]='Listing Details'!E24)*(Table_1[Category]='Listing Details'!F24))),"")=0,"",IFERROR(TRANSPOSE(_xlfn._xlws.FILTER(Table_1[[Subcategory ]],(Table_1[Department]='Listing Details'!E24)*(Table_1[Category]='Listing Details'!F24))),""))), 1, 1)</f>
        <v>#ERROR!</v>
      </c>
    </row>
    <row r="23" ht="12.75" customHeight="1">
      <c r="A23" s="70" t="str">
        <f>ARRAY_CONSTRAIN(ARRAYFORMULA(IF(IFERROR(TRANSPOSE(_xlfn._xlws.FILTER(Table_1[[Subcategory ]],(Table_1[Department]='Listing Details'!E25)*(Table_1[Category]='Listing Details'!F25))),"")=0,"",IFERROR(TRANSPOSE(_xlfn._xlws.FILTER(Table_1[[Subcategory ]],(Table_1[Department]='Listing Details'!E25)*(Table_1[Category]='Listing Details'!F25))),""))), 1, 1)</f>
        <v>#ERROR!</v>
      </c>
    </row>
    <row r="24" ht="12.75" customHeight="1">
      <c r="A24" s="70" t="str">
        <f>ARRAY_CONSTRAIN(ARRAYFORMULA(IF(IFERROR(TRANSPOSE(_xlfn._xlws.FILTER(Table_1[[Subcategory ]],(Table_1[Department]='Listing Details'!E26)*(Table_1[Category]='Listing Details'!F26))),"")=0,"",IFERROR(TRANSPOSE(_xlfn._xlws.FILTER(Table_1[[Subcategory ]],(Table_1[Department]='Listing Details'!E26)*(Table_1[Category]='Listing Details'!F26))),""))), 1, 1)</f>
        <v>#ERROR!</v>
      </c>
    </row>
    <row r="25" ht="12.75" customHeight="1">
      <c r="A25" s="70" t="str">
        <f>ARRAY_CONSTRAIN(ARRAYFORMULA(IF(IFERROR(TRANSPOSE(_xlfn._xlws.FILTER(Table_1[[Subcategory ]],(Table_1[Department]='Listing Details'!E27)*(Table_1[Category]='Listing Details'!F27))),"")=0,"",IFERROR(TRANSPOSE(_xlfn._xlws.FILTER(Table_1[[Subcategory ]],(Table_1[Department]='Listing Details'!E27)*(Table_1[Category]='Listing Details'!F27))),""))), 1, 1)</f>
        <v>#ERROR!</v>
      </c>
    </row>
    <row r="26" ht="12.75" customHeight="1">
      <c r="A26" s="70" t="str">
        <f>ARRAY_CONSTRAIN(ARRAYFORMULA(IF(IFERROR(TRANSPOSE(_xlfn._xlws.FILTER(Table_1[[Subcategory ]],(Table_1[Department]='Listing Details'!E28)*(Table_1[Category]='Listing Details'!F28))),"")=0,"",IFERROR(TRANSPOSE(_xlfn._xlws.FILTER(Table_1[[Subcategory ]],(Table_1[Department]='Listing Details'!E28)*(Table_1[Category]='Listing Details'!F28))),""))), 1, 1)</f>
        <v>#ERROR!</v>
      </c>
    </row>
    <row r="27" ht="12.75" customHeight="1">
      <c r="A27" s="70" t="str">
        <f>ARRAY_CONSTRAIN(ARRAYFORMULA(IF(IFERROR(TRANSPOSE(_xlfn._xlws.FILTER(Table_1[[Subcategory ]],(Table_1[Department]='Listing Details'!E29)*(Table_1[Category]='Listing Details'!F29))),"")=0,"",IFERROR(TRANSPOSE(_xlfn._xlws.FILTER(Table_1[[Subcategory ]],(Table_1[Department]='Listing Details'!E29)*(Table_1[Category]='Listing Details'!F29))),""))), 1, 1)</f>
        <v>#ERROR!</v>
      </c>
    </row>
    <row r="28" ht="12.75" customHeight="1">
      <c r="A28" s="70" t="str">
        <f>ARRAY_CONSTRAIN(ARRAYFORMULA(IF(IFERROR(TRANSPOSE(_xlfn._xlws.FILTER(Table_1[[Subcategory ]],(Table_1[Department]='Listing Details'!E30)*(Table_1[Category]='Listing Details'!F30))),"")=0,"",IFERROR(TRANSPOSE(_xlfn._xlws.FILTER(Table_1[[Subcategory ]],(Table_1[Department]='Listing Details'!E30)*(Table_1[Category]='Listing Details'!F30))),""))), 1, 1)</f>
        <v>#ERROR!</v>
      </c>
    </row>
    <row r="29" ht="12.75" customHeight="1">
      <c r="A29" s="70" t="str">
        <f>ARRAY_CONSTRAIN(ARRAYFORMULA(IF(IFERROR(TRANSPOSE(_xlfn._xlws.FILTER(Table_1[[Subcategory ]],(Table_1[Department]='Listing Details'!E31)*(Table_1[Category]='Listing Details'!F31))),"")=0,"",IFERROR(TRANSPOSE(_xlfn._xlws.FILTER(Table_1[[Subcategory ]],(Table_1[Department]='Listing Details'!E31)*(Table_1[Category]='Listing Details'!F31))),""))), 1, 1)</f>
        <v>#ERROR!</v>
      </c>
    </row>
    <row r="30" ht="12.75" customHeight="1">
      <c r="A30" s="70" t="str">
        <f>ARRAY_CONSTRAIN(ARRAYFORMULA(IF(IFERROR(TRANSPOSE(_xlfn._xlws.FILTER(Table_1[[Subcategory ]],(Table_1[Department]='Listing Details'!E32)*(Table_1[Category]='Listing Details'!F32))),"")=0,"",IFERROR(TRANSPOSE(_xlfn._xlws.FILTER(Table_1[[Subcategory ]],(Table_1[Department]='Listing Details'!E32)*(Table_1[Category]='Listing Details'!F32))),""))), 1, 1)</f>
        <v>#ERROR!</v>
      </c>
    </row>
    <row r="31" ht="12.75" customHeight="1">
      <c r="A31" s="70" t="str">
        <f>ARRAY_CONSTRAIN(ARRAYFORMULA(IF(IFERROR(TRANSPOSE(_xlfn._xlws.FILTER(Table_1[[Subcategory ]],(Table_1[Department]='Listing Details'!E33)*(Table_1[Category]='Listing Details'!F33))),"")=0,"",IFERROR(TRANSPOSE(_xlfn._xlws.FILTER(Table_1[[Subcategory ]],(Table_1[Department]='Listing Details'!E33)*(Table_1[Category]='Listing Details'!F33))),""))), 1, 1)</f>
        <v>#ERROR!</v>
      </c>
    </row>
    <row r="32" ht="12.75" customHeight="1">
      <c r="A32" s="70" t="str">
        <f>ARRAY_CONSTRAIN(ARRAYFORMULA(IF(IFERROR(TRANSPOSE(_xlfn._xlws.FILTER(Table_1[[Subcategory ]],(Table_1[Department]='Listing Details'!E34)*(Table_1[Category]='Listing Details'!F34))),"")=0,"",IFERROR(TRANSPOSE(_xlfn._xlws.FILTER(Table_1[[Subcategory ]],(Table_1[Department]='Listing Details'!E34)*(Table_1[Category]='Listing Details'!F34))),""))), 1, 1)</f>
        <v>#ERROR!</v>
      </c>
    </row>
    <row r="33" ht="12.75" customHeight="1">
      <c r="A33" s="70" t="str">
        <f>ARRAY_CONSTRAIN(ARRAYFORMULA(IF(IFERROR(TRANSPOSE(_xlfn._xlws.FILTER(Table_1[[Subcategory ]],(Table_1[Department]='Listing Details'!E35)*(Table_1[Category]='Listing Details'!F35))),"")=0,"",IFERROR(TRANSPOSE(_xlfn._xlws.FILTER(Table_1[[Subcategory ]],(Table_1[Department]='Listing Details'!E35)*(Table_1[Category]='Listing Details'!F35))),""))), 1, 1)</f>
        <v>#ERROR!</v>
      </c>
    </row>
    <row r="34" ht="12.75" customHeight="1">
      <c r="A34" s="70" t="str">
        <f>ARRAY_CONSTRAIN(ARRAYFORMULA(IF(IFERROR(TRANSPOSE(_xlfn._xlws.FILTER(Table_1[[Subcategory ]],(Table_1[Department]='Listing Details'!E36)*(Table_1[Category]='Listing Details'!F36))),"")=0,"",IFERROR(TRANSPOSE(_xlfn._xlws.FILTER(Table_1[[Subcategory ]],(Table_1[Department]='Listing Details'!E36)*(Table_1[Category]='Listing Details'!F36))),""))), 1, 1)</f>
        <v>#ERROR!</v>
      </c>
    </row>
    <row r="35" ht="12.75" customHeight="1">
      <c r="A35" s="70" t="str">
        <f>ARRAY_CONSTRAIN(ARRAYFORMULA(IF(IFERROR(TRANSPOSE(_xlfn._xlws.FILTER(Table_1[[Subcategory ]],(Table_1[Department]='Listing Details'!E37)*(Table_1[Category]='Listing Details'!F37))),"")=0,"",IFERROR(TRANSPOSE(_xlfn._xlws.FILTER(Table_1[[Subcategory ]],(Table_1[Department]='Listing Details'!E37)*(Table_1[Category]='Listing Details'!F37))),""))), 1, 1)</f>
        <v>#ERROR!</v>
      </c>
    </row>
    <row r="36" ht="12.75" customHeight="1">
      <c r="A36" s="70" t="str">
        <f>ARRAY_CONSTRAIN(ARRAYFORMULA(IF(IFERROR(TRANSPOSE(_xlfn._xlws.FILTER(Table_1[[Subcategory ]],(Table_1[Department]='Listing Details'!E38)*(Table_1[Category]='Listing Details'!F38))),"")=0,"",IFERROR(TRANSPOSE(_xlfn._xlws.FILTER(Table_1[[Subcategory ]],(Table_1[Department]='Listing Details'!E38)*(Table_1[Category]='Listing Details'!F38))),""))), 1, 1)</f>
        <v>#ERROR!</v>
      </c>
    </row>
    <row r="37" ht="12.75" customHeight="1">
      <c r="A37" s="70" t="str">
        <f>ARRAY_CONSTRAIN(ARRAYFORMULA(IF(IFERROR(TRANSPOSE(_xlfn._xlws.FILTER(Table_1[[Subcategory ]],(Table_1[Department]='Listing Details'!E39)*(Table_1[Category]='Listing Details'!F39))),"")=0,"",IFERROR(TRANSPOSE(_xlfn._xlws.FILTER(Table_1[[Subcategory ]],(Table_1[Department]='Listing Details'!E39)*(Table_1[Category]='Listing Details'!F39))),""))), 1, 1)</f>
        <v>#ERROR!</v>
      </c>
    </row>
    <row r="38" ht="12.75" customHeight="1">
      <c r="A38" s="70" t="str">
        <f>ARRAY_CONSTRAIN(ARRAYFORMULA(IF(IFERROR(TRANSPOSE(_xlfn._xlws.FILTER(Table_1[[Subcategory ]],(Table_1[Department]='Listing Details'!E40)*(Table_1[Category]='Listing Details'!F40))),"")=0,"",IFERROR(TRANSPOSE(_xlfn._xlws.FILTER(Table_1[[Subcategory ]],(Table_1[Department]='Listing Details'!E40)*(Table_1[Category]='Listing Details'!F40))),""))), 1, 1)</f>
        <v>#ERROR!</v>
      </c>
    </row>
    <row r="39" ht="12.75" customHeight="1">
      <c r="A39" s="70" t="str">
        <f>ARRAY_CONSTRAIN(ARRAYFORMULA(IF(IFERROR(TRANSPOSE(_xlfn._xlws.FILTER(Table_1[[Subcategory ]],(Table_1[Department]='Listing Details'!E41)*(Table_1[Category]='Listing Details'!F41))),"")=0,"",IFERROR(TRANSPOSE(_xlfn._xlws.FILTER(Table_1[[Subcategory ]],(Table_1[Department]='Listing Details'!E41)*(Table_1[Category]='Listing Details'!F41))),""))), 1, 1)</f>
        <v>#ERROR!</v>
      </c>
    </row>
    <row r="40" ht="12.75" customHeight="1">
      <c r="A40" s="70" t="str">
        <f>ARRAY_CONSTRAIN(ARRAYFORMULA(IF(IFERROR(TRANSPOSE(_xlfn._xlws.FILTER(Table_1[[Subcategory ]],(Table_1[Department]='Listing Details'!E42)*(Table_1[Category]='Listing Details'!F42))),"")=0,"",IFERROR(TRANSPOSE(_xlfn._xlws.FILTER(Table_1[[Subcategory ]],(Table_1[Department]='Listing Details'!E42)*(Table_1[Category]='Listing Details'!F42))),""))), 1, 1)</f>
        <v>#ERROR!</v>
      </c>
    </row>
    <row r="41" ht="12.75" customHeight="1">
      <c r="A41" s="70" t="str">
        <f>ARRAY_CONSTRAIN(ARRAYFORMULA(IF(IFERROR(TRANSPOSE(_xlfn._xlws.FILTER(Table_1[[Subcategory ]],(Table_1[Department]='Listing Details'!E43)*(Table_1[Category]='Listing Details'!F43))),"")=0,"",IFERROR(TRANSPOSE(_xlfn._xlws.FILTER(Table_1[[Subcategory ]],(Table_1[Department]='Listing Details'!E43)*(Table_1[Category]='Listing Details'!F43))),""))), 1, 1)</f>
        <v>#ERROR!</v>
      </c>
    </row>
    <row r="42" ht="12.75" customHeight="1">
      <c r="A42" s="70" t="str">
        <f>ARRAY_CONSTRAIN(ARRAYFORMULA(IF(IFERROR(TRANSPOSE(_xlfn._xlws.FILTER(Table_1[[Subcategory ]],(Table_1[Department]='Listing Details'!E44)*(Table_1[Category]='Listing Details'!F44))),"")=0,"",IFERROR(TRANSPOSE(_xlfn._xlws.FILTER(Table_1[[Subcategory ]],(Table_1[Department]='Listing Details'!E44)*(Table_1[Category]='Listing Details'!F44))),""))), 1, 1)</f>
        <v>#ERROR!</v>
      </c>
    </row>
    <row r="43" ht="12.75" customHeight="1">
      <c r="A43" s="70" t="str">
        <f>ARRAY_CONSTRAIN(ARRAYFORMULA(IF(IFERROR(TRANSPOSE(_xlfn._xlws.FILTER(Table_1[[Subcategory ]],(Table_1[Department]='Listing Details'!E45)*(Table_1[Category]='Listing Details'!F45))),"")=0,"",IFERROR(TRANSPOSE(_xlfn._xlws.FILTER(Table_1[[Subcategory ]],(Table_1[Department]='Listing Details'!E45)*(Table_1[Category]='Listing Details'!F45))),""))), 1, 1)</f>
        <v>#ERROR!</v>
      </c>
    </row>
    <row r="44" ht="12.75" customHeight="1">
      <c r="A44" s="70" t="str">
        <f>ARRAY_CONSTRAIN(ARRAYFORMULA(IF(IFERROR(TRANSPOSE(_xlfn._xlws.FILTER(Table_1[[Subcategory ]],(Table_1[Department]='Listing Details'!E46)*(Table_1[Category]='Listing Details'!F46))),"")=0,"",IFERROR(TRANSPOSE(_xlfn._xlws.FILTER(Table_1[[Subcategory ]],(Table_1[Department]='Listing Details'!E46)*(Table_1[Category]='Listing Details'!F46))),""))), 1, 1)</f>
        <v>#ERROR!</v>
      </c>
    </row>
    <row r="45" ht="12.75" customHeight="1">
      <c r="A45" s="70" t="str">
        <f>ARRAY_CONSTRAIN(ARRAYFORMULA(IF(IFERROR(TRANSPOSE(_xlfn._xlws.FILTER(Table_1[[Subcategory ]],(Table_1[Department]='Listing Details'!E47)*(Table_1[Category]='Listing Details'!F47))),"")=0,"",IFERROR(TRANSPOSE(_xlfn._xlws.FILTER(Table_1[[Subcategory ]],(Table_1[Department]='Listing Details'!E47)*(Table_1[Category]='Listing Details'!F47))),""))), 1, 1)</f>
        <v>#ERROR!</v>
      </c>
    </row>
    <row r="46" ht="12.75" customHeight="1">
      <c r="A46" s="70" t="str">
        <f>ARRAY_CONSTRAIN(ARRAYFORMULA(IF(IFERROR(TRANSPOSE(_xlfn._xlws.FILTER(Table_1[[Subcategory ]],(Table_1[Department]='Listing Details'!E48)*(Table_1[Category]='Listing Details'!F48))),"")=0,"",IFERROR(TRANSPOSE(_xlfn._xlws.FILTER(Table_1[[Subcategory ]],(Table_1[Department]='Listing Details'!E48)*(Table_1[Category]='Listing Details'!F48))),""))), 1, 1)</f>
        <v>#ERROR!</v>
      </c>
    </row>
    <row r="47" ht="12.75" customHeight="1">
      <c r="A47" s="70" t="str">
        <f>ARRAY_CONSTRAIN(ARRAYFORMULA(IF(IFERROR(TRANSPOSE(_xlfn._xlws.FILTER(Table_1[[Subcategory ]],(Table_1[Department]='Listing Details'!E49)*(Table_1[Category]='Listing Details'!F49))),"")=0,"",IFERROR(TRANSPOSE(_xlfn._xlws.FILTER(Table_1[[Subcategory ]],(Table_1[Department]='Listing Details'!E49)*(Table_1[Category]='Listing Details'!F49))),""))), 1, 1)</f>
        <v>#ERROR!</v>
      </c>
    </row>
    <row r="48" ht="12.75" customHeight="1">
      <c r="A48" s="70" t="str">
        <f>ARRAY_CONSTRAIN(ARRAYFORMULA(IF(IFERROR(TRANSPOSE(_xlfn._xlws.FILTER(Table_1[[Subcategory ]],(Table_1[Department]='Listing Details'!E50)*(Table_1[Category]='Listing Details'!F50))),"")=0,"",IFERROR(TRANSPOSE(_xlfn._xlws.FILTER(Table_1[[Subcategory ]],(Table_1[Department]='Listing Details'!E50)*(Table_1[Category]='Listing Details'!F50))),""))), 1, 1)</f>
        <v>#ERROR!</v>
      </c>
    </row>
    <row r="49" ht="12.75" customHeight="1">
      <c r="A49" s="70" t="str">
        <f>ARRAY_CONSTRAIN(ARRAYFORMULA(IF(IFERROR(TRANSPOSE(_xlfn._xlws.FILTER(Table_1[[Subcategory ]],(Table_1[Department]='Listing Details'!E51)*(Table_1[Category]='Listing Details'!F51))),"")=0,"",IFERROR(TRANSPOSE(_xlfn._xlws.FILTER(Table_1[[Subcategory ]],(Table_1[Department]='Listing Details'!E51)*(Table_1[Category]='Listing Details'!F51))),""))), 1, 1)</f>
        <v>#ERROR!</v>
      </c>
    </row>
    <row r="50" ht="12.75" customHeight="1">
      <c r="A50" s="70" t="str">
        <f>ARRAY_CONSTRAIN(ARRAYFORMULA(IF(IFERROR(TRANSPOSE(_xlfn._xlws.FILTER(Table_1[[Subcategory ]],(Table_1[Department]='Listing Details'!E52)*(Table_1[Category]='Listing Details'!F52))),"")=0,"",IFERROR(TRANSPOSE(_xlfn._xlws.FILTER(Table_1[[Subcategory ]],(Table_1[Department]='Listing Details'!E52)*(Table_1[Category]='Listing Details'!F52))),""))), 1, 1)</f>
        <v>#ERROR!</v>
      </c>
    </row>
    <row r="51" ht="12.75" customHeight="1">
      <c r="A51" s="70" t="str">
        <f>ARRAY_CONSTRAIN(ARRAYFORMULA(IF(IFERROR(TRANSPOSE(_xlfn._xlws.FILTER(Table_1[[Subcategory ]],(Table_1[Department]='Listing Details'!E53)*(Table_1[Category]='Listing Details'!F53))),"")=0,"",IFERROR(TRANSPOSE(_xlfn._xlws.FILTER(Table_1[[Subcategory ]],(Table_1[Department]='Listing Details'!E53)*(Table_1[Category]='Listing Details'!F53))),""))), 1, 1)</f>
        <v>#ERROR!</v>
      </c>
    </row>
    <row r="52" ht="12.75" customHeight="1">
      <c r="A52" s="70" t="str">
        <f>ARRAY_CONSTRAIN(ARRAYFORMULA(IF(IFERROR(TRANSPOSE(_xlfn._xlws.FILTER(Table_1[[Subcategory ]],(Table_1[Department]='Listing Details'!E54)*(Table_1[Category]='Listing Details'!F54))),"")=0,"",IFERROR(TRANSPOSE(_xlfn._xlws.FILTER(Table_1[[Subcategory ]],(Table_1[Department]='Listing Details'!E54)*(Table_1[Category]='Listing Details'!F54))),""))), 1, 1)</f>
        <v>#ERROR!</v>
      </c>
    </row>
    <row r="53" ht="12.75" customHeight="1">
      <c r="A53" s="70" t="str">
        <f>ARRAY_CONSTRAIN(ARRAYFORMULA(IF(IFERROR(TRANSPOSE(_xlfn._xlws.FILTER(Table_1[[Subcategory ]],(Table_1[Department]='Listing Details'!E55)*(Table_1[Category]='Listing Details'!F55))),"")=0,"",IFERROR(TRANSPOSE(_xlfn._xlws.FILTER(Table_1[[Subcategory ]],(Table_1[Department]='Listing Details'!E55)*(Table_1[Category]='Listing Details'!F55))),""))), 1, 1)</f>
        <v>#ERROR!</v>
      </c>
    </row>
    <row r="54" ht="12.75" customHeight="1">
      <c r="A54" s="70" t="str">
        <f>ARRAY_CONSTRAIN(ARRAYFORMULA(IF(IFERROR(TRANSPOSE(_xlfn._xlws.FILTER(Table_1[[Subcategory ]],(Table_1[Department]='Listing Details'!E56)*(Table_1[Category]='Listing Details'!F56))),"")=0,"",IFERROR(TRANSPOSE(_xlfn._xlws.FILTER(Table_1[[Subcategory ]],(Table_1[Department]='Listing Details'!E56)*(Table_1[Category]='Listing Details'!F56))),""))), 1, 1)</f>
        <v>#ERROR!</v>
      </c>
    </row>
    <row r="55" ht="12.75" customHeight="1">
      <c r="A55" s="70" t="str">
        <f>ARRAY_CONSTRAIN(ARRAYFORMULA(IF(IFERROR(TRANSPOSE(_xlfn._xlws.FILTER(Table_1[[Subcategory ]],(Table_1[Department]='Listing Details'!E57)*(Table_1[Category]='Listing Details'!F57))),"")=0,"",IFERROR(TRANSPOSE(_xlfn._xlws.FILTER(Table_1[[Subcategory ]],(Table_1[Department]='Listing Details'!E57)*(Table_1[Category]='Listing Details'!F57))),""))), 1, 1)</f>
        <v>#ERROR!</v>
      </c>
    </row>
    <row r="56" ht="12.75" customHeight="1">
      <c r="A56" s="70" t="str">
        <f>ARRAY_CONSTRAIN(ARRAYFORMULA(IF(IFERROR(TRANSPOSE(_xlfn._xlws.FILTER(Table_1[[Subcategory ]],(Table_1[Department]='Listing Details'!E58)*(Table_1[Category]='Listing Details'!F58))),"")=0,"",IFERROR(TRANSPOSE(_xlfn._xlws.FILTER(Table_1[[Subcategory ]],(Table_1[Department]='Listing Details'!E58)*(Table_1[Category]='Listing Details'!F58))),""))), 1, 1)</f>
        <v>#ERROR!</v>
      </c>
    </row>
    <row r="57" ht="12.75" customHeight="1">
      <c r="A57" s="70" t="str">
        <f>ARRAY_CONSTRAIN(ARRAYFORMULA(IF(IFERROR(TRANSPOSE(_xlfn._xlws.FILTER(Table_1[[Subcategory ]],(Table_1[Department]='Listing Details'!E59)*(Table_1[Category]='Listing Details'!F59))),"")=0,"",IFERROR(TRANSPOSE(_xlfn._xlws.FILTER(Table_1[[Subcategory ]],(Table_1[Department]='Listing Details'!E59)*(Table_1[Category]='Listing Details'!F59))),""))), 1, 1)</f>
        <v>#ERROR!</v>
      </c>
    </row>
    <row r="58" ht="12.75" customHeight="1">
      <c r="A58" s="70" t="str">
        <f>ARRAY_CONSTRAIN(ARRAYFORMULA(IF(IFERROR(TRANSPOSE(_xlfn._xlws.FILTER(Table_1[[Subcategory ]],(Table_1[Department]='Listing Details'!E60)*(Table_1[Category]='Listing Details'!F60))),"")=0,"",IFERROR(TRANSPOSE(_xlfn._xlws.FILTER(Table_1[[Subcategory ]],(Table_1[Department]='Listing Details'!E60)*(Table_1[Category]='Listing Details'!F60))),""))), 1, 1)</f>
        <v>#ERROR!</v>
      </c>
    </row>
    <row r="59" ht="12.75" customHeight="1">
      <c r="A59" s="70" t="str">
        <f>ARRAY_CONSTRAIN(ARRAYFORMULA(IF(IFERROR(TRANSPOSE(_xlfn._xlws.FILTER(Table_1[[Subcategory ]],(Table_1[Department]='Listing Details'!E61)*(Table_1[Category]='Listing Details'!F61))),"")=0,"",IFERROR(TRANSPOSE(_xlfn._xlws.FILTER(Table_1[[Subcategory ]],(Table_1[Department]='Listing Details'!E61)*(Table_1[Category]='Listing Details'!F61))),""))), 1, 1)</f>
        <v>#ERROR!</v>
      </c>
    </row>
    <row r="60" ht="12.75" customHeight="1">
      <c r="A60" s="70" t="str">
        <f>ARRAY_CONSTRAIN(ARRAYFORMULA(IF(IFERROR(TRANSPOSE(_xlfn._xlws.FILTER(Table_1[[Subcategory ]],(Table_1[Department]='Listing Details'!E62)*(Table_1[Category]='Listing Details'!F62))),"")=0,"",IFERROR(TRANSPOSE(_xlfn._xlws.FILTER(Table_1[[Subcategory ]],(Table_1[Department]='Listing Details'!E62)*(Table_1[Category]='Listing Details'!F62))),""))), 1, 1)</f>
        <v>#ERROR!</v>
      </c>
    </row>
    <row r="61" ht="12.75" customHeight="1">
      <c r="A61" s="70" t="str">
        <f>ARRAY_CONSTRAIN(ARRAYFORMULA(IF(IFERROR(TRANSPOSE(_xlfn._xlws.FILTER(Table_1[[Subcategory ]],(Table_1[Department]='Listing Details'!E63)*(Table_1[Category]='Listing Details'!F63))),"")=0,"",IFERROR(TRANSPOSE(_xlfn._xlws.FILTER(Table_1[[Subcategory ]],(Table_1[Department]='Listing Details'!E63)*(Table_1[Category]='Listing Details'!F63))),""))), 1, 1)</f>
        <v>#ERROR!</v>
      </c>
    </row>
    <row r="62" ht="12.75" customHeight="1">
      <c r="A62" s="70" t="str">
        <f>ARRAY_CONSTRAIN(ARRAYFORMULA(IF(IFERROR(TRANSPOSE(_xlfn._xlws.FILTER(Table_1[[Subcategory ]],(Table_1[Department]='Listing Details'!E64)*(Table_1[Category]='Listing Details'!F64))),"")=0,"",IFERROR(TRANSPOSE(_xlfn._xlws.FILTER(Table_1[[Subcategory ]],(Table_1[Department]='Listing Details'!E64)*(Table_1[Category]='Listing Details'!F64))),""))), 1, 1)</f>
        <v>#ERROR!</v>
      </c>
    </row>
    <row r="63" ht="12.75" customHeight="1">
      <c r="A63" s="70" t="str">
        <f>ARRAY_CONSTRAIN(ARRAYFORMULA(IF(IFERROR(TRANSPOSE(_xlfn._xlws.FILTER(Table_1[[Subcategory ]],(Table_1[Department]='Listing Details'!E65)*(Table_1[Category]='Listing Details'!F65))),"")=0,"",IFERROR(TRANSPOSE(_xlfn._xlws.FILTER(Table_1[[Subcategory ]],(Table_1[Department]='Listing Details'!E65)*(Table_1[Category]='Listing Details'!F65))),""))), 1, 1)</f>
        <v>#ERROR!</v>
      </c>
    </row>
    <row r="64" ht="12.75" customHeight="1">
      <c r="A64" s="70" t="str">
        <f>ARRAY_CONSTRAIN(ARRAYFORMULA(IF(IFERROR(TRANSPOSE(_xlfn._xlws.FILTER(Table_1[[Subcategory ]],(Table_1[Department]='Listing Details'!E66)*(Table_1[Category]='Listing Details'!F66))),"")=0,"",IFERROR(TRANSPOSE(_xlfn._xlws.FILTER(Table_1[[Subcategory ]],(Table_1[Department]='Listing Details'!E66)*(Table_1[Category]='Listing Details'!F66))),""))), 1, 1)</f>
        <v>#ERROR!</v>
      </c>
    </row>
    <row r="65" ht="12.75" customHeight="1">
      <c r="A65" s="70" t="str">
        <f>ARRAY_CONSTRAIN(ARRAYFORMULA(IF(IFERROR(TRANSPOSE(_xlfn._xlws.FILTER(Table_1[[Subcategory ]],(Table_1[Department]='Listing Details'!E67)*(Table_1[Category]='Listing Details'!F67))),"")=0,"",IFERROR(TRANSPOSE(_xlfn._xlws.FILTER(Table_1[[Subcategory ]],(Table_1[Department]='Listing Details'!E67)*(Table_1[Category]='Listing Details'!F67))),""))), 1, 1)</f>
        <v>#ERROR!</v>
      </c>
    </row>
    <row r="66" ht="12.75" customHeight="1">
      <c r="A66" s="70" t="str">
        <f>ARRAY_CONSTRAIN(ARRAYFORMULA(IF(IFERROR(TRANSPOSE(_xlfn._xlws.FILTER(Table_1[[Subcategory ]],(Table_1[Department]='Listing Details'!E68)*(Table_1[Category]='Listing Details'!F68))),"")=0,"",IFERROR(TRANSPOSE(_xlfn._xlws.FILTER(Table_1[[Subcategory ]],(Table_1[Department]='Listing Details'!E68)*(Table_1[Category]='Listing Details'!F68))),""))), 1, 1)</f>
        <v>#ERROR!</v>
      </c>
    </row>
    <row r="67" ht="12.75" customHeight="1">
      <c r="A67" s="70" t="str">
        <f>ARRAY_CONSTRAIN(ARRAYFORMULA(IF(IFERROR(TRANSPOSE(_xlfn._xlws.FILTER(Table_1[[Subcategory ]],(Table_1[Department]='Listing Details'!E69)*(Table_1[Category]='Listing Details'!F69))),"")=0,"",IFERROR(TRANSPOSE(_xlfn._xlws.FILTER(Table_1[[Subcategory ]],(Table_1[Department]='Listing Details'!E69)*(Table_1[Category]='Listing Details'!F69))),""))), 1, 1)</f>
        <v>#ERROR!</v>
      </c>
    </row>
    <row r="68" ht="12.75" customHeight="1">
      <c r="A68" s="70" t="str">
        <f>ARRAY_CONSTRAIN(ARRAYFORMULA(IF(IFERROR(TRANSPOSE(_xlfn._xlws.FILTER(Table_1[[Subcategory ]],(Table_1[Department]='Listing Details'!E70)*(Table_1[Category]='Listing Details'!F70))),"")=0,"",IFERROR(TRANSPOSE(_xlfn._xlws.FILTER(Table_1[[Subcategory ]],(Table_1[Department]='Listing Details'!E70)*(Table_1[Category]='Listing Details'!F70))),""))), 1, 1)</f>
        <v>#ERROR!</v>
      </c>
    </row>
    <row r="69" ht="12.75" customHeight="1">
      <c r="A69" s="70" t="str">
        <f>ARRAY_CONSTRAIN(ARRAYFORMULA(IF(IFERROR(TRANSPOSE(_xlfn._xlws.FILTER(Table_1[[Subcategory ]],(Table_1[Department]='Listing Details'!E71)*(Table_1[Category]='Listing Details'!F71))),"")=0,"",IFERROR(TRANSPOSE(_xlfn._xlws.FILTER(Table_1[[Subcategory ]],(Table_1[Department]='Listing Details'!E71)*(Table_1[Category]='Listing Details'!F71))),""))), 1, 1)</f>
        <v>#ERROR!</v>
      </c>
    </row>
    <row r="70" ht="12.75" customHeight="1">
      <c r="A70" s="70" t="str">
        <f>ARRAY_CONSTRAIN(ARRAYFORMULA(IF(IFERROR(TRANSPOSE(_xlfn._xlws.FILTER(Table_1[[Subcategory ]],(Table_1[Department]='Listing Details'!E72)*(Table_1[Category]='Listing Details'!F72))),"")=0,"",IFERROR(TRANSPOSE(_xlfn._xlws.FILTER(Table_1[[Subcategory ]],(Table_1[Department]='Listing Details'!E72)*(Table_1[Category]='Listing Details'!F72))),""))), 1, 1)</f>
        <v>#ERROR!</v>
      </c>
    </row>
    <row r="71" ht="12.75" customHeight="1">
      <c r="A71" s="70" t="str">
        <f>ARRAY_CONSTRAIN(ARRAYFORMULA(IF(IFERROR(TRANSPOSE(_xlfn._xlws.FILTER(Table_1[[Subcategory ]],(Table_1[Department]='Listing Details'!E73)*(Table_1[Category]='Listing Details'!F73))),"")=0,"",IFERROR(TRANSPOSE(_xlfn._xlws.FILTER(Table_1[[Subcategory ]],(Table_1[Department]='Listing Details'!E73)*(Table_1[Category]='Listing Details'!F73))),""))), 1, 1)</f>
        <v>#ERROR!</v>
      </c>
    </row>
    <row r="72" ht="12.75" customHeight="1">
      <c r="A72" s="70" t="str">
        <f>ARRAY_CONSTRAIN(ARRAYFORMULA(IF(IFERROR(TRANSPOSE(_xlfn._xlws.FILTER(Table_1[[Subcategory ]],(Table_1[Department]='Listing Details'!E74)*(Table_1[Category]='Listing Details'!F74))),"")=0,"",IFERROR(TRANSPOSE(_xlfn._xlws.FILTER(Table_1[[Subcategory ]],(Table_1[Department]='Listing Details'!E74)*(Table_1[Category]='Listing Details'!F74))),""))), 1, 1)</f>
        <v>#ERROR!</v>
      </c>
    </row>
    <row r="73" ht="12.75" customHeight="1">
      <c r="A73" s="70" t="str">
        <f>ARRAY_CONSTRAIN(ARRAYFORMULA(IF(IFERROR(TRANSPOSE(_xlfn._xlws.FILTER(Table_1[[Subcategory ]],(Table_1[Department]='Listing Details'!E75)*(Table_1[Category]='Listing Details'!F75))),"")=0,"",IFERROR(TRANSPOSE(_xlfn._xlws.FILTER(Table_1[[Subcategory ]],(Table_1[Department]='Listing Details'!E75)*(Table_1[Category]='Listing Details'!F75))),""))), 1, 1)</f>
        <v>#ERROR!</v>
      </c>
    </row>
    <row r="74" ht="12.75" customHeight="1">
      <c r="A74" s="70" t="str">
        <f>ARRAY_CONSTRAIN(ARRAYFORMULA(IF(IFERROR(TRANSPOSE(_xlfn._xlws.FILTER(Table_1[[Subcategory ]],(Table_1[Department]='Listing Details'!E76)*(Table_1[Category]='Listing Details'!F76))),"")=0,"",IFERROR(TRANSPOSE(_xlfn._xlws.FILTER(Table_1[[Subcategory ]],(Table_1[Department]='Listing Details'!E76)*(Table_1[Category]='Listing Details'!F76))),""))), 1, 1)</f>
        <v>#ERROR!</v>
      </c>
    </row>
    <row r="75" ht="12.75" customHeight="1">
      <c r="A75" s="70" t="str">
        <f>ARRAY_CONSTRAIN(ARRAYFORMULA(IF(IFERROR(TRANSPOSE(_xlfn._xlws.FILTER(Table_1[[Subcategory ]],(Table_1[Department]='Listing Details'!E77)*(Table_1[Category]='Listing Details'!F77))),"")=0,"",IFERROR(TRANSPOSE(_xlfn._xlws.FILTER(Table_1[[Subcategory ]],(Table_1[Department]='Listing Details'!E77)*(Table_1[Category]='Listing Details'!F77))),""))), 1, 1)</f>
        <v>#ERROR!</v>
      </c>
    </row>
    <row r="76" ht="12.75" customHeight="1">
      <c r="A76" s="70" t="str">
        <f>ARRAY_CONSTRAIN(ARRAYFORMULA(IF(IFERROR(TRANSPOSE(_xlfn._xlws.FILTER(Table_1[[Subcategory ]],(Table_1[Department]='Listing Details'!E78)*(Table_1[Category]='Listing Details'!F78))),"")=0,"",IFERROR(TRANSPOSE(_xlfn._xlws.FILTER(Table_1[[Subcategory ]],(Table_1[Department]='Listing Details'!E78)*(Table_1[Category]='Listing Details'!F78))),""))), 1, 1)</f>
        <v>#ERROR!</v>
      </c>
    </row>
    <row r="77" ht="12.75" customHeight="1">
      <c r="A77" s="70" t="str">
        <f>ARRAY_CONSTRAIN(ARRAYFORMULA(IF(IFERROR(TRANSPOSE(_xlfn._xlws.FILTER(Table_1[[Subcategory ]],(Table_1[Department]='Listing Details'!E79)*(Table_1[Category]='Listing Details'!F79))),"")=0,"",IFERROR(TRANSPOSE(_xlfn._xlws.FILTER(Table_1[[Subcategory ]],(Table_1[Department]='Listing Details'!E79)*(Table_1[Category]='Listing Details'!F79))),""))), 1, 1)</f>
        <v>#ERROR!</v>
      </c>
    </row>
    <row r="78" ht="12.75" customHeight="1">
      <c r="A78" s="70" t="str">
        <f>ARRAY_CONSTRAIN(ARRAYFORMULA(IF(IFERROR(TRANSPOSE(_xlfn._xlws.FILTER(Table_1[[Subcategory ]],(Table_1[Department]='Listing Details'!E80)*(Table_1[Category]='Listing Details'!F80))),"")=0,"",IFERROR(TRANSPOSE(_xlfn._xlws.FILTER(Table_1[[Subcategory ]],(Table_1[Department]='Listing Details'!E80)*(Table_1[Category]='Listing Details'!F80))),""))), 1, 1)</f>
        <v>#ERROR!</v>
      </c>
    </row>
    <row r="79" ht="12.75" customHeight="1">
      <c r="A79" s="70" t="str">
        <f>ARRAY_CONSTRAIN(ARRAYFORMULA(IF(IFERROR(TRANSPOSE(_xlfn._xlws.FILTER(Table_1[[Subcategory ]],(Table_1[Department]='Listing Details'!E81)*(Table_1[Category]='Listing Details'!F81))),"")=0,"",IFERROR(TRANSPOSE(_xlfn._xlws.FILTER(Table_1[[Subcategory ]],(Table_1[Department]='Listing Details'!E81)*(Table_1[Category]='Listing Details'!F81))),""))), 1, 1)</f>
        <v>#ERROR!</v>
      </c>
    </row>
    <row r="80" ht="12.75" customHeight="1">
      <c r="A80" s="70" t="str">
        <f>ARRAY_CONSTRAIN(ARRAYFORMULA(IF(IFERROR(TRANSPOSE(_xlfn._xlws.FILTER(Table_1[[Subcategory ]],(Table_1[Department]='Listing Details'!E82)*(Table_1[Category]='Listing Details'!F82))),"")=0,"",IFERROR(TRANSPOSE(_xlfn._xlws.FILTER(Table_1[[Subcategory ]],(Table_1[Department]='Listing Details'!E82)*(Table_1[Category]='Listing Details'!F82))),""))), 1, 1)</f>
        <v>#ERROR!</v>
      </c>
    </row>
    <row r="81" ht="12.75" customHeight="1">
      <c r="A81" s="70" t="str">
        <f>ARRAY_CONSTRAIN(ARRAYFORMULA(IF(IFERROR(TRANSPOSE(_xlfn._xlws.FILTER(Table_1[[Subcategory ]],(Table_1[Department]='Listing Details'!E83)*(Table_1[Category]='Listing Details'!F83))),"")=0,"",IFERROR(TRANSPOSE(_xlfn._xlws.FILTER(Table_1[[Subcategory ]],(Table_1[Department]='Listing Details'!E83)*(Table_1[Category]='Listing Details'!F83))),""))), 1, 1)</f>
        <v>#ERROR!</v>
      </c>
    </row>
    <row r="82" ht="12.75" customHeight="1">
      <c r="A82" s="70" t="str">
        <f>ARRAY_CONSTRAIN(ARRAYFORMULA(IF(IFERROR(TRANSPOSE(_xlfn._xlws.FILTER(Table_1[[Subcategory ]],(Table_1[Department]='Listing Details'!E84)*(Table_1[Category]='Listing Details'!F84))),"")=0,"",IFERROR(TRANSPOSE(_xlfn._xlws.FILTER(Table_1[[Subcategory ]],(Table_1[Department]='Listing Details'!E84)*(Table_1[Category]='Listing Details'!F84))),""))), 1, 1)</f>
        <v>#ERROR!</v>
      </c>
    </row>
    <row r="83" ht="12.75" customHeight="1">
      <c r="A83" s="70" t="str">
        <f>ARRAY_CONSTRAIN(ARRAYFORMULA(IF(IFERROR(TRANSPOSE(_xlfn._xlws.FILTER(Table_1[[Subcategory ]],(Table_1[Department]='Listing Details'!E85)*(Table_1[Category]='Listing Details'!F85))),"")=0,"",IFERROR(TRANSPOSE(_xlfn._xlws.FILTER(Table_1[[Subcategory ]],(Table_1[Department]='Listing Details'!E85)*(Table_1[Category]='Listing Details'!F85))),""))), 1, 1)</f>
        <v>#ERROR!</v>
      </c>
    </row>
    <row r="84" ht="12.75" customHeight="1">
      <c r="A84" s="70" t="str">
        <f>ARRAY_CONSTRAIN(ARRAYFORMULA(IF(IFERROR(TRANSPOSE(_xlfn._xlws.FILTER(Table_1[[Subcategory ]],(Table_1[Department]='Listing Details'!E86)*(Table_1[Category]='Listing Details'!F86))),"")=0,"",IFERROR(TRANSPOSE(_xlfn._xlws.FILTER(Table_1[[Subcategory ]],(Table_1[Department]='Listing Details'!E86)*(Table_1[Category]='Listing Details'!F86))),""))), 1, 1)</f>
        <v>#ERROR!</v>
      </c>
    </row>
    <row r="85" ht="12.75" customHeight="1">
      <c r="A85" s="70" t="str">
        <f>ARRAY_CONSTRAIN(ARRAYFORMULA(IF(IFERROR(TRANSPOSE(_xlfn._xlws.FILTER(Table_1[[Subcategory ]],(Table_1[Department]='Listing Details'!E87)*(Table_1[Category]='Listing Details'!F87))),"")=0,"",IFERROR(TRANSPOSE(_xlfn._xlws.FILTER(Table_1[[Subcategory ]],(Table_1[Department]='Listing Details'!E87)*(Table_1[Category]='Listing Details'!F87))),""))), 1, 1)</f>
        <v>#ERROR!</v>
      </c>
    </row>
    <row r="86" ht="12.75" customHeight="1">
      <c r="A86" s="70" t="str">
        <f>ARRAY_CONSTRAIN(ARRAYFORMULA(IF(IFERROR(TRANSPOSE(_xlfn._xlws.FILTER(Table_1[[Subcategory ]],(Table_1[Department]='Listing Details'!E88)*(Table_1[Category]='Listing Details'!F88))),"")=0,"",IFERROR(TRANSPOSE(_xlfn._xlws.FILTER(Table_1[[Subcategory ]],(Table_1[Department]='Listing Details'!E88)*(Table_1[Category]='Listing Details'!F88))),""))), 1, 1)</f>
        <v>#ERROR!</v>
      </c>
    </row>
    <row r="87" ht="12.75" customHeight="1">
      <c r="A87" s="70" t="str">
        <f>ARRAY_CONSTRAIN(ARRAYFORMULA(IF(IFERROR(TRANSPOSE(_xlfn._xlws.FILTER(Table_1[[Subcategory ]],(Table_1[Department]='Listing Details'!E89)*(Table_1[Category]='Listing Details'!F89))),"")=0,"",IFERROR(TRANSPOSE(_xlfn._xlws.FILTER(Table_1[[Subcategory ]],(Table_1[Department]='Listing Details'!E89)*(Table_1[Category]='Listing Details'!F89))),""))), 1, 1)</f>
        <v>#ERROR!</v>
      </c>
    </row>
    <row r="88" ht="12.75" customHeight="1">
      <c r="A88" s="70" t="str">
        <f>ARRAY_CONSTRAIN(ARRAYFORMULA(IF(IFERROR(TRANSPOSE(_xlfn._xlws.FILTER(Table_1[[Subcategory ]],(Table_1[Department]='Listing Details'!E90)*(Table_1[Category]='Listing Details'!F90))),"")=0,"",IFERROR(TRANSPOSE(_xlfn._xlws.FILTER(Table_1[[Subcategory ]],(Table_1[Department]='Listing Details'!E90)*(Table_1[Category]='Listing Details'!F90))),""))), 1, 1)</f>
        <v>#ERROR!</v>
      </c>
    </row>
    <row r="89" ht="12.75" customHeight="1">
      <c r="A89" s="70" t="str">
        <f>ARRAY_CONSTRAIN(ARRAYFORMULA(IF(IFERROR(TRANSPOSE(_xlfn._xlws.FILTER(Table_1[[Subcategory ]],(Table_1[Department]='Listing Details'!E91)*(Table_1[Category]='Listing Details'!F91))),"")=0,"",IFERROR(TRANSPOSE(_xlfn._xlws.FILTER(Table_1[[Subcategory ]],(Table_1[Department]='Listing Details'!E91)*(Table_1[Category]='Listing Details'!F91))),""))), 1, 1)</f>
        <v>#ERROR!</v>
      </c>
    </row>
    <row r="90" ht="12.75" customHeight="1">
      <c r="A90" s="70" t="str">
        <f>ARRAY_CONSTRAIN(ARRAYFORMULA(IF(IFERROR(TRANSPOSE(_xlfn._xlws.FILTER(Table_1[[Subcategory ]],(Table_1[Department]='Listing Details'!E92)*(Table_1[Category]='Listing Details'!F92))),"")=0,"",IFERROR(TRANSPOSE(_xlfn._xlws.FILTER(Table_1[[Subcategory ]],(Table_1[Department]='Listing Details'!E92)*(Table_1[Category]='Listing Details'!F92))),""))), 1, 1)</f>
        <v>#ERROR!</v>
      </c>
    </row>
    <row r="91" ht="12.75" customHeight="1">
      <c r="A91" s="70" t="str">
        <f>ARRAY_CONSTRAIN(ARRAYFORMULA(IF(IFERROR(TRANSPOSE(_xlfn._xlws.FILTER(Table_1[[Subcategory ]],(Table_1[Department]='Listing Details'!E93)*(Table_1[Category]='Listing Details'!F93))),"")=0,"",IFERROR(TRANSPOSE(_xlfn._xlws.FILTER(Table_1[[Subcategory ]],(Table_1[Department]='Listing Details'!E93)*(Table_1[Category]='Listing Details'!F93))),""))), 1, 1)</f>
        <v>#ERROR!</v>
      </c>
    </row>
    <row r="92" ht="12.75" customHeight="1">
      <c r="A92" s="70" t="str">
        <f>ARRAY_CONSTRAIN(ARRAYFORMULA(IF(IFERROR(TRANSPOSE(_xlfn._xlws.FILTER(Table_1[[Subcategory ]],(Table_1[Department]='Listing Details'!E94)*(Table_1[Category]='Listing Details'!F94))),"")=0,"",IFERROR(TRANSPOSE(_xlfn._xlws.FILTER(Table_1[[Subcategory ]],(Table_1[Department]='Listing Details'!E94)*(Table_1[Category]='Listing Details'!F94))),""))), 1, 1)</f>
        <v>#ERROR!</v>
      </c>
    </row>
    <row r="93" ht="12.75" customHeight="1">
      <c r="A93" s="70" t="str">
        <f>ARRAY_CONSTRAIN(ARRAYFORMULA(IF(IFERROR(TRANSPOSE(_xlfn._xlws.FILTER(Table_1[[Subcategory ]],(Table_1[Department]='Listing Details'!E95)*(Table_1[Category]='Listing Details'!F95))),"")=0,"",IFERROR(TRANSPOSE(_xlfn._xlws.FILTER(Table_1[[Subcategory ]],(Table_1[Department]='Listing Details'!E95)*(Table_1[Category]='Listing Details'!F95))),""))), 1, 1)</f>
        <v>#ERROR!</v>
      </c>
    </row>
    <row r="94" ht="12.75" customHeight="1">
      <c r="A94" s="70" t="str">
        <f>ARRAY_CONSTRAIN(ARRAYFORMULA(IF(IFERROR(TRANSPOSE(_xlfn._xlws.FILTER(Table_1[[Subcategory ]],(Table_1[Department]='Listing Details'!E96)*(Table_1[Category]='Listing Details'!F96))),"")=0,"",IFERROR(TRANSPOSE(_xlfn._xlws.FILTER(Table_1[[Subcategory ]],(Table_1[Department]='Listing Details'!E96)*(Table_1[Category]='Listing Details'!F96))),""))), 1, 1)</f>
        <v>#ERROR!</v>
      </c>
    </row>
    <row r="95" ht="12.75" customHeight="1">
      <c r="A95" s="70" t="str">
        <f>ARRAY_CONSTRAIN(ARRAYFORMULA(IF(IFERROR(TRANSPOSE(_xlfn._xlws.FILTER(Table_1[[Subcategory ]],(Table_1[Department]='Listing Details'!E97)*(Table_1[Category]='Listing Details'!F97))),"")=0,"",IFERROR(TRANSPOSE(_xlfn._xlws.FILTER(Table_1[[Subcategory ]],(Table_1[Department]='Listing Details'!E97)*(Table_1[Category]='Listing Details'!F97))),""))), 1, 1)</f>
        <v>#ERROR!</v>
      </c>
    </row>
    <row r="96" ht="12.75" customHeight="1">
      <c r="A96" s="70" t="str">
        <f>ARRAY_CONSTRAIN(ARRAYFORMULA(IF(IFERROR(TRANSPOSE(_xlfn._xlws.FILTER(Table_1[[Subcategory ]],(Table_1[Department]='Listing Details'!E98)*(Table_1[Category]='Listing Details'!F98))),"")=0,"",IFERROR(TRANSPOSE(_xlfn._xlws.FILTER(Table_1[[Subcategory ]],(Table_1[Department]='Listing Details'!E98)*(Table_1[Category]='Listing Details'!F98))),""))), 1, 1)</f>
        <v>#ERROR!</v>
      </c>
    </row>
    <row r="97" ht="12.75" customHeight="1">
      <c r="A97" s="70" t="str">
        <f>ARRAY_CONSTRAIN(ARRAYFORMULA(IF(IFERROR(TRANSPOSE(_xlfn._xlws.FILTER(Table_1[[Subcategory ]],(Table_1[Department]='Listing Details'!E99)*(Table_1[Category]='Listing Details'!F99))),"")=0,"",IFERROR(TRANSPOSE(_xlfn._xlws.FILTER(Table_1[[Subcategory ]],(Table_1[Department]='Listing Details'!E99)*(Table_1[Category]='Listing Details'!F99))),""))), 1, 1)</f>
        <v>#ERROR!</v>
      </c>
    </row>
    <row r="98" ht="12.75" customHeight="1">
      <c r="A98" s="70" t="str">
        <f>ARRAY_CONSTRAIN(ARRAYFORMULA(IF(IFERROR(TRANSPOSE(_xlfn._xlws.FILTER(Table_1[[Subcategory ]],(Table_1[Department]='Listing Details'!E100)*(Table_1[Category]='Listing Details'!F100))),"")=0,"",IFERROR(TRANSPOSE(_xlfn._xlws.FILTER(Table_1[[Subcategory ]],(Table_1[Department]='Listing Details'!E100)*(Table_1[Category]='Listing Details'!F100))),""))), 1, 1)</f>
        <v>#ERROR!</v>
      </c>
    </row>
    <row r="99" ht="12.75" customHeight="1">
      <c r="A99" s="70" t="str">
        <f>ARRAY_CONSTRAIN(ARRAYFORMULA(IF(IFERROR(TRANSPOSE(_xlfn._xlws.FILTER(Table_1[[Subcategory ]],(Table_1[Department]='Listing Details'!E101)*(Table_1[Category]='Listing Details'!F101))),"")=0,"",IFERROR(TRANSPOSE(_xlfn._xlws.FILTER(Table_1[[Subcategory ]],(Table_1[Department]='Listing Details'!E101)*(Table_1[Category]='Listing Details'!F101))),""))), 1, 1)</f>
        <v>#ERROR!</v>
      </c>
    </row>
    <row r="100" ht="12.75" customHeight="1">
      <c r="A100" s="70" t="str">
        <f>ARRAY_CONSTRAIN(ARRAYFORMULA(IF(IFERROR(TRANSPOSE(_xlfn._xlws.FILTER(Table_1[[Subcategory ]],(Table_1[Department]='Listing Details'!E102)*(Table_1[Category]='Listing Details'!F102))),"")=0,"",IFERROR(TRANSPOSE(_xlfn._xlws.FILTER(Table_1[[Subcategory ]],(Table_1[Department]='Listing Details'!E102)*(Table_1[Category]='Listing Details'!F102))),""))), 1, 1)</f>
        <v>#ERROR!</v>
      </c>
    </row>
    <row r="101" ht="12.75" customHeight="1">
      <c r="A101" s="70" t="str">
        <f>ARRAY_CONSTRAIN(ARRAYFORMULA(IF(IFERROR(TRANSPOSE(_xlfn._xlws.FILTER(Table_1[[Subcategory ]],(Table_1[Department]='Listing Details'!E103)*(Table_1[Category]='Listing Details'!F103))),"")=0,"",IFERROR(TRANSPOSE(_xlfn._xlws.FILTER(Table_1[[Subcategory ]],(Table_1[Department]='Listing Details'!E103)*(Table_1[Category]='Listing Details'!F103))),""))), 1, 1)</f>
        <v>#ERROR!</v>
      </c>
    </row>
    <row r="102" ht="12.75" customHeight="1">
      <c r="A102" s="70" t="str">
        <f>ARRAY_CONSTRAIN(ARRAYFORMULA(IF(IFERROR(TRANSPOSE(_xlfn._xlws.FILTER(Table_1[[Subcategory ]],(Table_1[Department]='Listing Details'!E104)*(Table_1[Category]='Listing Details'!F104))),"")=0,"",IFERROR(TRANSPOSE(_xlfn._xlws.FILTER(Table_1[[Subcategory ]],(Table_1[Department]='Listing Details'!E104)*(Table_1[Category]='Listing Details'!F104))),""))), 1, 1)</f>
        <v>#ERROR!</v>
      </c>
    </row>
    <row r="103" ht="12.75" customHeight="1">
      <c r="A103" s="70" t="str">
        <f>ARRAY_CONSTRAIN(ARRAYFORMULA(IF(IFERROR(TRANSPOSE(_xlfn._xlws.FILTER(Table_1[[Subcategory ]],(Table_1[Department]='Listing Details'!E105)*(Table_1[Category]='Listing Details'!F105))),"")=0,"",IFERROR(TRANSPOSE(_xlfn._xlws.FILTER(Table_1[[Subcategory ]],(Table_1[Department]='Listing Details'!E105)*(Table_1[Category]='Listing Details'!F105))),""))), 1, 1)</f>
        <v>#ERROR!</v>
      </c>
    </row>
    <row r="104" ht="12.75" customHeight="1">
      <c r="A104" s="70" t="str">
        <f>ARRAY_CONSTRAIN(ARRAYFORMULA(IF(IFERROR(TRANSPOSE(_xlfn._xlws.FILTER(Table_1[[Subcategory ]],(Table_1[Department]='Listing Details'!E106)*(Table_1[Category]='Listing Details'!F106))),"")=0,"",IFERROR(TRANSPOSE(_xlfn._xlws.FILTER(Table_1[[Subcategory ]],(Table_1[Department]='Listing Details'!E106)*(Table_1[Category]='Listing Details'!F106))),""))), 1, 1)</f>
        <v>#ERROR!</v>
      </c>
    </row>
    <row r="105" ht="12.75" customHeight="1">
      <c r="A105" s="70" t="str">
        <f>ARRAY_CONSTRAIN(ARRAYFORMULA(IF(IFERROR(TRANSPOSE(_xlfn._xlws.FILTER(Table_1[[Subcategory ]],(Table_1[Department]='Listing Details'!E107)*(Table_1[Category]='Listing Details'!F107))),"")=0,"",IFERROR(TRANSPOSE(_xlfn._xlws.FILTER(Table_1[[Subcategory ]],(Table_1[Department]='Listing Details'!E107)*(Table_1[Category]='Listing Details'!F107))),""))), 1, 1)</f>
        <v>#ERROR!</v>
      </c>
    </row>
    <row r="106" ht="12.75" customHeight="1">
      <c r="A106" s="70" t="str">
        <f>ARRAY_CONSTRAIN(ARRAYFORMULA(IF(IFERROR(TRANSPOSE(_xlfn._xlws.FILTER(Table_1[[Subcategory ]],(Table_1[Department]='Listing Details'!E108)*(Table_1[Category]='Listing Details'!F108))),"")=0,"",IFERROR(TRANSPOSE(_xlfn._xlws.FILTER(Table_1[[Subcategory ]],(Table_1[Department]='Listing Details'!E108)*(Table_1[Category]='Listing Details'!F108))),""))), 1, 1)</f>
        <v>#ERROR!</v>
      </c>
    </row>
    <row r="107" ht="12.75" customHeight="1">
      <c r="A107" s="70" t="str">
        <f>ARRAY_CONSTRAIN(ARRAYFORMULA(IF(IFERROR(TRANSPOSE(_xlfn._xlws.FILTER(Table_1[[Subcategory ]],(Table_1[Department]='Listing Details'!E109)*(Table_1[Category]='Listing Details'!F109))),"")=0,"",IFERROR(TRANSPOSE(_xlfn._xlws.FILTER(Table_1[[Subcategory ]],(Table_1[Department]='Listing Details'!E109)*(Table_1[Category]='Listing Details'!F109))),""))), 1, 1)</f>
        <v>#ERROR!</v>
      </c>
    </row>
    <row r="108" ht="12.75" customHeight="1">
      <c r="A108" s="70" t="str">
        <f>ARRAY_CONSTRAIN(ARRAYFORMULA(IF(IFERROR(TRANSPOSE(_xlfn._xlws.FILTER(Table_1[[Subcategory ]],(Table_1[Department]='Listing Details'!E110)*(Table_1[Category]='Listing Details'!F110))),"")=0,"",IFERROR(TRANSPOSE(_xlfn._xlws.FILTER(Table_1[[Subcategory ]],(Table_1[Department]='Listing Details'!E110)*(Table_1[Category]='Listing Details'!F110))),""))), 1, 1)</f>
        <v>#ERROR!</v>
      </c>
    </row>
    <row r="109" ht="12.75" customHeight="1">
      <c r="A109" s="70" t="str">
        <f>ARRAY_CONSTRAIN(ARRAYFORMULA(IF(IFERROR(TRANSPOSE(_xlfn._xlws.FILTER(Table_1[[Subcategory ]],(Table_1[Department]='Listing Details'!E111)*(Table_1[Category]='Listing Details'!F111))),"")=0,"",IFERROR(TRANSPOSE(_xlfn._xlws.FILTER(Table_1[[Subcategory ]],(Table_1[Department]='Listing Details'!E111)*(Table_1[Category]='Listing Details'!F111))),""))), 1, 1)</f>
        <v>#ERROR!</v>
      </c>
    </row>
    <row r="110" ht="12.75" customHeight="1">
      <c r="A110" s="70" t="str">
        <f>ARRAY_CONSTRAIN(ARRAYFORMULA(IF(IFERROR(TRANSPOSE(_xlfn._xlws.FILTER(Table_1[[Subcategory ]],(Table_1[Department]='Listing Details'!E112)*(Table_1[Category]='Listing Details'!F112))),"")=0,"",IFERROR(TRANSPOSE(_xlfn._xlws.FILTER(Table_1[[Subcategory ]],(Table_1[Department]='Listing Details'!E112)*(Table_1[Category]='Listing Details'!F112))),""))), 1, 1)</f>
        <v>#ERROR!</v>
      </c>
    </row>
    <row r="111" ht="12.75" customHeight="1">
      <c r="A111" s="70" t="str">
        <f>ARRAY_CONSTRAIN(ARRAYFORMULA(IF(IFERROR(TRANSPOSE(_xlfn._xlws.FILTER(Table_1[[Subcategory ]],(Table_1[Department]='Listing Details'!E113)*(Table_1[Category]='Listing Details'!F113))),"")=0,"",IFERROR(TRANSPOSE(_xlfn._xlws.FILTER(Table_1[[Subcategory ]],(Table_1[Department]='Listing Details'!E113)*(Table_1[Category]='Listing Details'!F113))),""))), 1, 1)</f>
        <v>#ERROR!</v>
      </c>
    </row>
    <row r="112" ht="12.75" customHeight="1">
      <c r="A112" s="70" t="str">
        <f>ARRAY_CONSTRAIN(ARRAYFORMULA(IF(IFERROR(TRANSPOSE(_xlfn._xlws.FILTER(Table_1[[Subcategory ]],(Table_1[Department]='Listing Details'!E114)*(Table_1[Category]='Listing Details'!F114))),"")=0,"",IFERROR(TRANSPOSE(_xlfn._xlws.FILTER(Table_1[[Subcategory ]],(Table_1[Department]='Listing Details'!E114)*(Table_1[Category]='Listing Details'!F114))),""))), 1, 1)</f>
        <v>#ERROR!</v>
      </c>
    </row>
    <row r="113" ht="12.75" customHeight="1">
      <c r="A113" s="70" t="str">
        <f>ARRAY_CONSTRAIN(ARRAYFORMULA(IF(IFERROR(TRANSPOSE(_xlfn._xlws.FILTER(Table_1[[Subcategory ]],(Table_1[Department]='Listing Details'!E115)*(Table_1[Category]='Listing Details'!F115))),"")=0,"",IFERROR(TRANSPOSE(_xlfn._xlws.FILTER(Table_1[[Subcategory ]],(Table_1[Department]='Listing Details'!E115)*(Table_1[Category]='Listing Details'!F115))),""))), 1, 1)</f>
        <v>#ERROR!</v>
      </c>
    </row>
    <row r="114" ht="12.75" customHeight="1">
      <c r="A114" s="70" t="str">
        <f>ARRAY_CONSTRAIN(ARRAYFORMULA(IF(IFERROR(TRANSPOSE(_xlfn._xlws.FILTER(Table_1[[Subcategory ]],(Table_1[Department]='Listing Details'!E116)*(Table_1[Category]='Listing Details'!F116))),"")=0,"",IFERROR(TRANSPOSE(_xlfn._xlws.FILTER(Table_1[[Subcategory ]],(Table_1[Department]='Listing Details'!E116)*(Table_1[Category]='Listing Details'!F116))),""))), 1, 1)</f>
        <v>#ERROR!</v>
      </c>
    </row>
    <row r="115" ht="12.75" customHeight="1">
      <c r="A115" s="70" t="str">
        <f>ARRAY_CONSTRAIN(ARRAYFORMULA(IF(IFERROR(TRANSPOSE(_xlfn._xlws.FILTER(Table_1[[Subcategory ]],(Table_1[Department]='Listing Details'!E117)*(Table_1[Category]='Listing Details'!F117))),"")=0,"",IFERROR(TRANSPOSE(_xlfn._xlws.FILTER(Table_1[[Subcategory ]],(Table_1[Department]='Listing Details'!E117)*(Table_1[Category]='Listing Details'!F117))),""))), 1, 1)</f>
        <v>#ERROR!</v>
      </c>
    </row>
    <row r="116" ht="12.75" customHeight="1">
      <c r="A116" s="70" t="str">
        <f>ARRAY_CONSTRAIN(ARRAYFORMULA(IF(IFERROR(TRANSPOSE(_xlfn._xlws.FILTER(Table_1[[Subcategory ]],(Table_1[Department]='Listing Details'!E118)*(Table_1[Category]='Listing Details'!F118))),"")=0,"",IFERROR(TRANSPOSE(_xlfn._xlws.FILTER(Table_1[[Subcategory ]],(Table_1[Department]='Listing Details'!E118)*(Table_1[Category]='Listing Details'!F118))),""))), 1, 1)</f>
        <v>#ERROR!</v>
      </c>
    </row>
    <row r="117" ht="12.75" customHeight="1">
      <c r="A117" s="70" t="str">
        <f>ARRAY_CONSTRAIN(ARRAYFORMULA(IF(IFERROR(TRANSPOSE(_xlfn._xlws.FILTER(Table_1[[Subcategory ]],(Table_1[Department]='Listing Details'!E119)*(Table_1[Category]='Listing Details'!F119))),"")=0,"",IFERROR(TRANSPOSE(_xlfn._xlws.FILTER(Table_1[[Subcategory ]],(Table_1[Department]='Listing Details'!E119)*(Table_1[Category]='Listing Details'!F119))),""))), 1, 1)</f>
        <v>#ERROR!</v>
      </c>
    </row>
    <row r="118" ht="12.75" customHeight="1">
      <c r="A118" s="70" t="str">
        <f>ARRAY_CONSTRAIN(ARRAYFORMULA(IF(IFERROR(TRANSPOSE(_xlfn._xlws.FILTER(Table_1[[Subcategory ]],(Table_1[Department]='Listing Details'!E120)*(Table_1[Category]='Listing Details'!F120))),"")=0,"",IFERROR(TRANSPOSE(_xlfn._xlws.FILTER(Table_1[[Subcategory ]],(Table_1[Department]='Listing Details'!E120)*(Table_1[Category]='Listing Details'!F120))),""))), 1, 1)</f>
        <v>#ERROR!</v>
      </c>
    </row>
    <row r="119" ht="12.75" customHeight="1">
      <c r="A119" s="70" t="str">
        <f>ARRAY_CONSTRAIN(ARRAYFORMULA(IF(IFERROR(TRANSPOSE(_xlfn._xlws.FILTER(Table_1[[Subcategory ]],(Table_1[Department]='Listing Details'!E121)*(Table_1[Category]='Listing Details'!F121))),"")=0,"",IFERROR(TRANSPOSE(_xlfn._xlws.FILTER(Table_1[[Subcategory ]],(Table_1[Department]='Listing Details'!E121)*(Table_1[Category]='Listing Details'!F121))),""))), 1, 1)</f>
        <v>#ERROR!</v>
      </c>
    </row>
    <row r="120" ht="12.75" customHeight="1">
      <c r="A120" s="70" t="str">
        <f>ARRAY_CONSTRAIN(ARRAYFORMULA(IF(IFERROR(TRANSPOSE(_xlfn._xlws.FILTER(Table_1[[Subcategory ]],(Table_1[Department]='Listing Details'!E122)*(Table_1[Category]='Listing Details'!F122))),"")=0,"",IFERROR(TRANSPOSE(_xlfn._xlws.FILTER(Table_1[[Subcategory ]],(Table_1[Department]='Listing Details'!E122)*(Table_1[Category]='Listing Details'!F122))),""))), 1, 1)</f>
        <v>#ERROR!</v>
      </c>
    </row>
    <row r="121" ht="12.75" customHeight="1">
      <c r="A121" s="70" t="str">
        <f>ARRAY_CONSTRAIN(ARRAYFORMULA(IF(IFERROR(TRANSPOSE(_xlfn._xlws.FILTER(Table_1[[Subcategory ]],(Table_1[Department]='Listing Details'!E123)*(Table_1[Category]='Listing Details'!F123))),"")=0,"",IFERROR(TRANSPOSE(_xlfn._xlws.FILTER(Table_1[[Subcategory ]],(Table_1[Department]='Listing Details'!E123)*(Table_1[Category]='Listing Details'!F123))),""))), 1, 1)</f>
        <v>#ERROR!</v>
      </c>
    </row>
    <row r="122" ht="12.75" customHeight="1">
      <c r="A122" s="70" t="str">
        <f>ARRAY_CONSTRAIN(ARRAYFORMULA(IF(IFERROR(TRANSPOSE(_xlfn._xlws.FILTER(Table_1[[Subcategory ]],(Table_1[Department]='Listing Details'!E124)*(Table_1[Category]='Listing Details'!F124))),"")=0,"",IFERROR(TRANSPOSE(_xlfn._xlws.FILTER(Table_1[[Subcategory ]],(Table_1[Department]='Listing Details'!E124)*(Table_1[Category]='Listing Details'!F124))),""))), 1, 1)</f>
        <v>#ERROR!</v>
      </c>
    </row>
    <row r="123" ht="12.75" customHeight="1">
      <c r="A123" s="70" t="str">
        <f>ARRAY_CONSTRAIN(ARRAYFORMULA(IF(IFERROR(TRANSPOSE(_xlfn._xlws.FILTER(Table_1[[Subcategory ]],(Table_1[Department]='Listing Details'!E125)*(Table_1[Category]='Listing Details'!F125))),"")=0,"",IFERROR(TRANSPOSE(_xlfn._xlws.FILTER(Table_1[[Subcategory ]],(Table_1[Department]='Listing Details'!E125)*(Table_1[Category]='Listing Details'!F125))),""))), 1, 1)</f>
        <v>#ERROR!</v>
      </c>
    </row>
    <row r="124" ht="12.75" customHeight="1">
      <c r="A124" s="70" t="str">
        <f>ARRAY_CONSTRAIN(ARRAYFORMULA(IF(IFERROR(TRANSPOSE(_xlfn._xlws.FILTER(Table_1[[Subcategory ]],(Table_1[Department]='Listing Details'!E126)*(Table_1[Category]='Listing Details'!F126))),"")=0,"",IFERROR(TRANSPOSE(_xlfn._xlws.FILTER(Table_1[[Subcategory ]],(Table_1[Department]='Listing Details'!E126)*(Table_1[Category]='Listing Details'!F126))),""))), 1, 1)</f>
        <v>#ERROR!</v>
      </c>
    </row>
    <row r="125" ht="12.75" customHeight="1">
      <c r="A125" s="70" t="str">
        <f>ARRAY_CONSTRAIN(ARRAYFORMULA(IF(IFERROR(TRANSPOSE(_xlfn._xlws.FILTER(Table_1[[Subcategory ]],(Table_1[Department]='Listing Details'!E127)*(Table_1[Category]='Listing Details'!F127))),"")=0,"",IFERROR(TRANSPOSE(_xlfn._xlws.FILTER(Table_1[[Subcategory ]],(Table_1[Department]='Listing Details'!E127)*(Table_1[Category]='Listing Details'!F127))),""))), 1, 1)</f>
        <v>#ERROR!</v>
      </c>
    </row>
    <row r="126" ht="12.75" customHeight="1">
      <c r="A126" s="70" t="str">
        <f>ARRAY_CONSTRAIN(ARRAYFORMULA(IF(IFERROR(TRANSPOSE(_xlfn._xlws.FILTER(Table_1[[Subcategory ]],(Table_1[Department]='Listing Details'!E128)*(Table_1[Category]='Listing Details'!F128))),"")=0,"",IFERROR(TRANSPOSE(_xlfn._xlws.FILTER(Table_1[[Subcategory ]],(Table_1[Department]='Listing Details'!E128)*(Table_1[Category]='Listing Details'!F128))),""))), 1, 1)</f>
        <v>#ERROR!</v>
      </c>
    </row>
    <row r="127" ht="12.75" customHeight="1">
      <c r="A127" s="70" t="str">
        <f>ARRAY_CONSTRAIN(ARRAYFORMULA(IF(IFERROR(TRANSPOSE(_xlfn._xlws.FILTER(Table_1[[Subcategory ]],(Table_1[Department]='Listing Details'!E129)*(Table_1[Category]='Listing Details'!F129))),"")=0,"",IFERROR(TRANSPOSE(_xlfn._xlws.FILTER(Table_1[[Subcategory ]],(Table_1[Department]='Listing Details'!E129)*(Table_1[Category]='Listing Details'!F129))),""))), 1, 1)</f>
        <v>#ERROR!</v>
      </c>
    </row>
    <row r="128" ht="12.75" customHeight="1">
      <c r="A128" s="70" t="str">
        <f>ARRAY_CONSTRAIN(ARRAYFORMULA(IF(IFERROR(TRANSPOSE(_xlfn._xlws.FILTER(Table_1[[Subcategory ]],(Table_1[Department]='Listing Details'!E130)*(Table_1[Category]='Listing Details'!F130))),"")=0,"",IFERROR(TRANSPOSE(_xlfn._xlws.FILTER(Table_1[[Subcategory ]],(Table_1[Department]='Listing Details'!E130)*(Table_1[Category]='Listing Details'!F130))),""))), 1, 1)</f>
        <v>#ERROR!</v>
      </c>
    </row>
    <row r="129" ht="12.75" customHeight="1">
      <c r="A129" s="70" t="str">
        <f>ARRAY_CONSTRAIN(ARRAYFORMULA(IF(IFERROR(TRANSPOSE(_xlfn._xlws.FILTER(Table_1[[Subcategory ]],(Table_1[Department]='Listing Details'!E131)*(Table_1[Category]='Listing Details'!F131))),"")=0,"",IFERROR(TRANSPOSE(_xlfn._xlws.FILTER(Table_1[[Subcategory ]],(Table_1[Department]='Listing Details'!E131)*(Table_1[Category]='Listing Details'!F131))),""))), 1, 1)</f>
        <v>#ERROR!</v>
      </c>
    </row>
    <row r="130" ht="12.75" customHeight="1">
      <c r="A130" s="70" t="str">
        <f>ARRAY_CONSTRAIN(ARRAYFORMULA(IF(IFERROR(TRANSPOSE(_xlfn._xlws.FILTER(Table_1[[Subcategory ]],(Table_1[Department]='Listing Details'!E132)*(Table_1[Category]='Listing Details'!F132))),"")=0,"",IFERROR(TRANSPOSE(_xlfn._xlws.FILTER(Table_1[[Subcategory ]],(Table_1[Department]='Listing Details'!E132)*(Table_1[Category]='Listing Details'!F132))),""))), 1, 1)</f>
        <v>#ERROR!</v>
      </c>
    </row>
    <row r="131" ht="12.75" customHeight="1">
      <c r="A131" s="70" t="str">
        <f>ARRAY_CONSTRAIN(ARRAYFORMULA(IF(IFERROR(TRANSPOSE(_xlfn._xlws.FILTER(Table_1[[Subcategory ]],(Table_1[Department]='Listing Details'!E133)*(Table_1[Category]='Listing Details'!F133))),"")=0,"",IFERROR(TRANSPOSE(_xlfn._xlws.FILTER(Table_1[[Subcategory ]],(Table_1[Department]='Listing Details'!E133)*(Table_1[Category]='Listing Details'!F133))),""))), 1, 1)</f>
        <v>#ERROR!</v>
      </c>
    </row>
    <row r="132" ht="12.75" customHeight="1">
      <c r="A132" s="70" t="str">
        <f>ARRAY_CONSTRAIN(ARRAYFORMULA(IF(IFERROR(TRANSPOSE(_xlfn._xlws.FILTER(Table_1[[Subcategory ]],(Table_1[Department]='Listing Details'!E134)*(Table_1[Category]='Listing Details'!F134))),"")=0,"",IFERROR(TRANSPOSE(_xlfn._xlws.FILTER(Table_1[[Subcategory ]],(Table_1[Department]='Listing Details'!E134)*(Table_1[Category]='Listing Details'!F134))),""))), 1, 1)</f>
        <v>#ERROR!</v>
      </c>
    </row>
    <row r="133" ht="12.75" customHeight="1">
      <c r="A133" s="70" t="str">
        <f>ARRAY_CONSTRAIN(ARRAYFORMULA(IF(IFERROR(TRANSPOSE(_xlfn._xlws.FILTER(Table_1[[Subcategory ]],(Table_1[Department]='Listing Details'!E135)*(Table_1[Category]='Listing Details'!F135))),"")=0,"",IFERROR(TRANSPOSE(_xlfn._xlws.FILTER(Table_1[[Subcategory ]],(Table_1[Department]='Listing Details'!E135)*(Table_1[Category]='Listing Details'!F135))),""))), 1, 1)</f>
        <v>#ERROR!</v>
      </c>
    </row>
    <row r="134" ht="12.75" customHeight="1">
      <c r="A134" s="70" t="str">
        <f>ARRAY_CONSTRAIN(ARRAYFORMULA(IF(IFERROR(TRANSPOSE(_xlfn._xlws.FILTER(Table_1[[Subcategory ]],(Table_1[Department]='Listing Details'!E136)*(Table_1[Category]='Listing Details'!F136))),"")=0,"",IFERROR(TRANSPOSE(_xlfn._xlws.FILTER(Table_1[[Subcategory ]],(Table_1[Department]='Listing Details'!E136)*(Table_1[Category]='Listing Details'!F136))),""))), 1, 1)</f>
        <v>#ERROR!</v>
      </c>
    </row>
    <row r="135" ht="12.75" customHeight="1">
      <c r="A135" s="70" t="str">
        <f>ARRAY_CONSTRAIN(ARRAYFORMULA(IF(IFERROR(TRANSPOSE(_xlfn._xlws.FILTER(Table_1[[Subcategory ]],(Table_1[Department]='Listing Details'!E137)*(Table_1[Category]='Listing Details'!F137))),"")=0,"",IFERROR(TRANSPOSE(_xlfn._xlws.FILTER(Table_1[[Subcategory ]],(Table_1[Department]='Listing Details'!E137)*(Table_1[Category]='Listing Details'!F137))),""))), 1, 1)</f>
        <v>#ERROR!</v>
      </c>
    </row>
    <row r="136" ht="12.75" customHeight="1">
      <c r="A136" s="70" t="str">
        <f>ARRAY_CONSTRAIN(ARRAYFORMULA(IF(IFERROR(TRANSPOSE(_xlfn._xlws.FILTER(Table_1[[Subcategory ]],(Table_1[Department]='Listing Details'!E138)*(Table_1[Category]='Listing Details'!F138))),"")=0,"",IFERROR(TRANSPOSE(_xlfn._xlws.FILTER(Table_1[[Subcategory ]],(Table_1[Department]='Listing Details'!E138)*(Table_1[Category]='Listing Details'!F138))),""))), 1, 1)</f>
        <v>#ERROR!</v>
      </c>
    </row>
    <row r="137" ht="12.75" customHeight="1">
      <c r="A137" s="70" t="str">
        <f>ARRAY_CONSTRAIN(ARRAYFORMULA(IF(IFERROR(TRANSPOSE(_xlfn._xlws.FILTER(Table_1[[Subcategory ]],(Table_1[Department]='Listing Details'!E139)*(Table_1[Category]='Listing Details'!F139))),"")=0,"",IFERROR(TRANSPOSE(_xlfn._xlws.FILTER(Table_1[[Subcategory ]],(Table_1[Department]='Listing Details'!E139)*(Table_1[Category]='Listing Details'!F139))),""))), 1, 1)</f>
        <v>#ERROR!</v>
      </c>
    </row>
    <row r="138" ht="12.75" customHeight="1">
      <c r="A138" s="70" t="str">
        <f>ARRAY_CONSTRAIN(ARRAYFORMULA(IF(IFERROR(TRANSPOSE(_xlfn._xlws.FILTER(Table_1[[Subcategory ]],(Table_1[Department]='Listing Details'!E140)*(Table_1[Category]='Listing Details'!F140))),"")=0,"",IFERROR(TRANSPOSE(_xlfn._xlws.FILTER(Table_1[[Subcategory ]],(Table_1[Department]='Listing Details'!E140)*(Table_1[Category]='Listing Details'!F140))),""))), 1, 1)</f>
        <v>#ERROR!</v>
      </c>
    </row>
    <row r="139" ht="12.75" customHeight="1">
      <c r="A139" s="70" t="str">
        <f>ARRAY_CONSTRAIN(ARRAYFORMULA(IF(IFERROR(TRANSPOSE(_xlfn._xlws.FILTER(Table_1[[Subcategory ]],(Table_1[Department]='Listing Details'!E141)*(Table_1[Category]='Listing Details'!F141))),"")=0,"",IFERROR(TRANSPOSE(_xlfn._xlws.FILTER(Table_1[[Subcategory ]],(Table_1[Department]='Listing Details'!E141)*(Table_1[Category]='Listing Details'!F141))),""))), 1, 1)</f>
        <v>#ERROR!</v>
      </c>
    </row>
    <row r="140" ht="12.75" customHeight="1">
      <c r="A140" s="70" t="str">
        <f>ARRAY_CONSTRAIN(ARRAYFORMULA(IF(IFERROR(TRANSPOSE(_xlfn._xlws.FILTER(Table_1[[Subcategory ]],(Table_1[Department]='Listing Details'!E142)*(Table_1[Category]='Listing Details'!F142))),"")=0,"",IFERROR(TRANSPOSE(_xlfn._xlws.FILTER(Table_1[[Subcategory ]],(Table_1[Department]='Listing Details'!E142)*(Table_1[Category]='Listing Details'!F142))),""))), 1, 1)</f>
        <v>#ERROR!</v>
      </c>
    </row>
    <row r="141" ht="12.75" customHeight="1">
      <c r="A141" s="70" t="str">
        <f>ARRAY_CONSTRAIN(ARRAYFORMULA(IF(IFERROR(TRANSPOSE(_xlfn._xlws.FILTER(Table_1[[Subcategory ]],(Table_1[Department]='Listing Details'!E143)*(Table_1[Category]='Listing Details'!F143))),"")=0,"",IFERROR(TRANSPOSE(_xlfn._xlws.FILTER(Table_1[[Subcategory ]],(Table_1[Department]='Listing Details'!E143)*(Table_1[Category]='Listing Details'!F143))),""))), 1, 1)</f>
        <v>#ERROR!</v>
      </c>
    </row>
    <row r="142" ht="12.75" customHeight="1">
      <c r="A142" s="70" t="str">
        <f>ARRAY_CONSTRAIN(ARRAYFORMULA(IF(IFERROR(TRANSPOSE(_xlfn._xlws.FILTER(Table_1[[Subcategory ]],(Table_1[Department]='Listing Details'!E144)*(Table_1[Category]='Listing Details'!F144))),"")=0,"",IFERROR(TRANSPOSE(_xlfn._xlws.FILTER(Table_1[[Subcategory ]],(Table_1[Department]='Listing Details'!E144)*(Table_1[Category]='Listing Details'!F144))),""))), 1, 1)</f>
        <v>#ERROR!</v>
      </c>
    </row>
    <row r="143" ht="12.75" customHeight="1">
      <c r="A143" s="70" t="str">
        <f>ARRAY_CONSTRAIN(ARRAYFORMULA(IF(IFERROR(TRANSPOSE(_xlfn._xlws.FILTER(Table_1[[Subcategory ]],(Table_1[Department]='Listing Details'!E145)*(Table_1[Category]='Listing Details'!F145))),"")=0,"",IFERROR(TRANSPOSE(_xlfn._xlws.FILTER(Table_1[[Subcategory ]],(Table_1[Department]='Listing Details'!E145)*(Table_1[Category]='Listing Details'!F145))),""))), 1, 1)</f>
        <v>#ERROR!</v>
      </c>
    </row>
    <row r="144" ht="12.75" customHeight="1">
      <c r="A144" s="70" t="str">
        <f>ARRAY_CONSTRAIN(ARRAYFORMULA(IF(IFERROR(TRANSPOSE(_xlfn._xlws.FILTER(Table_1[[Subcategory ]],(Table_1[Department]='Listing Details'!E146)*(Table_1[Category]='Listing Details'!F146))),"")=0,"",IFERROR(TRANSPOSE(_xlfn._xlws.FILTER(Table_1[[Subcategory ]],(Table_1[Department]='Listing Details'!E146)*(Table_1[Category]='Listing Details'!F146))),""))), 1, 1)</f>
        <v>#ERROR!</v>
      </c>
    </row>
    <row r="145" ht="12.75" customHeight="1">
      <c r="A145" s="70" t="str">
        <f>ARRAY_CONSTRAIN(ARRAYFORMULA(IF(IFERROR(TRANSPOSE(_xlfn._xlws.FILTER(Table_1[[Subcategory ]],(Table_1[Department]='Listing Details'!E147)*(Table_1[Category]='Listing Details'!F147))),"")=0,"",IFERROR(TRANSPOSE(_xlfn._xlws.FILTER(Table_1[[Subcategory ]],(Table_1[Department]='Listing Details'!E147)*(Table_1[Category]='Listing Details'!F147))),""))), 1, 1)</f>
        <v>#ERROR!</v>
      </c>
    </row>
    <row r="146" ht="12.75" customHeight="1">
      <c r="A146" s="70" t="str">
        <f>ARRAY_CONSTRAIN(ARRAYFORMULA(IF(IFERROR(TRANSPOSE(_xlfn._xlws.FILTER(Table_1[[Subcategory ]],(Table_1[Department]='Listing Details'!E148)*(Table_1[Category]='Listing Details'!F148))),"")=0,"",IFERROR(TRANSPOSE(_xlfn._xlws.FILTER(Table_1[[Subcategory ]],(Table_1[Department]='Listing Details'!E148)*(Table_1[Category]='Listing Details'!F148))),""))), 1, 1)</f>
        <v>#ERROR!</v>
      </c>
    </row>
    <row r="147" ht="12.75" customHeight="1">
      <c r="A147" s="70" t="str">
        <f>ARRAY_CONSTRAIN(ARRAYFORMULA(IF(IFERROR(TRANSPOSE(_xlfn._xlws.FILTER(Table_1[[Subcategory ]],(Table_1[Department]='Listing Details'!E149)*(Table_1[Category]='Listing Details'!F149))),"")=0,"",IFERROR(TRANSPOSE(_xlfn._xlws.FILTER(Table_1[[Subcategory ]],(Table_1[Department]='Listing Details'!E149)*(Table_1[Category]='Listing Details'!F149))),""))), 1, 1)</f>
        <v>#ERROR!</v>
      </c>
    </row>
    <row r="148" ht="12.75" customHeight="1">
      <c r="A148" s="70" t="str">
        <f>ARRAY_CONSTRAIN(ARRAYFORMULA(IF(IFERROR(TRANSPOSE(_xlfn._xlws.FILTER(Table_1[[Subcategory ]],(Table_1[Department]='Listing Details'!E150)*(Table_1[Category]='Listing Details'!F150))),"")=0,"",IFERROR(TRANSPOSE(_xlfn._xlws.FILTER(Table_1[[Subcategory ]],(Table_1[Department]='Listing Details'!E150)*(Table_1[Category]='Listing Details'!F150))),""))), 1, 1)</f>
        <v>#ERROR!</v>
      </c>
    </row>
    <row r="149" ht="12.75" customHeight="1">
      <c r="A149" s="70" t="str">
        <f>ARRAY_CONSTRAIN(ARRAYFORMULA(IF(IFERROR(TRANSPOSE(_xlfn._xlws.FILTER(Table_1[[Subcategory ]],(Table_1[Department]='Listing Details'!E151)*(Table_1[Category]='Listing Details'!F151))),"")=0,"",IFERROR(TRANSPOSE(_xlfn._xlws.FILTER(Table_1[[Subcategory ]],(Table_1[Department]='Listing Details'!E151)*(Table_1[Category]='Listing Details'!F151))),""))), 1, 1)</f>
        <v>#ERROR!</v>
      </c>
    </row>
    <row r="150" ht="12.75" customHeight="1">
      <c r="A150" s="70" t="str">
        <f>ARRAY_CONSTRAIN(ARRAYFORMULA(IF(IFERROR(TRANSPOSE(_xlfn._xlws.FILTER(Table_1[[Subcategory ]],(Table_1[Department]='Listing Details'!E152)*(Table_1[Category]='Listing Details'!F152))),"")=0,"",IFERROR(TRANSPOSE(_xlfn._xlws.FILTER(Table_1[[Subcategory ]],(Table_1[Department]='Listing Details'!E152)*(Table_1[Category]='Listing Details'!F152))),""))), 1, 1)</f>
        <v>#ERROR!</v>
      </c>
    </row>
    <row r="151" ht="12.75" customHeight="1">
      <c r="A151" s="70" t="str">
        <f>ARRAY_CONSTRAIN(ARRAYFORMULA(IF(IFERROR(TRANSPOSE(_xlfn._xlws.FILTER(Table_1[[Subcategory ]],(Table_1[Department]='Listing Details'!E153)*(Table_1[Category]='Listing Details'!F153))),"")=0,"",IFERROR(TRANSPOSE(_xlfn._xlws.FILTER(Table_1[[Subcategory ]],(Table_1[Department]='Listing Details'!E153)*(Table_1[Category]='Listing Details'!F153))),""))), 1, 1)</f>
        <v>#ERROR!</v>
      </c>
    </row>
    <row r="152" ht="12.75" customHeight="1">
      <c r="A152" s="70" t="str">
        <f>ARRAY_CONSTRAIN(ARRAYFORMULA(IF(IFERROR(TRANSPOSE(_xlfn._xlws.FILTER(Table_1[[Subcategory ]],(Table_1[Department]='Listing Details'!E154)*(Table_1[Category]='Listing Details'!F154))),"")=0,"",IFERROR(TRANSPOSE(_xlfn._xlws.FILTER(Table_1[[Subcategory ]],(Table_1[Department]='Listing Details'!E154)*(Table_1[Category]='Listing Details'!F154))),""))), 1, 1)</f>
        <v>#ERROR!</v>
      </c>
    </row>
    <row r="153" ht="12.75" customHeight="1">
      <c r="A153" s="70" t="str">
        <f>ARRAY_CONSTRAIN(ARRAYFORMULA(IF(IFERROR(TRANSPOSE(_xlfn._xlws.FILTER(Table_1[[Subcategory ]],(Table_1[Department]='Listing Details'!E155)*(Table_1[Category]='Listing Details'!F155))),"")=0,"",IFERROR(TRANSPOSE(_xlfn._xlws.FILTER(Table_1[[Subcategory ]],(Table_1[Department]='Listing Details'!E155)*(Table_1[Category]='Listing Details'!F155))),""))), 1, 1)</f>
        <v>#ERROR!</v>
      </c>
    </row>
    <row r="154" ht="12.75" customHeight="1">
      <c r="A154" s="70" t="str">
        <f>ARRAY_CONSTRAIN(ARRAYFORMULA(IF(IFERROR(TRANSPOSE(_xlfn._xlws.FILTER(Table_1[[Subcategory ]],(Table_1[Department]='Listing Details'!E156)*(Table_1[Category]='Listing Details'!F156))),"")=0,"",IFERROR(TRANSPOSE(_xlfn._xlws.FILTER(Table_1[[Subcategory ]],(Table_1[Department]='Listing Details'!E156)*(Table_1[Category]='Listing Details'!F156))),""))), 1, 1)</f>
        <v>#ERROR!</v>
      </c>
    </row>
    <row r="155" ht="12.75" customHeight="1">
      <c r="A155" s="70" t="str">
        <f>ARRAY_CONSTRAIN(ARRAYFORMULA(IF(IFERROR(TRANSPOSE(_xlfn._xlws.FILTER(Table_1[[Subcategory ]],(Table_1[Department]='Listing Details'!E157)*(Table_1[Category]='Listing Details'!F157))),"")=0,"",IFERROR(TRANSPOSE(_xlfn._xlws.FILTER(Table_1[[Subcategory ]],(Table_1[Department]='Listing Details'!E157)*(Table_1[Category]='Listing Details'!F157))),""))), 1, 1)</f>
        <v>#ERROR!</v>
      </c>
    </row>
    <row r="156" ht="12.75" customHeight="1">
      <c r="A156" s="70" t="str">
        <f>ARRAY_CONSTRAIN(ARRAYFORMULA(IF(IFERROR(TRANSPOSE(_xlfn._xlws.FILTER(Table_1[[Subcategory ]],(Table_1[Department]='Listing Details'!E158)*(Table_1[Category]='Listing Details'!F158))),"")=0,"",IFERROR(TRANSPOSE(_xlfn._xlws.FILTER(Table_1[[Subcategory ]],(Table_1[Department]='Listing Details'!E158)*(Table_1[Category]='Listing Details'!F158))),""))), 1, 1)</f>
        <v>#ERROR!</v>
      </c>
    </row>
    <row r="157" ht="12.75" customHeight="1">
      <c r="A157" s="70" t="str">
        <f>ARRAY_CONSTRAIN(ARRAYFORMULA(IF(IFERROR(TRANSPOSE(_xlfn._xlws.FILTER(Table_1[[Subcategory ]],(Table_1[Department]='Listing Details'!E159)*(Table_1[Category]='Listing Details'!F159))),"")=0,"",IFERROR(TRANSPOSE(_xlfn._xlws.FILTER(Table_1[[Subcategory ]],(Table_1[Department]='Listing Details'!E159)*(Table_1[Category]='Listing Details'!F159))),""))), 1, 1)</f>
        <v>#ERROR!</v>
      </c>
    </row>
    <row r="158" ht="12.75" customHeight="1">
      <c r="A158" s="70" t="str">
        <f>ARRAY_CONSTRAIN(ARRAYFORMULA(IF(IFERROR(TRANSPOSE(_xlfn._xlws.FILTER(Table_1[[Subcategory ]],(Table_1[Department]='Listing Details'!E160)*(Table_1[Category]='Listing Details'!F160))),"")=0,"",IFERROR(TRANSPOSE(_xlfn._xlws.FILTER(Table_1[[Subcategory ]],(Table_1[Department]='Listing Details'!E160)*(Table_1[Category]='Listing Details'!F160))),""))), 1, 1)</f>
        <v>#ERROR!</v>
      </c>
    </row>
    <row r="159" ht="12.75" customHeight="1">
      <c r="A159" s="70" t="str">
        <f>ARRAY_CONSTRAIN(ARRAYFORMULA(IF(IFERROR(TRANSPOSE(_xlfn._xlws.FILTER(Table_1[[Subcategory ]],(Table_1[Department]='Listing Details'!E161)*(Table_1[Category]='Listing Details'!F161))),"")=0,"",IFERROR(TRANSPOSE(_xlfn._xlws.FILTER(Table_1[[Subcategory ]],(Table_1[Department]='Listing Details'!E161)*(Table_1[Category]='Listing Details'!F161))),""))), 1, 1)</f>
        <v>#ERROR!</v>
      </c>
    </row>
    <row r="160" ht="12.75" customHeight="1">
      <c r="A160" s="70" t="str">
        <f>ARRAY_CONSTRAIN(ARRAYFORMULA(IF(IFERROR(TRANSPOSE(_xlfn._xlws.FILTER(Table_1[[Subcategory ]],(Table_1[Department]='Listing Details'!E162)*(Table_1[Category]='Listing Details'!F162))),"")=0,"",IFERROR(TRANSPOSE(_xlfn._xlws.FILTER(Table_1[[Subcategory ]],(Table_1[Department]='Listing Details'!E162)*(Table_1[Category]='Listing Details'!F162))),""))), 1, 1)</f>
        <v>#ERROR!</v>
      </c>
    </row>
    <row r="161" ht="12.75" customHeight="1">
      <c r="A161" s="70" t="str">
        <f>ARRAY_CONSTRAIN(ARRAYFORMULA(IF(IFERROR(TRANSPOSE(_xlfn._xlws.FILTER(Table_1[[Subcategory ]],(Table_1[Department]='Listing Details'!E163)*(Table_1[Category]='Listing Details'!F163))),"")=0,"",IFERROR(TRANSPOSE(_xlfn._xlws.FILTER(Table_1[[Subcategory ]],(Table_1[Department]='Listing Details'!E163)*(Table_1[Category]='Listing Details'!F163))),""))), 1, 1)</f>
        <v>#ERROR!</v>
      </c>
    </row>
    <row r="162" ht="12.75" customHeight="1">
      <c r="A162" s="70" t="str">
        <f>ARRAY_CONSTRAIN(ARRAYFORMULA(IF(IFERROR(TRANSPOSE(_xlfn._xlws.FILTER(Table_1[[Subcategory ]],(Table_1[Department]='Listing Details'!E164)*(Table_1[Category]='Listing Details'!F164))),"")=0,"",IFERROR(TRANSPOSE(_xlfn._xlws.FILTER(Table_1[[Subcategory ]],(Table_1[Department]='Listing Details'!E164)*(Table_1[Category]='Listing Details'!F164))),""))), 1, 1)</f>
        <v>#ERROR!</v>
      </c>
    </row>
    <row r="163" ht="12.75" customHeight="1">
      <c r="A163" s="70" t="str">
        <f>ARRAY_CONSTRAIN(ARRAYFORMULA(IF(IFERROR(TRANSPOSE(_xlfn._xlws.FILTER(Table_1[[Subcategory ]],(Table_1[Department]='Listing Details'!E165)*(Table_1[Category]='Listing Details'!F165))),"")=0,"",IFERROR(TRANSPOSE(_xlfn._xlws.FILTER(Table_1[[Subcategory ]],(Table_1[Department]='Listing Details'!E165)*(Table_1[Category]='Listing Details'!F165))),""))), 1, 1)</f>
        <v>#ERROR!</v>
      </c>
    </row>
    <row r="164" ht="12.75" customHeight="1">
      <c r="A164" s="70" t="str">
        <f>ARRAY_CONSTRAIN(ARRAYFORMULA(IF(IFERROR(TRANSPOSE(_xlfn._xlws.FILTER(Table_1[[Subcategory ]],(Table_1[Department]='Listing Details'!E166)*(Table_1[Category]='Listing Details'!F166))),"")=0,"",IFERROR(TRANSPOSE(_xlfn._xlws.FILTER(Table_1[[Subcategory ]],(Table_1[Department]='Listing Details'!E166)*(Table_1[Category]='Listing Details'!F166))),""))), 1, 1)</f>
        <v>#ERROR!</v>
      </c>
    </row>
    <row r="165" ht="12.75" customHeight="1">
      <c r="A165" s="70" t="str">
        <f>ARRAY_CONSTRAIN(ARRAYFORMULA(IF(IFERROR(TRANSPOSE(_xlfn._xlws.FILTER(Table_1[[Subcategory ]],(Table_1[Department]='Listing Details'!E167)*(Table_1[Category]='Listing Details'!F167))),"")=0,"",IFERROR(TRANSPOSE(_xlfn._xlws.FILTER(Table_1[[Subcategory ]],(Table_1[Department]='Listing Details'!E167)*(Table_1[Category]='Listing Details'!F167))),""))), 1, 1)</f>
        <v>#ERROR!</v>
      </c>
    </row>
    <row r="166" ht="12.75" customHeight="1">
      <c r="A166" s="70" t="str">
        <f>ARRAY_CONSTRAIN(ARRAYFORMULA(IF(IFERROR(TRANSPOSE(_xlfn._xlws.FILTER(Table_1[[Subcategory ]],(Table_1[Department]='Listing Details'!E168)*(Table_1[Category]='Listing Details'!F168))),"")=0,"",IFERROR(TRANSPOSE(_xlfn._xlws.FILTER(Table_1[[Subcategory ]],(Table_1[Department]='Listing Details'!E168)*(Table_1[Category]='Listing Details'!F168))),""))), 1, 1)</f>
        <v>#ERROR!</v>
      </c>
    </row>
    <row r="167" ht="12.75" customHeight="1">
      <c r="A167" s="70" t="str">
        <f>ARRAY_CONSTRAIN(ARRAYFORMULA(IF(IFERROR(TRANSPOSE(_xlfn._xlws.FILTER(Table_1[[Subcategory ]],(Table_1[Department]='Listing Details'!E169)*(Table_1[Category]='Listing Details'!F169))),"")=0,"",IFERROR(TRANSPOSE(_xlfn._xlws.FILTER(Table_1[[Subcategory ]],(Table_1[Department]='Listing Details'!E169)*(Table_1[Category]='Listing Details'!F169))),""))), 1, 1)</f>
        <v>#ERROR!</v>
      </c>
    </row>
    <row r="168" ht="12.75" customHeight="1">
      <c r="A168" s="70" t="str">
        <f>ARRAY_CONSTRAIN(ARRAYFORMULA(IF(IFERROR(TRANSPOSE(_xlfn._xlws.FILTER(Table_1[[Subcategory ]],(Table_1[Department]='Listing Details'!E170)*(Table_1[Category]='Listing Details'!F170))),"")=0,"",IFERROR(TRANSPOSE(_xlfn._xlws.FILTER(Table_1[[Subcategory ]],(Table_1[Department]='Listing Details'!E170)*(Table_1[Category]='Listing Details'!F170))),""))), 1, 1)</f>
        <v>#ERROR!</v>
      </c>
    </row>
    <row r="169" ht="12.75" customHeight="1">
      <c r="A169" s="70" t="str">
        <f>ARRAY_CONSTRAIN(ARRAYFORMULA(IF(IFERROR(TRANSPOSE(_xlfn._xlws.FILTER(Table_1[[Subcategory ]],(Table_1[Department]='Listing Details'!E171)*(Table_1[Category]='Listing Details'!F171))),"")=0,"",IFERROR(TRANSPOSE(_xlfn._xlws.FILTER(Table_1[[Subcategory ]],(Table_1[Department]='Listing Details'!E171)*(Table_1[Category]='Listing Details'!F171))),""))), 1, 1)</f>
        <v>#ERROR!</v>
      </c>
    </row>
    <row r="170" ht="12.75" customHeight="1">
      <c r="A170" s="70" t="str">
        <f>ARRAY_CONSTRAIN(ARRAYFORMULA(IF(IFERROR(TRANSPOSE(_xlfn._xlws.FILTER(Table_1[[Subcategory ]],(Table_1[Department]='Listing Details'!E172)*(Table_1[Category]='Listing Details'!F172))),"")=0,"",IFERROR(TRANSPOSE(_xlfn._xlws.FILTER(Table_1[[Subcategory ]],(Table_1[Department]='Listing Details'!E172)*(Table_1[Category]='Listing Details'!F172))),""))), 1, 1)</f>
        <v>#ERROR!</v>
      </c>
    </row>
    <row r="171" ht="12.75" customHeight="1">
      <c r="A171" s="70" t="str">
        <f>ARRAY_CONSTRAIN(ARRAYFORMULA(IF(IFERROR(TRANSPOSE(_xlfn._xlws.FILTER(Table_1[[Subcategory ]],(Table_1[Department]='Listing Details'!E173)*(Table_1[Category]='Listing Details'!F173))),"")=0,"",IFERROR(TRANSPOSE(_xlfn._xlws.FILTER(Table_1[[Subcategory ]],(Table_1[Department]='Listing Details'!E173)*(Table_1[Category]='Listing Details'!F173))),""))), 1, 1)</f>
        <v>#ERROR!</v>
      </c>
    </row>
    <row r="172" ht="12.75" customHeight="1">
      <c r="A172" s="70" t="str">
        <f>ARRAY_CONSTRAIN(ARRAYFORMULA(IF(IFERROR(TRANSPOSE(_xlfn._xlws.FILTER(Table_1[[Subcategory ]],(Table_1[Department]='Listing Details'!E174)*(Table_1[Category]='Listing Details'!F174))),"")=0,"",IFERROR(TRANSPOSE(_xlfn._xlws.FILTER(Table_1[[Subcategory ]],(Table_1[Department]='Listing Details'!E174)*(Table_1[Category]='Listing Details'!F174))),""))), 1, 1)</f>
        <v>#ERROR!</v>
      </c>
    </row>
    <row r="173" ht="12.75" customHeight="1">
      <c r="A173" s="70" t="str">
        <f>ARRAY_CONSTRAIN(ARRAYFORMULA(IF(IFERROR(TRANSPOSE(_xlfn._xlws.FILTER(Table_1[[Subcategory ]],(Table_1[Department]='Listing Details'!E175)*(Table_1[Category]='Listing Details'!F175))),"")=0,"",IFERROR(TRANSPOSE(_xlfn._xlws.FILTER(Table_1[[Subcategory ]],(Table_1[Department]='Listing Details'!E175)*(Table_1[Category]='Listing Details'!F175))),""))), 1, 1)</f>
        <v>#ERROR!</v>
      </c>
    </row>
    <row r="174" ht="12.75" customHeight="1">
      <c r="A174" s="70" t="str">
        <f>ARRAY_CONSTRAIN(ARRAYFORMULA(IF(IFERROR(TRANSPOSE(_xlfn._xlws.FILTER(Table_1[[Subcategory ]],(Table_1[Department]='Listing Details'!E176)*(Table_1[Category]='Listing Details'!F176))),"")=0,"",IFERROR(TRANSPOSE(_xlfn._xlws.FILTER(Table_1[[Subcategory ]],(Table_1[Department]='Listing Details'!E176)*(Table_1[Category]='Listing Details'!F176))),""))), 1, 1)</f>
        <v>#ERROR!</v>
      </c>
    </row>
    <row r="175" ht="12.75" customHeight="1">
      <c r="A175" s="70" t="str">
        <f>ARRAY_CONSTRAIN(ARRAYFORMULA(IF(IFERROR(TRANSPOSE(_xlfn._xlws.FILTER(Table_1[[Subcategory ]],(Table_1[Department]='Listing Details'!E177)*(Table_1[Category]='Listing Details'!F177))),"")=0,"",IFERROR(TRANSPOSE(_xlfn._xlws.FILTER(Table_1[[Subcategory ]],(Table_1[Department]='Listing Details'!E177)*(Table_1[Category]='Listing Details'!F177))),""))), 1, 1)</f>
        <v>#ERROR!</v>
      </c>
    </row>
    <row r="176" ht="12.75" customHeight="1">
      <c r="A176" s="70" t="str">
        <f>ARRAY_CONSTRAIN(ARRAYFORMULA(IF(IFERROR(TRANSPOSE(_xlfn._xlws.FILTER(Table_1[[Subcategory ]],(Table_1[Department]='Listing Details'!E178)*(Table_1[Category]='Listing Details'!F178))),"")=0,"",IFERROR(TRANSPOSE(_xlfn._xlws.FILTER(Table_1[[Subcategory ]],(Table_1[Department]='Listing Details'!E178)*(Table_1[Category]='Listing Details'!F178))),""))), 1, 1)</f>
        <v>#ERROR!</v>
      </c>
    </row>
    <row r="177" ht="12.75" customHeight="1">
      <c r="A177" s="70" t="str">
        <f>ARRAY_CONSTRAIN(ARRAYFORMULA(IF(IFERROR(TRANSPOSE(_xlfn._xlws.FILTER(Table_1[[Subcategory ]],(Table_1[Department]='Listing Details'!E179)*(Table_1[Category]='Listing Details'!F179))),"")=0,"",IFERROR(TRANSPOSE(_xlfn._xlws.FILTER(Table_1[[Subcategory ]],(Table_1[Department]='Listing Details'!E179)*(Table_1[Category]='Listing Details'!F179))),""))), 1, 1)</f>
        <v>#ERROR!</v>
      </c>
    </row>
    <row r="178" ht="12.75" customHeight="1">
      <c r="A178" s="70" t="str">
        <f>ARRAY_CONSTRAIN(ARRAYFORMULA(IF(IFERROR(TRANSPOSE(_xlfn._xlws.FILTER(Table_1[[Subcategory ]],(Table_1[Department]='Listing Details'!E180)*(Table_1[Category]='Listing Details'!F180))),"")=0,"",IFERROR(TRANSPOSE(_xlfn._xlws.FILTER(Table_1[[Subcategory ]],(Table_1[Department]='Listing Details'!E180)*(Table_1[Category]='Listing Details'!F180))),""))), 1, 1)</f>
        <v>#ERROR!</v>
      </c>
    </row>
    <row r="179" ht="12.75" customHeight="1">
      <c r="A179" s="70" t="str">
        <f>ARRAY_CONSTRAIN(ARRAYFORMULA(IF(IFERROR(TRANSPOSE(_xlfn._xlws.FILTER(Table_1[[Subcategory ]],(Table_1[Department]='Listing Details'!E181)*(Table_1[Category]='Listing Details'!F181))),"")=0,"",IFERROR(TRANSPOSE(_xlfn._xlws.FILTER(Table_1[[Subcategory ]],(Table_1[Department]='Listing Details'!E181)*(Table_1[Category]='Listing Details'!F181))),""))), 1, 1)</f>
        <v>#ERROR!</v>
      </c>
    </row>
    <row r="180" ht="12.75" customHeight="1">
      <c r="A180" s="70" t="str">
        <f>ARRAY_CONSTRAIN(ARRAYFORMULA(IF(IFERROR(TRANSPOSE(_xlfn._xlws.FILTER(Table_1[[Subcategory ]],(Table_1[Department]='Listing Details'!E182)*(Table_1[Category]='Listing Details'!F182))),"")=0,"",IFERROR(TRANSPOSE(_xlfn._xlws.FILTER(Table_1[[Subcategory ]],(Table_1[Department]='Listing Details'!E182)*(Table_1[Category]='Listing Details'!F182))),""))), 1, 1)</f>
        <v>#ERROR!</v>
      </c>
    </row>
    <row r="181" ht="12.75" customHeight="1">
      <c r="A181" s="70" t="str">
        <f>ARRAY_CONSTRAIN(ARRAYFORMULA(IF(IFERROR(TRANSPOSE(_xlfn._xlws.FILTER(Table_1[[Subcategory ]],(Table_1[Department]='Listing Details'!E183)*(Table_1[Category]='Listing Details'!F183))),"")=0,"",IFERROR(TRANSPOSE(_xlfn._xlws.FILTER(Table_1[[Subcategory ]],(Table_1[Department]='Listing Details'!E183)*(Table_1[Category]='Listing Details'!F183))),""))), 1, 1)</f>
        <v>#ERROR!</v>
      </c>
    </row>
    <row r="182" ht="12.75" customHeight="1">
      <c r="A182" s="70" t="str">
        <f>ARRAY_CONSTRAIN(ARRAYFORMULA(IF(IFERROR(TRANSPOSE(_xlfn._xlws.FILTER(Table_1[[Subcategory ]],(Table_1[Department]='Listing Details'!E184)*(Table_1[Category]='Listing Details'!F184))),"")=0,"",IFERROR(TRANSPOSE(_xlfn._xlws.FILTER(Table_1[[Subcategory ]],(Table_1[Department]='Listing Details'!E184)*(Table_1[Category]='Listing Details'!F184))),""))), 1, 1)</f>
        <v>#ERROR!</v>
      </c>
    </row>
    <row r="183" ht="12.75" customHeight="1">
      <c r="A183" s="70" t="str">
        <f>ARRAY_CONSTRAIN(ARRAYFORMULA(IF(IFERROR(TRANSPOSE(_xlfn._xlws.FILTER(Table_1[[Subcategory ]],(Table_1[Department]='Listing Details'!E185)*(Table_1[Category]='Listing Details'!F185))),"")=0,"",IFERROR(TRANSPOSE(_xlfn._xlws.FILTER(Table_1[[Subcategory ]],(Table_1[Department]='Listing Details'!E185)*(Table_1[Category]='Listing Details'!F185))),""))), 1, 1)</f>
        <v>#ERROR!</v>
      </c>
    </row>
    <row r="184" ht="12.75" customHeight="1">
      <c r="A184" s="70" t="str">
        <f>ARRAY_CONSTRAIN(ARRAYFORMULA(IF(IFERROR(TRANSPOSE(_xlfn._xlws.FILTER(Table_1[[Subcategory ]],(Table_1[Department]='Listing Details'!E186)*(Table_1[Category]='Listing Details'!F186))),"")=0,"",IFERROR(TRANSPOSE(_xlfn._xlws.FILTER(Table_1[[Subcategory ]],(Table_1[Department]='Listing Details'!E186)*(Table_1[Category]='Listing Details'!F186))),""))), 1, 1)</f>
        <v>#ERROR!</v>
      </c>
    </row>
    <row r="185" ht="12.75" customHeight="1">
      <c r="A185" s="70" t="str">
        <f>ARRAY_CONSTRAIN(ARRAYFORMULA(IF(IFERROR(TRANSPOSE(_xlfn._xlws.FILTER(Table_1[[Subcategory ]],(Table_1[Department]='Listing Details'!E187)*(Table_1[Category]='Listing Details'!F187))),"")=0,"",IFERROR(TRANSPOSE(_xlfn._xlws.FILTER(Table_1[[Subcategory ]],(Table_1[Department]='Listing Details'!E187)*(Table_1[Category]='Listing Details'!F187))),""))), 1, 1)</f>
        <v>#ERROR!</v>
      </c>
    </row>
    <row r="186" ht="12.75" customHeight="1">
      <c r="A186" s="70" t="str">
        <f>ARRAY_CONSTRAIN(ARRAYFORMULA(IF(IFERROR(TRANSPOSE(_xlfn._xlws.FILTER(Table_1[[Subcategory ]],(Table_1[Department]='Listing Details'!E188)*(Table_1[Category]='Listing Details'!F188))),"")=0,"",IFERROR(TRANSPOSE(_xlfn._xlws.FILTER(Table_1[[Subcategory ]],(Table_1[Department]='Listing Details'!E188)*(Table_1[Category]='Listing Details'!F188))),""))), 1, 1)</f>
        <v>#ERROR!</v>
      </c>
    </row>
    <row r="187" ht="12.75" customHeight="1">
      <c r="A187" s="70" t="str">
        <f>ARRAY_CONSTRAIN(ARRAYFORMULA(IF(IFERROR(TRANSPOSE(_xlfn._xlws.FILTER(Table_1[[Subcategory ]],(Table_1[Department]='Listing Details'!E189)*(Table_1[Category]='Listing Details'!F189))),"")=0,"",IFERROR(TRANSPOSE(_xlfn._xlws.FILTER(Table_1[[Subcategory ]],(Table_1[Department]='Listing Details'!E189)*(Table_1[Category]='Listing Details'!F189))),""))), 1, 1)</f>
        <v>#ERROR!</v>
      </c>
    </row>
    <row r="188" ht="12.75" customHeight="1">
      <c r="A188" s="70" t="str">
        <f>ARRAY_CONSTRAIN(ARRAYFORMULA(IF(IFERROR(TRANSPOSE(_xlfn._xlws.FILTER(Table_1[[Subcategory ]],(Table_1[Department]='Listing Details'!E190)*(Table_1[Category]='Listing Details'!F190))),"")=0,"",IFERROR(TRANSPOSE(_xlfn._xlws.FILTER(Table_1[[Subcategory ]],(Table_1[Department]='Listing Details'!E190)*(Table_1[Category]='Listing Details'!F190))),""))), 1, 1)</f>
        <v>#ERROR!</v>
      </c>
    </row>
    <row r="189" ht="12.75" customHeight="1">
      <c r="A189" s="70" t="str">
        <f>ARRAY_CONSTRAIN(ARRAYFORMULA(IF(IFERROR(TRANSPOSE(_xlfn._xlws.FILTER(Table_1[[Subcategory ]],(Table_1[Department]='Listing Details'!E191)*(Table_1[Category]='Listing Details'!F191))),"")=0,"",IFERROR(TRANSPOSE(_xlfn._xlws.FILTER(Table_1[[Subcategory ]],(Table_1[Department]='Listing Details'!E191)*(Table_1[Category]='Listing Details'!F191))),""))), 1, 1)</f>
        <v>#ERROR!</v>
      </c>
    </row>
    <row r="190" ht="12.75" customHeight="1">
      <c r="A190" s="70" t="str">
        <f>ARRAY_CONSTRAIN(ARRAYFORMULA(IF(IFERROR(TRANSPOSE(_xlfn._xlws.FILTER(Table_1[[Subcategory ]],(Table_1[Department]='Listing Details'!E192)*(Table_1[Category]='Listing Details'!F192))),"")=0,"",IFERROR(TRANSPOSE(_xlfn._xlws.FILTER(Table_1[[Subcategory ]],(Table_1[Department]='Listing Details'!E192)*(Table_1[Category]='Listing Details'!F192))),""))), 1, 1)</f>
        <v>#ERROR!</v>
      </c>
    </row>
    <row r="191" ht="12.75" customHeight="1">
      <c r="A191" s="70" t="str">
        <f>ARRAY_CONSTRAIN(ARRAYFORMULA(IF(IFERROR(TRANSPOSE(_xlfn._xlws.FILTER(Table_1[[Subcategory ]],(Table_1[Department]='Listing Details'!E193)*(Table_1[Category]='Listing Details'!F193))),"")=0,"",IFERROR(TRANSPOSE(_xlfn._xlws.FILTER(Table_1[[Subcategory ]],(Table_1[Department]='Listing Details'!E193)*(Table_1[Category]='Listing Details'!F193))),""))), 1, 1)</f>
        <v>#ERROR!</v>
      </c>
    </row>
    <row r="192" ht="12.75" customHeight="1">
      <c r="A192" s="70" t="str">
        <f>ARRAY_CONSTRAIN(ARRAYFORMULA(IF(IFERROR(TRANSPOSE(_xlfn._xlws.FILTER(Table_1[[Subcategory ]],(Table_1[Department]='Listing Details'!E194)*(Table_1[Category]='Listing Details'!F194))),"")=0,"",IFERROR(TRANSPOSE(_xlfn._xlws.FILTER(Table_1[[Subcategory ]],(Table_1[Department]='Listing Details'!E194)*(Table_1[Category]='Listing Details'!F194))),""))), 1, 1)</f>
        <v>#ERROR!</v>
      </c>
    </row>
    <row r="193" ht="12.75" customHeight="1">
      <c r="A193" s="70" t="str">
        <f>ARRAY_CONSTRAIN(ARRAYFORMULA(IF(IFERROR(TRANSPOSE(_xlfn._xlws.FILTER(Table_1[[Subcategory ]],(Table_1[Department]='Listing Details'!E195)*(Table_1[Category]='Listing Details'!F195))),"")=0,"",IFERROR(TRANSPOSE(_xlfn._xlws.FILTER(Table_1[[Subcategory ]],(Table_1[Department]='Listing Details'!E195)*(Table_1[Category]='Listing Details'!F195))),""))), 1, 1)</f>
        <v>#ERROR!</v>
      </c>
    </row>
    <row r="194" ht="12.75" customHeight="1">
      <c r="A194" s="70" t="str">
        <f>ARRAY_CONSTRAIN(ARRAYFORMULA(IF(IFERROR(TRANSPOSE(_xlfn._xlws.FILTER(Table_1[[Subcategory ]],(Table_1[Department]='Listing Details'!E196)*(Table_1[Category]='Listing Details'!F196))),"")=0,"",IFERROR(TRANSPOSE(_xlfn._xlws.FILTER(Table_1[[Subcategory ]],(Table_1[Department]='Listing Details'!E196)*(Table_1[Category]='Listing Details'!F196))),""))), 1, 1)</f>
        <v>#ERROR!</v>
      </c>
    </row>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c r="A1" s="70" t="str">
        <f>ARRAY_CONSTRAIN(ARRAYFORMULA(IFERROR(TRANSPOSE(_xlfn.UNIQUE(_xlfn._xlws.FILTER(Table2[Size],Table2[Category]='Listing Details'!F3))),"")), 1, 1)</f>
        <v>#ERROR!</v>
      </c>
    </row>
    <row r="2" ht="12.75" customHeight="1">
      <c r="A2" s="70" t="str">
        <f>ARRAY_CONSTRAIN(ARRAYFORMULA(IFERROR(TRANSPOSE(_xlfn.UNIQUE(_xlfn._xlws.FILTER(Table2[Size],Table2[Category]='Listing Details'!F4))),"")), 1, 1)</f>
        <v>#ERROR!</v>
      </c>
    </row>
    <row r="3" ht="12.75" customHeight="1">
      <c r="A3" s="70" t="str">
        <f>ARRAY_CONSTRAIN(ARRAYFORMULA(IFERROR(TRANSPOSE(_xlfn.UNIQUE(_xlfn._xlws.FILTER(Table2[Size],Table2[Category]='Listing Details'!F5))),"")), 1, 1)</f>
        <v>#ERROR!</v>
      </c>
    </row>
    <row r="4" ht="12.75" customHeight="1">
      <c r="A4" s="70" t="str">
        <f>ARRAY_CONSTRAIN(ARRAYFORMULA(IFERROR(TRANSPOSE(_xlfn.UNIQUE(_xlfn._xlws.FILTER(Table2[Size],Table2[Category]='Listing Details'!F6))),"")), 1, 1)</f>
        <v>#ERROR!</v>
      </c>
    </row>
    <row r="5" ht="12.75" customHeight="1">
      <c r="A5" s="70" t="str">
        <f>ARRAY_CONSTRAIN(ARRAYFORMULA(IFERROR(TRANSPOSE(_xlfn.UNIQUE(_xlfn._xlws.FILTER(Table2[Size],Table2[Category]='Listing Details'!F7))),"")), 1, 1)</f>
        <v>#ERROR!</v>
      </c>
    </row>
    <row r="6" ht="12.75" customHeight="1">
      <c r="A6" s="70" t="str">
        <f>ARRAY_CONSTRAIN(ARRAYFORMULA(IFERROR(TRANSPOSE(_xlfn.UNIQUE(_xlfn._xlws.FILTER(Table2[Size],Table2[Category]='Listing Details'!F8))),"")), 1, 1)</f>
        <v>#ERROR!</v>
      </c>
    </row>
    <row r="7" ht="12.75" customHeight="1">
      <c r="A7" s="70" t="str">
        <f>ARRAY_CONSTRAIN(ARRAYFORMULA(IFERROR(TRANSPOSE(_xlfn.UNIQUE(_xlfn._xlws.FILTER(Table2[Size],Table2[Category]='Listing Details'!F9))),"")), 1, 1)</f>
        <v>#ERROR!</v>
      </c>
    </row>
    <row r="8" ht="12.75" customHeight="1">
      <c r="A8" s="70" t="str">
        <f>ARRAY_CONSTRAIN(ARRAYFORMULA(IFERROR(TRANSPOSE(_xlfn.UNIQUE(_xlfn._xlws.FILTER(Table2[Size],Table2[Category]='Listing Details'!F10))),"")), 1, 1)</f>
        <v>#ERROR!</v>
      </c>
    </row>
    <row r="9" ht="12.75" customHeight="1">
      <c r="A9" s="70" t="str">
        <f>ARRAY_CONSTRAIN(ARRAYFORMULA(IFERROR(TRANSPOSE(_xlfn.UNIQUE(_xlfn._xlws.FILTER(Table2[Size],Table2[Category]='Listing Details'!F11))),"")), 1, 1)</f>
        <v>#ERROR!</v>
      </c>
    </row>
    <row r="10" ht="12.75" customHeight="1">
      <c r="A10" s="70" t="str">
        <f>ARRAY_CONSTRAIN(ARRAYFORMULA(IFERROR(TRANSPOSE(_xlfn.UNIQUE(_xlfn._xlws.FILTER(Table2[Size],Table2[Category]='Listing Details'!F12))),"")), 1, 1)</f>
        <v>#ERROR!</v>
      </c>
    </row>
    <row r="11" ht="12.75" customHeight="1">
      <c r="A11" s="70" t="str">
        <f>ARRAY_CONSTRAIN(ARRAYFORMULA(IFERROR(TRANSPOSE(_xlfn.UNIQUE(_xlfn._xlws.FILTER(Table2[Size],Table2[Category]='Listing Details'!F13))),"")), 1, 1)</f>
        <v>#ERROR!</v>
      </c>
    </row>
    <row r="12" ht="12.75" customHeight="1">
      <c r="A12" s="70" t="str">
        <f>ARRAY_CONSTRAIN(ARRAYFORMULA(IFERROR(TRANSPOSE(_xlfn.UNIQUE(_xlfn._xlws.FILTER(Table2[Size],Table2[Category]='Listing Details'!F14))),"")), 1, 1)</f>
        <v>#ERROR!</v>
      </c>
    </row>
    <row r="13" ht="12.75" customHeight="1">
      <c r="A13" s="70" t="str">
        <f>ARRAY_CONSTRAIN(ARRAYFORMULA(IFERROR(TRANSPOSE(_xlfn.UNIQUE(_xlfn._xlws.FILTER(Table2[Size],Table2[Category]='Listing Details'!F15))),"")), 1, 1)</f>
        <v>#ERROR!</v>
      </c>
    </row>
    <row r="14" ht="12.75" customHeight="1">
      <c r="A14" s="70" t="str">
        <f>ARRAY_CONSTRAIN(ARRAYFORMULA(IFERROR(TRANSPOSE(_xlfn.UNIQUE(_xlfn._xlws.FILTER(Table2[Size],Table2[Category]='Listing Details'!F16))),"")), 1, 1)</f>
        <v>#ERROR!</v>
      </c>
    </row>
    <row r="15" ht="12.75" customHeight="1">
      <c r="A15" s="70" t="str">
        <f>ARRAY_CONSTRAIN(ARRAYFORMULA(IFERROR(TRANSPOSE(_xlfn.UNIQUE(_xlfn._xlws.FILTER(Table2[Size],Table2[Category]='Listing Details'!F17))),"")), 1, 1)</f>
        <v>#ERROR!</v>
      </c>
    </row>
    <row r="16" ht="12.75" customHeight="1">
      <c r="A16" s="70" t="str">
        <f>ARRAY_CONSTRAIN(ARRAYFORMULA(IFERROR(TRANSPOSE(_xlfn.UNIQUE(_xlfn._xlws.FILTER(Table2[Size],Table2[Category]='Listing Details'!F18))),"")), 1, 1)</f>
        <v>#ERROR!</v>
      </c>
    </row>
    <row r="17" ht="12.75" customHeight="1">
      <c r="A17" s="70" t="str">
        <f>ARRAY_CONSTRAIN(ARRAYFORMULA(IFERROR(TRANSPOSE(_xlfn.UNIQUE(_xlfn._xlws.FILTER(Table2[Size],Table2[Category]='Listing Details'!F19))),"")), 1, 1)</f>
        <v>#ERROR!</v>
      </c>
    </row>
    <row r="18" ht="12.75" customHeight="1">
      <c r="A18" s="70" t="str">
        <f>ARRAY_CONSTRAIN(ARRAYFORMULA(IFERROR(TRANSPOSE(_xlfn.UNIQUE(_xlfn._xlws.FILTER(Table2[Size],Table2[Category]='Listing Details'!F20))),"")), 1, 1)</f>
        <v>#ERROR!</v>
      </c>
    </row>
    <row r="19" ht="12.75" customHeight="1">
      <c r="A19" s="70" t="str">
        <f>ARRAY_CONSTRAIN(ARRAYFORMULA(IFERROR(TRANSPOSE(_xlfn.UNIQUE(_xlfn._xlws.FILTER(Table2[Size],Table2[Category]='Listing Details'!F21))),"")), 1, 1)</f>
        <v>#ERROR!</v>
      </c>
    </row>
    <row r="20" ht="12.75" customHeight="1">
      <c r="A20" s="70" t="str">
        <f>ARRAY_CONSTRAIN(ARRAYFORMULA(IFERROR(TRANSPOSE(_xlfn.UNIQUE(_xlfn._xlws.FILTER(Table2[Size],Table2[Category]='Listing Details'!F22))),"")), 1, 1)</f>
        <v>#ERROR!</v>
      </c>
    </row>
    <row r="21" ht="12.75" customHeight="1">
      <c r="A21" s="70" t="str">
        <f>ARRAY_CONSTRAIN(ARRAYFORMULA(IFERROR(TRANSPOSE(_xlfn.UNIQUE(_xlfn._xlws.FILTER(Table2[Size],Table2[Category]='Listing Details'!F23))),"")), 1, 1)</f>
        <v>#ERROR!</v>
      </c>
    </row>
    <row r="22" ht="12.75" customHeight="1">
      <c r="A22" s="70" t="str">
        <f>ARRAY_CONSTRAIN(ARRAYFORMULA(IFERROR(TRANSPOSE(_xlfn.UNIQUE(_xlfn._xlws.FILTER(Table2[Size],Table2[Category]='Listing Details'!F24))),"")), 1, 1)</f>
        <v>#ERROR!</v>
      </c>
    </row>
    <row r="23" ht="12.75" customHeight="1">
      <c r="A23" s="70" t="str">
        <f>ARRAY_CONSTRAIN(ARRAYFORMULA(IFERROR(TRANSPOSE(_xlfn.UNIQUE(_xlfn._xlws.FILTER(Table2[Size],Table2[Category]='Listing Details'!F25))),"")), 1, 1)</f>
        <v>#ERROR!</v>
      </c>
    </row>
    <row r="24" ht="12.75" customHeight="1">
      <c r="A24" s="70" t="str">
        <f>ARRAY_CONSTRAIN(ARRAYFORMULA(IFERROR(TRANSPOSE(_xlfn.UNIQUE(_xlfn._xlws.FILTER(Table2[Size],Table2[Category]='Listing Details'!F26))),"")), 1, 1)</f>
        <v>#ERROR!</v>
      </c>
    </row>
    <row r="25" ht="12.75" customHeight="1">
      <c r="A25" s="70" t="str">
        <f>ARRAY_CONSTRAIN(ARRAYFORMULA(IFERROR(TRANSPOSE(_xlfn.UNIQUE(_xlfn._xlws.FILTER(Table2[Size],Table2[Category]='Listing Details'!F27))),"")), 1, 1)</f>
        <v>#ERROR!</v>
      </c>
    </row>
    <row r="26" ht="12.75" customHeight="1">
      <c r="A26" s="70" t="str">
        <f>ARRAY_CONSTRAIN(ARRAYFORMULA(IFERROR(TRANSPOSE(_xlfn.UNIQUE(_xlfn._xlws.FILTER(Table2[Size],Table2[Category]='Listing Details'!F28))),"")), 1, 1)</f>
        <v>#ERROR!</v>
      </c>
    </row>
    <row r="27" ht="12.75" customHeight="1">
      <c r="A27" s="70" t="str">
        <f>ARRAY_CONSTRAIN(ARRAYFORMULA(IFERROR(TRANSPOSE(_xlfn.UNIQUE(_xlfn._xlws.FILTER(Table2[Size],Table2[Category]='Listing Details'!F29))),"")), 1, 1)</f>
        <v>#ERROR!</v>
      </c>
    </row>
    <row r="28" ht="12.75" customHeight="1">
      <c r="A28" s="70" t="str">
        <f>ARRAY_CONSTRAIN(ARRAYFORMULA(IFERROR(TRANSPOSE(_xlfn.UNIQUE(_xlfn._xlws.FILTER(Table2[Size],Table2[Category]='Listing Details'!F30))),"")), 1, 1)</f>
        <v>#ERROR!</v>
      </c>
    </row>
    <row r="29" ht="12.75" customHeight="1">
      <c r="A29" s="70" t="str">
        <f>ARRAY_CONSTRAIN(ARRAYFORMULA(IFERROR(TRANSPOSE(_xlfn.UNIQUE(_xlfn._xlws.FILTER(Table2[Size],Table2[Category]='Listing Details'!F31))),"")), 1, 1)</f>
        <v>#ERROR!</v>
      </c>
    </row>
    <row r="30" ht="12.75" customHeight="1">
      <c r="A30" s="70" t="str">
        <f>ARRAY_CONSTRAIN(ARRAYFORMULA(IFERROR(TRANSPOSE(_xlfn.UNIQUE(_xlfn._xlws.FILTER(Table2[Size],Table2[Category]='Listing Details'!F32))),"")), 1, 1)</f>
        <v>#ERROR!</v>
      </c>
    </row>
    <row r="31" ht="12.75" customHeight="1">
      <c r="A31" s="70" t="str">
        <f>ARRAY_CONSTRAIN(ARRAYFORMULA(IFERROR(TRANSPOSE(_xlfn.UNIQUE(_xlfn._xlws.FILTER(Table2[Size],Table2[Category]='Listing Details'!F33))),"")), 1, 1)</f>
        <v>#ERROR!</v>
      </c>
    </row>
    <row r="32" ht="12.75" customHeight="1">
      <c r="A32" s="70" t="str">
        <f>ARRAY_CONSTRAIN(ARRAYFORMULA(IFERROR(TRANSPOSE(_xlfn.UNIQUE(_xlfn._xlws.FILTER(Table2[Size],Table2[Category]='Listing Details'!F34))),"")), 1, 1)</f>
        <v>#ERROR!</v>
      </c>
    </row>
    <row r="33" ht="12.75" customHeight="1">
      <c r="A33" s="70" t="str">
        <f>ARRAY_CONSTRAIN(ARRAYFORMULA(IFERROR(TRANSPOSE(_xlfn.UNIQUE(_xlfn._xlws.FILTER(Table2[Size],Table2[Category]='Listing Details'!F35))),"")), 1, 1)</f>
        <v>#ERROR!</v>
      </c>
    </row>
    <row r="34" ht="12.75" customHeight="1">
      <c r="A34" s="70" t="str">
        <f>ARRAY_CONSTRAIN(ARRAYFORMULA(IFERROR(TRANSPOSE(_xlfn.UNIQUE(_xlfn._xlws.FILTER(Table2[Size],Table2[Category]='Listing Details'!F36))),"")), 1, 1)</f>
        <v>#ERROR!</v>
      </c>
    </row>
    <row r="35" ht="12.75" customHeight="1">
      <c r="A35" s="70" t="str">
        <f>ARRAY_CONSTRAIN(ARRAYFORMULA(IFERROR(TRANSPOSE(_xlfn.UNIQUE(_xlfn._xlws.FILTER(Table2[Size],Table2[Category]='Listing Details'!F37))),"")), 1, 1)</f>
        <v>#ERROR!</v>
      </c>
    </row>
    <row r="36" ht="12.75" customHeight="1">
      <c r="A36" s="70" t="str">
        <f>ARRAY_CONSTRAIN(ARRAYFORMULA(IFERROR(TRANSPOSE(_xlfn.UNIQUE(_xlfn._xlws.FILTER(Table2[Size],Table2[Category]='Listing Details'!F38))),"")), 1, 1)</f>
        <v>#ERROR!</v>
      </c>
    </row>
    <row r="37" ht="12.75" customHeight="1">
      <c r="A37" s="70" t="str">
        <f>ARRAY_CONSTRAIN(ARRAYFORMULA(IFERROR(TRANSPOSE(_xlfn.UNIQUE(_xlfn._xlws.FILTER(Table2[Size],Table2[Category]='Listing Details'!F39))),"")), 1, 1)</f>
        <v>#ERROR!</v>
      </c>
    </row>
    <row r="38" ht="12.75" customHeight="1">
      <c r="A38" s="70" t="str">
        <f>ARRAY_CONSTRAIN(ARRAYFORMULA(IFERROR(TRANSPOSE(_xlfn.UNIQUE(_xlfn._xlws.FILTER(Table2[Size],Table2[Category]='Listing Details'!F40))),"")), 1, 1)</f>
        <v>#ERROR!</v>
      </c>
    </row>
    <row r="39" ht="12.75" customHeight="1">
      <c r="A39" s="70" t="str">
        <f>ARRAY_CONSTRAIN(ARRAYFORMULA(IFERROR(TRANSPOSE(_xlfn.UNIQUE(_xlfn._xlws.FILTER(Table2[Size],Table2[Category]='Listing Details'!F41))),"")), 1, 1)</f>
        <v>#ERROR!</v>
      </c>
    </row>
    <row r="40" ht="12.75" customHeight="1">
      <c r="A40" s="70" t="str">
        <f>ARRAY_CONSTRAIN(ARRAYFORMULA(IFERROR(TRANSPOSE(_xlfn.UNIQUE(_xlfn._xlws.FILTER(Table2[Size],Table2[Category]='Listing Details'!F42))),"")), 1, 1)</f>
        <v>#ERROR!</v>
      </c>
    </row>
    <row r="41" ht="12.75" customHeight="1">
      <c r="A41" s="70" t="str">
        <f>ARRAY_CONSTRAIN(ARRAYFORMULA(IFERROR(TRANSPOSE(_xlfn.UNIQUE(_xlfn._xlws.FILTER(Table2[Size],Table2[Category]='Listing Details'!F43))),"")), 1, 1)</f>
        <v>#ERROR!</v>
      </c>
    </row>
    <row r="42" ht="12.75" customHeight="1">
      <c r="A42" s="70" t="str">
        <f>ARRAY_CONSTRAIN(ARRAYFORMULA(IFERROR(TRANSPOSE(_xlfn.UNIQUE(_xlfn._xlws.FILTER(Table2[Size],Table2[Category]='Listing Details'!F44))),"")), 1, 1)</f>
        <v>#ERROR!</v>
      </c>
    </row>
    <row r="43" ht="12.75" customHeight="1">
      <c r="A43" s="70" t="str">
        <f>ARRAY_CONSTRAIN(ARRAYFORMULA(IFERROR(TRANSPOSE(_xlfn.UNIQUE(_xlfn._xlws.FILTER(Table2[Size],Table2[Category]='Listing Details'!F45))),"")), 1, 1)</f>
        <v>#ERROR!</v>
      </c>
    </row>
    <row r="44" ht="12.75" customHeight="1">
      <c r="A44" s="70" t="str">
        <f>ARRAY_CONSTRAIN(ARRAYFORMULA(IFERROR(TRANSPOSE(_xlfn.UNIQUE(_xlfn._xlws.FILTER(Table2[Size],Table2[Category]='Listing Details'!F46))),"")), 1, 1)</f>
        <v>#ERROR!</v>
      </c>
    </row>
    <row r="45" ht="12.75" customHeight="1">
      <c r="A45" s="70" t="str">
        <f>ARRAY_CONSTRAIN(ARRAYFORMULA(IFERROR(TRANSPOSE(_xlfn.UNIQUE(_xlfn._xlws.FILTER(Table2[Size],Table2[Category]='Listing Details'!F47))),"")), 1, 1)</f>
        <v>#ERROR!</v>
      </c>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 customWidth="1" min="7" max="26" width="14.5"/>
  </cols>
  <sheetData>
    <row r="1" ht="12.75" customHeight="1">
      <c r="A1" s="70" t="str">
        <f t="array" ref="A1">IFERROR(TRANSPOSE(_xlws.FILTER(Options!$C$2:$C$701,(Options!$A$2:$A$701=#REF!)*(Options!$B$2:$B$701=#REF!))),"")</f>
        <v/>
      </c>
    </row>
    <row r="2" ht="12.75" customHeight="1">
      <c r="A2" s="70" t="e">
        <v>#NAME?</v>
      </c>
    </row>
    <row r="3" ht="12.75" customHeight="1">
      <c r="A3" s="70" t="e">
        <v>#NAME?</v>
      </c>
    </row>
    <row r="4" ht="12.75" customHeight="1">
      <c r="A4" s="70" t="e">
        <v>#NAME?</v>
      </c>
    </row>
    <row r="5" ht="12.75" customHeight="1">
      <c r="A5" s="70" t="e">
        <v>#NAME?</v>
      </c>
    </row>
    <row r="6" ht="12.75" customHeight="1">
      <c r="A6" s="70" t="e">
        <v>#NAME?</v>
      </c>
    </row>
    <row r="7" ht="12.75" customHeight="1">
      <c r="A7" s="70" t="e">
        <v>#NAME?</v>
      </c>
    </row>
    <row r="8" ht="12.75" customHeight="1">
      <c r="A8" s="70" t="str">
        <f t="array" ref="A8">IFERROR(TRANSPOSE(_xlws.FILTER(Options!$C$2:$C$701,(Options!$A$2:$A$701=#REF!)*(Options!$B$2:$B$701=#REF!))),"")</f>
        <v/>
      </c>
    </row>
    <row r="9" ht="12.75" customHeight="1">
      <c r="A9" s="70" t="str">
        <f t="array" ref="A9">IFERROR(TRANSPOSE(_xlws.FILTER(Options!$C$2:$C$701,(Options!$A$2:$A$701=#REF!)*(Options!$B$2:$B$701=#REF!))),"")</f>
        <v/>
      </c>
    </row>
    <row r="10" ht="12.75" customHeight="1">
      <c r="A10" s="70" t="str">
        <f t="array" ref="A10">IFERROR(TRANSPOSE(_xlws.FILTER(Options!$C$2:$C$701,(Options!$A$2:$A$701=#REF!)*(Options!$B$2:$B$701=#REF!))),"")</f>
        <v/>
      </c>
    </row>
    <row r="11" ht="12.75" customHeight="1">
      <c r="A11" s="70" t="str">
        <f t="array" ref="A11">IFERROR(TRANSPOSE(_xlws.FILTER(Options!$C$2:$C$701,(Options!$A$2:$A$701=#REF!)*(Options!$B$2:$B$701=#REF!))),"")</f>
        <v/>
      </c>
    </row>
    <row r="12" ht="12.75" customHeight="1">
      <c r="A12" s="70" t="str">
        <f t="array" ref="A12">IFERROR(TRANSPOSE(_xlws.FILTER(Options!$C$2:$C$701,(Options!$A$2:$A$701=#REF!)*(Options!$B$2:$B$701=#REF!))),"")</f>
        <v/>
      </c>
    </row>
    <row r="13" ht="12.75" customHeight="1">
      <c r="A13" s="70" t="str">
        <f t="array" ref="A13">IFERROR(TRANSPOSE(_xlws.FILTER(Options!$C$2:$C$701,(Options!$A$2:$A$701=#REF!)*(Options!$B$2:$B$701=#REF!))),"")</f>
        <v/>
      </c>
    </row>
    <row r="14" ht="12.75" customHeight="1">
      <c r="A14" s="70" t="str">
        <f t="array" ref="A14">IFERROR(TRANSPOSE(_xlws.FILTER(Options!$C$2:$C$701,(Options!$A$2:$A$701=#REF!)*(Options!$B$2:$B$701=#REF!))),"")</f>
        <v/>
      </c>
    </row>
    <row r="15" ht="12.75" customHeight="1">
      <c r="A15" s="70" t="str">
        <f t="array" ref="A15">IFERROR(TRANSPOSE(_xlws.FILTER(Options!$C$2:$C$701,(Options!$A$2:$A$701=#REF!)*(Options!$B$2:$B$701=#REF!))),"")</f>
        <v/>
      </c>
    </row>
    <row r="16" ht="12.75" customHeight="1">
      <c r="A16" s="70" t="str">
        <f t="array" ref="A16">IFERROR(TRANSPOSE(_xlws.FILTER(Options!$C$2:$C$701,(Options!$A$2:$A$701=#REF!)*(Options!$B$2:$B$701=#REF!))),"")</f>
        <v/>
      </c>
    </row>
    <row r="17" ht="12.75" customHeight="1">
      <c r="A17" s="70" t="str">
        <f t="array" ref="A17">IFERROR(TRANSPOSE(_xlws.FILTER(Options!$C$2:$C$701,(Options!$A$2:$A$701=#REF!)*(Options!$B$2:$B$701=#REF!))),"")</f>
        <v/>
      </c>
    </row>
    <row r="18" ht="12.75" customHeight="1">
      <c r="A18" s="70" t="e">
        <v>#NAME?</v>
      </c>
    </row>
    <row r="19" ht="12.75" customHeight="1">
      <c r="A19" s="70" t="e">
        <v>#NAME?</v>
      </c>
    </row>
    <row r="20" ht="12.75" customHeight="1">
      <c r="A20" s="70" t="e">
        <v>#NAME?</v>
      </c>
    </row>
    <row r="21" ht="12.75" customHeight="1">
      <c r="A21" s="70" t="e">
        <v>#NAME?</v>
      </c>
    </row>
    <row r="22" ht="12.75" customHeight="1">
      <c r="A22" s="70" t="str">
        <f t="array" ref="A22">IFERROR(TRANSPOSE(_xlws.FILTER(Options!$C$2:$C$701,(Options!$A$2:$A$701=#REF!)*(Options!$B$2:$B$701=#REF!))),"")</f>
        <v/>
      </c>
    </row>
    <row r="23" ht="12.75" customHeight="1">
      <c r="A23" s="70" t="str">
        <f t="array" ref="A23">IFERROR(TRANSPOSE(_xlws.FILTER(Options!$C$2:$C$701,(Options!$A$2:$A$701=#REF!)*(Options!$B$2:$B$701=#REF!))),"")</f>
        <v/>
      </c>
    </row>
    <row r="24" ht="12.75" customHeight="1">
      <c r="A24" s="70" t="e">
        <v>#NAME?</v>
      </c>
    </row>
    <row r="25" ht="12.75" customHeight="1">
      <c r="A25" s="70" t="e">
        <v>#NAME?</v>
      </c>
    </row>
    <row r="26" ht="12.75" customHeight="1">
      <c r="A26" s="70" t="e">
        <v>#NAME?</v>
      </c>
    </row>
    <row r="27" ht="12.75" customHeight="1">
      <c r="A27" s="70" t="e">
        <v>#NAME?</v>
      </c>
    </row>
    <row r="28" ht="12.75" customHeight="1">
      <c r="A28" s="70" t="e">
        <v>#NAME?</v>
      </c>
    </row>
    <row r="29" ht="12.75" customHeight="1">
      <c r="A29" s="70" t="e">
        <v>#NAME?</v>
      </c>
    </row>
    <row r="30" ht="12.75" customHeight="1">
      <c r="A30" s="70" t="e">
        <v>#NAME?</v>
      </c>
    </row>
    <row r="31" ht="12.75" customHeight="1">
      <c r="A31" s="70" t="e">
        <v>#NAME?</v>
      </c>
    </row>
    <row r="32" ht="12.75" customHeight="1">
      <c r="A32" s="70" t="e">
        <v>#NAME?</v>
      </c>
    </row>
    <row r="33" ht="12.75" customHeight="1">
      <c r="A33" s="70" t="e">
        <v>#NAME?</v>
      </c>
    </row>
    <row r="34" ht="12.75" customHeight="1">
      <c r="A34" s="70" t="e">
        <v>#NAME?</v>
      </c>
    </row>
    <row r="35" ht="12.75" customHeight="1">
      <c r="A35" s="70" t="e">
        <v>#NAME?</v>
      </c>
    </row>
    <row r="36" ht="12.75" customHeight="1">
      <c r="A36" s="70" t="e">
        <v>#NAME?</v>
      </c>
    </row>
    <row r="37" ht="12.75" customHeight="1">
      <c r="A37" s="70" t="e">
        <v>#NAME?</v>
      </c>
    </row>
    <row r="38" ht="12.75" customHeight="1">
      <c r="A38" s="70" t="e">
        <v>#NAME?</v>
      </c>
    </row>
    <row r="39" ht="12.75" customHeight="1">
      <c r="A39" s="70" t="str">
        <f t="array" ref="A39">IFERROR(TRANSPOSE(_xlws.FILTER(Options!$C$2:$C$701,(Options!$A$2:$A$701=#REF!)*(Options!$B$2:$B$701=#REF!))),"")</f>
        <v/>
      </c>
    </row>
    <row r="40" ht="12.75" customHeight="1">
      <c r="A40" s="70" t="str">
        <f t="array" ref="A40">IFERROR(TRANSPOSE(_xlws.FILTER(Options!$C$2:$C$701,(Options!$A$2:$A$701='Listing Details'!E3)*(Options!$B$2:$B$701='Listing Details'!F3))),"")</f>
        <v/>
      </c>
    </row>
    <row r="41" ht="12.75" customHeight="1">
      <c r="A41" s="70" t="str">
        <f t="array" ref="A41">IFERROR(TRANSPOSE(_xlws.FILTER(Options!$C$2:$C$701,(Options!$A$2:$A$701=#REF!)*(Options!$B$2:$B$701=#REF!))),"")</f>
        <v/>
      </c>
    </row>
    <row r="42" ht="12.75" customHeight="1">
      <c r="A42" s="70" t="str">
        <f t="array" ref="A42">IFERROR(TRANSPOSE(_xlws.FILTER(Options!$C$2:$C$701,(Options!$A$2:$A$701='Listing Details'!E4)*(Options!$B$2:$B$701='Listing Details'!F4))),"")</f>
        <v/>
      </c>
    </row>
    <row r="43" ht="12.75" customHeight="1">
      <c r="A43" s="70" t="str">
        <f t="array" ref="A43">IFERROR(TRANSPOSE(_xlws.FILTER(Options!$C$2:$C$701,(Options!$A$2:$A$701=#REF!)*(Options!$B$2:$B$701=#REF!))),"")</f>
        <v/>
      </c>
    </row>
    <row r="44" ht="12.75" customHeight="1">
      <c r="A44" s="70" t="str">
        <f t="array" ref="A44">IFERROR(TRANSPOSE(_xlws.FILTER(Options!$C$2:$C$701,(Options!$A$2:$A$701='Listing Details'!E5)*(Options!$B$2:$B$701='Listing Details'!F5))),"")</f>
        <v/>
      </c>
    </row>
    <row r="45" ht="12.75" customHeight="1">
      <c r="A45" s="70" t="e">
        <v>#NAME?</v>
      </c>
    </row>
    <row r="46" ht="12.75" customHeight="1">
      <c r="A46" s="70" t="e">
        <v>#NAME?</v>
      </c>
    </row>
    <row r="47" ht="12.75" customHeight="1">
      <c r="A47" s="70" t="e">
        <v>#NAME?</v>
      </c>
    </row>
    <row r="48" ht="12.75" customHeight="1">
      <c r="A48" s="70" t="e">
        <v>#NAME?</v>
      </c>
    </row>
    <row r="49" ht="12.75" customHeight="1">
      <c r="A49" s="70" t="e">
        <v>#NAME?</v>
      </c>
    </row>
    <row r="50" ht="12.75" customHeight="1">
      <c r="A50" s="70" t="e">
        <v>#NAME?</v>
      </c>
    </row>
    <row r="51" ht="12.75" customHeight="1">
      <c r="A51" s="70" t="e">
        <v>#NAME?</v>
      </c>
    </row>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5"/>
    <col customWidth="1" min="2" max="2" width="21.38"/>
    <col customWidth="1" min="3" max="3" width="22.0"/>
    <col customWidth="1" min="4" max="4" width="14.63"/>
    <col customWidth="1" min="5" max="26" width="14.5"/>
  </cols>
  <sheetData>
    <row r="1" ht="15.75" customHeight="1">
      <c r="A1" s="92" t="s">
        <v>160</v>
      </c>
      <c r="B1" s="92" t="s">
        <v>161</v>
      </c>
      <c r="C1" s="92" t="s">
        <v>3125</v>
      </c>
      <c r="D1" s="93" t="s">
        <v>3126</v>
      </c>
      <c r="E1" s="70" t="str">
        <f>IFERROR(DUMMYFUNCTION("ARRAY_CONSTRAIN(ARRAYFORMULA(UNIQUE(Options!$A$2:$A$516)), 5, 1)"),"Women")</f>
        <v>Women</v>
      </c>
    </row>
    <row r="2" ht="15.75" customHeight="1">
      <c r="A2" s="94" t="s">
        <v>163</v>
      </c>
      <c r="B2" s="95" t="s">
        <v>294</v>
      </c>
      <c r="C2" s="95" t="s">
        <v>295</v>
      </c>
      <c r="D2" s="95"/>
      <c r="E2" s="70" t="s">
        <v>360</v>
      </c>
    </row>
    <row r="3" ht="15.75" customHeight="1">
      <c r="A3" s="94" t="s">
        <v>163</v>
      </c>
      <c r="B3" s="95" t="s">
        <v>294</v>
      </c>
      <c r="C3" s="95" t="s">
        <v>296</v>
      </c>
      <c r="D3" s="95"/>
      <c r="E3" s="58" t="s">
        <v>433</v>
      </c>
    </row>
    <row r="4" ht="15.75" customHeight="1">
      <c r="A4" s="94" t="s">
        <v>163</v>
      </c>
      <c r="B4" s="95" t="s">
        <v>294</v>
      </c>
      <c r="C4" s="95" t="s">
        <v>297</v>
      </c>
      <c r="D4" s="95"/>
      <c r="E4" s="70" t="s">
        <v>472</v>
      </c>
    </row>
    <row r="5" ht="15.75" customHeight="1">
      <c r="A5" s="94" t="s">
        <v>163</v>
      </c>
      <c r="B5" s="95" t="s">
        <v>294</v>
      </c>
      <c r="C5" s="95" t="s">
        <v>298</v>
      </c>
      <c r="D5" s="95"/>
      <c r="E5" s="70" t="s">
        <v>590</v>
      </c>
    </row>
    <row r="6" ht="15.75" customHeight="1">
      <c r="A6" s="94" t="s">
        <v>163</v>
      </c>
      <c r="B6" s="95" t="s">
        <v>294</v>
      </c>
      <c r="C6" s="95" t="s">
        <v>299</v>
      </c>
      <c r="D6" s="95"/>
      <c r="E6" s="70" t="s">
        <v>617</v>
      </c>
    </row>
    <row r="7" ht="15.75" customHeight="1">
      <c r="A7" s="94" t="s">
        <v>163</v>
      </c>
      <c r="B7" s="95" t="s">
        <v>294</v>
      </c>
      <c r="C7" s="95" t="s">
        <v>300</v>
      </c>
      <c r="D7" s="95"/>
    </row>
    <row r="8" ht="15.75" customHeight="1">
      <c r="A8" s="94" t="s">
        <v>163</v>
      </c>
      <c r="B8" s="95" t="s">
        <v>294</v>
      </c>
      <c r="C8" s="95" t="s">
        <v>301</v>
      </c>
      <c r="D8" s="95"/>
    </row>
    <row r="9" ht="15.75" customHeight="1">
      <c r="A9" s="94" t="s">
        <v>163</v>
      </c>
      <c r="B9" s="95" t="s">
        <v>294</v>
      </c>
      <c r="C9" s="95" t="s">
        <v>302</v>
      </c>
      <c r="D9" s="95"/>
    </row>
    <row r="10" ht="15.75" customHeight="1">
      <c r="A10" s="94" t="s">
        <v>163</v>
      </c>
      <c r="B10" s="95" t="s">
        <v>294</v>
      </c>
      <c r="C10" s="95" t="s">
        <v>303</v>
      </c>
      <c r="D10" s="95"/>
    </row>
    <row r="11" ht="15.75" customHeight="1">
      <c r="A11" s="94" t="s">
        <v>163</v>
      </c>
      <c r="B11" s="95" t="s">
        <v>294</v>
      </c>
      <c r="C11" s="95" t="s">
        <v>304</v>
      </c>
      <c r="D11" s="95"/>
    </row>
    <row r="12" ht="15.75" customHeight="1">
      <c r="A12" s="94" t="s">
        <v>163</v>
      </c>
      <c r="B12" s="95" t="s">
        <v>294</v>
      </c>
      <c r="C12" s="95" t="s">
        <v>305</v>
      </c>
      <c r="D12" s="95"/>
    </row>
    <row r="13" ht="15.75" customHeight="1">
      <c r="A13" s="95" t="s">
        <v>163</v>
      </c>
      <c r="B13" s="95" t="s">
        <v>294</v>
      </c>
      <c r="C13" s="95" t="s">
        <v>306</v>
      </c>
      <c r="D13" s="95"/>
    </row>
    <row r="14" ht="15.75" customHeight="1">
      <c r="A14" s="95" t="s">
        <v>163</v>
      </c>
      <c r="B14" s="95" t="s">
        <v>294</v>
      </c>
      <c r="C14" s="95" t="s">
        <v>307</v>
      </c>
      <c r="D14" s="95"/>
    </row>
    <row r="15" ht="15.75" customHeight="1">
      <c r="A15" s="95" t="s">
        <v>163</v>
      </c>
      <c r="B15" s="95" t="s">
        <v>294</v>
      </c>
      <c r="C15" s="95" t="s">
        <v>308</v>
      </c>
      <c r="D15" s="95"/>
    </row>
    <row r="16" ht="15.75" customHeight="1">
      <c r="A16" s="95" t="s">
        <v>163</v>
      </c>
      <c r="B16" s="95" t="s">
        <v>294</v>
      </c>
      <c r="C16" s="95" t="s">
        <v>309</v>
      </c>
      <c r="D16" s="95"/>
    </row>
    <row r="17" ht="15.75" customHeight="1">
      <c r="A17" s="96" t="s">
        <v>163</v>
      </c>
      <c r="B17" s="95" t="s">
        <v>2878</v>
      </c>
      <c r="C17" s="95"/>
      <c r="D17" s="97"/>
    </row>
    <row r="18" ht="15.75" customHeight="1">
      <c r="A18" s="94" t="s">
        <v>163</v>
      </c>
      <c r="B18" s="95" t="s">
        <v>256</v>
      </c>
      <c r="C18" s="95" t="s">
        <v>257</v>
      </c>
      <c r="D18" s="95"/>
    </row>
    <row r="19" ht="15.75" customHeight="1">
      <c r="A19" s="94" t="s">
        <v>163</v>
      </c>
      <c r="B19" s="95" t="s">
        <v>256</v>
      </c>
      <c r="C19" s="95" t="s">
        <v>258</v>
      </c>
      <c r="D19" s="95"/>
    </row>
    <row r="20" ht="15.75" customHeight="1">
      <c r="A20" s="94" t="s">
        <v>163</v>
      </c>
      <c r="B20" s="95" t="s">
        <v>256</v>
      </c>
      <c r="C20" s="95" t="s">
        <v>259</v>
      </c>
      <c r="D20" s="95"/>
    </row>
    <row r="21" ht="15.75" customHeight="1">
      <c r="A21" s="94" t="s">
        <v>163</v>
      </c>
      <c r="B21" s="95" t="s">
        <v>256</v>
      </c>
      <c r="C21" s="95" t="s">
        <v>260</v>
      </c>
      <c r="D21" s="95"/>
    </row>
    <row r="22" ht="15.75" customHeight="1">
      <c r="A22" s="94" t="s">
        <v>163</v>
      </c>
      <c r="B22" s="95" t="s">
        <v>256</v>
      </c>
      <c r="C22" s="95" t="s">
        <v>261</v>
      </c>
      <c r="D22" s="95"/>
    </row>
    <row r="23" ht="15.75" customHeight="1">
      <c r="A23" s="94" t="s">
        <v>163</v>
      </c>
      <c r="B23" s="95" t="s">
        <v>256</v>
      </c>
      <c r="C23" s="95" t="s">
        <v>262</v>
      </c>
      <c r="D23" s="95"/>
    </row>
    <row r="24" ht="15.75" customHeight="1">
      <c r="A24" s="94" t="s">
        <v>163</v>
      </c>
      <c r="B24" s="95" t="s">
        <v>256</v>
      </c>
      <c r="C24" s="95" t="s">
        <v>263</v>
      </c>
      <c r="D24" s="95"/>
    </row>
    <row r="25" ht="15.75" customHeight="1">
      <c r="A25" s="94" t="s">
        <v>163</v>
      </c>
      <c r="B25" s="95" t="s">
        <v>256</v>
      </c>
      <c r="C25" s="95" t="s">
        <v>264</v>
      </c>
      <c r="D25" s="95"/>
    </row>
    <row r="26" ht="15.75" customHeight="1">
      <c r="A26" s="94" t="s">
        <v>163</v>
      </c>
      <c r="B26" s="95" t="s">
        <v>256</v>
      </c>
      <c r="C26" s="95" t="s">
        <v>265</v>
      </c>
      <c r="D26" s="95"/>
    </row>
    <row r="27" ht="15.75" customHeight="1">
      <c r="A27" s="94" t="s">
        <v>163</v>
      </c>
      <c r="B27" s="95" t="s">
        <v>256</v>
      </c>
      <c r="C27" s="95" t="s">
        <v>266</v>
      </c>
      <c r="D27" s="95"/>
    </row>
    <row r="28" ht="15.75" customHeight="1">
      <c r="A28" s="94" t="s">
        <v>163</v>
      </c>
      <c r="B28" s="95" t="s">
        <v>256</v>
      </c>
      <c r="C28" s="95" t="s">
        <v>267</v>
      </c>
      <c r="D28" s="95"/>
    </row>
    <row r="29" ht="15.75" customHeight="1">
      <c r="A29" s="94" t="s">
        <v>163</v>
      </c>
      <c r="B29" s="95" t="s">
        <v>256</v>
      </c>
      <c r="C29" s="95" t="s">
        <v>268</v>
      </c>
      <c r="D29" s="95"/>
    </row>
    <row r="30" ht="15.75" customHeight="1">
      <c r="A30" s="94" t="s">
        <v>163</v>
      </c>
      <c r="B30" s="95" t="s">
        <v>256</v>
      </c>
      <c r="C30" s="95" t="s">
        <v>269</v>
      </c>
      <c r="D30" s="95"/>
    </row>
    <row r="31" ht="15.75" customHeight="1">
      <c r="A31" s="94" t="s">
        <v>163</v>
      </c>
      <c r="B31" s="95" t="s">
        <v>351</v>
      </c>
      <c r="C31" s="95" t="s">
        <v>352</v>
      </c>
      <c r="D31" s="95"/>
    </row>
    <row r="32" ht="15.75" customHeight="1">
      <c r="A32" s="94" t="s">
        <v>163</v>
      </c>
      <c r="B32" s="95" t="s">
        <v>351</v>
      </c>
      <c r="C32" s="95" t="s">
        <v>353</v>
      </c>
      <c r="D32" s="95"/>
    </row>
    <row r="33" ht="15.75" customHeight="1">
      <c r="A33" s="94" t="s">
        <v>163</v>
      </c>
      <c r="B33" s="95" t="s">
        <v>351</v>
      </c>
      <c r="C33" s="95" t="s">
        <v>354</v>
      </c>
      <c r="D33" s="95"/>
    </row>
    <row r="34" ht="15.75" customHeight="1">
      <c r="A34" s="94" t="s">
        <v>163</v>
      </c>
      <c r="B34" s="95" t="s">
        <v>351</v>
      </c>
      <c r="C34" s="95" t="s">
        <v>355</v>
      </c>
      <c r="D34" s="95"/>
    </row>
    <row r="35" ht="15.75" customHeight="1">
      <c r="A35" s="94" t="s">
        <v>163</v>
      </c>
      <c r="B35" s="95" t="s">
        <v>351</v>
      </c>
      <c r="C35" s="95" t="s">
        <v>356</v>
      </c>
      <c r="D35" s="95"/>
    </row>
    <row r="36" ht="15.75" customHeight="1">
      <c r="A36" s="94" t="s">
        <v>163</v>
      </c>
      <c r="B36" s="95" t="s">
        <v>351</v>
      </c>
      <c r="C36" s="95" t="s">
        <v>357</v>
      </c>
      <c r="D36" s="95"/>
    </row>
    <row r="37" ht="15.75" customHeight="1">
      <c r="A37" s="94" t="s">
        <v>163</v>
      </c>
      <c r="B37" s="95" t="s">
        <v>351</v>
      </c>
      <c r="C37" s="95" t="s">
        <v>358</v>
      </c>
      <c r="D37" s="95"/>
    </row>
    <row r="38" ht="15.75" customHeight="1">
      <c r="A38" s="94" t="s">
        <v>163</v>
      </c>
      <c r="B38" s="95" t="s">
        <v>351</v>
      </c>
      <c r="C38" s="95" t="s">
        <v>359</v>
      </c>
      <c r="D38" s="95"/>
    </row>
    <row r="39" ht="15.75" customHeight="1">
      <c r="A39" s="94" t="s">
        <v>163</v>
      </c>
      <c r="B39" s="95" t="s">
        <v>351</v>
      </c>
      <c r="C39" s="95" t="s">
        <v>341</v>
      </c>
      <c r="D39" s="95"/>
    </row>
    <row r="40" ht="15.75" customHeight="1">
      <c r="A40" s="96" t="s">
        <v>163</v>
      </c>
      <c r="B40" s="95" t="s">
        <v>2879</v>
      </c>
      <c r="C40" s="95"/>
      <c r="D40" s="97"/>
    </row>
    <row r="41" ht="15.75" customHeight="1">
      <c r="A41" s="96" t="s">
        <v>163</v>
      </c>
      <c r="B41" s="95" t="s">
        <v>2881</v>
      </c>
      <c r="C41" s="95"/>
      <c r="D41" s="97"/>
    </row>
    <row r="42" ht="15.75" customHeight="1">
      <c r="A42" s="94" t="s">
        <v>163</v>
      </c>
      <c r="B42" s="95" t="s">
        <v>164</v>
      </c>
      <c r="C42" s="95" t="s">
        <v>165</v>
      </c>
      <c r="D42" s="94" t="s">
        <v>3012</v>
      </c>
    </row>
    <row r="43" ht="15.75" customHeight="1">
      <c r="A43" s="94" t="s">
        <v>163</v>
      </c>
      <c r="B43" s="95" t="s">
        <v>164</v>
      </c>
      <c r="C43" s="95" t="s">
        <v>166</v>
      </c>
      <c r="D43" s="94" t="s">
        <v>3118</v>
      </c>
    </row>
    <row r="44" ht="15.75" customHeight="1">
      <c r="A44" s="94" t="s">
        <v>163</v>
      </c>
      <c r="B44" s="95" t="s">
        <v>164</v>
      </c>
      <c r="C44" s="95" t="s">
        <v>167</v>
      </c>
      <c r="D44" s="94" t="s">
        <v>3032</v>
      </c>
    </row>
    <row r="45" ht="15.75" customHeight="1">
      <c r="A45" s="94" t="s">
        <v>163</v>
      </c>
      <c r="B45" s="95" t="s">
        <v>164</v>
      </c>
      <c r="C45" s="95" t="s">
        <v>168</v>
      </c>
      <c r="D45" s="94" t="s">
        <v>3119</v>
      </c>
    </row>
    <row r="46" ht="15.75" customHeight="1">
      <c r="A46" s="94" t="s">
        <v>163</v>
      </c>
      <c r="B46" s="95" t="s">
        <v>164</v>
      </c>
      <c r="C46" s="95" t="s">
        <v>169</v>
      </c>
      <c r="D46" s="94" t="s">
        <v>2969</v>
      </c>
    </row>
    <row r="47" ht="15.75" customHeight="1">
      <c r="A47" s="94" t="s">
        <v>163</v>
      </c>
      <c r="B47" s="95" t="s">
        <v>164</v>
      </c>
      <c r="C47" s="95" t="s">
        <v>170</v>
      </c>
      <c r="D47" s="94" t="s">
        <v>3120</v>
      </c>
    </row>
    <row r="48" ht="15.75" customHeight="1">
      <c r="A48" s="94" t="s">
        <v>163</v>
      </c>
      <c r="B48" s="95" t="s">
        <v>164</v>
      </c>
      <c r="C48" s="95" t="s">
        <v>171</v>
      </c>
      <c r="D48" s="94" t="s">
        <v>3121</v>
      </c>
    </row>
    <row r="49" ht="15.75" customHeight="1">
      <c r="A49" s="94" t="s">
        <v>163</v>
      </c>
      <c r="B49" s="95" t="s">
        <v>164</v>
      </c>
      <c r="C49" s="95" t="s">
        <v>172</v>
      </c>
      <c r="D49" s="94" t="s">
        <v>3122</v>
      </c>
    </row>
    <row r="50" ht="15.75" customHeight="1">
      <c r="A50" s="94" t="s">
        <v>163</v>
      </c>
      <c r="B50" s="95" t="s">
        <v>164</v>
      </c>
      <c r="C50" s="95" t="s">
        <v>173</v>
      </c>
      <c r="D50" s="94" t="s">
        <v>2958</v>
      </c>
    </row>
    <row r="51" ht="15.75" customHeight="1">
      <c r="A51" s="94" t="s">
        <v>163</v>
      </c>
      <c r="B51" s="95" t="s">
        <v>164</v>
      </c>
      <c r="C51" s="95" t="s">
        <v>174</v>
      </c>
      <c r="D51" s="94" t="s">
        <v>3077</v>
      </c>
    </row>
    <row r="52" ht="15.75" customHeight="1">
      <c r="A52" s="94" t="s">
        <v>163</v>
      </c>
      <c r="B52" s="95" t="s">
        <v>164</v>
      </c>
      <c r="C52" s="95" t="s">
        <v>175</v>
      </c>
      <c r="D52" s="94" t="s">
        <v>3027</v>
      </c>
    </row>
    <row r="53" ht="15.75" customHeight="1">
      <c r="A53" s="96" t="s">
        <v>163</v>
      </c>
      <c r="B53" s="95" t="s">
        <v>2867</v>
      </c>
      <c r="C53" s="95"/>
      <c r="D53" s="97"/>
    </row>
    <row r="54" ht="15.75" customHeight="1">
      <c r="A54" s="94" t="s">
        <v>163</v>
      </c>
      <c r="B54" s="95" t="s">
        <v>342</v>
      </c>
      <c r="C54" s="95" t="s">
        <v>343</v>
      </c>
      <c r="D54" s="95"/>
    </row>
    <row r="55" ht="15.75" customHeight="1">
      <c r="A55" s="94" t="s">
        <v>163</v>
      </c>
      <c r="B55" s="95" t="s">
        <v>342</v>
      </c>
      <c r="C55" s="95" t="s">
        <v>344</v>
      </c>
      <c r="D55" s="95"/>
    </row>
    <row r="56" ht="15.75" customHeight="1">
      <c r="A56" s="94" t="s">
        <v>163</v>
      </c>
      <c r="B56" s="95" t="s">
        <v>342</v>
      </c>
      <c r="C56" s="95" t="s">
        <v>345</v>
      </c>
      <c r="D56" s="95"/>
    </row>
    <row r="57" ht="15.75" customHeight="1">
      <c r="A57" s="94" t="s">
        <v>163</v>
      </c>
      <c r="B57" s="95" t="s">
        <v>342</v>
      </c>
      <c r="C57" s="95" t="s">
        <v>346</v>
      </c>
      <c r="D57" s="95"/>
    </row>
    <row r="58" ht="15.75" customHeight="1">
      <c r="A58" s="94" t="s">
        <v>163</v>
      </c>
      <c r="B58" s="95" t="s">
        <v>342</v>
      </c>
      <c r="C58" s="95" t="s">
        <v>347</v>
      </c>
      <c r="D58" s="95"/>
    </row>
    <row r="59" ht="15.75" customHeight="1">
      <c r="A59" s="94" t="s">
        <v>163</v>
      </c>
      <c r="B59" s="95" t="s">
        <v>342</v>
      </c>
      <c r="C59" s="95" t="s">
        <v>348</v>
      </c>
      <c r="D59" s="95"/>
    </row>
    <row r="60" ht="15.75" customHeight="1">
      <c r="A60" s="94" t="s">
        <v>163</v>
      </c>
      <c r="B60" s="95" t="s">
        <v>342</v>
      </c>
      <c r="C60" s="95" t="s">
        <v>341</v>
      </c>
      <c r="D60" s="95"/>
    </row>
    <row r="61" ht="15.75" customHeight="1">
      <c r="A61" s="94" t="s">
        <v>163</v>
      </c>
      <c r="B61" s="95" t="s">
        <v>342</v>
      </c>
      <c r="C61" s="95" t="s">
        <v>349</v>
      </c>
      <c r="D61" s="95"/>
    </row>
    <row r="62" ht="15.75" customHeight="1">
      <c r="A62" s="94" t="s">
        <v>163</v>
      </c>
      <c r="B62" s="95" t="s">
        <v>342</v>
      </c>
      <c r="C62" s="95" t="s">
        <v>350</v>
      </c>
      <c r="D62" s="95"/>
    </row>
    <row r="63" ht="15.75" customHeight="1">
      <c r="A63" s="96" t="s">
        <v>163</v>
      </c>
      <c r="B63" s="95" t="s">
        <v>2880</v>
      </c>
      <c r="C63" s="95"/>
      <c r="D63" s="97"/>
    </row>
    <row r="64" ht="15.75" customHeight="1">
      <c r="A64" s="95" t="s">
        <v>163</v>
      </c>
      <c r="B64" s="95" t="s">
        <v>2868</v>
      </c>
      <c r="C64" s="97"/>
      <c r="D64" s="97"/>
    </row>
    <row r="65" ht="15.75" customHeight="1">
      <c r="A65" s="95" t="s">
        <v>163</v>
      </c>
      <c r="B65" s="95" t="s">
        <v>2885</v>
      </c>
      <c r="C65" s="97"/>
      <c r="D65" s="97"/>
    </row>
    <row r="66" ht="15.75" customHeight="1">
      <c r="A66" s="95" t="s">
        <v>163</v>
      </c>
      <c r="B66" s="95" t="s">
        <v>2882</v>
      </c>
      <c r="C66" s="97"/>
      <c r="D66" s="97"/>
    </row>
    <row r="67" ht="15.75" customHeight="1">
      <c r="A67" s="94" t="s">
        <v>163</v>
      </c>
      <c r="B67" s="95" t="s">
        <v>242</v>
      </c>
      <c r="C67" s="95" t="s">
        <v>243</v>
      </c>
      <c r="D67" s="95"/>
    </row>
    <row r="68" ht="15.75" customHeight="1">
      <c r="A68" s="94" t="s">
        <v>163</v>
      </c>
      <c r="B68" s="95" t="s">
        <v>242</v>
      </c>
      <c r="C68" s="95" t="s">
        <v>244</v>
      </c>
      <c r="D68" s="95"/>
    </row>
    <row r="69" ht="15.75" customHeight="1">
      <c r="A69" s="94" t="s">
        <v>163</v>
      </c>
      <c r="B69" s="95" t="s">
        <v>242</v>
      </c>
      <c r="C69" s="95" t="s">
        <v>245</v>
      </c>
      <c r="D69" s="95"/>
    </row>
    <row r="70" ht="15.75" customHeight="1">
      <c r="A70" s="94" t="s">
        <v>163</v>
      </c>
      <c r="B70" s="95" t="s">
        <v>242</v>
      </c>
      <c r="C70" s="95" t="s">
        <v>246</v>
      </c>
      <c r="D70" s="95"/>
    </row>
    <row r="71" ht="15.75" customHeight="1">
      <c r="A71" s="94" t="s">
        <v>163</v>
      </c>
      <c r="B71" s="95" t="s">
        <v>242</v>
      </c>
      <c r="C71" s="95" t="s">
        <v>247</v>
      </c>
      <c r="D71" s="95"/>
    </row>
    <row r="72" ht="15.75" customHeight="1">
      <c r="A72" s="94" t="s">
        <v>163</v>
      </c>
      <c r="B72" s="95" t="s">
        <v>242</v>
      </c>
      <c r="C72" s="95" t="s">
        <v>248</v>
      </c>
      <c r="D72" s="95"/>
    </row>
    <row r="73" ht="15.75" customHeight="1">
      <c r="A73" s="94" t="s">
        <v>163</v>
      </c>
      <c r="B73" s="95" t="s">
        <v>242</v>
      </c>
      <c r="C73" s="95" t="s">
        <v>249</v>
      </c>
      <c r="D73" s="95"/>
    </row>
    <row r="74" ht="15.75" customHeight="1">
      <c r="A74" s="94" t="s">
        <v>163</v>
      </c>
      <c r="B74" s="95" t="s">
        <v>242</v>
      </c>
      <c r="C74" s="95" t="s">
        <v>250</v>
      </c>
      <c r="D74" s="95"/>
    </row>
    <row r="75" ht="15.75" customHeight="1">
      <c r="A75" s="94" t="s">
        <v>163</v>
      </c>
      <c r="B75" s="95" t="s">
        <v>181</v>
      </c>
      <c r="C75" s="95" t="s">
        <v>182</v>
      </c>
      <c r="D75" s="95"/>
    </row>
    <row r="76" ht="15.75" customHeight="1">
      <c r="A76" s="94" t="s">
        <v>163</v>
      </c>
      <c r="B76" s="95" t="s">
        <v>181</v>
      </c>
      <c r="C76" s="95" t="s">
        <v>183</v>
      </c>
      <c r="D76" s="95"/>
    </row>
    <row r="77" ht="15.75" customHeight="1">
      <c r="A77" s="94" t="s">
        <v>163</v>
      </c>
      <c r="B77" s="95" t="s">
        <v>181</v>
      </c>
      <c r="C77" s="95" t="s">
        <v>184</v>
      </c>
      <c r="D77" s="95"/>
    </row>
    <row r="78" ht="15.75" customHeight="1">
      <c r="A78" s="94" t="s">
        <v>163</v>
      </c>
      <c r="B78" s="95" t="s">
        <v>181</v>
      </c>
      <c r="C78" s="95" t="s">
        <v>185</v>
      </c>
      <c r="D78" s="95"/>
    </row>
    <row r="79" ht="15.75" customHeight="1">
      <c r="A79" s="94" t="s">
        <v>163</v>
      </c>
      <c r="B79" s="95" t="s">
        <v>181</v>
      </c>
      <c r="C79" s="95" t="s">
        <v>186</v>
      </c>
      <c r="D79" s="95"/>
    </row>
    <row r="80" ht="15.75" customHeight="1">
      <c r="A80" s="94" t="s">
        <v>163</v>
      </c>
      <c r="B80" s="95" t="s">
        <v>181</v>
      </c>
      <c r="C80" s="95" t="s">
        <v>187</v>
      </c>
      <c r="D80" s="95"/>
    </row>
    <row r="81" ht="15.75" customHeight="1">
      <c r="A81" s="94" t="s">
        <v>163</v>
      </c>
      <c r="B81" s="95" t="s">
        <v>181</v>
      </c>
      <c r="C81" s="95" t="s">
        <v>188</v>
      </c>
      <c r="D81" s="95"/>
    </row>
    <row r="82" ht="15.75" customHeight="1">
      <c r="A82" s="94" t="s">
        <v>163</v>
      </c>
      <c r="B82" s="95" t="s">
        <v>181</v>
      </c>
      <c r="C82" s="95" t="s">
        <v>189</v>
      </c>
      <c r="D82" s="95"/>
    </row>
    <row r="83" ht="15.75" customHeight="1">
      <c r="A83" s="94" t="s">
        <v>163</v>
      </c>
      <c r="B83" s="95" t="s">
        <v>181</v>
      </c>
      <c r="C83" s="95" t="s">
        <v>190</v>
      </c>
      <c r="D83" s="95"/>
    </row>
    <row r="84" ht="15.75" customHeight="1">
      <c r="A84" s="94" t="s">
        <v>163</v>
      </c>
      <c r="B84" s="95" t="s">
        <v>181</v>
      </c>
      <c r="C84" s="95" t="s">
        <v>191</v>
      </c>
      <c r="D84" s="95"/>
    </row>
    <row r="85" ht="15.75" customHeight="1">
      <c r="A85" s="94" t="s">
        <v>163</v>
      </c>
      <c r="B85" s="95" t="s">
        <v>181</v>
      </c>
      <c r="C85" s="95" t="s">
        <v>192</v>
      </c>
      <c r="D85" s="95"/>
    </row>
    <row r="86" ht="15.75" customHeight="1">
      <c r="A86" s="94" t="s">
        <v>163</v>
      </c>
      <c r="B86" s="95" t="s">
        <v>181</v>
      </c>
      <c r="C86" s="95" t="s">
        <v>193</v>
      </c>
      <c r="D86" s="95"/>
    </row>
    <row r="87" ht="15.75" customHeight="1">
      <c r="A87" s="94" t="s">
        <v>163</v>
      </c>
      <c r="B87" s="95" t="s">
        <v>181</v>
      </c>
      <c r="C87" s="95" t="s">
        <v>194</v>
      </c>
      <c r="D87" s="95"/>
    </row>
    <row r="88" ht="15.75" customHeight="1">
      <c r="A88" s="94" t="s">
        <v>163</v>
      </c>
      <c r="B88" s="95" t="s">
        <v>215</v>
      </c>
      <c r="C88" s="95" t="s">
        <v>216</v>
      </c>
      <c r="D88" s="95"/>
    </row>
    <row r="89" ht="15.75" customHeight="1">
      <c r="A89" s="94" t="s">
        <v>163</v>
      </c>
      <c r="B89" s="95" t="s">
        <v>215</v>
      </c>
      <c r="C89" s="95" t="s">
        <v>217</v>
      </c>
      <c r="D89" s="95"/>
    </row>
    <row r="90" ht="15.75" customHeight="1">
      <c r="A90" s="94" t="s">
        <v>163</v>
      </c>
      <c r="B90" s="95" t="s">
        <v>215</v>
      </c>
      <c r="C90" s="95" t="s">
        <v>218</v>
      </c>
      <c r="D90" s="95"/>
    </row>
    <row r="91" ht="15.75" customHeight="1">
      <c r="A91" s="94" t="s">
        <v>163</v>
      </c>
      <c r="B91" s="95" t="s">
        <v>215</v>
      </c>
      <c r="C91" s="95" t="s">
        <v>219</v>
      </c>
      <c r="D91" s="95"/>
    </row>
    <row r="92" ht="15.75" customHeight="1">
      <c r="A92" s="94" t="s">
        <v>163</v>
      </c>
      <c r="B92" s="95" t="s">
        <v>215</v>
      </c>
      <c r="C92" s="95" t="s">
        <v>220</v>
      </c>
      <c r="D92" s="95"/>
    </row>
    <row r="93" ht="15.75" customHeight="1">
      <c r="A93" s="94" t="s">
        <v>163</v>
      </c>
      <c r="B93" s="95" t="s">
        <v>215</v>
      </c>
      <c r="C93" s="95" t="s">
        <v>221</v>
      </c>
      <c r="D93" s="95"/>
    </row>
    <row r="94" ht="15.75" customHeight="1">
      <c r="A94" s="94" t="s">
        <v>163</v>
      </c>
      <c r="B94" s="95" t="s">
        <v>215</v>
      </c>
      <c r="C94" s="95" t="s">
        <v>222</v>
      </c>
      <c r="D94" s="95"/>
    </row>
    <row r="95" ht="15.75" customHeight="1">
      <c r="A95" s="94" t="s">
        <v>163</v>
      </c>
      <c r="B95" s="95" t="s">
        <v>215</v>
      </c>
      <c r="C95" s="95" t="s">
        <v>223</v>
      </c>
      <c r="D95" s="95"/>
    </row>
    <row r="96" ht="15.75" customHeight="1">
      <c r="A96" s="94" t="s">
        <v>163</v>
      </c>
      <c r="B96" s="95" t="s">
        <v>215</v>
      </c>
      <c r="C96" s="95" t="s">
        <v>224</v>
      </c>
      <c r="D96" s="95"/>
    </row>
    <row r="97" ht="15.75" customHeight="1">
      <c r="A97" s="94" t="s">
        <v>163</v>
      </c>
      <c r="B97" s="95" t="s">
        <v>288</v>
      </c>
      <c r="C97" s="95" t="s">
        <v>289</v>
      </c>
      <c r="D97" s="95"/>
    </row>
    <row r="98" ht="15.75" customHeight="1">
      <c r="A98" s="94" t="s">
        <v>163</v>
      </c>
      <c r="B98" s="95" t="s">
        <v>288</v>
      </c>
      <c r="C98" s="95" t="s">
        <v>290</v>
      </c>
      <c r="D98" s="95"/>
    </row>
    <row r="99" ht="15.75" customHeight="1">
      <c r="A99" s="94" t="s">
        <v>163</v>
      </c>
      <c r="B99" s="95" t="s">
        <v>288</v>
      </c>
      <c r="C99" s="95" t="s">
        <v>291</v>
      </c>
      <c r="D99" s="95"/>
    </row>
    <row r="100" ht="15.75" customHeight="1">
      <c r="A100" s="94" t="s">
        <v>163</v>
      </c>
      <c r="B100" s="95" t="s">
        <v>288</v>
      </c>
      <c r="C100" s="95" t="s">
        <v>292</v>
      </c>
      <c r="D100" s="95"/>
    </row>
    <row r="101" ht="15.75" customHeight="1">
      <c r="A101" s="94" t="s">
        <v>163</v>
      </c>
      <c r="B101" s="95" t="s">
        <v>288</v>
      </c>
      <c r="C101" s="95" t="s">
        <v>293</v>
      </c>
      <c r="D101" s="95"/>
    </row>
    <row r="102" ht="15.75" customHeight="1">
      <c r="A102" s="95" t="s">
        <v>163</v>
      </c>
      <c r="B102" s="95" t="s">
        <v>2883</v>
      </c>
      <c r="C102" s="97"/>
      <c r="D102" s="97"/>
    </row>
    <row r="103" ht="15.75" customHeight="1">
      <c r="A103" s="95" t="s">
        <v>163</v>
      </c>
      <c r="B103" s="95" t="s">
        <v>2884</v>
      </c>
      <c r="C103" s="97"/>
      <c r="D103" s="97"/>
    </row>
    <row r="104" ht="15.75" customHeight="1">
      <c r="A104" s="95" t="s">
        <v>163</v>
      </c>
      <c r="B104" s="95" t="s">
        <v>2870</v>
      </c>
      <c r="C104" s="97"/>
      <c r="D104" s="97"/>
    </row>
    <row r="105" ht="15.75" customHeight="1">
      <c r="A105" s="95" t="s">
        <v>163</v>
      </c>
      <c r="B105" s="95" t="s">
        <v>2869</v>
      </c>
      <c r="C105" s="97"/>
      <c r="D105" s="97"/>
    </row>
    <row r="106" ht="15.75" customHeight="1">
      <c r="A106" s="95" t="s">
        <v>163</v>
      </c>
      <c r="B106" s="95" t="s">
        <v>2871</v>
      </c>
      <c r="C106" s="97"/>
      <c r="D106" s="97"/>
    </row>
    <row r="107" ht="15.75" customHeight="1">
      <c r="A107" s="95" t="s">
        <v>163</v>
      </c>
      <c r="B107" s="95" t="s">
        <v>310</v>
      </c>
      <c r="C107" s="95" t="s">
        <v>311</v>
      </c>
      <c r="D107" s="95"/>
    </row>
    <row r="108" ht="15.75" customHeight="1">
      <c r="A108" s="95" t="s">
        <v>163</v>
      </c>
      <c r="B108" s="95" t="s">
        <v>310</v>
      </c>
      <c r="C108" s="95" t="s">
        <v>312</v>
      </c>
      <c r="D108" s="95"/>
    </row>
    <row r="109" ht="15.75" customHeight="1">
      <c r="A109" s="95" t="s">
        <v>163</v>
      </c>
      <c r="B109" s="95" t="s">
        <v>310</v>
      </c>
      <c r="C109" s="95" t="s">
        <v>313</v>
      </c>
      <c r="D109" s="95"/>
    </row>
    <row r="110" ht="15.75" customHeight="1">
      <c r="A110" s="95" t="s">
        <v>163</v>
      </c>
      <c r="B110" s="95" t="s">
        <v>310</v>
      </c>
      <c r="C110" s="95" t="s">
        <v>314</v>
      </c>
      <c r="D110" s="95"/>
    </row>
    <row r="111" ht="15.75" customHeight="1">
      <c r="A111" s="95" t="s">
        <v>163</v>
      </c>
      <c r="B111" s="95" t="s">
        <v>310</v>
      </c>
      <c r="C111" s="95" t="s">
        <v>315</v>
      </c>
      <c r="D111" s="95"/>
    </row>
    <row r="112" ht="15.75" customHeight="1">
      <c r="A112" s="94" t="s">
        <v>163</v>
      </c>
      <c r="B112" s="95" t="s">
        <v>310</v>
      </c>
      <c r="C112" s="95" t="s">
        <v>316</v>
      </c>
      <c r="D112" s="95"/>
    </row>
    <row r="113" ht="15.75" customHeight="1">
      <c r="A113" s="94" t="s">
        <v>163</v>
      </c>
      <c r="B113" s="95" t="s">
        <v>310</v>
      </c>
      <c r="C113" s="95" t="s">
        <v>317</v>
      </c>
      <c r="D113" s="95"/>
    </row>
    <row r="114" ht="15.75" customHeight="1">
      <c r="A114" s="94" t="s">
        <v>163</v>
      </c>
      <c r="B114" s="95" t="s">
        <v>310</v>
      </c>
      <c r="C114" s="95" t="s">
        <v>318</v>
      </c>
      <c r="D114" s="95"/>
    </row>
    <row r="115" ht="15.75" customHeight="1">
      <c r="A115" s="94" t="s">
        <v>163</v>
      </c>
      <c r="B115" s="95" t="s">
        <v>310</v>
      </c>
      <c r="C115" s="95" t="s">
        <v>319</v>
      </c>
      <c r="D115" s="95"/>
    </row>
    <row r="116" ht="15.75" customHeight="1">
      <c r="A116" s="94" t="s">
        <v>163</v>
      </c>
      <c r="B116" s="95" t="s">
        <v>310</v>
      </c>
      <c r="C116" s="95" t="s">
        <v>320</v>
      </c>
      <c r="D116" s="95"/>
    </row>
    <row r="117" ht="15.75" customHeight="1">
      <c r="A117" s="94" t="s">
        <v>163</v>
      </c>
      <c r="B117" s="95" t="s">
        <v>310</v>
      </c>
      <c r="C117" s="95" t="s">
        <v>321</v>
      </c>
      <c r="D117" s="95"/>
    </row>
    <row r="118" ht="15.75" customHeight="1">
      <c r="A118" s="94" t="s">
        <v>163</v>
      </c>
      <c r="B118" s="95" t="s">
        <v>310</v>
      </c>
      <c r="C118" s="95" t="s">
        <v>322</v>
      </c>
      <c r="D118" s="95"/>
    </row>
    <row r="119" ht="15.75" customHeight="1">
      <c r="A119" s="94" t="s">
        <v>163</v>
      </c>
      <c r="B119" s="95" t="s">
        <v>310</v>
      </c>
      <c r="C119" s="95" t="s">
        <v>323</v>
      </c>
      <c r="D119" s="95"/>
    </row>
    <row r="120" ht="15.75" customHeight="1">
      <c r="A120" s="94" t="s">
        <v>163</v>
      </c>
      <c r="B120" s="95" t="s">
        <v>310</v>
      </c>
      <c r="C120" s="95" t="s">
        <v>324</v>
      </c>
      <c r="D120" s="95"/>
    </row>
    <row r="121" ht="15.75" customHeight="1">
      <c r="A121" s="94" t="s">
        <v>163</v>
      </c>
      <c r="B121" s="95" t="s">
        <v>310</v>
      </c>
      <c r="C121" s="95" t="s">
        <v>325</v>
      </c>
      <c r="D121" s="95"/>
    </row>
    <row r="122" ht="15.75" customHeight="1">
      <c r="A122" s="94" t="s">
        <v>163</v>
      </c>
      <c r="B122" s="95" t="s">
        <v>310</v>
      </c>
      <c r="C122" s="95" t="s">
        <v>326</v>
      </c>
      <c r="D122" s="95"/>
    </row>
    <row r="123" ht="15.75" customHeight="1">
      <c r="A123" s="94" t="s">
        <v>163</v>
      </c>
      <c r="B123" s="95" t="s">
        <v>310</v>
      </c>
      <c r="C123" s="95" t="s">
        <v>327</v>
      </c>
      <c r="D123" s="95"/>
    </row>
    <row r="124" ht="15.75" customHeight="1">
      <c r="A124" s="94" t="s">
        <v>163</v>
      </c>
      <c r="B124" s="95" t="s">
        <v>310</v>
      </c>
      <c r="C124" s="95" t="s">
        <v>328</v>
      </c>
      <c r="D124" s="95"/>
    </row>
    <row r="125" ht="15.75" customHeight="1">
      <c r="A125" s="94" t="s">
        <v>163</v>
      </c>
      <c r="B125" s="95" t="s">
        <v>310</v>
      </c>
      <c r="C125" s="95" t="s">
        <v>329</v>
      </c>
      <c r="D125" s="95"/>
    </row>
    <row r="126" ht="15.75" customHeight="1">
      <c r="A126" s="95" t="s">
        <v>163</v>
      </c>
      <c r="B126" s="95" t="s">
        <v>749</v>
      </c>
      <c r="C126" s="97"/>
      <c r="D126" s="97"/>
    </row>
    <row r="127" ht="15.75" customHeight="1">
      <c r="A127" s="95" t="s">
        <v>163</v>
      </c>
      <c r="B127" s="95" t="s">
        <v>2872</v>
      </c>
      <c r="C127" s="97"/>
      <c r="D127" s="97"/>
    </row>
    <row r="128" ht="15.75" customHeight="1">
      <c r="A128" s="94" t="s">
        <v>163</v>
      </c>
      <c r="B128" s="95" t="s">
        <v>225</v>
      </c>
      <c r="C128" s="95" t="s">
        <v>216</v>
      </c>
      <c r="D128" s="95"/>
    </row>
    <row r="129" ht="15.75" customHeight="1">
      <c r="A129" s="94" t="s">
        <v>163</v>
      </c>
      <c r="B129" s="95" t="s">
        <v>225</v>
      </c>
      <c r="C129" s="95" t="s">
        <v>226</v>
      </c>
      <c r="D129" s="95"/>
    </row>
    <row r="130" ht="15.75" customHeight="1">
      <c r="A130" s="94" t="s">
        <v>163</v>
      </c>
      <c r="B130" s="95" t="s">
        <v>225</v>
      </c>
      <c r="C130" s="95" t="s">
        <v>227</v>
      </c>
      <c r="D130" s="95"/>
    </row>
    <row r="131" ht="15.75" customHeight="1">
      <c r="A131" s="94" t="s">
        <v>163</v>
      </c>
      <c r="B131" s="95" t="s">
        <v>225</v>
      </c>
      <c r="C131" s="95" t="s">
        <v>228</v>
      </c>
      <c r="D131" s="95"/>
    </row>
    <row r="132" ht="15.75" customHeight="1">
      <c r="A132" s="94" t="s">
        <v>163</v>
      </c>
      <c r="B132" s="95" t="s">
        <v>225</v>
      </c>
      <c r="C132" s="95" t="s">
        <v>229</v>
      </c>
      <c r="D132" s="95"/>
    </row>
    <row r="133" ht="15.75" customHeight="1">
      <c r="A133" s="94" t="s">
        <v>163</v>
      </c>
      <c r="B133" s="95" t="s">
        <v>225</v>
      </c>
      <c r="C133" s="95" t="s">
        <v>230</v>
      </c>
      <c r="D133" s="95"/>
    </row>
    <row r="134" ht="15.75" customHeight="1">
      <c r="A134" s="94" t="s">
        <v>163</v>
      </c>
      <c r="B134" s="95" t="s">
        <v>225</v>
      </c>
      <c r="C134" s="95" t="s">
        <v>223</v>
      </c>
      <c r="D134" s="95"/>
    </row>
    <row r="135" ht="15.75" customHeight="1">
      <c r="A135" s="94" t="s">
        <v>163</v>
      </c>
      <c r="B135" s="95" t="s">
        <v>225</v>
      </c>
      <c r="C135" s="95" t="s">
        <v>224</v>
      </c>
      <c r="D135" s="95"/>
    </row>
    <row r="136" ht="15.75" customHeight="1">
      <c r="A136" s="94" t="s">
        <v>163</v>
      </c>
      <c r="B136" s="95" t="s">
        <v>225</v>
      </c>
      <c r="C136" s="95" t="s">
        <v>231</v>
      </c>
      <c r="D136" s="95"/>
    </row>
    <row r="137" ht="15.75" customHeight="1">
      <c r="A137" s="94" t="s">
        <v>163</v>
      </c>
      <c r="B137" s="95" t="s">
        <v>225</v>
      </c>
      <c r="C137" s="95" t="s">
        <v>232</v>
      </c>
      <c r="D137" s="95"/>
    </row>
    <row r="138" ht="15.75" customHeight="1">
      <c r="A138" s="94" t="s">
        <v>163</v>
      </c>
      <c r="B138" s="95" t="s">
        <v>225</v>
      </c>
      <c r="C138" s="95" t="s">
        <v>233</v>
      </c>
      <c r="D138" s="95"/>
    </row>
    <row r="139" ht="15.75" customHeight="1">
      <c r="A139" s="95" t="s">
        <v>163</v>
      </c>
      <c r="B139" s="95" t="s">
        <v>2873</v>
      </c>
      <c r="C139" s="97"/>
      <c r="D139" s="97"/>
    </row>
    <row r="140" ht="15.75" customHeight="1">
      <c r="A140" s="95" t="s">
        <v>163</v>
      </c>
      <c r="B140" s="95" t="s">
        <v>2874</v>
      </c>
      <c r="C140" s="97"/>
      <c r="D140" s="97"/>
    </row>
    <row r="141" ht="15.75" customHeight="1">
      <c r="A141" s="95" t="s">
        <v>163</v>
      </c>
      <c r="B141" s="95" t="s">
        <v>2875</v>
      </c>
      <c r="C141" s="97"/>
      <c r="D141" s="97"/>
    </row>
    <row r="142" ht="15.75" customHeight="1">
      <c r="A142" s="95" t="s">
        <v>163</v>
      </c>
      <c r="B142" s="95" t="s">
        <v>2876</v>
      </c>
      <c r="C142" s="97"/>
      <c r="D142" s="97"/>
    </row>
    <row r="143" ht="15.75" customHeight="1">
      <c r="A143" s="94" t="s">
        <v>163</v>
      </c>
      <c r="B143" s="95" t="s">
        <v>270</v>
      </c>
      <c r="C143" s="95" t="s">
        <v>271</v>
      </c>
      <c r="D143" s="95"/>
    </row>
    <row r="144" ht="15.75" customHeight="1">
      <c r="A144" s="94" t="s">
        <v>163</v>
      </c>
      <c r="B144" s="95" t="s">
        <v>270</v>
      </c>
      <c r="C144" s="95" t="s">
        <v>272</v>
      </c>
      <c r="D144" s="95"/>
    </row>
    <row r="145" ht="15.75" customHeight="1">
      <c r="A145" s="94" t="s">
        <v>163</v>
      </c>
      <c r="B145" s="95" t="s">
        <v>270</v>
      </c>
      <c r="C145" s="95" t="s">
        <v>273</v>
      </c>
      <c r="D145" s="95"/>
    </row>
    <row r="146" ht="15.75" customHeight="1">
      <c r="A146" s="94" t="s">
        <v>163</v>
      </c>
      <c r="B146" s="95" t="s">
        <v>270</v>
      </c>
      <c r="C146" s="95" t="s">
        <v>274</v>
      </c>
      <c r="D146" s="95"/>
    </row>
    <row r="147" ht="15.75" customHeight="1">
      <c r="A147" s="94" t="s">
        <v>163</v>
      </c>
      <c r="B147" s="95" t="s">
        <v>270</v>
      </c>
      <c r="C147" s="95" t="s">
        <v>275</v>
      </c>
      <c r="D147" s="95"/>
    </row>
    <row r="148" ht="15.75" customHeight="1">
      <c r="A148" s="94" t="s">
        <v>163</v>
      </c>
      <c r="B148" s="95" t="s">
        <v>270</v>
      </c>
      <c r="C148" s="95" t="s">
        <v>276</v>
      </c>
      <c r="D148" s="95"/>
    </row>
    <row r="149" ht="15.75" customHeight="1">
      <c r="A149" s="94" t="s">
        <v>163</v>
      </c>
      <c r="B149" s="95" t="s">
        <v>270</v>
      </c>
      <c r="C149" s="95" t="s">
        <v>277</v>
      </c>
      <c r="D149" s="95"/>
    </row>
    <row r="150" ht="15.75" customHeight="1">
      <c r="A150" s="94" t="s">
        <v>163</v>
      </c>
      <c r="B150" s="95" t="s">
        <v>270</v>
      </c>
      <c r="C150" s="95" t="s">
        <v>278</v>
      </c>
      <c r="D150" s="95"/>
    </row>
    <row r="151" ht="15.75" customHeight="1">
      <c r="A151" s="94" t="s">
        <v>163</v>
      </c>
      <c r="B151" s="95" t="s">
        <v>270</v>
      </c>
      <c r="C151" s="95" t="s">
        <v>279</v>
      </c>
      <c r="D151" s="95"/>
    </row>
    <row r="152" ht="15.75" customHeight="1">
      <c r="A152" s="94" t="s">
        <v>163</v>
      </c>
      <c r="B152" s="95" t="s">
        <v>270</v>
      </c>
      <c r="C152" s="95" t="s">
        <v>280</v>
      </c>
      <c r="D152" s="95"/>
    </row>
    <row r="153" ht="15.75" customHeight="1">
      <c r="A153" s="94" t="s">
        <v>163</v>
      </c>
      <c r="B153" s="95" t="s">
        <v>270</v>
      </c>
      <c r="C153" s="95" t="s">
        <v>281</v>
      </c>
      <c r="D153" s="95"/>
    </row>
    <row r="154" ht="15.75" customHeight="1">
      <c r="A154" s="94" t="s">
        <v>163</v>
      </c>
      <c r="B154" s="95" t="s">
        <v>270</v>
      </c>
      <c r="C154" s="95" t="s">
        <v>282</v>
      </c>
      <c r="D154" s="95"/>
    </row>
    <row r="155" ht="15.75" customHeight="1">
      <c r="A155" s="94" t="s">
        <v>163</v>
      </c>
      <c r="B155" s="95" t="s">
        <v>270</v>
      </c>
      <c r="C155" s="95" t="s">
        <v>283</v>
      </c>
      <c r="D155" s="95"/>
    </row>
    <row r="156" ht="15.75" customHeight="1">
      <c r="A156" s="94" t="s">
        <v>163</v>
      </c>
      <c r="B156" s="95" t="s">
        <v>270</v>
      </c>
      <c r="C156" s="95" t="s">
        <v>284</v>
      </c>
      <c r="D156" s="95"/>
    </row>
    <row r="157" ht="15.75" customHeight="1">
      <c r="A157" s="94" t="s">
        <v>163</v>
      </c>
      <c r="B157" s="95" t="s">
        <v>270</v>
      </c>
      <c r="C157" s="95" t="s">
        <v>285</v>
      </c>
      <c r="D157" s="95"/>
    </row>
    <row r="158" ht="15.75" customHeight="1">
      <c r="A158" s="94" t="s">
        <v>163</v>
      </c>
      <c r="B158" s="95" t="s">
        <v>270</v>
      </c>
      <c r="C158" s="95" t="s">
        <v>286</v>
      </c>
      <c r="D158" s="95"/>
    </row>
    <row r="159" ht="15.75" customHeight="1">
      <c r="A159" s="94" t="s">
        <v>163</v>
      </c>
      <c r="B159" s="95" t="s">
        <v>270</v>
      </c>
      <c r="C159" s="95" t="s">
        <v>287</v>
      </c>
      <c r="D159" s="95"/>
    </row>
    <row r="160" ht="15.75" customHeight="1">
      <c r="A160" s="94" t="s">
        <v>163</v>
      </c>
      <c r="B160" s="95" t="s">
        <v>234</v>
      </c>
      <c r="C160" s="95" t="s">
        <v>235</v>
      </c>
      <c r="D160" s="95"/>
    </row>
    <row r="161" ht="15.75" customHeight="1">
      <c r="A161" s="94" t="s">
        <v>163</v>
      </c>
      <c r="B161" s="95" t="s">
        <v>234</v>
      </c>
      <c r="C161" s="95" t="s">
        <v>236</v>
      </c>
      <c r="D161" s="95"/>
    </row>
    <row r="162" ht="15.75" customHeight="1">
      <c r="A162" s="94" t="s">
        <v>163</v>
      </c>
      <c r="B162" s="95" t="s">
        <v>234</v>
      </c>
      <c r="C162" s="95" t="s">
        <v>237</v>
      </c>
      <c r="D162" s="95"/>
    </row>
    <row r="163" ht="15.75" customHeight="1">
      <c r="A163" s="94" t="s">
        <v>163</v>
      </c>
      <c r="B163" s="95" t="s">
        <v>234</v>
      </c>
      <c r="C163" s="95" t="s">
        <v>238</v>
      </c>
      <c r="D163" s="95"/>
    </row>
    <row r="164" ht="15.75" customHeight="1">
      <c r="A164" s="94" t="s">
        <v>163</v>
      </c>
      <c r="B164" s="95" t="s">
        <v>234</v>
      </c>
      <c r="C164" s="95" t="s">
        <v>239</v>
      </c>
      <c r="D164" s="95"/>
    </row>
    <row r="165" ht="15.75" customHeight="1">
      <c r="A165" s="94" t="s">
        <v>163</v>
      </c>
      <c r="B165" s="95" t="s">
        <v>234</v>
      </c>
      <c r="C165" s="95" t="s">
        <v>240</v>
      </c>
      <c r="D165" s="95"/>
    </row>
    <row r="166" ht="15.75" customHeight="1">
      <c r="A166" s="94" t="s">
        <v>163</v>
      </c>
      <c r="B166" s="95" t="s">
        <v>234</v>
      </c>
      <c r="C166" s="95" t="s">
        <v>241</v>
      </c>
      <c r="D166" s="95"/>
    </row>
    <row r="167" ht="15.75" customHeight="1">
      <c r="A167" s="94" t="s">
        <v>163</v>
      </c>
      <c r="B167" s="95" t="s">
        <v>330</v>
      </c>
      <c r="C167" s="95" t="s">
        <v>331</v>
      </c>
      <c r="D167" s="95"/>
    </row>
    <row r="168" ht="15.75" customHeight="1">
      <c r="A168" s="94" t="s">
        <v>163</v>
      </c>
      <c r="B168" s="95" t="s">
        <v>330</v>
      </c>
      <c r="C168" s="95" t="s">
        <v>332</v>
      </c>
      <c r="D168" s="95"/>
    </row>
    <row r="169" ht="15.75" customHeight="1">
      <c r="A169" s="94" t="s">
        <v>163</v>
      </c>
      <c r="B169" s="95" t="s">
        <v>330</v>
      </c>
      <c r="C169" s="95" t="s">
        <v>333</v>
      </c>
      <c r="D169" s="95"/>
    </row>
    <row r="170" ht="15.75" customHeight="1">
      <c r="A170" s="94" t="s">
        <v>163</v>
      </c>
      <c r="B170" s="95" t="s">
        <v>330</v>
      </c>
      <c r="C170" s="95" t="s">
        <v>334</v>
      </c>
      <c r="D170" s="95"/>
    </row>
    <row r="171" ht="15.75" customHeight="1">
      <c r="A171" s="94" t="s">
        <v>163</v>
      </c>
      <c r="B171" s="95" t="s">
        <v>330</v>
      </c>
      <c r="C171" s="95" t="s">
        <v>335</v>
      </c>
      <c r="D171" s="95"/>
    </row>
    <row r="172" ht="15.75" customHeight="1">
      <c r="A172" s="94" t="s">
        <v>163</v>
      </c>
      <c r="B172" s="95" t="s">
        <v>330</v>
      </c>
      <c r="C172" s="95" t="s">
        <v>336</v>
      </c>
      <c r="D172" s="95"/>
    </row>
    <row r="173" ht="15.75" customHeight="1">
      <c r="A173" s="94" t="s">
        <v>163</v>
      </c>
      <c r="B173" s="95" t="s">
        <v>330</v>
      </c>
      <c r="C173" s="95" t="s">
        <v>337</v>
      </c>
      <c r="D173" s="95"/>
    </row>
    <row r="174" ht="15.75" customHeight="1">
      <c r="A174" s="94" t="s">
        <v>163</v>
      </c>
      <c r="B174" s="95" t="s">
        <v>330</v>
      </c>
      <c r="C174" s="95" t="s">
        <v>338</v>
      </c>
      <c r="D174" s="95"/>
    </row>
    <row r="175" ht="15.75" customHeight="1">
      <c r="A175" s="94" t="s">
        <v>163</v>
      </c>
      <c r="B175" s="95" t="s">
        <v>330</v>
      </c>
      <c r="C175" s="95" t="s">
        <v>339</v>
      </c>
      <c r="D175" s="95"/>
    </row>
    <row r="176" ht="15.75" customHeight="1">
      <c r="A176" s="94" t="s">
        <v>163</v>
      </c>
      <c r="B176" s="95" t="s">
        <v>330</v>
      </c>
      <c r="C176" s="95" t="s">
        <v>340</v>
      </c>
      <c r="D176" s="95"/>
    </row>
    <row r="177" ht="15.75" customHeight="1">
      <c r="A177" s="94" t="s">
        <v>163</v>
      </c>
      <c r="B177" s="95" t="s">
        <v>330</v>
      </c>
      <c r="C177" s="95" t="s">
        <v>341</v>
      </c>
      <c r="D177" s="95"/>
    </row>
    <row r="178" ht="15.75" customHeight="1">
      <c r="A178" s="94" t="s">
        <v>163</v>
      </c>
      <c r="B178" s="95" t="s">
        <v>176</v>
      </c>
      <c r="C178" s="95" t="s">
        <v>177</v>
      </c>
      <c r="D178" s="94" t="s">
        <v>3123</v>
      </c>
    </row>
    <row r="179" ht="15.75" customHeight="1">
      <c r="A179" s="94" t="s">
        <v>163</v>
      </c>
      <c r="B179" s="95" t="s">
        <v>176</v>
      </c>
      <c r="C179" s="95" t="s">
        <v>165</v>
      </c>
      <c r="D179" s="94" t="s">
        <v>3038</v>
      </c>
    </row>
    <row r="180" ht="15.75" customHeight="1">
      <c r="A180" s="94" t="s">
        <v>163</v>
      </c>
      <c r="B180" s="95" t="s">
        <v>176</v>
      </c>
      <c r="C180" s="95" t="s">
        <v>178</v>
      </c>
      <c r="D180" s="94" t="s">
        <v>3124</v>
      </c>
    </row>
    <row r="181" ht="15.75" customHeight="1">
      <c r="A181" s="94" t="s">
        <v>163</v>
      </c>
      <c r="B181" s="95" t="s">
        <v>176</v>
      </c>
      <c r="C181" s="95" t="s">
        <v>167</v>
      </c>
      <c r="D181" s="95"/>
    </row>
    <row r="182" ht="15.75" customHeight="1">
      <c r="A182" s="94" t="s">
        <v>163</v>
      </c>
      <c r="B182" s="95" t="s">
        <v>176</v>
      </c>
      <c r="C182" s="95" t="s">
        <v>169</v>
      </c>
      <c r="D182" s="95"/>
    </row>
    <row r="183" ht="15.75" customHeight="1">
      <c r="A183" s="94" t="s">
        <v>163</v>
      </c>
      <c r="B183" s="95" t="s">
        <v>176</v>
      </c>
      <c r="C183" s="95" t="s">
        <v>170</v>
      </c>
      <c r="D183" s="95"/>
    </row>
    <row r="184" ht="15.75" customHeight="1">
      <c r="A184" s="94" t="s">
        <v>163</v>
      </c>
      <c r="B184" s="95" t="s">
        <v>176</v>
      </c>
      <c r="C184" s="95" t="s">
        <v>171</v>
      </c>
      <c r="D184" s="95"/>
    </row>
    <row r="185" ht="15.75" customHeight="1">
      <c r="A185" s="94" t="s">
        <v>163</v>
      </c>
      <c r="B185" s="95" t="s">
        <v>176</v>
      </c>
      <c r="C185" s="95" t="s">
        <v>179</v>
      </c>
      <c r="D185" s="95"/>
    </row>
    <row r="186" ht="15.75" customHeight="1">
      <c r="A186" s="94" t="s">
        <v>163</v>
      </c>
      <c r="B186" s="95" t="s">
        <v>176</v>
      </c>
      <c r="C186" s="95" t="s">
        <v>180</v>
      </c>
      <c r="D186" s="95"/>
    </row>
    <row r="187" ht="15.75" customHeight="1">
      <c r="A187" s="94" t="s">
        <v>163</v>
      </c>
      <c r="B187" s="95" t="s">
        <v>195</v>
      </c>
      <c r="C187" s="95" t="s">
        <v>196</v>
      </c>
      <c r="D187" s="95"/>
    </row>
    <row r="188" ht="15.75" customHeight="1">
      <c r="A188" s="94" t="s">
        <v>163</v>
      </c>
      <c r="B188" s="95" t="s">
        <v>195</v>
      </c>
      <c r="C188" s="95" t="s">
        <v>197</v>
      </c>
      <c r="D188" s="95"/>
    </row>
    <row r="189" ht="15.75" customHeight="1">
      <c r="A189" s="94" t="s">
        <v>163</v>
      </c>
      <c r="B189" s="95" t="s">
        <v>195</v>
      </c>
      <c r="C189" s="95" t="s">
        <v>198</v>
      </c>
      <c r="D189" s="95"/>
    </row>
    <row r="190" ht="15.75" customHeight="1">
      <c r="A190" s="94" t="s">
        <v>163</v>
      </c>
      <c r="B190" s="95" t="s">
        <v>195</v>
      </c>
      <c r="C190" s="95" t="s">
        <v>199</v>
      </c>
      <c r="D190" s="95"/>
    </row>
    <row r="191" ht="15.75" customHeight="1">
      <c r="A191" s="94" t="s">
        <v>163</v>
      </c>
      <c r="B191" s="95" t="s">
        <v>195</v>
      </c>
      <c r="C191" s="95" t="s">
        <v>200</v>
      </c>
      <c r="D191" s="95"/>
    </row>
    <row r="192" ht="15.75" customHeight="1">
      <c r="A192" s="94" t="s">
        <v>163</v>
      </c>
      <c r="B192" s="95" t="s">
        <v>195</v>
      </c>
      <c r="C192" s="95" t="s">
        <v>201</v>
      </c>
      <c r="D192" s="95"/>
    </row>
    <row r="193" ht="15.75" customHeight="1">
      <c r="A193" s="94" t="s">
        <v>163</v>
      </c>
      <c r="B193" s="95" t="s">
        <v>251</v>
      </c>
      <c r="C193" s="95" t="s">
        <v>252</v>
      </c>
      <c r="D193" s="95"/>
    </row>
    <row r="194" ht="15.75" customHeight="1">
      <c r="A194" s="94" t="s">
        <v>163</v>
      </c>
      <c r="B194" s="95" t="s">
        <v>251</v>
      </c>
      <c r="C194" s="95" t="s">
        <v>253</v>
      </c>
      <c r="D194" s="95"/>
    </row>
    <row r="195" ht="15.75" customHeight="1">
      <c r="A195" s="94" t="s">
        <v>163</v>
      </c>
      <c r="B195" s="95" t="s">
        <v>251</v>
      </c>
      <c r="C195" s="95" t="s">
        <v>254</v>
      </c>
      <c r="D195" s="95"/>
    </row>
    <row r="196" ht="15.75" customHeight="1">
      <c r="A196" s="94" t="s">
        <v>163</v>
      </c>
      <c r="B196" s="95" t="s">
        <v>251</v>
      </c>
      <c r="C196" s="95" t="s">
        <v>255</v>
      </c>
      <c r="D196" s="95"/>
    </row>
    <row r="197" ht="15.75" customHeight="1">
      <c r="A197" s="94" t="s">
        <v>163</v>
      </c>
      <c r="B197" s="95" t="s">
        <v>202</v>
      </c>
      <c r="C197" s="95" t="s">
        <v>203</v>
      </c>
      <c r="D197" s="95"/>
    </row>
    <row r="198" ht="15.75" customHeight="1">
      <c r="A198" s="94" t="s">
        <v>163</v>
      </c>
      <c r="B198" s="95" t="s">
        <v>202</v>
      </c>
      <c r="C198" s="95" t="s">
        <v>204</v>
      </c>
      <c r="D198" s="95"/>
    </row>
    <row r="199" ht="15.75" customHeight="1">
      <c r="A199" s="94" t="s">
        <v>163</v>
      </c>
      <c r="B199" s="95" t="s">
        <v>202</v>
      </c>
      <c r="C199" s="95" t="s">
        <v>205</v>
      </c>
      <c r="D199" s="95"/>
    </row>
    <row r="200" ht="15.75" customHeight="1">
      <c r="A200" s="94" t="s">
        <v>163</v>
      </c>
      <c r="B200" s="95" t="s">
        <v>202</v>
      </c>
      <c r="C200" s="95" t="s">
        <v>206</v>
      </c>
      <c r="D200" s="95"/>
    </row>
    <row r="201" ht="15.75" customHeight="1">
      <c r="A201" s="94" t="s">
        <v>163</v>
      </c>
      <c r="B201" s="95" t="s">
        <v>202</v>
      </c>
      <c r="C201" s="95" t="s">
        <v>207</v>
      </c>
      <c r="D201" s="95"/>
    </row>
    <row r="202" ht="15.75" customHeight="1">
      <c r="A202" s="94" t="s">
        <v>163</v>
      </c>
      <c r="B202" s="95" t="s">
        <v>202</v>
      </c>
      <c r="C202" s="95" t="s">
        <v>208</v>
      </c>
      <c r="D202" s="95"/>
    </row>
    <row r="203" ht="15.75" customHeight="1">
      <c r="A203" s="94" t="s">
        <v>163</v>
      </c>
      <c r="B203" s="95" t="s">
        <v>202</v>
      </c>
      <c r="C203" s="95" t="s">
        <v>209</v>
      </c>
      <c r="D203" s="95"/>
    </row>
    <row r="204" ht="15.75" customHeight="1">
      <c r="A204" s="94" t="s">
        <v>163</v>
      </c>
      <c r="B204" s="95" t="s">
        <v>202</v>
      </c>
      <c r="C204" s="95" t="s">
        <v>210</v>
      </c>
      <c r="D204" s="95"/>
    </row>
    <row r="205" ht="15.75" customHeight="1">
      <c r="A205" s="94" t="s">
        <v>163</v>
      </c>
      <c r="B205" s="95" t="s">
        <v>202</v>
      </c>
      <c r="C205" s="95" t="s">
        <v>211</v>
      </c>
      <c r="D205" s="95"/>
    </row>
    <row r="206" ht="15.75" customHeight="1">
      <c r="A206" s="94" t="s">
        <v>163</v>
      </c>
      <c r="B206" s="95" t="s">
        <v>202</v>
      </c>
      <c r="C206" s="95" t="s">
        <v>212</v>
      </c>
      <c r="D206" s="95"/>
    </row>
    <row r="207" ht="15.75" customHeight="1">
      <c r="A207" s="94" t="s">
        <v>163</v>
      </c>
      <c r="B207" s="95" t="s">
        <v>202</v>
      </c>
      <c r="C207" s="95" t="s">
        <v>213</v>
      </c>
      <c r="D207" s="95"/>
    </row>
    <row r="208" ht="15.75" customHeight="1">
      <c r="A208" s="94" t="s">
        <v>163</v>
      </c>
      <c r="B208" s="95" t="s">
        <v>202</v>
      </c>
      <c r="C208" s="95" t="s">
        <v>214</v>
      </c>
      <c r="D208" s="95"/>
    </row>
    <row r="209" ht="15.75" customHeight="1">
      <c r="A209" s="95" t="s">
        <v>163</v>
      </c>
      <c r="B209" s="95" t="s">
        <v>2877</v>
      </c>
      <c r="C209" s="97"/>
      <c r="D209" s="97"/>
    </row>
    <row r="210" ht="15.75" customHeight="1">
      <c r="A210" s="94" t="s">
        <v>590</v>
      </c>
      <c r="B210" s="95" t="s">
        <v>602</v>
      </c>
      <c r="C210" s="95" t="s">
        <v>603</v>
      </c>
      <c r="D210" s="95"/>
    </row>
    <row r="211" ht="15.75" customHeight="1">
      <c r="A211" s="94" t="s">
        <v>590</v>
      </c>
      <c r="B211" s="95" t="s">
        <v>602</v>
      </c>
      <c r="C211" s="95" t="s">
        <v>604</v>
      </c>
      <c r="D211" s="95"/>
    </row>
    <row r="212" ht="15.75" customHeight="1">
      <c r="A212" s="94" t="s">
        <v>590</v>
      </c>
      <c r="B212" s="95" t="s">
        <v>602</v>
      </c>
      <c r="C212" s="95" t="s">
        <v>605</v>
      </c>
      <c r="D212" s="95"/>
    </row>
    <row r="213" ht="15.75" customHeight="1">
      <c r="A213" s="94" t="s">
        <v>590</v>
      </c>
      <c r="B213" s="95" t="s">
        <v>602</v>
      </c>
      <c r="C213" s="95" t="s">
        <v>463</v>
      </c>
      <c r="D213" s="95"/>
    </row>
    <row r="214" ht="15.75" customHeight="1">
      <c r="A214" s="94" t="s">
        <v>590</v>
      </c>
      <c r="B214" s="95" t="s">
        <v>598</v>
      </c>
      <c r="C214" s="95" t="s">
        <v>599</v>
      </c>
      <c r="D214" s="95"/>
    </row>
    <row r="215" ht="15.75" customHeight="1">
      <c r="A215" s="94" t="s">
        <v>590</v>
      </c>
      <c r="B215" s="95" t="s">
        <v>598</v>
      </c>
      <c r="C215" s="95" t="s">
        <v>593</v>
      </c>
      <c r="D215" s="95"/>
    </row>
    <row r="216" ht="15.75" customHeight="1">
      <c r="A216" s="94" t="s">
        <v>590</v>
      </c>
      <c r="B216" s="95" t="s">
        <v>598</v>
      </c>
      <c r="C216" s="95" t="s">
        <v>594</v>
      </c>
      <c r="D216" s="95"/>
    </row>
    <row r="217" ht="15.75" customHeight="1">
      <c r="A217" s="94" t="s">
        <v>590</v>
      </c>
      <c r="B217" s="95" t="s">
        <v>598</v>
      </c>
      <c r="C217" s="95" t="s">
        <v>595</v>
      </c>
      <c r="D217" s="95"/>
    </row>
    <row r="218" ht="15.75" customHeight="1">
      <c r="A218" s="94" t="s">
        <v>590</v>
      </c>
      <c r="B218" s="95" t="s">
        <v>598</v>
      </c>
      <c r="C218" s="95" t="s">
        <v>596</v>
      </c>
      <c r="D218" s="95"/>
    </row>
    <row r="219" ht="15.75" customHeight="1">
      <c r="A219" s="94" t="s">
        <v>590</v>
      </c>
      <c r="B219" s="95" t="s">
        <v>598</v>
      </c>
      <c r="C219" s="95" t="s">
        <v>427</v>
      </c>
      <c r="D219" s="95"/>
    </row>
    <row r="220" ht="15.75" customHeight="1">
      <c r="A220" s="94" t="s">
        <v>590</v>
      </c>
      <c r="B220" s="95" t="s">
        <v>598</v>
      </c>
      <c r="C220" s="95" t="s">
        <v>601</v>
      </c>
      <c r="D220" s="95"/>
    </row>
    <row r="221" ht="15.75" customHeight="1">
      <c r="A221" s="94" t="s">
        <v>590</v>
      </c>
      <c r="B221" s="95" t="s">
        <v>598</v>
      </c>
      <c r="C221" s="95" t="s">
        <v>463</v>
      </c>
      <c r="D221" s="95"/>
    </row>
    <row r="222" ht="15.75" customHeight="1">
      <c r="A222" s="94" t="s">
        <v>590</v>
      </c>
      <c r="B222" s="95" t="s">
        <v>591</v>
      </c>
      <c r="C222" s="95" t="s">
        <v>592</v>
      </c>
      <c r="D222" s="95"/>
    </row>
    <row r="223" ht="15.75" customHeight="1">
      <c r="A223" s="94" t="s">
        <v>590</v>
      </c>
      <c r="B223" s="95" t="s">
        <v>591</v>
      </c>
      <c r="C223" s="95" t="s">
        <v>593</v>
      </c>
      <c r="D223" s="95"/>
    </row>
    <row r="224" ht="15.75" customHeight="1">
      <c r="A224" s="94" t="s">
        <v>590</v>
      </c>
      <c r="B224" s="95" t="s">
        <v>591</v>
      </c>
      <c r="C224" s="95" t="s">
        <v>594</v>
      </c>
      <c r="D224" s="95"/>
    </row>
    <row r="225" ht="15.75" customHeight="1">
      <c r="A225" s="94" t="s">
        <v>590</v>
      </c>
      <c r="B225" s="95" t="s">
        <v>591</v>
      </c>
      <c r="C225" s="95" t="s">
        <v>595</v>
      </c>
      <c r="D225" s="95"/>
    </row>
    <row r="226" ht="15.75" customHeight="1">
      <c r="A226" s="94" t="s">
        <v>590</v>
      </c>
      <c r="B226" s="95" t="s">
        <v>591</v>
      </c>
      <c r="C226" s="95" t="s">
        <v>596</v>
      </c>
      <c r="D226" s="95"/>
    </row>
    <row r="227" ht="15.75" customHeight="1">
      <c r="A227" s="94" t="s">
        <v>590</v>
      </c>
      <c r="B227" s="95" t="s">
        <v>591</v>
      </c>
      <c r="C227" s="95" t="s">
        <v>427</v>
      </c>
      <c r="D227" s="95"/>
    </row>
    <row r="228" ht="15.75" customHeight="1">
      <c r="A228" s="94" t="s">
        <v>590</v>
      </c>
      <c r="B228" s="95" t="s">
        <v>591</v>
      </c>
      <c r="C228" s="95" t="s">
        <v>597</v>
      </c>
      <c r="D228" s="95"/>
    </row>
    <row r="229" ht="15.75" customHeight="1">
      <c r="A229" s="94" t="s">
        <v>590</v>
      </c>
      <c r="B229" s="95" t="s">
        <v>591</v>
      </c>
      <c r="C229" s="95" t="s">
        <v>463</v>
      </c>
      <c r="D229" s="95"/>
    </row>
    <row r="230" ht="15.75" customHeight="1">
      <c r="A230" s="94" t="s">
        <v>590</v>
      </c>
      <c r="B230" s="95" t="s">
        <v>606</v>
      </c>
      <c r="C230" s="95" t="s">
        <v>607</v>
      </c>
      <c r="D230" s="95"/>
    </row>
    <row r="231" ht="15.75" customHeight="1">
      <c r="A231" s="94" t="s">
        <v>590</v>
      </c>
      <c r="B231" s="95" t="s">
        <v>606</v>
      </c>
      <c r="C231" s="95" t="s">
        <v>608</v>
      </c>
      <c r="D231" s="95"/>
    </row>
    <row r="232" ht="15.75" customHeight="1">
      <c r="A232" s="94" t="s">
        <v>590</v>
      </c>
      <c r="B232" s="95" t="s">
        <v>606</v>
      </c>
      <c r="C232" s="95" t="s">
        <v>609</v>
      </c>
      <c r="D232" s="95"/>
    </row>
    <row r="233" ht="15.75" customHeight="1">
      <c r="A233" s="95" t="s">
        <v>590</v>
      </c>
      <c r="B233" s="95" t="s">
        <v>749</v>
      </c>
      <c r="C233" s="97"/>
      <c r="D233" s="97"/>
    </row>
    <row r="234" ht="15.75" customHeight="1">
      <c r="A234" s="94" t="s">
        <v>590</v>
      </c>
      <c r="B234" s="95" t="s">
        <v>610</v>
      </c>
      <c r="C234" s="95" t="s">
        <v>608</v>
      </c>
      <c r="D234" s="95"/>
    </row>
    <row r="235" ht="15.75" customHeight="1">
      <c r="A235" s="94" t="s">
        <v>590</v>
      </c>
      <c r="B235" s="95" t="s">
        <v>610</v>
      </c>
      <c r="C235" s="95" t="s">
        <v>612</v>
      </c>
      <c r="D235" s="95"/>
    </row>
    <row r="236" ht="15.75" customHeight="1">
      <c r="A236" s="94" t="s">
        <v>590</v>
      </c>
      <c r="B236" s="95" t="s">
        <v>610</v>
      </c>
      <c r="C236" s="95" t="s">
        <v>611</v>
      </c>
      <c r="D236" s="95"/>
    </row>
    <row r="237" ht="15.75" customHeight="1">
      <c r="A237" s="94" t="s">
        <v>590</v>
      </c>
      <c r="B237" s="95" t="s">
        <v>610</v>
      </c>
      <c r="C237" s="95" t="s">
        <v>613</v>
      </c>
      <c r="D237" s="95"/>
    </row>
    <row r="238" ht="15.75" customHeight="1">
      <c r="A238" s="94" t="s">
        <v>590</v>
      </c>
      <c r="B238" s="95" t="s">
        <v>614</v>
      </c>
      <c r="C238" s="95" t="s">
        <v>508</v>
      </c>
      <c r="D238" s="95"/>
    </row>
    <row r="239" ht="15.75" customHeight="1">
      <c r="A239" s="94" t="s">
        <v>590</v>
      </c>
      <c r="B239" s="95" t="s">
        <v>614</v>
      </c>
      <c r="C239" s="95" t="s">
        <v>593</v>
      </c>
      <c r="D239" s="95"/>
    </row>
    <row r="240" ht="15.75" customHeight="1">
      <c r="A240" s="94" t="s">
        <v>590</v>
      </c>
      <c r="B240" s="95" t="s">
        <v>614</v>
      </c>
      <c r="C240" s="95" t="s">
        <v>615</v>
      </c>
      <c r="D240" s="95"/>
    </row>
    <row r="241" ht="15.75" customHeight="1">
      <c r="A241" s="94" t="s">
        <v>590</v>
      </c>
      <c r="B241" s="95" t="s">
        <v>614</v>
      </c>
      <c r="C241" s="95" t="s">
        <v>616</v>
      </c>
      <c r="D241" s="95"/>
    </row>
    <row r="242" ht="15.75" customHeight="1">
      <c r="A242" s="94" t="s">
        <v>590</v>
      </c>
      <c r="B242" s="95" t="s">
        <v>614</v>
      </c>
      <c r="C242" s="95" t="s">
        <v>427</v>
      </c>
      <c r="D242" s="95"/>
    </row>
    <row r="243" ht="15.75" customHeight="1">
      <c r="A243" s="94" t="s">
        <v>590</v>
      </c>
      <c r="B243" s="95" t="s">
        <v>614</v>
      </c>
      <c r="C243" s="95" t="s">
        <v>612</v>
      </c>
      <c r="D243" s="95"/>
    </row>
    <row r="244" ht="15.75" customHeight="1">
      <c r="A244" s="94" t="s">
        <v>590</v>
      </c>
      <c r="B244" s="95" t="s">
        <v>614</v>
      </c>
      <c r="C244" s="95" t="s">
        <v>463</v>
      </c>
      <c r="D244" s="95"/>
    </row>
    <row r="245" ht="15.75" customHeight="1">
      <c r="A245" s="94" t="s">
        <v>360</v>
      </c>
      <c r="B245" s="95" t="s">
        <v>294</v>
      </c>
      <c r="C245" s="95" t="s">
        <v>295</v>
      </c>
      <c r="D245" s="95"/>
    </row>
    <row r="246" ht="15.75" customHeight="1">
      <c r="A246" s="94" t="s">
        <v>360</v>
      </c>
      <c r="B246" s="95" t="s">
        <v>294</v>
      </c>
      <c r="C246" s="95" t="s">
        <v>361</v>
      </c>
      <c r="D246" s="95"/>
    </row>
    <row r="247" ht="15.75" customHeight="1">
      <c r="A247" s="94" t="s">
        <v>360</v>
      </c>
      <c r="B247" s="95" t="s">
        <v>294</v>
      </c>
      <c r="C247" s="95" t="s">
        <v>296</v>
      </c>
      <c r="D247" s="95"/>
    </row>
    <row r="248" ht="15.75" customHeight="1">
      <c r="A248" s="94" t="s">
        <v>360</v>
      </c>
      <c r="B248" s="95" t="s">
        <v>294</v>
      </c>
      <c r="C248" s="95" t="s">
        <v>297</v>
      </c>
      <c r="D248" s="95"/>
    </row>
    <row r="249" ht="15.75" customHeight="1">
      <c r="A249" s="94" t="s">
        <v>360</v>
      </c>
      <c r="B249" s="95" t="s">
        <v>294</v>
      </c>
      <c r="C249" s="95" t="s">
        <v>362</v>
      </c>
      <c r="D249" s="95"/>
    </row>
    <row r="250" ht="15.75" customHeight="1">
      <c r="A250" s="94" t="s">
        <v>360</v>
      </c>
      <c r="B250" s="95" t="s">
        <v>294</v>
      </c>
      <c r="C250" s="95" t="s">
        <v>300</v>
      </c>
      <c r="D250" s="95"/>
    </row>
    <row r="251" ht="15.75" customHeight="1">
      <c r="A251" s="94" t="s">
        <v>360</v>
      </c>
      <c r="B251" s="95" t="s">
        <v>294</v>
      </c>
      <c r="C251" s="95" t="s">
        <v>288</v>
      </c>
      <c r="D251" s="95"/>
    </row>
    <row r="252" ht="15.75" customHeight="1">
      <c r="A252" s="94" t="s">
        <v>360</v>
      </c>
      <c r="B252" s="95" t="s">
        <v>294</v>
      </c>
      <c r="C252" s="95" t="s">
        <v>302</v>
      </c>
      <c r="D252" s="95"/>
    </row>
    <row r="253" ht="15.75" customHeight="1">
      <c r="A253" s="94" t="s">
        <v>360</v>
      </c>
      <c r="B253" s="95" t="s">
        <v>294</v>
      </c>
      <c r="C253" s="95" t="s">
        <v>363</v>
      </c>
      <c r="D253" s="95"/>
    </row>
    <row r="254" ht="15.75" customHeight="1">
      <c r="A254" s="94" t="s">
        <v>360</v>
      </c>
      <c r="B254" s="95" t="s">
        <v>294</v>
      </c>
      <c r="C254" s="95" t="s">
        <v>304</v>
      </c>
      <c r="D254" s="95"/>
    </row>
    <row r="255" ht="15.75" customHeight="1">
      <c r="A255" s="94" t="s">
        <v>360</v>
      </c>
      <c r="B255" s="95" t="s">
        <v>294</v>
      </c>
      <c r="C255" s="95" t="s">
        <v>364</v>
      </c>
      <c r="D255" s="95"/>
    </row>
    <row r="256" ht="15.75" customHeight="1">
      <c r="A256" s="94" t="s">
        <v>360</v>
      </c>
      <c r="B256" s="95" t="s">
        <v>294</v>
      </c>
      <c r="C256" s="95" t="s">
        <v>365</v>
      </c>
      <c r="D256" s="95"/>
    </row>
    <row r="257" ht="15.75" customHeight="1">
      <c r="A257" s="94" t="s">
        <v>360</v>
      </c>
      <c r="B257" s="95" t="s">
        <v>294</v>
      </c>
      <c r="C257" s="95" t="s">
        <v>306</v>
      </c>
      <c r="D257" s="95"/>
    </row>
    <row r="258" ht="15.75" customHeight="1">
      <c r="A258" s="94" t="s">
        <v>360</v>
      </c>
      <c r="B258" s="95" t="s">
        <v>294</v>
      </c>
      <c r="C258" s="95" t="s">
        <v>366</v>
      </c>
      <c r="D258" s="95"/>
    </row>
    <row r="259" ht="15.75" customHeight="1">
      <c r="A259" s="94" t="s">
        <v>360</v>
      </c>
      <c r="B259" s="95" t="s">
        <v>294</v>
      </c>
      <c r="C259" s="95" t="s">
        <v>367</v>
      </c>
      <c r="D259" s="95"/>
    </row>
    <row r="260" ht="15.75" customHeight="1">
      <c r="A260" s="94" t="s">
        <v>360</v>
      </c>
      <c r="B260" s="95" t="s">
        <v>294</v>
      </c>
      <c r="C260" s="95" t="s">
        <v>309</v>
      </c>
      <c r="D260" s="95"/>
    </row>
    <row r="261" ht="15.75" customHeight="1">
      <c r="A261" s="95" t="s">
        <v>360</v>
      </c>
      <c r="B261" s="95" t="s">
        <v>2890</v>
      </c>
      <c r="C261" s="97"/>
      <c r="D261" s="97"/>
    </row>
    <row r="262" ht="15.75" customHeight="1">
      <c r="A262" s="95" t="s">
        <v>360</v>
      </c>
      <c r="B262" s="95" t="s">
        <v>2878</v>
      </c>
      <c r="C262" s="97"/>
      <c r="D262" s="97"/>
    </row>
    <row r="263" ht="15.75" customHeight="1">
      <c r="A263" s="94" t="s">
        <v>360</v>
      </c>
      <c r="B263" s="95" t="s">
        <v>256</v>
      </c>
      <c r="C263" s="95" t="s">
        <v>258</v>
      </c>
      <c r="D263" s="95"/>
    </row>
    <row r="264" ht="15.75" customHeight="1">
      <c r="A264" s="94" t="s">
        <v>360</v>
      </c>
      <c r="B264" s="95" t="s">
        <v>256</v>
      </c>
      <c r="C264" s="95" t="s">
        <v>368</v>
      </c>
      <c r="D264" s="95"/>
    </row>
    <row r="265" ht="15.75" customHeight="1">
      <c r="A265" s="94" t="s">
        <v>360</v>
      </c>
      <c r="B265" s="95" t="s">
        <v>256</v>
      </c>
      <c r="C265" s="95" t="s">
        <v>369</v>
      </c>
      <c r="D265" s="95"/>
    </row>
    <row r="266" ht="15.75" customHeight="1">
      <c r="A266" s="94" t="s">
        <v>360</v>
      </c>
      <c r="B266" s="95" t="s">
        <v>256</v>
      </c>
      <c r="C266" s="95" t="s">
        <v>370</v>
      </c>
      <c r="D266" s="95"/>
    </row>
    <row r="267" ht="15.75" customHeight="1">
      <c r="A267" s="94" t="s">
        <v>360</v>
      </c>
      <c r="B267" s="95" t="s">
        <v>256</v>
      </c>
      <c r="C267" s="95" t="s">
        <v>263</v>
      </c>
      <c r="D267" s="95"/>
    </row>
    <row r="268" ht="15.75" customHeight="1">
      <c r="A268" s="94" t="s">
        <v>360</v>
      </c>
      <c r="B268" s="95" t="s">
        <v>256</v>
      </c>
      <c r="C268" s="95" t="s">
        <v>371</v>
      </c>
      <c r="D268" s="95"/>
    </row>
    <row r="269" ht="15.75" customHeight="1">
      <c r="A269" s="94" t="s">
        <v>360</v>
      </c>
      <c r="B269" s="95" t="s">
        <v>256</v>
      </c>
      <c r="C269" s="95" t="s">
        <v>372</v>
      </c>
      <c r="D269" s="95"/>
    </row>
    <row r="270" ht="15.75" customHeight="1">
      <c r="A270" s="94" t="s">
        <v>360</v>
      </c>
      <c r="B270" s="95" t="s">
        <v>256</v>
      </c>
      <c r="C270" s="95" t="s">
        <v>373</v>
      </c>
      <c r="D270" s="95"/>
    </row>
    <row r="271" ht="15.75" customHeight="1">
      <c r="A271" s="94" t="s">
        <v>360</v>
      </c>
      <c r="B271" s="95" t="s">
        <v>256</v>
      </c>
      <c r="C271" s="95" t="s">
        <v>269</v>
      </c>
      <c r="D271" s="95"/>
    </row>
    <row r="272" ht="15.75" customHeight="1">
      <c r="A272" s="95" t="s">
        <v>360</v>
      </c>
      <c r="B272" s="95" t="s">
        <v>2891</v>
      </c>
      <c r="C272" s="97"/>
      <c r="D272" s="97"/>
    </row>
    <row r="273" ht="15.75" customHeight="1">
      <c r="A273" s="94" t="s">
        <v>360</v>
      </c>
      <c r="B273" s="95" t="s">
        <v>427</v>
      </c>
      <c r="C273" s="95" t="s">
        <v>428</v>
      </c>
      <c r="D273" s="95"/>
    </row>
    <row r="274" ht="15.75" customHeight="1">
      <c r="A274" s="94" t="s">
        <v>360</v>
      </c>
      <c r="B274" s="95" t="s">
        <v>427</v>
      </c>
      <c r="C274" s="95" t="s">
        <v>429</v>
      </c>
      <c r="D274" s="95"/>
    </row>
    <row r="275" ht="15.75" customHeight="1">
      <c r="A275" s="94" t="s">
        <v>360</v>
      </c>
      <c r="B275" s="95" t="s">
        <v>427</v>
      </c>
      <c r="C275" s="95" t="s">
        <v>430</v>
      </c>
      <c r="D275" s="95"/>
    </row>
    <row r="276" ht="15.75" customHeight="1">
      <c r="A276" s="94" t="s">
        <v>360</v>
      </c>
      <c r="B276" s="95" t="s">
        <v>427</v>
      </c>
      <c r="C276" s="95" t="s">
        <v>336</v>
      </c>
      <c r="D276" s="95"/>
    </row>
    <row r="277" ht="15.75" customHeight="1">
      <c r="A277" s="94" t="s">
        <v>360</v>
      </c>
      <c r="B277" s="95" t="s">
        <v>427</v>
      </c>
      <c r="C277" s="95" t="s">
        <v>431</v>
      </c>
      <c r="D277" s="95"/>
    </row>
    <row r="278" ht="15.75" customHeight="1">
      <c r="A278" s="94" t="s">
        <v>360</v>
      </c>
      <c r="B278" s="95" t="s">
        <v>427</v>
      </c>
      <c r="C278" s="95" t="s">
        <v>339</v>
      </c>
      <c r="D278" s="95"/>
    </row>
    <row r="279" ht="15.75" customHeight="1">
      <c r="A279" s="94" t="s">
        <v>360</v>
      </c>
      <c r="B279" s="95" t="s">
        <v>427</v>
      </c>
      <c r="C279" s="95" t="s">
        <v>432</v>
      </c>
      <c r="D279" s="95"/>
    </row>
    <row r="280" ht="15.75" customHeight="1">
      <c r="A280" s="95" t="s">
        <v>360</v>
      </c>
      <c r="B280" s="95" t="s">
        <v>2880</v>
      </c>
      <c r="C280" s="97"/>
      <c r="D280" s="97"/>
    </row>
    <row r="281" ht="15.75" customHeight="1">
      <c r="A281" s="94" t="s">
        <v>360</v>
      </c>
      <c r="B281" s="95" t="s">
        <v>181</v>
      </c>
      <c r="C281" s="95" t="s">
        <v>374</v>
      </c>
      <c r="D281" s="95"/>
    </row>
    <row r="282" ht="15.75" customHeight="1">
      <c r="A282" s="94" t="s">
        <v>360</v>
      </c>
      <c r="B282" s="95" t="s">
        <v>181</v>
      </c>
      <c r="C282" s="95" t="s">
        <v>375</v>
      </c>
      <c r="D282" s="95"/>
    </row>
    <row r="283" ht="15.75" customHeight="1">
      <c r="A283" s="94" t="s">
        <v>360</v>
      </c>
      <c r="B283" s="95" t="s">
        <v>181</v>
      </c>
      <c r="C283" s="95" t="s">
        <v>376</v>
      </c>
      <c r="D283" s="95"/>
    </row>
    <row r="284" ht="15.75" customHeight="1">
      <c r="A284" s="94" t="s">
        <v>360</v>
      </c>
      <c r="B284" s="95" t="s">
        <v>181</v>
      </c>
      <c r="C284" s="95" t="s">
        <v>187</v>
      </c>
      <c r="D284" s="95"/>
    </row>
    <row r="285" ht="15.75" customHeight="1">
      <c r="A285" s="94" t="s">
        <v>360</v>
      </c>
      <c r="B285" s="95" t="s">
        <v>181</v>
      </c>
      <c r="C285" s="95" t="s">
        <v>377</v>
      </c>
      <c r="D285" s="95"/>
    </row>
    <row r="286" ht="15.75" customHeight="1">
      <c r="A286" s="94" t="s">
        <v>360</v>
      </c>
      <c r="B286" s="95" t="s">
        <v>181</v>
      </c>
      <c r="C286" s="95" t="s">
        <v>188</v>
      </c>
      <c r="D286" s="95"/>
    </row>
    <row r="287" ht="15.75" customHeight="1">
      <c r="A287" s="94" t="s">
        <v>360</v>
      </c>
      <c r="B287" s="95" t="s">
        <v>181</v>
      </c>
      <c r="C287" s="95" t="s">
        <v>378</v>
      </c>
      <c r="D287" s="95"/>
    </row>
    <row r="288" ht="15.75" customHeight="1">
      <c r="A288" s="94" t="s">
        <v>360</v>
      </c>
      <c r="B288" s="95" t="s">
        <v>181</v>
      </c>
      <c r="C288" s="95" t="s">
        <v>379</v>
      </c>
      <c r="D288" s="95"/>
    </row>
    <row r="289" ht="15.75" customHeight="1">
      <c r="A289" s="94" t="s">
        <v>360</v>
      </c>
      <c r="B289" s="95" t="s">
        <v>181</v>
      </c>
      <c r="C289" s="95" t="s">
        <v>191</v>
      </c>
      <c r="D289" s="95"/>
    </row>
    <row r="290" ht="15.75" customHeight="1">
      <c r="A290" s="94" t="s">
        <v>360</v>
      </c>
      <c r="B290" s="95" t="s">
        <v>181</v>
      </c>
      <c r="C290" s="95" t="s">
        <v>194</v>
      </c>
      <c r="D290" s="95"/>
    </row>
    <row r="291" ht="15.75" customHeight="1">
      <c r="A291" s="94" t="s">
        <v>360</v>
      </c>
      <c r="B291" s="95" t="s">
        <v>181</v>
      </c>
      <c r="C291" s="95" t="s">
        <v>380</v>
      </c>
      <c r="D291" s="95"/>
    </row>
    <row r="292" ht="15.75" customHeight="1">
      <c r="A292" s="94" t="s">
        <v>360</v>
      </c>
      <c r="B292" s="95" t="s">
        <v>215</v>
      </c>
      <c r="C292" s="95" t="s">
        <v>381</v>
      </c>
      <c r="D292" s="95"/>
    </row>
    <row r="293" ht="15.75" customHeight="1">
      <c r="A293" s="94" t="s">
        <v>360</v>
      </c>
      <c r="B293" s="95" t="s">
        <v>215</v>
      </c>
      <c r="C293" s="95" t="s">
        <v>382</v>
      </c>
      <c r="D293" s="95"/>
    </row>
    <row r="294" ht="15.75" customHeight="1">
      <c r="A294" s="94" t="s">
        <v>360</v>
      </c>
      <c r="B294" s="95" t="s">
        <v>215</v>
      </c>
      <c r="C294" s="95" t="s">
        <v>223</v>
      </c>
      <c r="D294" s="95"/>
    </row>
    <row r="295" ht="15.75" customHeight="1">
      <c r="A295" s="94" t="s">
        <v>360</v>
      </c>
      <c r="B295" s="95" t="s">
        <v>215</v>
      </c>
      <c r="C295" s="95" t="s">
        <v>383</v>
      </c>
      <c r="D295" s="95"/>
    </row>
    <row r="296" ht="15.75" customHeight="1">
      <c r="A296" s="94" t="s">
        <v>360</v>
      </c>
      <c r="B296" s="95" t="s">
        <v>215</v>
      </c>
      <c r="C296" s="95" t="s">
        <v>384</v>
      </c>
      <c r="D296" s="95"/>
    </row>
    <row r="297" ht="15.75" customHeight="1">
      <c r="A297" s="94" t="s">
        <v>360</v>
      </c>
      <c r="B297" s="95" t="s">
        <v>215</v>
      </c>
      <c r="C297" s="95" t="s">
        <v>385</v>
      </c>
      <c r="D297" s="95"/>
    </row>
    <row r="298" ht="15.75" customHeight="1">
      <c r="A298" s="95" t="s">
        <v>360</v>
      </c>
      <c r="B298" s="95" t="s">
        <v>2883</v>
      </c>
      <c r="C298" s="97"/>
      <c r="D298" s="97"/>
    </row>
    <row r="299" ht="15.75" customHeight="1">
      <c r="A299" s="95" t="s">
        <v>360</v>
      </c>
      <c r="B299" s="95" t="s">
        <v>2893</v>
      </c>
      <c r="C299" s="97"/>
      <c r="D299" s="97"/>
    </row>
    <row r="300" ht="15.75" customHeight="1">
      <c r="A300" s="95" t="s">
        <v>360</v>
      </c>
      <c r="B300" s="95" t="s">
        <v>2886</v>
      </c>
      <c r="C300" s="97"/>
      <c r="D300" s="97"/>
    </row>
    <row r="301" ht="15.75" customHeight="1">
      <c r="A301" s="95" t="s">
        <v>360</v>
      </c>
      <c r="B301" s="95" t="s">
        <v>2884</v>
      </c>
      <c r="C301" s="97"/>
      <c r="D301" s="97"/>
    </row>
    <row r="302" ht="15.75" customHeight="1">
      <c r="A302" s="95" t="s">
        <v>360</v>
      </c>
      <c r="B302" s="95" t="s">
        <v>2870</v>
      </c>
      <c r="C302" s="97"/>
      <c r="D302" s="97"/>
    </row>
    <row r="303" ht="15.75" customHeight="1">
      <c r="A303" s="95" t="s">
        <v>360</v>
      </c>
      <c r="B303" s="95" t="s">
        <v>2869</v>
      </c>
      <c r="C303" s="97"/>
      <c r="D303" s="97"/>
    </row>
    <row r="304" ht="15.75" customHeight="1">
      <c r="A304" s="95" t="s">
        <v>360</v>
      </c>
      <c r="B304" s="95" t="s">
        <v>2887</v>
      </c>
      <c r="C304" s="97"/>
      <c r="D304" s="97"/>
    </row>
    <row r="305" ht="15.75" customHeight="1">
      <c r="A305" s="95" t="s">
        <v>360</v>
      </c>
      <c r="B305" s="95" t="s">
        <v>2888</v>
      </c>
      <c r="C305" s="97"/>
      <c r="D305" s="97"/>
    </row>
    <row r="306" ht="15.75" customHeight="1">
      <c r="A306" s="95" t="s">
        <v>360</v>
      </c>
      <c r="B306" s="95" t="s">
        <v>749</v>
      </c>
      <c r="C306" s="97"/>
      <c r="D306" s="97"/>
    </row>
    <row r="307" ht="15.75" customHeight="1">
      <c r="A307" s="94" t="s">
        <v>360</v>
      </c>
      <c r="B307" s="95" t="s">
        <v>386</v>
      </c>
      <c r="C307" s="95" t="s">
        <v>387</v>
      </c>
      <c r="D307" s="95"/>
    </row>
    <row r="308" ht="15.75" customHeight="1">
      <c r="A308" s="94" t="s">
        <v>360</v>
      </c>
      <c r="B308" s="95" t="s">
        <v>386</v>
      </c>
      <c r="C308" s="95" t="s">
        <v>388</v>
      </c>
      <c r="D308" s="95"/>
    </row>
    <row r="309" ht="15.75" customHeight="1">
      <c r="A309" s="94" t="s">
        <v>360</v>
      </c>
      <c r="B309" s="95" t="s">
        <v>386</v>
      </c>
      <c r="C309" s="95" t="s">
        <v>389</v>
      </c>
      <c r="D309" s="95"/>
    </row>
    <row r="310" ht="15.75" customHeight="1">
      <c r="A310" s="94" t="s">
        <v>360</v>
      </c>
      <c r="B310" s="95" t="s">
        <v>386</v>
      </c>
      <c r="C310" s="95" t="s">
        <v>390</v>
      </c>
      <c r="D310" s="95"/>
    </row>
    <row r="311" ht="15.75" customHeight="1">
      <c r="A311" s="94" t="s">
        <v>360</v>
      </c>
      <c r="B311" s="95" t="s">
        <v>386</v>
      </c>
      <c r="C311" s="95" t="s">
        <v>391</v>
      </c>
      <c r="D311" s="95"/>
    </row>
    <row r="312" ht="15.75" customHeight="1">
      <c r="A312" s="95" t="s">
        <v>360</v>
      </c>
      <c r="B312" s="95" t="s">
        <v>2892</v>
      </c>
      <c r="C312" s="97"/>
      <c r="D312" s="97"/>
    </row>
    <row r="313" ht="15.75" customHeight="1">
      <c r="A313" s="95" t="s">
        <v>360</v>
      </c>
      <c r="B313" s="95" t="s">
        <v>2889</v>
      </c>
      <c r="C313" s="97"/>
      <c r="D313" s="97"/>
    </row>
    <row r="314" ht="15.75" customHeight="1">
      <c r="A314" s="94" t="s">
        <v>360</v>
      </c>
      <c r="B314" s="95" t="s">
        <v>392</v>
      </c>
      <c r="C314" s="95" t="s">
        <v>393</v>
      </c>
      <c r="D314" s="95"/>
    </row>
    <row r="315" ht="15.75" customHeight="1">
      <c r="A315" s="94" t="s">
        <v>360</v>
      </c>
      <c r="B315" s="95" t="s">
        <v>392</v>
      </c>
      <c r="C315" s="95" t="s">
        <v>394</v>
      </c>
      <c r="D315" s="95"/>
    </row>
    <row r="316" ht="15.75" customHeight="1">
      <c r="A316" s="94" t="s">
        <v>360</v>
      </c>
      <c r="B316" s="95" t="s">
        <v>392</v>
      </c>
      <c r="C316" s="95" t="s">
        <v>208</v>
      </c>
      <c r="D316" s="95"/>
    </row>
    <row r="317" ht="15.75" customHeight="1">
      <c r="A317" s="94" t="s">
        <v>360</v>
      </c>
      <c r="B317" s="95" t="s">
        <v>392</v>
      </c>
      <c r="C317" s="95" t="s">
        <v>395</v>
      </c>
      <c r="D317" s="95"/>
    </row>
    <row r="318" ht="15.75" customHeight="1">
      <c r="A318" s="94" t="s">
        <v>360</v>
      </c>
      <c r="B318" s="95" t="s">
        <v>392</v>
      </c>
      <c r="C318" s="95" t="s">
        <v>210</v>
      </c>
      <c r="D318" s="95"/>
    </row>
    <row r="319" ht="15.75" customHeight="1">
      <c r="A319" s="94" t="s">
        <v>360</v>
      </c>
      <c r="B319" s="95" t="s">
        <v>392</v>
      </c>
      <c r="C319" s="95" t="s">
        <v>211</v>
      </c>
      <c r="D319" s="95"/>
    </row>
    <row r="320" ht="15.75" customHeight="1">
      <c r="A320" s="94" t="s">
        <v>360</v>
      </c>
      <c r="B320" s="95" t="s">
        <v>392</v>
      </c>
      <c r="C320" s="95" t="s">
        <v>212</v>
      </c>
      <c r="D320" s="95"/>
    </row>
    <row r="321" ht="15.75" customHeight="1">
      <c r="A321" s="94" t="s">
        <v>360</v>
      </c>
      <c r="B321" s="95" t="s">
        <v>392</v>
      </c>
      <c r="C321" s="95" t="s">
        <v>213</v>
      </c>
      <c r="D321" s="95"/>
    </row>
    <row r="322" ht="15.75" customHeight="1">
      <c r="A322" s="94" t="s">
        <v>360</v>
      </c>
      <c r="B322" s="95" t="s">
        <v>270</v>
      </c>
      <c r="C322" s="95" t="s">
        <v>272</v>
      </c>
      <c r="D322" s="95"/>
    </row>
    <row r="323" ht="15.75" customHeight="1">
      <c r="A323" s="94" t="s">
        <v>360</v>
      </c>
      <c r="B323" s="95" t="s">
        <v>270</v>
      </c>
      <c r="C323" s="95" t="s">
        <v>396</v>
      </c>
      <c r="D323" s="95"/>
    </row>
    <row r="324" ht="15.75" customHeight="1">
      <c r="A324" s="94" t="s">
        <v>360</v>
      </c>
      <c r="B324" s="95" t="s">
        <v>270</v>
      </c>
      <c r="C324" s="95" t="s">
        <v>397</v>
      </c>
      <c r="D324" s="95"/>
    </row>
    <row r="325" ht="15.75" customHeight="1">
      <c r="A325" s="94" t="s">
        <v>360</v>
      </c>
      <c r="B325" s="95" t="s">
        <v>270</v>
      </c>
      <c r="C325" s="95" t="s">
        <v>398</v>
      </c>
      <c r="D325" s="95"/>
    </row>
    <row r="326" ht="15.75" customHeight="1">
      <c r="A326" s="94" t="s">
        <v>360</v>
      </c>
      <c r="B326" s="95" t="s">
        <v>270</v>
      </c>
      <c r="C326" s="95" t="s">
        <v>399</v>
      </c>
      <c r="D326" s="95"/>
    </row>
    <row r="327" ht="15.75" customHeight="1">
      <c r="A327" s="94" t="s">
        <v>360</v>
      </c>
      <c r="B327" s="95" t="s">
        <v>270</v>
      </c>
      <c r="C327" s="95" t="s">
        <v>400</v>
      </c>
      <c r="D327" s="95"/>
    </row>
    <row r="328" ht="15.75" customHeight="1">
      <c r="A328" s="94" t="s">
        <v>360</v>
      </c>
      <c r="B328" s="95" t="s">
        <v>270</v>
      </c>
      <c r="C328" s="95" t="s">
        <v>401</v>
      </c>
      <c r="D328" s="95"/>
    </row>
    <row r="329" ht="15.75" customHeight="1">
      <c r="A329" s="94" t="s">
        <v>360</v>
      </c>
      <c r="B329" s="95" t="s">
        <v>270</v>
      </c>
      <c r="C329" s="95" t="s">
        <v>402</v>
      </c>
      <c r="D329" s="95"/>
    </row>
    <row r="330" ht="15.75" customHeight="1">
      <c r="A330" s="94" t="s">
        <v>360</v>
      </c>
      <c r="B330" s="95" t="s">
        <v>270</v>
      </c>
      <c r="C330" s="95" t="s">
        <v>403</v>
      </c>
      <c r="D330" s="95"/>
    </row>
    <row r="331" ht="15.75" customHeight="1">
      <c r="A331" s="94" t="s">
        <v>360</v>
      </c>
      <c r="B331" s="95" t="s">
        <v>270</v>
      </c>
      <c r="C331" s="95" t="s">
        <v>285</v>
      </c>
      <c r="D331" s="95"/>
    </row>
    <row r="332" ht="15.75" customHeight="1">
      <c r="A332" s="94" t="s">
        <v>360</v>
      </c>
      <c r="B332" s="95" t="s">
        <v>234</v>
      </c>
      <c r="C332" s="95" t="s">
        <v>404</v>
      </c>
      <c r="D332" s="95"/>
    </row>
    <row r="333" ht="15.75" customHeight="1">
      <c r="A333" s="94" t="s">
        <v>360</v>
      </c>
      <c r="B333" s="95" t="s">
        <v>234</v>
      </c>
      <c r="C333" s="95" t="s">
        <v>387</v>
      </c>
      <c r="D333" s="95"/>
    </row>
    <row r="334" ht="15.75" customHeight="1">
      <c r="A334" s="94" t="s">
        <v>360</v>
      </c>
      <c r="B334" s="95" t="s">
        <v>234</v>
      </c>
      <c r="C334" s="95" t="s">
        <v>405</v>
      </c>
      <c r="D334" s="95"/>
    </row>
    <row r="335" ht="15.75" customHeight="1">
      <c r="A335" s="94" t="s">
        <v>360</v>
      </c>
      <c r="B335" s="95" t="s">
        <v>234</v>
      </c>
      <c r="C335" s="95" t="s">
        <v>406</v>
      </c>
      <c r="D335" s="95"/>
    </row>
    <row r="336" ht="15.75" customHeight="1">
      <c r="A336" s="94" t="s">
        <v>360</v>
      </c>
      <c r="B336" s="95" t="s">
        <v>234</v>
      </c>
      <c r="C336" s="95" t="s">
        <v>240</v>
      </c>
      <c r="D336" s="95"/>
    </row>
    <row r="337" ht="15.75" customHeight="1">
      <c r="A337" s="94" t="s">
        <v>360</v>
      </c>
      <c r="B337" s="95" t="s">
        <v>407</v>
      </c>
      <c r="C337" s="95" t="s">
        <v>408</v>
      </c>
      <c r="D337" s="95"/>
    </row>
    <row r="338" ht="15.75" customHeight="1">
      <c r="A338" s="94" t="s">
        <v>360</v>
      </c>
      <c r="B338" s="95" t="s">
        <v>407</v>
      </c>
      <c r="C338" s="95" t="s">
        <v>409</v>
      </c>
      <c r="D338" s="95"/>
    </row>
    <row r="339" ht="15.75" customHeight="1">
      <c r="A339" s="94" t="s">
        <v>360</v>
      </c>
      <c r="B339" s="95" t="s">
        <v>407</v>
      </c>
      <c r="C339" s="95" t="s">
        <v>410</v>
      </c>
      <c r="D339" s="95"/>
    </row>
    <row r="340" ht="15.75" customHeight="1">
      <c r="A340" s="94" t="s">
        <v>360</v>
      </c>
      <c r="B340" s="95" t="s">
        <v>407</v>
      </c>
      <c r="C340" s="95" t="s">
        <v>194</v>
      </c>
      <c r="D340" s="95"/>
    </row>
    <row r="341" ht="15.75" customHeight="1">
      <c r="A341" s="94" t="s">
        <v>360</v>
      </c>
      <c r="B341" s="95" t="s">
        <v>195</v>
      </c>
      <c r="C341" s="95" t="s">
        <v>411</v>
      </c>
      <c r="D341" s="95"/>
    </row>
    <row r="342" ht="15.75" customHeight="1">
      <c r="A342" s="94" t="s">
        <v>360</v>
      </c>
      <c r="B342" s="95" t="s">
        <v>195</v>
      </c>
      <c r="C342" s="95" t="s">
        <v>412</v>
      </c>
      <c r="D342" s="95"/>
    </row>
    <row r="343" ht="15.75" customHeight="1">
      <c r="A343" s="94" t="s">
        <v>360</v>
      </c>
      <c r="B343" s="95" t="s">
        <v>195</v>
      </c>
      <c r="C343" s="95" t="s">
        <v>413</v>
      </c>
      <c r="D343" s="95"/>
    </row>
    <row r="344" ht="15.75" customHeight="1">
      <c r="A344" s="94" t="s">
        <v>360</v>
      </c>
      <c r="B344" s="95" t="s">
        <v>195</v>
      </c>
      <c r="C344" s="95" t="s">
        <v>414</v>
      </c>
      <c r="D344" s="95"/>
    </row>
    <row r="345" ht="15.75" customHeight="1">
      <c r="A345" s="94" t="s">
        <v>360</v>
      </c>
      <c r="B345" s="95" t="s">
        <v>195</v>
      </c>
      <c r="C345" s="95" t="s">
        <v>415</v>
      </c>
      <c r="D345" s="95"/>
    </row>
    <row r="346" ht="15.75" customHeight="1">
      <c r="A346" s="94" t="s">
        <v>360</v>
      </c>
      <c r="B346" s="95" t="s">
        <v>251</v>
      </c>
      <c r="C346" s="95" t="s">
        <v>416</v>
      </c>
      <c r="D346" s="95"/>
    </row>
    <row r="347" ht="15.75" customHeight="1">
      <c r="A347" s="94" t="s">
        <v>360</v>
      </c>
      <c r="B347" s="95" t="s">
        <v>251</v>
      </c>
      <c r="C347" s="95" t="s">
        <v>406</v>
      </c>
      <c r="D347" s="95"/>
    </row>
    <row r="348" ht="15.75" customHeight="1">
      <c r="A348" s="94" t="s">
        <v>360</v>
      </c>
      <c r="B348" s="95" t="s">
        <v>251</v>
      </c>
      <c r="C348" s="95" t="s">
        <v>417</v>
      </c>
      <c r="D348" s="95"/>
    </row>
    <row r="349" ht="15.75" customHeight="1">
      <c r="A349" s="94" t="s">
        <v>360</v>
      </c>
      <c r="B349" s="95" t="s">
        <v>251</v>
      </c>
      <c r="C349" s="95" t="s">
        <v>418</v>
      </c>
      <c r="D349" s="95"/>
    </row>
    <row r="350" ht="15.75" customHeight="1">
      <c r="A350" s="94" t="s">
        <v>360</v>
      </c>
      <c r="B350" s="95" t="s">
        <v>419</v>
      </c>
      <c r="C350" s="95" t="s">
        <v>420</v>
      </c>
      <c r="D350" s="95"/>
    </row>
    <row r="351" ht="15.75" customHeight="1">
      <c r="A351" s="94" t="s">
        <v>360</v>
      </c>
      <c r="B351" s="95" t="s">
        <v>419</v>
      </c>
      <c r="C351" s="95" t="s">
        <v>421</v>
      </c>
      <c r="D351" s="95"/>
    </row>
    <row r="352" ht="15.75" customHeight="1">
      <c r="A352" s="94" t="s">
        <v>360</v>
      </c>
      <c r="B352" s="95" t="s">
        <v>419</v>
      </c>
      <c r="C352" s="95" t="s">
        <v>422</v>
      </c>
      <c r="D352" s="95"/>
    </row>
    <row r="353" ht="15.75" customHeight="1">
      <c r="A353" s="94" t="s">
        <v>360</v>
      </c>
      <c r="B353" s="95" t="s">
        <v>419</v>
      </c>
      <c r="C353" s="95" t="s">
        <v>423</v>
      </c>
      <c r="D353" s="95"/>
    </row>
    <row r="354" ht="15.75" customHeight="1">
      <c r="A354" s="94" t="s">
        <v>360</v>
      </c>
      <c r="B354" s="95" t="s">
        <v>419</v>
      </c>
      <c r="C354" s="95" t="s">
        <v>424</v>
      </c>
      <c r="D354" s="95"/>
    </row>
    <row r="355" ht="15.75" customHeight="1">
      <c r="A355" s="94" t="s">
        <v>360</v>
      </c>
      <c r="B355" s="95" t="s">
        <v>419</v>
      </c>
      <c r="C355" s="95" t="s">
        <v>425</v>
      </c>
      <c r="D355" s="95"/>
    </row>
    <row r="356" ht="15.75" customHeight="1">
      <c r="A356" s="94" t="s">
        <v>360</v>
      </c>
      <c r="B356" s="95" t="s">
        <v>419</v>
      </c>
      <c r="C356" s="95" t="s">
        <v>426</v>
      </c>
      <c r="D356" s="95"/>
    </row>
    <row r="357" ht="15.75" customHeight="1">
      <c r="A357" s="94" t="s">
        <v>433</v>
      </c>
      <c r="B357" s="95" t="s">
        <v>294</v>
      </c>
      <c r="C357" s="95" t="s">
        <v>256</v>
      </c>
      <c r="D357" s="95"/>
    </row>
    <row r="358" ht="15.75" customHeight="1">
      <c r="A358" s="94" t="s">
        <v>433</v>
      </c>
      <c r="B358" s="95" t="s">
        <v>294</v>
      </c>
      <c r="C358" s="95" t="s">
        <v>295</v>
      </c>
      <c r="D358" s="95"/>
    </row>
    <row r="359" ht="15.75" customHeight="1">
      <c r="A359" s="94" t="s">
        <v>433</v>
      </c>
      <c r="B359" s="95" t="s">
        <v>294</v>
      </c>
      <c r="C359" s="95" t="s">
        <v>434</v>
      </c>
      <c r="D359" s="95"/>
    </row>
    <row r="360" ht="15.75" customHeight="1">
      <c r="A360" s="94" t="s">
        <v>433</v>
      </c>
      <c r="B360" s="95" t="s">
        <v>294</v>
      </c>
      <c r="C360" s="95" t="s">
        <v>435</v>
      </c>
      <c r="D360" s="95"/>
    </row>
    <row r="361" ht="15.75" customHeight="1">
      <c r="A361" s="94" t="s">
        <v>433</v>
      </c>
      <c r="B361" s="95" t="s">
        <v>294</v>
      </c>
      <c r="C361" s="95" t="s">
        <v>296</v>
      </c>
      <c r="D361" s="95"/>
    </row>
    <row r="362" ht="15.75" customHeight="1">
      <c r="A362" s="94" t="s">
        <v>433</v>
      </c>
      <c r="B362" s="95" t="s">
        <v>294</v>
      </c>
      <c r="C362" s="95" t="s">
        <v>299</v>
      </c>
      <c r="D362" s="95"/>
    </row>
    <row r="363" ht="15.75" customHeight="1">
      <c r="A363" s="94" t="s">
        <v>433</v>
      </c>
      <c r="B363" s="95" t="s">
        <v>294</v>
      </c>
      <c r="C363" s="95" t="s">
        <v>300</v>
      </c>
      <c r="D363" s="95"/>
    </row>
    <row r="364" ht="15.75" customHeight="1">
      <c r="A364" s="94" t="s">
        <v>433</v>
      </c>
      <c r="B364" s="95" t="s">
        <v>294</v>
      </c>
      <c r="C364" s="95" t="s">
        <v>288</v>
      </c>
      <c r="D364" s="95"/>
    </row>
    <row r="365" ht="15.75" customHeight="1">
      <c r="A365" s="94" t="s">
        <v>433</v>
      </c>
      <c r="B365" s="95" t="s">
        <v>294</v>
      </c>
      <c r="C365" s="95" t="s">
        <v>436</v>
      </c>
      <c r="D365" s="95"/>
    </row>
    <row r="366" ht="15.75" customHeight="1">
      <c r="A366" s="94" t="s">
        <v>433</v>
      </c>
      <c r="B366" s="95" t="s">
        <v>294</v>
      </c>
      <c r="C366" s="95" t="s">
        <v>437</v>
      </c>
      <c r="D366" s="95"/>
    </row>
    <row r="367" ht="15.75" customHeight="1">
      <c r="A367" s="94" t="s">
        <v>433</v>
      </c>
      <c r="B367" s="95" t="s">
        <v>294</v>
      </c>
      <c r="C367" s="95" t="s">
        <v>306</v>
      </c>
      <c r="D367" s="95"/>
    </row>
    <row r="368" ht="15.75" customHeight="1">
      <c r="A368" s="94" t="s">
        <v>433</v>
      </c>
      <c r="B368" s="95" t="s">
        <v>294</v>
      </c>
      <c r="C368" s="95" t="s">
        <v>366</v>
      </c>
      <c r="D368" s="95"/>
    </row>
    <row r="369" ht="15.75" customHeight="1">
      <c r="A369" s="94" t="s">
        <v>433</v>
      </c>
      <c r="B369" s="95" t="s">
        <v>294</v>
      </c>
      <c r="C369" s="95" t="s">
        <v>367</v>
      </c>
      <c r="D369" s="95"/>
    </row>
    <row r="370" ht="15.75" customHeight="1">
      <c r="A370" s="94" t="s">
        <v>433</v>
      </c>
      <c r="B370" s="95" t="s">
        <v>294</v>
      </c>
      <c r="C370" s="95" t="s">
        <v>438</v>
      </c>
      <c r="D370" s="95"/>
    </row>
    <row r="371" ht="15.75" customHeight="1">
      <c r="A371" s="94" t="s">
        <v>433</v>
      </c>
      <c r="B371" s="95" t="s">
        <v>294</v>
      </c>
      <c r="C371" s="95" t="s">
        <v>309</v>
      </c>
      <c r="D371" s="95"/>
    </row>
    <row r="372" ht="15.75" customHeight="1">
      <c r="A372" s="94" t="s">
        <v>433</v>
      </c>
      <c r="B372" s="95" t="s">
        <v>462</v>
      </c>
      <c r="C372" s="95" t="s">
        <v>351</v>
      </c>
      <c r="D372" s="95"/>
    </row>
    <row r="373" ht="15.75" customHeight="1">
      <c r="A373" s="94" t="s">
        <v>433</v>
      </c>
      <c r="B373" s="95" t="s">
        <v>462</v>
      </c>
      <c r="C373" s="95" t="s">
        <v>430</v>
      </c>
      <c r="D373" s="95"/>
    </row>
    <row r="374" ht="15.75" customHeight="1">
      <c r="A374" s="94" t="s">
        <v>433</v>
      </c>
      <c r="B374" s="95" t="s">
        <v>462</v>
      </c>
      <c r="C374" s="95" t="s">
        <v>336</v>
      </c>
      <c r="D374" s="95"/>
    </row>
    <row r="375" ht="15.75" customHeight="1">
      <c r="A375" s="94" t="s">
        <v>433</v>
      </c>
      <c r="B375" s="95" t="s">
        <v>462</v>
      </c>
      <c r="C375" s="95" t="s">
        <v>339</v>
      </c>
      <c r="D375" s="95"/>
    </row>
    <row r="376" ht="15.75" customHeight="1">
      <c r="A376" s="94" t="s">
        <v>433</v>
      </c>
      <c r="B376" s="95" t="s">
        <v>462</v>
      </c>
      <c r="C376" s="95" t="s">
        <v>341</v>
      </c>
      <c r="D376" s="95"/>
    </row>
    <row r="377" ht="15.75" customHeight="1">
      <c r="A377" s="94" t="s">
        <v>433</v>
      </c>
      <c r="B377" s="95" t="s">
        <v>439</v>
      </c>
      <c r="C377" s="95" t="s">
        <v>440</v>
      </c>
      <c r="D377" s="95"/>
    </row>
    <row r="378" ht="15.75" customHeight="1">
      <c r="A378" s="94" t="s">
        <v>433</v>
      </c>
      <c r="B378" s="95" t="s">
        <v>439</v>
      </c>
      <c r="C378" s="95" t="s">
        <v>441</v>
      </c>
      <c r="D378" s="95"/>
    </row>
    <row r="379" ht="15.75" customHeight="1">
      <c r="A379" s="94" t="s">
        <v>433</v>
      </c>
      <c r="B379" s="95" t="s">
        <v>439</v>
      </c>
      <c r="C379" s="95" t="s">
        <v>215</v>
      </c>
      <c r="D379" s="95"/>
    </row>
    <row r="380" ht="15.75" customHeight="1">
      <c r="A380" s="94" t="s">
        <v>433</v>
      </c>
      <c r="B380" s="95" t="s">
        <v>439</v>
      </c>
      <c r="C380" s="95" t="s">
        <v>228</v>
      </c>
      <c r="D380" s="95"/>
    </row>
    <row r="381" ht="15.75" customHeight="1">
      <c r="A381" s="94" t="s">
        <v>433</v>
      </c>
      <c r="B381" s="95" t="s">
        <v>439</v>
      </c>
      <c r="C381" s="95" t="s">
        <v>229</v>
      </c>
      <c r="D381" s="95"/>
    </row>
    <row r="382" ht="15.75" customHeight="1">
      <c r="A382" s="94" t="s">
        <v>433</v>
      </c>
      <c r="B382" s="95" t="s">
        <v>439</v>
      </c>
      <c r="C382" s="95" t="s">
        <v>222</v>
      </c>
      <c r="D382" s="95"/>
    </row>
    <row r="383" ht="15.75" customHeight="1">
      <c r="A383" s="94" t="s">
        <v>433</v>
      </c>
      <c r="B383" s="95" t="s">
        <v>439</v>
      </c>
      <c r="C383" s="95" t="s">
        <v>234</v>
      </c>
      <c r="D383" s="95"/>
    </row>
    <row r="384" ht="15.75" customHeight="1">
      <c r="A384" s="94" t="s">
        <v>433</v>
      </c>
      <c r="B384" s="95" t="s">
        <v>439</v>
      </c>
      <c r="C384" s="95" t="s">
        <v>176</v>
      </c>
      <c r="D384" s="95"/>
    </row>
    <row r="385" ht="15.75" customHeight="1">
      <c r="A385" s="94" t="s">
        <v>433</v>
      </c>
      <c r="B385" s="95" t="s">
        <v>439</v>
      </c>
      <c r="C385" s="95" t="s">
        <v>241</v>
      </c>
      <c r="D385" s="95"/>
    </row>
    <row r="386" ht="15.75" customHeight="1">
      <c r="A386" s="94" t="s">
        <v>433</v>
      </c>
      <c r="B386" s="95" t="s">
        <v>439</v>
      </c>
      <c r="C386" s="95" t="s">
        <v>391</v>
      </c>
      <c r="D386" s="95"/>
    </row>
    <row r="387" ht="15.75" customHeight="1">
      <c r="A387" s="94" t="s">
        <v>433</v>
      </c>
      <c r="B387" s="95" t="s">
        <v>456</v>
      </c>
      <c r="C387" s="95" t="s">
        <v>457</v>
      </c>
      <c r="D387" s="95"/>
    </row>
    <row r="388" ht="15.75" customHeight="1">
      <c r="A388" s="94" t="s">
        <v>433</v>
      </c>
      <c r="B388" s="95" t="s">
        <v>456</v>
      </c>
      <c r="C388" s="95" t="s">
        <v>458</v>
      </c>
      <c r="D388" s="95"/>
    </row>
    <row r="389" ht="15.75" customHeight="1">
      <c r="A389" s="94" t="s">
        <v>433</v>
      </c>
      <c r="B389" s="95" t="s">
        <v>456</v>
      </c>
      <c r="C389" s="95" t="s">
        <v>459</v>
      </c>
      <c r="D389" s="95"/>
    </row>
    <row r="390" ht="15.75" customHeight="1">
      <c r="A390" s="94" t="s">
        <v>433</v>
      </c>
      <c r="B390" s="95" t="s">
        <v>456</v>
      </c>
      <c r="C390" s="95" t="s">
        <v>460</v>
      </c>
      <c r="D390" s="95"/>
    </row>
    <row r="391" ht="15.75" customHeight="1">
      <c r="A391" s="94" t="s">
        <v>433</v>
      </c>
      <c r="B391" s="95" t="s">
        <v>456</v>
      </c>
      <c r="C391" s="95" t="s">
        <v>461</v>
      </c>
      <c r="D391" s="95"/>
    </row>
    <row r="392" ht="15.75" customHeight="1">
      <c r="A392" s="94" t="s">
        <v>433</v>
      </c>
      <c r="B392" s="95" t="s">
        <v>164</v>
      </c>
      <c r="C392" s="95" t="s">
        <v>440</v>
      </c>
      <c r="D392" s="95"/>
    </row>
    <row r="393" ht="15.75" customHeight="1">
      <c r="A393" s="94" t="s">
        <v>433</v>
      </c>
      <c r="B393" s="95" t="s">
        <v>164</v>
      </c>
      <c r="C393" s="95" t="s">
        <v>441</v>
      </c>
      <c r="D393" s="95"/>
    </row>
    <row r="394" ht="15.75" customHeight="1">
      <c r="A394" s="94" t="s">
        <v>433</v>
      </c>
      <c r="B394" s="95" t="s">
        <v>181</v>
      </c>
      <c r="C394" s="95" t="s">
        <v>442</v>
      </c>
      <c r="D394" s="95"/>
    </row>
    <row r="395" ht="15.75" customHeight="1">
      <c r="A395" s="94" t="s">
        <v>433</v>
      </c>
      <c r="B395" s="95" t="s">
        <v>181</v>
      </c>
      <c r="C395" s="95" t="s">
        <v>184</v>
      </c>
      <c r="D395" s="95"/>
    </row>
    <row r="396" ht="15.75" customHeight="1">
      <c r="A396" s="94" t="s">
        <v>433</v>
      </c>
      <c r="B396" s="95" t="s">
        <v>181</v>
      </c>
      <c r="C396" s="95" t="s">
        <v>185</v>
      </c>
      <c r="D396" s="95"/>
    </row>
    <row r="397" ht="15.75" customHeight="1">
      <c r="A397" s="94" t="s">
        <v>433</v>
      </c>
      <c r="B397" s="95" t="s">
        <v>181</v>
      </c>
      <c r="C397" s="95" t="s">
        <v>187</v>
      </c>
      <c r="D397" s="95"/>
    </row>
    <row r="398" ht="15.75" customHeight="1">
      <c r="A398" s="94" t="s">
        <v>433</v>
      </c>
      <c r="B398" s="95" t="s">
        <v>181</v>
      </c>
      <c r="C398" s="95" t="s">
        <v>188</v>
      </c>
      <c r="D398" s="95"/>
    </row>
    <row r="399" ht="15.75" customHeight="1">
      <c r="A399" s="94" t="s">
        <v>433</v>
      </c>
      <c r="B399" s="95" t="s">
        <v>181</v>
      </c>
      <c r="C399" s="95" t="s">
        <v>378</v>
      </c>
      <c r="D399" s="95"/>
    </row>
    <row r="400" ht="15.75" customHeight="1">
      <c r="A400" s="94" t="s">
        <v>433</v>
      </c>
      <c r="B400" s="95" t="s">
        <v>181</v>
      </c>
      <c r="C400" s="95" t="s">
        <v>194</v>
      </c>
      <c r="D400" s="95"/>
    </row>
    <row r="401" ht="15.75" customHeight="1">
      <c r="A401" s="95" t="s">
        <v>433</v>
      </c>
      <c r="B401" s="95" t="s">
        <v>2834</v>
      </c>
      <c r="C401" s="97"/>
      <c r="D401" s="97"/>
    </row>
    <row r="402" ht="15.75" customHeight="1">
      <c r="A402" s="94" t="s">
        <v>433</v>
      </c>
      <c r="B402" s="95" t="s">
        <v>254</v>
      </c>
      <c r="C402" s="95" t="s">
        <v>204</v>
      </c>
      <c r="D402" s="95"/>
    </row>
    <row r="403" ht="15.75" customHeight="1">
      <c r="A403" s="94" t="s">
        <v>433</v>
      </c>
      <c r="B403" s="95" t="s">
        <v>254</v>
      </c>
      <c r="C403" s="95" t="s">
        <v>443</v>
      </c>
      <c r="D403" s="95"/>
    </row>
    <row r="404" ht="15.75" customHeight="1">
      <c r="A404" s="95" t="s">
        <v>433</v>
      </c>
      <c r="B404" s="95" t="s">
        <v>749</v>
      </c>
      <c r="C404" s="97"/>
      <c r="D404" s="97"/>
    </row>
    <row r="405" ht="15.75" customHeight="1">
      <c r="A405" s="94" t="s">
        <v>433</v>
      </c>
      <c r="B405" s="95" t="s">
        <v>246</v>
      </c>
      <c r="C405" s="95" t="s">
        <v>444</v>
      </c>
      <c r="D405" s="95"/>
    </row>
    <row r="406" ht="15.75" customHeight="1">
      <c r="A406" s="94" t="s">
        <v>433</v>
      </c>
      <c r="B406" s="95" t="s">
        <v>246</v>
      </c>
      <c r="C406" s="95" t="s">
        <v>445</v>
      </c>
      <c r="D406" s="95"/>
    </row>
    <row r="407" ht="15.75" customHeight="1">
      <c r="A407" s="94" t="s">
        <v>433</v>
      </c>
      <c r="B407" s="95" t="s">
        <v>246</v>
      </c>
      <c r="C407" s="95" t="s">
        <v>446</v>
      </c>
      <c r="D407" s="95"/>
    </row>
    <row r="408" ht="15.75" customHeight="1">
      <c r="A408" s="94" t="s">
        <v>433</v>
      </c>
      <c r="B408" s="95" t="s">
        <v>246</v>
      </c>
      <c r="C408" s="95" t="s">
        <v>447</v>
      </c>
      <c r="D408" s="95"/>
    </row>
    <row r="409" ht="15.75" customHeight="1">
      <c r="A409" s="94" t="s">
        <v>433</v>
      </c>
      <c r="B409" s="95" t="s">
        <v>246</v>
      </c>
      <c r="C409" s="95" t="s">
        <v>248</v>
      </c>
      <c r="D409" s="95"/>
    </row>
    <row r="410" ht="15.75" customHeight="1">
      <c r="A410" s="94" t="s">
        <v>433</v>
      </c>
      <c r="B410" s="95" t="s">
        <v>246</v>
      </c>
      <c r="C410" s="95" t="s">
        <v>448</v>
      </c>
      <c r="D410" s="95"/>
    </row>
    <row r="411" ht="15.75" customHeight="1">
      <c r="A411" s="94" t="s">
        <v>433</v>
      </c>
      <c r="B411" s="95" t="s">
        <v>449</v>
      </c>
      <c r="C411" s="95" t="s">
        <v>203</v>
      </c>
      <c r="D411" s="95"/>
    </row>
    <row r="412" ht="15.75" customHeight="1">
      <c r="A412" s="94" t="s">
        <v>433</v>
      </c>
      <c r="B412" s="95" t="s">
        <v>449</v>
      </c>
      <c r="C412" s="95" t="s">
        <v>205</v>
      </c>
      <c r="D412" s="95"/>
    </row>
    <row r="413" ht="15.75" customHeight="1">
      <c r="A413" s="94" t="s">
        <v>433</v>
      </c>
      <c r="B413" s="95" t="s">
        <v>449</v>
      </c>
      <c r="C413" s="95" t="s">
        <v>206</v>
      </c>
      <c r="D413" s="95"/>
    </row>
    <row r="414" ht="15.75" customHeight="1">
      <c r="A414" s="94" t="s">
        <v>433</v>
      </c>
      <c r="B414" s="95" t="s">
        <v>449</v>
      </c>
      <c r="C414" s="95" t="s">
        <v>208</v>
      </c>
      <c r="D414" s="95"/>
    </row>
    <row r="415" ht="15.75" customHeight="1">
      <c r="A415" s="94" t="s">
        <v>433</v>
      </c>
      <c r="B415" s="95" t="s">
        <v>449</v>
      </c>
      <c r="C415" s="95" t="s">
        <v>395</v>
      </c>
      <c r="D415" s="95"/>
    </row>
    <row r="416" ht="15.75" customHeight="1">
      <c r="A416" s="94" t="s">
        <v>433</v>
      </c>
      <c r="B416" s="95" t="s">
        <v>449</v>
      </c>
      <c r="C416" s="95" t="s">
        <v>195</v>
      </c>
      <c r="D416" s="95"/>
    </row>
    <row r="417" ht="15.75" customHeight="1">
      <c r="A417" s="94" t="s">
        <v>433</v>
      </c>
      <c r="B417" s="95" t="s">
        <v>449</v>
      </c>
      <c r="C417" s="95" t="s">
        <v>210</v>
      </c>
      <c r="D417" s="95"/>
    </row>
    <row r="418" ht="15.75" customHeight="1">
      <c r="A418" s="94" t="s">
        <v>433</v>
      </c>
      <c r="B418" s="95" t="s">
        <v>449</v>
      </c>
      <c r="C418" s="95" t="s">
        <v>211</v>
      </c>
      <c r="D418" s="95"/>
    </row>
    <row r="419" ht="15.75" customHeight="1">
      <c r="A419" s="94" t="s">
        <v>433</v>
      </c>
      <c r="B419" s="95" t="s">
        <v>449</v>
      </c>
      <c r="C419" s="95" t="s">
        <v>212</v>
      </c>
      <c r="D419" s="95"/>
    </row>
    <row r="420" ht="15.75" customHeight="1">
      <c r="A420" s="94" t="s">
        <v>433</v>
      </c>
      <c r="B420" s="95" t="s">
        <v>449</v>
      </c>
      <c r="C420" s="95" t="s">
        <v>213</v>
      </c>
      <c r="D420" s="95"/>
    </row>
    <row r="421" ht="15.75" customHeight="1">
      <c r="A421" s="94" t="s">
        <v>433</v>
      </c>
      <c r="B421" s="95" t="s">
        <v>270</v>
      </c>
      <c r="C421" s="95" t="s">
        <v>450</v>
      </c>
      <c r="D421" s="95"/>
    </row>
    <row r="422" ht="15.75" customHeight="1">
      <c r="A422" s="94" t="s">
        <v>433</v>
      </c>
      <c r="B422" s="95" t="s">
        <v>270</v>
      </c>
      <c r="C422" s="95" t="s">
        <v>397</v>
      </c>
      <c r="D422" s="95"/>
    </row>
    <row r="423" ht="15.75" customHeight="1">
      <c r="A423" s="94" t="s">
        <v>433</v>
      </c>
      <c r="B423" s="95" t="s">
        <v>270</v>
      </c>
      <c r="C423" s="95" t="s">
        <v>451</v>
      </c>
      <c r="D423" s="95"/>
    </row>
    <row r="424" ht="15.75" customHeight="1">
      <c r="A424" s="94" t="s">
        <v>433</v>
      </c>
      <c r="B424" s="95" t="s">
        <v>270</v>
      </c>
      <c r="C424" s="95" t="s">
        <v>279</v>
      </c>
      <c r="D424" s="95"/>
    </row>
    <row r="425" ht="15.75" customHeight="1">
      <c r="A425" s="94" t="s">
        <v>433</v>
      </c>
      <c r="B425" s="95" t="s">
        <v>270</v>
      </c>
      <c r="C425" s="95" t="s">
        <v>402</v>
      </c>
      <c r="D425" s="95"/>
    </row>
    <row r="426" ht="15.75" customHeight="1">
      <c r="A426" s="94" t="s">
        <v>433</v>
      </c>
      <c r="B426" s="95" t="s">
        <v>270</v>
      </c>
      <c r="C426" s="95" t="s">
        <v>452</v>
      </c>
      <c r="D426" s="95"/>
    </row>
    <row r="427" ht="15.75" customHeight="1">
      <c r="A427" s="94" t="s">
        <v>433</v>
      </c>
      <c r="B427" s="95" t="s">
        <v>270</v>
      </c>
      <c r="C427" s="95" t="s">
        <v>284</v>
      </c>
      <c r="D427" s="95"/>
    </row>
    <row r="428" ht="15.75" customHeight="1">
      <c r="A428" s="94" t="s">
        <v>433</v>
      </c>
      <c r="B428" s="95" t="s">
        <v>270</v>
      </c>
      <c r="C428" s="95" t="s">
        <v>285</v>
      </c>
      <c r="D428" s="95"/>
    </row>
    <row r="429" ht="15.75" customHeight="1">
      <c r="A429" s="94" t="s">
        <v>433</v>
      </c>
      <c r="B429" s="95" t="s">
        <v>270</v>
      </c>
      <c r="C429" s="95" t="s">
        <v>453</v>
      </c>
      <c r="D429" s="95"/>
    </row>
    <row r="430" ht="15.75" customHeight="1">
      <c r="A430" s="94" t="s">
        <v>433</v>
      </c>
      <c r="B430" s="95" t="s">
        <v>251</v>
      </c>
      <c r="C430" s="95" t="s">
        <v>252</v>
      </c>
      <c r="D430" s="95"/>
    </row>
    <row r="431" ht="15.75" customHeight="1">
      <c r="A431" s="94" t="s">
        <v>433</v>
      </c>
      <c r="B431" s="95" t="s">
        <v>251</v>
      </c>
      <c r="C431" s="95" t="s">
        <v>253</v>
      </c>
      <c r="D431" s="95"/>
    </row>
    <row r="432" ht="15.75" customHeight="1">
      <c r="A432" s="94" t="s">
        <v>433</v>
      </c>
      <c r="B432" s="95" t="s">
        <v>251</v>
      </c>
      <c r="C432" s="95" t="s">
        <v>454</v>
      </c>
      <c r="D432" s="95"/>
    </row>
    <row r="433" ht="15.75" customHeight="1">
      <c r="A433" s="94" t="s">
        <v>433</v>
      </c>
      <c r="B433" s="95" t="s">
        <v>251</v>
      </c>
      <c r="C433" s="95" t="s">
        <v>455</v>
      </c>
      <c r="D433" s="95"/>
    </row>
    <row r="434" ht="15.75" customHeight="1">
      <c r="A434" s="94" t="s">
        <v>433</v>
      </c>
      <c r="B434" s="95" t="s">
        <v>251</v>
      </c>
      <c r="C434" s="95" t="s">
        <v>418</v>
      </c>
      <c r="D434" s="95"/>
    </row>
    <row r="435" ht="15.75" customHeight="1">
      <c r="A435" s="94" t="s">
        <v>433</v>
      </c>
      <c r="B435" s="95" t="s">
        <v>463</v>
      </c>
      <c r="C435" s="95" t="s">
        <v>464</v>
      </c>
      <c r="D435" s="95"/>
    </row>
    <row r="436" ht="15.75" customHeight="1">
      <c r="A436" s="94" t="s">
        <v>433</v>
      </c>
      <c r="B436" s="95" t="s">
        <v>463</v>
      </c>
      <c r="C436" s="95" t="s">
        <v>465</v>
      </c>
      <c r="D436" s="95"/>
    </row>
    <row r="437" ht="15.75" customHeight="1">
      <c r="A437" s="94" t="s">
        <v>433</v>
      </c>
      <c r="B437" s="95" t="s">
        <v>463</v>
      </c>
      <c r="C437" s="95" t="s">
        <v>466</v>
      </c>
      <c r="D437" s="95"/>
    </row>
    <row r="438" ht="15.75" customHeight="1">
      <c r="A438" s="94" t="s">
        <v>433</v>
      </c>
      <c r="B438" s="95" t="s">
        <v>463</v>
      </c>
      <c r="C438" s="95" t="s">
        <v>467</v>
      </c>
      <c r="D438" s="95"/>
    </row>
    <row r="439" ht="15.75" customHeight="1">
      <c r="A439" s="94" t="s">
        <v>433</v>
      </c>
      <c r="B439" s="95" t="s">
        <v>463</v>
      </c>
      <c r="C439" s="95" t="s">
        <v>468</v>
      </c>
      <c r="D439" s="95"/>
    </row>
    <row r="440" ht="15.75" customHeight="1">
      <c r="A440" s="94" t="s">
        <v>433</v>
      </c>
      <c r="B440" s="95" t="s">
        <v>463</v>
      </c>
      <c r="C440" s="95" t="s">
        <v>469</v>
      </c>
      <c r="D440" s="95"/>
    </row>
    <row r="441" ht="15.75" customHeight="1">
      <c r="A441" s="94" t="s">
        <v>433</v>
      </c>
      <c r="B441" s="95" t="s">
        <v>463</v>
      </c>
      <c r="C441" s="95" t="s">
        <v>470</v>
      </c>
      <c r="D441" s="95"/>
    </row>
    <row r="442" ht="15.75" customHeight="1">
      <c r="A442" s="94" t="s">
        <v>433</v>
      </c>
      <c r="B442" s="95" t="s">
        <v>463</v>
      </c>
      <c r="C442" s="95" t="s">
        <v>471</v>
      </c>
      <c r="D442" s="95"/>
    </row>
    <row r="443" ht="15.75" customHeight="1">
      <c r="A443" s="94" t="s">
        <v>472</v>
      </c>
      <c r="B443" s="95" t="s">
        <v>473</v>
      </c>
      <c r="C443" s="95" t="s">
        <v>474</v>
      </c>
      <c r="D443" s="95"/>
    </row>
    <row r="444" ht="15.75" customHeight="1">
      <c r="A444" s="94" t="s">
        <v>472</v>
      </c>
      <c r="B444" s="95" t="s">
        <v>473</v>
      </c>
      <c r="C444" s="95" t="s">
        <v>475</v>
      </c>
      <c r="D444" s="95"/>
    </row>
    <row r="445" ht="15.75" customHeight="1">
      <c r="A445" s="94" t="s">
        <v>472</v>
      </c>
      <c r="B445" s="95" t="s">
        <v>473</v>
      </c>
      <c r="C445" s="95" t="s">
        <v>476</v>
      </c>
      <c r="D445" s="95"/>
    </row>
    <row r="446" ht="15.75" customHeight="1">
      <c r="A446" s="94" t="s">
        <v>472</v>
      </c>
      <c r="B446" s="95" t="s">
        <v>473</v>
      </c>
      <c r="C446" s="95" t="s">
        <v>477</v>
      </c>
      <c r="D446" s="95"/>
    </row>
    <row r="447" ht="15.75" customHeight="1">
      <c r="A447" s="94" t="s">
        <v>472</v>
      </c>
      <c r="B447" s="95" t="s">
        <v>473</v>
      </c>
      <c r="C447" s="95" t="s">
        <v>478</v>
      </c>
      <c r="D447" s="95"/>
    </row>
    <row r="448" ht="15.75" customHeight="1">
      <c r="A448" s="94" t="s">
        <v>472</v>
      </c>
      <c r="B448" s="95" t="s">
        <v>473</v>
      </c>
      <c r="C448" s="95" t="s">
        <v>479</v>
      </c>
      <c r="D448" s="95"/>
    </row>
    <row r="449" ht="15.75" customHeight="1">
      <c r="A449" s="94" t="s">
        <v>472</v>
      </c>
      <c r="B449" s="95" t="s">
        <v>473</v>
      </c>
      <c r="C449" s="95" t="s">
        <v>480</v>
      </c>
      <c r="D449" s="95"/>
    </row>
    <row r="450" ht="15.75" customHeight="1">
      <c r="A450" s="94" t="s">
        <v>472</v>
      </c>
      <c r="B450" s="95" t="s">
        <v>473</v>
      </c>
      <c r="C450" s="95" t="s">
        <v>481</v>
      </c>
      <c r="D450" s="95"/>
    </row>
    <row r="451" ht="15.75" customHeight="1">
      <c r="A451" s="94" t="s">
        <v>472</v>
      </c>
      <c r="B451" s="95" t="s">
        <v>473</v>
      </c>
      <c r="C451" s="95" t="s">
        <v>482</v>
      </c>
      <c r="D451" s="95"/>
    </row>
    <row r="452" ht="15.75" customHeight="1">
      <c r="A452" s="94" t="s">
        <v>472</v>
      </c>
      <c r="B452" s="95" t="s">
        <v>473</v>
      </c>
      <c r="C452" s="95" t="s">
        <v>483</v>
      </c>
      <c r="D452" s="95"/>
    </row>
    <row r="453" ht="15.75" customHeight="1">
      <c r="A453" s="94" t="s">
        <v>472</v>
      </c>
      <c r="B453" s="95" t="s">
        <v>473</v>
      </c>
      <c r="C453" s="95" t="s">
        <v>484</v>
      </c>
      <c r="D453" s="95"/>
    </row>
    <row r="454" ht="15.75" customHeight="1">
      <c r="A454" s="94" t="s">
        <v>472</v>
      </c>
      <c r="B454" s="95" t="s">
        <v>473</v>
      </c>
      <c r="C454" s="95" t="s">
        <v>485</v>
      </c>
      <c r="D454" s="95"/>
    </row>
    <row r="455" ht="15.75" customHeight="1">
      <c r="A455" s="94" t="s">
        <v>472</v>
      </c>
      <c r="B455" s="95" t="s">
        <v>486</v>
      </c>
      <c r="C455" s="95" t="s">
        <v>487</v>
      </c>
      <c r="D455" s="95"/>
    </row>
    <row r="456" ht="15.75" customHeight="1">
      <c r="A456" s="94" t="s">
        <v>472</v>
      </c>
      <c r="B456" s="95" t="s">
        <v>486</v>
      </c>
      <c r="C456" s="95" t="s">
        <v>488</v>
      </c>
      <c r="D456" s="95"/>
    </row>
    <row r="457" ht="15.75" customHeight="1">
      <c r="A457" s="94" t="s">
        <v>472</v>
      </c>
      <c r="B457" s="95" t="s">
        <v>486</v>
      </c>
      <c r="C457" s="95" t="s">
        <v>489</v>
      </c>
      <c r="D457" s="95"/>
    </row>
    <row r="458" ht="15.75" customHeight="1">
      <c r="A458" s="94" t="s">
        <v>472</v>
      </c>
      <c r="B458" s="95" t="s">
        <v>486</v>
      </c>
      <c r="C458" s="95" t="s">
        <v>490</v>
      </c>
      <c r="D458" s="95"/>
    </row>
    <row r="459" ht="15.75" customHeight="1">
      <c r="A459" s="94" t="s">
        <v>472</v>
      </c>
      <c r="B459" s="95" t="s">
        <v>486</v>
      </c>
      <c r="C459" s="95" t="s">
        <v>491</v>
      </c>
      <c r="D459" s="95"/>
    </row>
    <row r="460" ht="15.75" customHeight="1">
      <c r="A460" s="94" t="s">
        <v>472</v>
      </c>
      <c r="B460" s="95" t="s">
        <v>486</v>
      </c>
      <c r="C460" s="95" t="s">
        <v>492</v>
      </c>
      <c r="D460" s="95"/>
    </row>
    <row r="461" ht="15.75" customHeight="1">
      <c r="A461" s="94" t="s">
        <v>472</v>
      </c>
      <c r="B461" s="95" t="s">
        <v>486</v>
      </c>
      <c r="C461" s="95" t="s">
        <v>493</v>
      </c>
      <c r="D461" s="95"/>
    </row>
    <row r="462" ht="15.75" customHeight="1">
      <c r="A462" s="94" t="s">
        <v>472</v>
      </c>
      <c r="B462" s="95" t="s">
        <v>486</v>
      </c>
      <c r="C462" s="95" t="s">
        <v>494</v>
      </c>
      <c r="D462" s="95"/>
    </row>
    <row r="463" ht="15.75" customHeight="1">
      <c r="A463" s="94" t="s">
        <v>472</v>
      </c>
      <c r="B463" s="95" t="s">
        <v>486</v>
      </c>
      <c r="C463" s="95" t="s">
        <v>495</v>
      </c>
      <c r="D463" s="95"/>
    </row>
    <row r="464" ht="15.75" customHeight="1">
      <c r="A464" s="94" t="s">
        <v>472</v>
      </c>
      <c r="B464" s="95" t="s">
        <v>486</v>
      </c>
      <c r="C464" s="95" t="s">
        <v>496</v>
      </c>
      <c r="D464" s="95"/>
    </row>
    <row r="465" ht="15.75" customHeight="1">
      <c r="A465" s="94" t="s">
        <v>472</v>
      </c>
      <c r="B465" s="95" t="s">
        <v>497</v>
      </c>
      <c r="C465" s="95" t="s">
        <v>498</v>
      </c>
      <c r="D465" s="95"/>
    </row>
    <row r="466" ht="15.75" customHeight="1">
      <c r="A466" s="94" t="s">
        <v>472</v>
      </c>
      <c r="B466" s="95" t="s">
        <v>497</v>
      </c>
      <c r="C466" s="95" t="s">
        <v>499</v>
      </c>
      <c r="D466" s="95"/>
    </row>
    <row r="467" ht="15.75" customHeight="1">
      <c r="A467" s="94" t="s">
        <v>472</v>
      </c>
      <c r="B467" s="95" t="s">
        <v>497</v>
      </c>
      <c r="C467" s="95" t="s">
        <v>500</v>
      </c>
      <c r="D467" s="95"/>
    </row>
    <row r="468" ht="15.75" customHeight="1">
      <c r="A468" s="94" t="s">
        <v>472</v>
      </c>
      <c r="B468" s="95" t="s">
        <v>497</v>
      </c>
      <c r="C468" s="95" t="s">
        <v>501</v>
      </c>
      <c r="D468" s="95"/>
    </row>
    <row r="469" ht="15.75" customHeight="1">
      <c r="A469" s="94" t="s">
        <v>472</v>
      </c>
      <c r="B469" s="95" t="s">
        <v>497</v>
      </c>
      <c r="C469" s="95" t="s">
        <v>502</v>
      </c>
      <c r="D469" s="95"/>
    </row>
    <row r="470" ht="15.75" customHeight="1">
      <c r="A470" s="94" t="s">
        <v>472</v>
      </c>
      <c r="B470" s="95" t="s">
        <v>497</v>
      </c>
      <c r="C470" s="95" t="s">
        <v>503</v>
      </c>
      <c r="D470" s="95"/>
    </row>
    <row r="471" ht="15.75" customHeight="1">
      <c r="A471" s="94" t="s">
        <v>472</v>
      </c>
      <c r="B471" s="95" t="s">
        <v>497</v>
      </c>
      <c r="C471" s="95" t="s">
        <v>504</v>
      </c>
      <c r="D471" s="95"/>
    </row>
    <row r="472" ht="15.75" customHeight="1">
      <c r="A472" s="94" t="s">
        <v>472</v>
      </c>
      <c r="B472" s="95" t="s">
        <v>497</v>
      </c>
      <c r="C472" s="95" t="s">
        <v>505</v>
      </c>
      <c r="D472" s="95"/>
    </row>
    <row r="473" ht="15.75" customHeight="1">
      <c r="A473" s="94" t="s">
        <v>472</v>
      </c>
      <c r="B473" s="95" t="s">
        <v>497</v>
      </c>
      <c r="C473" s="95" t="s">
        <v>506</v>
      </c>
      <c r="D473" s="95"/>
    </row>
    <row r="474" ht="15.75" customHeight="1">
      <c r="A474" s="94" t="s">
        <v>472</v>
      </c>
      <c r="B474" s="95" t="s">
        <v>497</v>
      </c>
      <c r="C474" s="95" t="s">
        <v>507</v>
      </c>
      <c r="D474" s="95"/>
    </row>
    <row r="475" ht="15.75" customHeight="1">
      <c r="A475" s="94" t="s">
        <v>472</v>
      </c>
      <c r="B475" s="95" t="s">
        <v>508</v>
      </c>
      <c r="C475" s="95" t="s">
        <v>509</v>
      </c>
      <c r="D475" s="95"/>
    </row>
    <row r="476" ht="15.75" customHeight="1">
      <c r="A476" s="94" t="s">
        <v>472</v>
      </c>
      <c r="B476" s="95" t="s">
        <v>508</v>
      </c>
      <c r="C476" s="95" t="s">
        <v>510</v>
      </c>
      <c r="D476" s="95"/>
    </row>
    <row r="477" ht="15.75" customHeight="1">
      <c r="A477" s="94" t="s">
        <v>472</v>
      </c>
      <c r="B477" s="95" t="s">
        <v>508</v>
      </c>
      <c r="C477" s="95" t="s">
        <v>511</v>
      </c>
      <c r="D477" s="95"/>
    </row>
    <row r="478" ht="15.75" customHeight="1">
      <c r="A478" s="94" t="s">
        <v>472</v>
      </c>
      <c r="B478" s="95" t="s">
        <v>508</v>
      </c>
      <c r="C478" s="95" t="s">
        <v>512</v>
      </c>
      <c r="D478" s="95"/>
    </row>
    <row r="479" ht="15.75" customHeight="1">
      <c r="A479" s="94" t="s">
        <v>472</v>
      </c>
      <c r="B479" s="95" t="s">
        <v>508</v>
      </c>
      <c r="C479" s="95" t="s">
        <v>513</v>
      </c>
      <c r="D479" s="95"/>
    </row>
    <row r="480" ht="15.75" customHeight="1">
      <c r="A480" s="94" t="s">
        <v>472</v>
      </c>
      <c r="B480" s="95" t="s">
        <v>508</v>
      </c>
      <c r="C480" s="95" t="s">
        <v>514</v>
      </c>
      <c r="D480" s="95"/>
    </row>
    <row r="481" ht="15.75" customHeight="1">
      <c r="A481" s="94" t="s">
        <v>472</v>
      </c>
      <c r="B481" s="95" t="s">
        <v>508</v>
      </c>
      <c r="C481" s="95" t="s">
        <v>515</v>
      </c>
      <c r="D481" s="95"/>
    </row>
    <row r="482" ht="15.75" customHeight="1">
      <c r="A482" s="94" t="s">
        <v>472</v>
      </c>
      <c r="B482" s="95" t="s">
        <v>516</v>
      </c>
      <c r="C482" s="95" t="s">
        <v>517</v>
      </c>
      <c r="D482" s="95"/>
    </row>
    <row r="483" ht="15.75" customHeight="1">
      <c r="A483" s="94" t="s">
        <v>472</v>
      </c>
      <c r="B483" s="95" t="s">
        <v>516</v>
      </c>
      <c r="C483" s="95" t="s">
        <v>518</v>
      </c>
      <c r="D483" s="95"/>
    </row>
    <row r="484" ht="15.75" customHeight="1">
      <c r="A484" s="94" t="s">
        <v>472</v>
      </c>
      <c r="B484" s="95" t="s">
        <v>516</v>
      </c>
      <c r="C484" s="95" t="s">
        <v>519</v>
      </c>
      <c r="D484" s="95"/>
    </row>
    <row r="485" ht="15.75" customHeight="1">
      <c r="A485" s="94" t="s">
        <v>472</v>
      </c>
      <c r="B485" s="95" t="s">
        <v>516</v>
      </c>
      <c r="C485" s="95" t="s">
        <v>520</v>
      </c>
      <c r="D485" s="95"/>
    </row>
    <row r="486" ht="15.75" customHeight="1">
      <c r="A486" s="94" t="s">
        <v>472</v>
      </c>
      <c r="B486" s="95" t="s">
        <v>516</v>
      </c>
      <c r="C486" s="95" t="s">
        <v>521</v>
      </c>
      <c r="D486" s="95"/>
    </row>
    <row r="487" ht="15.75" customHeight="1">
      <c r="A487" s="94" t="s">
        <v>472</v>
      </c>
      <c r="B487" s="95" t="s">
        <v>516</v>
      </c>
      <c r="C487" s="95" t="s">
        <v>522</v>
      </c>
      <c r="D487" s="95"/>
    </row>
    <row r="488" ht="15.75" customHeight="1">
      <c r="A488" s="94" t="s">
        <v>472</v>
      </c>
      <c r="B488" s="95" t="s">
        <v>523</v>
      </c>
      <c r="C488" s="95" t="s">
        <v>524</v>
      </c>
      <c r="D488" s="95"/>
    </row>
    <row r="489" ht="15.75" customHeight="1">
      <c r="A489" s="94" t="s">
        <v>472</v>
      </c>
      <c r="B489" s="95" t="s">
        <v>523</v>
      </c>
      <c r="C489" s="95" t="s">
        <v>525</v>
      </c>
      <c r="D489" s="95"/>
    </row>
    <row r="490" ht="15.75" customHeight="1">
      <c r="A490" s="94" t="s">
        <v>472</v>
      </c>
      <c r="B490" s="95" t="s">
        <v>523</v>
      </c>
      <c r="C490" s="95" t="s">
        <v>526</v>
      </c>
      <c r="D490" s="95"/>
    </row>
    <row r="491" ht="15.75" customHeight="1">
      <c r="A491" s="94" t="s">
        <v>472</v>
      </c>
      <c r="B491" s="95" t="s">
        <v>523</v>
      </c>
      <c r="C491" s="95" t="s">
        <v>527</v>
      </c>
      <c r="D491" s="95"/>
    </row>
    <row r="492" ht="15.75" customHeight="1">
      <c r="A492" s="94" t="s">
        <v>472</v>
      </c>
      <c r="B492" s="95" t="s">
        <v>523</v>
      </c>
      <c r="C492" s="95" t="s">
        <v>528</v>
      </c>
      <c r="D492" s="95"/>
    </row>
    <row r="493" ht="15.75" customHeight="1">
      <c r="A493" s="94" t="s">
        <v>472</v>
      </c>
      <c r="B493" s="95" t="s">
        <v>523</v>
      </c>
      <c r="C493" s="95" t="s">
        <v>529</v>
      </c>
      <c r="D493" s="95"/>
    </row>
    <row r="494" ht="15.75" customHeight="1">
      <c r="A494" s="94" t="s">
        <v>472</v>
      </c>
      <c r="B494" s="95" t="s">
        <v>523</v>
      </c>
      <c r="C494" s="95" t="s">
        <v>530</v>
      </c>
      <c r="D494" s="95"/>
    </row>
    <row r="495" ht="15.75" customHeight="1">
      <c r="A495" s="94" t="s">
        <v>472</v>
      </c>
      <c r="B495" s="95" t="s">
        <v>523</v>
      </c>
      <c r="C495" s="95" t="s">
        <v>531</v>
      </c>
      <c r="D495" s="95"/>
    </row>
    <row r="496" ht="15.75" customHeight="1">
      <c r="A496" s="94" t="s">
        <v>472</v>
      </c>
      <c r="B496" s="95" t="s">
        <v>523</v>
      </c>
      <c r="C496" s="95" t="s">
        <v>532</v>
      </c>
      <c r="D496" s="95"/>
    </row>
    <row r="497" ht="15.75" customHeight="1">
      <c r="A497" s="94" t="s">
        <v>472</v>
      </c>
      <c r="B497" s="95" t="s">
        <v>533</v>
      </c>
      <c r="C497" s="95" t="s">
        <v>534</v>
      </c>
      <c r="D497" s="95"/>
    </row>
    <row r="498" ht="15.75" customHeight="1">
      <c r="A498" s="94" t="s">
        <v>472</v>
      </c>
      <c r="B498" s="95" t="s">
        <v>533</v>
      </c>
      <c r="C498" s="95" t="s">
        <v>535</v>
      </c>
      <c r="D498" s="95"/>
    </row>
    <row r="499" ht="15.75" customHeight="1">
      <c r="A499" s="94" t="s">
        <v>472</v>
      </c>
      <c r="B499" s="95" t="s">
        <v>533</v>
      </c>
      <c r="C499" s="95" t="s">
        <v>536</v>
      </c>
      <c r="D499" s="95"/>
    </row>
    <row r="500" ht="15.75" customHeight="1">
      <c r="A500" s="94" t="s">
        <v>472</v>
      </c>
      <c r="B500" s="95" t="s">
        <v>533</v>
      </c>
      <c r="C500" s="95" t="s">
        <v>537</v>
      </c>
      <c r="D500" s="95"/>
    </row>
    <row r="501" ht="15.75" customHeight="1">
      <c r="A501" s="94" t="s">
        <v>472</v>
      </c>
      <c r="B501" s="95" t="s">
        <v>538</v>
      </c>
      <c r="C501" s="95" t="s">
        <v>539</v>
      </c>
      <c r="D501" s="95"/>
    </row>
    <row r="502" ht="15.75" customHeight="1">
      <c r="A502" s="94" t="s">
        <v>472</v>
      </c>
      <c r="B502" s="95" t="s">
        <v>538</v>
      </c>
      <c r="C502" s="95" t="s">
        <v>540</v>
      </c>
      <c r="D502" s="95"/>
    </row>
    <row r="503" ht="15.75" customHeight="1">
      <c r="A503" s="94" t="s">
        <v>472</v>
      </c>
      <c r="B503" s="95" t="s">
        <v>538</v>
      </c>
      <c r="C503" s="95" t="s">
        <v>541</v>
      </c>
      <c r="D503" s="95"/>
    </row>
    <row r="504" ht="15.75" customHeight="1">
      <c r="A504" s="94" t="s">
        <v>472</v>
      </c>
      <c r="B504" s="95" t="s">
        <v>538</v>
      </c>
      <c r="C504" s="95" t="s">
        <v>542</v>
      </c>
      <c r="D504" s="95"/>
    </row>
    <row r="505" ht="15.75" customHeight="1">
      <c r="A505" s="94" t="s">
        <v>472</v>
      </c>
      <c r="B505" s="95" t="s">
        <v>538</v>
      </c>
      <c r="C505" s="95" t="s">
        <v>543</v>
      </c>
      <c r="D505" s="95"/>
    </row>
    <row r="506" ht="15.75" customHeight="1">
      <c r="A506" s="94" t="s">
        <v>472</v>
      </c>
      <c r="B506" s="95" t="s">
        <v>538</v>
      </c>
      <c r="C506" s="95" t="s">
        <v>544</v>
      </c>
      <c r="D506" s="95"/>
    </row>
    <row r="507" ht="15.75" customHeight="1">
      <c r="A507" s="94" t="s">
        <v>472</v>
      </c>
      <c r="B507" s="95" t="s">
        <v>538</v>
      </c>
      <c r="C507" s="95" t="s">
        <v>545</v>
      </c>
      <c r="D507" s="95"/>
    </row>
    <row r="508" ht="15.75" customHeight="1">
      <c r="A508" s="94" t="s">
        <v>472</v>
      </c>
      <c r="B508" s="95" t="s">
        <v>546</v>
      </c>
      <c r="C508" s="95" t="s">
        <v>548</v>
      </c>
      <c r="D508" s="95"/>
    </row>
    <row r="509" ht="15.75" customHeight="1">
      <c r="A509" s="94" t="s">
        <v>472</v>
      </c>
      <c r="B509" s="95" t="s">
        <v>546</v>
      </c>
      <c r="C509" s="95" t="s">
        <v>547</v>
      </c>
      <c r="D509" s="95"/>
    </row>
    <row r="510" ht="15.75" customHeight="1">
      <c r="A510" s="94" t="s">
        <v>472</v>
      </c>
      <c r="B510" s="95" t="s">
        <v>546</v>
      </c>
      <c r="C510" s="95" t="s">
        <v>549</v>
      </c>
      <c r="D510" s="95"/>
    </row>
    <row r="511" ht="15.75" customHeight="1">
      <c r="A511" s="94" t="s">
        <v>472</v>
      </c>
      <c r="B511" s="95" t="s">
        <v>546</v>
      </c>
      <c r="C511" s="95" t="s">
        <v>550</v>
      </c>
      <c r="D511" s="95"/>
    </row>
    <row r="512" ht="15.75" customHeight="1">
      <c r="A512" s="94" t="s">
        <v>472</v>
      </c>
      <c r="B512" s="95" t="s">
        <v>546</v>
      </c>
      <c r="C512" s="95" t="s">
        <v>551</v>
      </c>
      <c r="D512" s="95"/>
    </row>
    <row r="513" ht="15.75" customHeight="1">
      <c r="A513" s="94" t="s">
        <v>472</v>
      </c>
      <c r="B513" s="95" t="s">
        <v>546</v>
      </c>
      <c r="C513" s="95" t="s">
        <v>552</v>
      </c>
      <c r="D513" s="95"/>
    </row>
    <row r="514" ht="15.75" customHeight="1">
      <c r="A514" s="94" t="s">
        <v>472</v>
      </c>
      <c r="B514" s="95" t="s">
        <v>546</v>
      </c>
      <c r="C514" s="95" t="s">
        <v>553</v>
      </c>
      <c r="D514" s="95"/>
    </row>
    <row r="515" ht="15.75" customHeight="1">
      <c r="A515" s="94" t="s">
        <v>472</v>
      </c>
      <c r="B515" s="95" t="s">
        <v>546</v>
      </c>
      <c r="C515" s="95" t="s">
        <v>554</v>
      </c>
      <c r="D515" s="95"/>
    </row>
    <row r="516" ht="15.75" customHeight="1">
      <c r="A516" s="94" t="s">
        <v>472</v>
      </c>
      <c r="B516" s="95" t="s">
        <v>546</v>
      </c>
      <c r="C516" s="95" t="s">
        <v>555</v>
      </c>
      <c r="D516" s="95"/>
    </row>
    <row r="517" ht="15.75" customHeight="1">
      <c r="A517" s="94" t="s">
        <v>472</v>
      </c>
      <c r="B517" s="95" t="s">
        <v>546</v>
      </c>
      <c r="C517" s="95" t="s">
        <v>556</v>
      </c>
      <c r="D517" s="95"/>
    </row>
    <row r="518" ht="15.75" customHeight="1">
      <c r="A518" s="94" t="s">
        <v>472</v>
      </c>
      <c r="B518" s="95" t="s">
        <v>557</v>
      </c>
      <c r="C518" s="95" t="s">
        <v>558</v>
      </c>
      <c r="D518" s="95"/>
    </row>
    <row r="519" ht="15.75" customHeight="1">
      <c r="A519" s="94" t="s">
        <v>472</v>
      </c>
      <c r="B519" s="95" t="s">
        <v>557</v>
      </c>
      <c r="C519" s="95" t="s">
        <v>559</v>
      </c>
      <c r="D519" s="95"/>
    </row>
    <row r="520" ht="15.75" customHeight="1">
      <c r="A520" s="94" t="s">
        <v>472</v>
      </c>
      <c r="B520" s="95" t="s">
        <v>557</v>
      </c>
      <c r="C520" s="95" t="s">
        <v>560</v>
      </c>
      <c r="D520" s="95"/>
    </row>
    <row r="521" ht="15.75" customHeight="1">
      <c r="A521" s="94" t="s">
        <v>472</v>
      </c>
      <c r="B521" s="95" t="s">
        <v>557</v>
      </c>
      <c r="C521" s="95" t="s">
        <v>561</v>
      </c>
      <c r="D521" s="95"/>
    </row>
    <row r="522" ht="15.75" customHeight="1">
      <c r="A522" s="94" t="s">
        <v>472</v>
      </c>
      <c r="B522" s="95" t="s">
        <v>557</v>
      </c>
      <c r="C522" s="95" t="s">
        <v>562</v>
      </c>
      <c r="D522" s="95"/>
    </row>
    <row r="523" ht="15.75" customHeight="1">
      <c r="A523" s="94" t="s">
        <v>472</v>
      </c>
      <c r="B523" s="95" t="s">
        <v>557</v>
      </c>
      <c r="C523" s="95" t="s">
        <v>563</v>
      </c>
      <c r="D523" s="95"/>
    </row>
    <row r="524" ht="15.75" customHeight="1">
      <c r="A524" s="94" t="s">
        <v>472</v>
      </c>
      <c r="B524" s="95" t="s">
        <v>557</v>
      </c>
      <c r="C524" s="95" t="s">
        <v>519</v>
      </c>
      <c r="D524" s="95"/>
    </row>
    <row r="525" ht="15.75" customHeight="1">
      <c r="A525" s="94" t="s">
        <v>472</v>
      </c>
      <c r="B525" s="95" t="s">
        <v>557</v>
      </c>
      <c r="C525" s="95" t="s">
        <v>564</v>
      </c>
      <c r="D525" s="95"/>
    </row>
    <row r="526" ht="15.75" customHeight="1">
      <c r="A526" s="94" t="s">
        <v>472</v>
      </c>
      <c r="B526" s="95" t="s">
        <v>557</v>
      </c>
      <c r="C526" s="95" t="s">
        <v>565</v>
      </c>
      <c r="D526" s="95"/>
    </row>
    <row r="527" ht="15.75" customHeight="1">
      <c r="A527" s="95" t="s">
        <v>472</v>
      </c>
      <c r="B527" s="95" t="s">
        <v>749</v>
      </c>
      <c r="C527" s="97"/>
      <c r="D527" s="97"/>
    </row>
    <row r="528" ht="15.75" customHeight="1">
      <c r="A528" s="94" t="s">
        <v>472</v>
      </c>
      <c r="B528" s="95" t="s">
        <v>566</v>
      </c>
      <c r="C528" s="95" t="s">
        <v>567</v>
      </c>
      <c r="D528" s="95"/>
    </row>
    <row r="529" ht="15.75" customHeight="1">
      <c r="A529" s="94" t="s">
        <v>472</v>
      </c>
      <c r="B529" s="95" t="s">
        <v>566</v>
      </c>
      <c r="C529" s="95" t="s">
        <v>568</v>
      </c>
      <c r="D529" s="95"/>
    </row>
    <row r="530" ht="15.75" customHeight="1">
      <c r="A530" s="94" t="s">
        <v>472</v>
      </c>
      <c r="B530" s="95" t="s">
        <v>566</v>
      </c>
      <c r="C530" s="95" t="s">
        <v>569</v>
      </c>
      <c r="D530" s="95"/>
    </row>
    <row r="531" ht="15.75" customHeight="1">
      <c r="A531" s="94" t="s">
        <v>472</v>
      </c>
      <c r="B531" s="95" t="s">
        <v>566</v>
      </c>
      <c r="C531" s="95" t="s">
        <v>570</v>
      </c>
      <c r="D531" s="95"/>
    </row>
    <row r="532" ht="15.75" customHeight="1">
      <c r="A532" s="94" t="s">
        <v>472</v>
      </c>
      <c r="B532" s="95" t="s">
        <v>566</v>
      </c>
      <c r="C532" s="95" t="s">
        <v>571</v>
      </c>
      <c r="D532" s="95"/>
    </row>
    <row r="533" ht="15.75" customHeight="1">
      <c r="A533" s="94" t="s">
        <v>472</v>
      </c>
      <c r="B533" s="95" t="s">
        <v>566</v>
      </c>
      <c r="C533" s="95" t="s">
        <v>572</v>
      </c>
      <c r="D533" s="95"/>
    </row>
    <row r="534" ht="15.75" customHeight="1">
      <c r="A534" s="94" t="s">
        <v>472</v>
      </c>
      <c r="B534" s="95" t="s">
        <v>566</v>
      </c>
      <c r="C534" s="95" t="s">
        <v>573</v>
      </c>
      <c r="D534" s="95"/>
    </row>
    <row r="535" ht="15.75" customHeight="1">
      <c r="A535" s="94" t="s">
        <v>472</v>
      </c>
      <c r="B535" s="95" t="s">
        <v>566</v>
      </c>
      <c r="C535" s="95" t="s">
        <v>300</v>
      </c>
      <c r="D535" s="95"/>
    </row>
    <row r="536" ht="15.75" customHeight="1">
      <c r="A536" s="94" t="s">
        <v>472</v>
      </c>
      <c r="B536" s="95" t="s">
        <v>566</v>
      </c>
      <c r="C536" s="95" t="s">
        <v>574</v>
      </c>
      <c r="D536" s="95"/>
    </row>
    <row r="537" ht="15.75" customHeight="1">
      <c r="A537" s="94" t="s">
        <v>472</v>
      </c>
      <c r="B537" s="95" t="s">
        <v>575</v>
      </c>
      <c r="C537" s="95" t="s">
        <v>576</v>
      </c>
      <c r="D537" s="95"/>
    </row>
    <row r="538" ht="15.75" customHeight="1">
      <c r="A538" s="94" t="s">
        <v>472</v>
      </c>
      <c r="B538" s="95" t="s">
        <v>575</v>
      </c>
      <c r="C538" s="95" t="s">
        <v>577</v>
      </c>
      <c r="D538" s="95"/>
    </row>
    <row r="539" ht="15.75" customHeight="1">
      <c r="A539" s="94" t="s">
        <v>472</v>
      </c>
      <c r="B539" s="95" t="s">
        <v>575</v>
      </c>
      <c r="C539" s="95" t="s">
        <v>578</v>
      </c>
      <c r="D539" s="95"/>
    </row>
    <row r="540" ht="15.75" customHeight="1">
      <c r="A540" s="94" t="s">
        <v>472</v>
      </c>
      <c r="B540" s="95" t="s">
        <v>575</v>
      </c>
      <c r="C540" s="95" t="s">
        <v>579</v>
      </c>
      <c r="D540" s="95"/>
    </row>
    <row r="541" ht="15.75" customHeight="1">
      <c r="A541" s="94" t="s">
        <v>472</v>
      </c>
      <c r="B541" s="95" t="s">
        <v>575</v>
      </c>
      <c r="C541" s="95" t="s">
        <v>580</v>
      </c>
      <c r="D541" s="95"/>
    </row>
    <row r="542" ht="15.75" customHeight="1">
      <c r="A542" s="94" t="s">
        <v>472</v>
      </c>
      <c r="B542" s="95" t="s">
        <v>575</v>
      </c>
      <c r="C542" s="95" t="s">
        <v>581</v>
      </c>
      <c r="D542" s="95"/>
    </row>
    <row r="543" ht="15.75" customHeight="1">
      <c r="A543" s="94" t="s">
        <v>472</v>
      </c>
      <c r="B543" s="95" t="s">
        <v>582</v>
      </c>
      <c r="C543" s="95" t="s">
        <v>583</v>
      </c>
      <c r="D543" s="95"/>
    </row>
    <row r="544" ht="15.75" customHeight="1">
      <c r="A544" s="94" t="s">
        <v>472</v>
      </c>
      <c r="B544" s="95" t="s">
        <v>582</v>
      </c>
      <c r="C544" s="95" t="s">
        <v>584</v>
      </c>
      <c r="D544" s="95"/>
    </row>
    <row r="545" ht="15.75" customHeight="1">
      <c r="A545" s="94" t="s">
        <v>472</v>
      </c>
      <c r="B545" s="95" t="s">
        <v>582</v>
      </c>
      <c r="C545" s="95" t="s">
        <v>585</v>
      </c>
      <c r="D545" s="95"/>
    </row>
    <row r="546" ht="15.75" customHeight="1">
      <c r="A546" s="94" t="s">
        <v>472</v>
      </c>
      <c r="B546" s="95" t="s">
        <v>582</v>
      </c>
      <c r="C546" s="95" t="s">
        <v>586</v>
      </c>
      <c r="D546" s="95"/>
    </row>
    <row r="547" ht="15.75" customHeight="1">
      <c r="A547" s="94" t="s">
        <v>472</v>
      </c>
      <c r="B547" s="95" t="s">
        <v>582</v>
      </c>
      <c r="C547" s="95" t="s">
        <v>587</v>
      </c>
      <c r="D547" s="95"/>
    </row>
    <row r="548" ht="15.75" customHeight="1">
      <c r="A548" s="94" t="s">
        <v>472</v>
      </c>
      <c r="B548" s="95" t="s">
        <v>582</v>
      </c>
      <c r="C548" s="95" t="s">
        <v>588</v>
      </c>
      <c r="D548" s="95"/>
    </row>
    <row r="549" ht="15.75" customHeight="1">
      <c r="A549" s="94" t="s">
        <v>472</v>
      </c>
      <c r="B549" s="95" t="s">
        <v>582</v>
      </c>
      <c r="C549" s="95" t="s">
        <v>589</v>
      </c>
      <c r="D549" s="95"/>
    </row>
    <row r="550" ht="15.75" customHeight="1">
      <c r="A550" s="95" t="s">
        <v>617</v>
      </c>
      <c r="B550" s="95" t="s">
        <v>3127</v>
      </c>
      <c r="C550" s="95" t="s">
        <v>620</v>
      </c>
      <c r="D550" s="95"/>
    </row>
    <row r="551" ht="15.75" customHeight="1">
      <c r="A551" s="95" t="s">
        <v>617</v>
      </c>
      <c r="B551" s="95" t="s">
        <v>3127</v>
      </c>
      <c r="C551" s="95" t="s">
        <v>621</v>
      </c>
      <c r="D551" s="95"/>
    </row>
    <row r="552" ht="15.75" customHeight="1">
      <c r="A552" s="96" t="s">
        <v>617</v>
      </c>
      <c r="B552" s="96" t="s">
        <v>3127</v>
      </c>
      <c r="C552" s="95" t="s">
        <v>630</v>
      </c>
      <c r="D552" s="97"/>
    </row>
    <row r="553" ht="15.75" customHeight="1">
      <c r="A553" s="95" t="s">
        <v>617</v>
      </c>
      <c r="B553" s="95" t="s">
        <v>3127</v>
      </c>
      <c r="C553" s="95" t="s">
        <v>619</v>
      </c>
      <c r="D553" s="95"/>
    </row>
    <row r="554" ht="15.75" customHeight="1">
      <c r="A554" s="95" t="s">
        <v>617</v>
      </c>
      <c r="B554" s="95" t="s">
        <v>3127</v>
      </c>
      <c r="C554" s="95" t="s">
        <v>622</v>
      </c>
      <c r="D554" s="95"/>
    </row>
    <row r="555" ht="15.75" customHeight="1">
      <c r="A555" s="95" t="s">
        <v>617</v>
      </c>
      <c r="B555" s="95" t="s">
        <v>3127</v>
      </c>
      <c r="C555" s="95" t="s">
        <v>623</v>
      </c>
      <c r="D555" s="95"/>
    </row>
    <row r="556" ht="15.75" customHeight="1">
      <c r="A556" s="96" t="s">
        <v>617</v>
      </c>
      <c r="B556" s="96" t="s">
        <v>3127</v>
      </c>
      <c r="C556" s="95" t="s">
        <v>624</v>
      </c>
      <c r="D556" s="97"/>
    </row>
    <row r="557" ht="15.75" customHeight="1">
      <c r="A557" s="96" t="s">
        <v>617</v>
      </c>
      <c r="B557" s="96" t="s">
        <v>3127</v>
      </c>
      <c r="C557" s="95" t="s">
        <v>3128</v>
      </c>
      <c r="D557" s="97"/>
    </row>
    <row r="558" ht="15.75" customHeight="1">
      <c r="A558" s="96" t="s">
        <v>617</v>
      </c>
      <c r="B558" s="96" t="s">
        <v>3127</v>
      </c>
      <c r="C558" s="95" t="s">
        <v>625</v>
      </c>
      <c r="D558" s="97"/>
    </row>
    <row r="559" ht="15.75" customHeight="1">
      <c r="A559" s="96" t="s">
        <v>617</v>
      </c>
      <c r="B559" s="96" t="s">
        <v>3127</v>
      </c>
      <c r="C559" s="95" t="s">
        <v>626</v>
      </c>
      <c r="D559" s="97"/>
    </row>
    <row r="560" ht="15.75" customHeight="1">
      <c r="A560" s="96" t="s">
        <v>617</v>
      </c>
      <c r="B560" s="96" t="s">
        <v>3127</v>
      </c>
      <c r="C560" s="95" t="s">
        <v>627</v>
      </c>
      <c r="D560" s="97"/>
    </row>
    <row r="561" ht="15.75" customHeight="1">
      <c r="A561" s="96" t="s">
        <v>617</v>
      </c>
      <c r="B561" s="96" t="s">
        <v>3127</v>
      </c>
      <c r="C561" s="95" t="s">
        <v>628</v>
      </c>
      <c r="D561" s="97"/>
    </row>
    <row r="562" ht="15.75" customHeight="1">
      <c r="A562" s="96" t="s">
        <v>617</v>
      </c>
      <c r="B562" s="96" t="s">
        <v>3127</v>
      </c>
      <c r="C562" s="95" t="s">
        <v>629</v>
      </c>
      <c r="D562" s="97"/>
    </row>
    <row r="563" ht="15.75" customHeight="1">
      <c r="A563" s="95" t="s">
        <v>617</v>
      </c>
      <c r="B563" s="95" t="s">
        <v>3129</v>
      </c>
      <c r="C563" s="97"/>
      <c r="D563" s="97"/>
    </row>
    <row r="564" ht="15.75" customHeight="1">
      <c r="A564" s="96" t="s">
        <v>617</v>
      </c>
      <c r="B564" s="95" t="s">
        <v>649</v>
      </c>
      <c r="C564" s="95" t="s">
        <v>658</v>
      </c>
      <c r="D564" s="97"/>
    </row>
    <row r="565" ht="15.75" customHeight="1">
      <c r="A565" s="96" t="s">
        <v>617</v>
      </c>
      <c r="B565" s="95" t="s">
        <v>649</v>
      </c>
      <c r="C565" s="95" t="s">
        <v>659</v>
      </c>
      <c r="D565" s="97"/>
    </row>
    <row r="566" ht="15.75" customHeight="1">
      <c r="A566" s="96" t="s">
        <v>617</v>
      </c>
      <c r="B566" s="95" t="s">
        <v>649</v>
      </c>
      <c r="C566" s="95" t="s">
        <v>654</v>
      </c>
      <c r="D566" s="97"/>
    </row>
    <row r="567" ht="15.75" customHeight="1">
      <c r="A567" s="96" t="s">
        <v>617</v>
      </c>
      <c r="B567" s="95" t="s">
        <v>649</v>
      </c>
      <c r="C567" s="95" t="s">
        <v>650</v>
      </c>
      <c r="D567" s="97"/>
    </row>
    <row r="568" ht="15.75" customHeight="1">
      <c r="A568" s="96" t="s">
        <v>617</v>
      </c>
      <c r="B568" s="95" t="s">
        <v>649</v>
      </c>
      <c r="C568" s="95" t="s">
        <v>657</v>
      </c>
      <c r="D568" s="97"/>
    </row>
    <row r="569" ht="15.75" customHeight="1">
      <c r="A569" s="96" t="s">
        <v>617</v>
      </c>
      <c r="B569" s="95" t="s">
        <v>649</v>
      </c>
      <c r="C569" s="95" t="s">
        <v>655</v>
      </c>
      <c r="D569" s="97"/>
    </row>
    <row r="570" ht="15.75" customHeight="1">
      <c r="A570" s="96" t="s">
        <v>617</v>
      </c>
      <c r="B570" s="95" t="s">
        <v>649</v>
      </c>
      <c r="C570" s="95" t="s">
        <v>652</v>
      </c>
      <c r="D570" s="97"/>
    </row>
    <row r="571" ht="15.75" customHeight="1">
      <c r="A571" s="96" t="s">
        <v>617</v>
      </c>
      <c r="B571" s="95" t="s">
        <v>649</v>
      </c>
      <c r="C571" s="95" t="s">
        <v>651</v>
      </c>
      <c r="D571" s="97"/>
    </row>
    <row r="572" ht="15.75" customHeight="1">
      <c r="A572" s="96" t="s">
        <v>617</v>
      </c>
      <c r="B572" s="95" t="s">
        <v>649</v>
      </c>
      <c r="C572" s="95" t="s">
        <v>653</v>
      </c>
      <c r="D572" s="97"/>
    </row>
    <row r="573" ht="15.75" customHeight="1">
      <c r="A573" s="96" t="s">
        <v>617</v>
      </c>
      <c r="B573" s="95" t="s">
        <v>649</v>
      </c>
      <c r="C573" s="95" t="s">
        <v>656</v>
      </c>
      <c r="D573" s="97"/>
    </row>
    <row r="574" ht="15.75" customHeight="1">
      <c r="A574" s="96" t="s">
        <v>617</v>
      </c>
      <c r="B574" s="96" t="s">
        <v>3130</v>
      </c>
      <c r="C574" s="95" t="s">
        <v>633</v>
      </c>
      <c r="D574" s="97"/>
    </row>
    <row r="575" ht="15.75" customHeight="1">
      <c r="A575" s="96" t="s">
        <v>617</v>
      </c>
      <c r="B575" s="96" t="s">
        <v>3130</v>
      </c>
      <c r="C575" s="95" t="s">
        <v>634</v>
      </c>
      <c r="D575" s="97"/>
    </row>
    <row r="576" ht="15.75" customHeight="1">
      <c r="A576" s="96" t="s">
        <v>617</v>
      </c>
      <c r="B576" s="96" t="s">
        <v>3130</v>
      </c>
      <c r="C576" s="95" t="s">
        <v>635</v>
      </c>
      <c r="D576" s="97"/>
    </row>
    <row r="577" ht="15.75" customHeight="1">
      <c r="A577" s="96" t="s">
        <v>617</v>
      </c>
      <c r="B577" s="96" t="s">
        <v>3130</v>
      </c>
      <c r="C577" s="95" t="s">
        <v>636</v>
      </c>
      <c r="D577" s="97"/>
    </row>
    <row r="578" ht="15.75" customHeight="1">
      <c r="A578" s="96" t="s">
        <v>617</v>
      </c>
      <c r="B578" s="96" t="s">
        <v>3130</v>
      </c>
      <c r="C578" s="95" t="s">
        <v>637</v>
      </c>
      <c r="D578" s="97"/>
    </row>
    <row r="579" ht="15.75" customHeight="1">
      <c r="A579" s="96" t="s">
        <v>617</v>
      </c>
      <c r="B579" s="96" t="s">
        <v>3130</v>
      </c>
      <c r="C579" s="95" t="s">
        <v>638</v>
      </c>
      <c r="D579" s="97"/>
    </row>
    <row r="580" ht="15.75" customHeight="1">
      <c r="A580" s="96" t="s">
        <v>617</v>
      </c>
      <c r="B580" s="96" t="s">
        <v>3130</v>
      </c>
      <c r="C580" s="95" t="s">
        <v>3131</v>
      </c>
      <c r="D580" s="97"/>
    </row>
    <row r="581" ht="15.75" customHeight="1">
      <c r="A581" s="96" t="s">
        <v>617</v>
      </c>
      <c r="B581" s="96" t="s">
        <v>3130</v>
      </c>
      <c r="C581" s="95" t="s">
        <v>640</v>
      </c>
      <c r="D581" s="97"/>
    </row>
    <row r="582" ht="15.75" customHeight="1">
      <c r="A582" s="96" t="s">
        <v>617</v>
      </c>
      <c r="B582" s="96" t="s">
        <v>3130</v>
      </c>
      <c r="C582" s="95" t="s">
        <v>641</v>
      </c>
      <c r="D582" s="97"/>
    </row>
    <row r="583" ht="15.75" customHeight="1">
      <c r="A583" s="96" t="s">
        <v>617</v>
      </c>
      <c r="B583" s="96" t="s">
        <v>3130</v>
      </c>
      <c r="C583" s="95" t="s">
        <v>632</v>
      </c>
      <c r="D583" s="97"/>
    </row>
    <row r="584" ht="15.75" customHeight="1">
      <c r="A584" s="96" t="s">
        <v>617</v>
      </c>
      <c r="B584" s="96" t="s">
        <v>3130</v>
      </c>
      <c r="C584" s="95" t="s">
        <v>642</v>
      </c>
      <c r="D584" s="97"/>
    </row>
    <row r="585" ht="15.75" customHeight="1">
      <c r="A585" s="96" t="s">
        <v>617</v>
      </c>
      <c r="B585" s="95" t="s">
        <v>3130</v>
      </c>
      <c r="C585" s="95" t="s">
        <v>643</v>
      </c>
      <c r="D585" s="97"/>
    </row>
    <row r="586" ht="15.75" customHeight="1">
      <c r="A586" s="96" t="s">
        <v>617</v>
      </c>
      <c r="B586" s="95" t="s">
        <v>3130</v>
      </c>
      <c r="C586" s="95" t="s">
        <v>644</v>
      </c>
      <c r="D586" s="97"/>
    </row>
    <row r="587" ht="15.75" customHeight="1">
      <c r="A587" s="96" t="s">
        <v>617</v>
      </c>
      <c r="B587" s="95" t="s">
        <v>3130</v>
      </c>
      <c r="C587" s="95" t="s">
        <v>646</v>
      </c>
      <c r="D587" s="97"/>
    </row>
    <row r="588" ht="15.75" customHeight="1">
      <c r="A588" s="96" t="s">
        <v>617</v>
      </c>
      <c r="B588" s="95" t="s">
        <v>3130</v>
      </c>
      <c r="C588" s="95" t="s">
        <v>645</v>
      </c>
      <c r="D588" s="97"/>
    </row>
    <row r="589" ht="15.75" customHeight="1">
      <c r="A589" s="96" t="s">
        <v>617</v>
      </c>
      <c r="B589" s="95" t="s">
        <v>3130</v>
      </c>
      <c r="C589" s="95" t="s">
        <v>647</v>
      </c>
      <c r="D589" s="97"/>
    </row>
    <row r="590" ht="15.75" customHeight="1">
      <c r="A590" s="96" t="s">
        <v>617</v>
      </c>
      <c r="B590" s="95" t="s">
        <v>3130</v>
      </c>
      <c r="C590" s="95" t="s">
        <v>648</v>
      </c>
      <c r="D590" s="97"/>
    </row>
    <row r="591" ht="15.75" customHeight="1">
      <c r="A591" s="96" t="s">
        <v>617</v>
      </c>
      <c r="B591" s="95" t="s">
        <v>3132</v>
      </c>
      <c r="C591" s="95" t="s">
        <v>3132</v>
      </c>
      <c r="D591" s="97"/>
    </row>
    <row r="592" ht="15.75" customHeight="1">
      <c r="A592" s="96" t="s">
        <v>617</v>
      </c>
      <c r="B592" s="95" t="s">
        <v>728</v>
      </c>
      <c r="C592" s="95" t="s">
        <v>729</v>
      </c>
      <c r="D592" s="97"/>
    </row>
    <row r="593" ht="15.75" customHeight="1">
      <c r="A593" s="96" t="s">
        <v>617</v>
      </c>
      <c r="B593" s="95" t="s">
        <v>728</v>
      </c>
      <c r="C593" s="95" t="s">
        <v>730</v>
      </c>
      <c r="D593" s="97"/>
    </row>
    <row r="594" ht="15.75" customHeight="1">
      <c r="A594" s="96" t="s">
        <v>617</v>
      </c>
      <c r="B594" s="95" t="s">
        <v>728</v>
      </c>
      <c r="C594" s="95" t="s">
        <v>731</v>
      </c>
      <c r="D594" s="97"/>
    </row>
    <row r="595" ht="15.75" customHeight="1">
      <c r="A595" s="95" t="s">
        <v>617</v>
      </c>
      <c r="B595" s="95" t="s">
        <v>3133</v>
      </c>
      <c r="C595" s="97"/>
      <c r="D595" s="97"/>
    </row>
    <row r="596" ht="15.75" customHeight="1">
      <c r="A596" s="96" t="s">
        <v>617</v>
      </c>
      <c r="B596" s="95" t="s">
        <v>708</v>
      </c>
      <c r="C596" s="95" t="s">
        <v>709</v>
      </c>
      <c r="D596" s="97"/>
    </row>
    <row r="597" ht="15.75" customHeight="1">
      <c r="A597" s="96" t="s">
        <v>617</v>
      </c>
      <c r="B597" s="95" t="s">
        <v>708</v>
      </c>
      <c r="C597" s="95" t="s">
        <v>710</v>
      </c>
      <c r="D597" s="97"/>
    </row>
    <row r="598" ht="15.75" customHeight="1">
      <c r="A598" s="96" t="s">
        <v>617</v>
      </c>
      <c r="B598" s="95" t="s">
        <v>708</v>
      </c>
      <c r="C598" s="95" t="s">
        <v>711</v>
      </c>
      <c r="D598" s="97"/>
    </row>
    <row r="599" ht="15.75" customHeight="1">
      <c r="A599" s="96" t="s">
        <v>617</v>
      </c>
      <c r="B599" s="95" t="s">
        <v>708</v>
      </c>
      <c r="C599" s="95" t="s">
        <v>3134</v>
      </c>
      <c r="D599" s="97"/>
    </row>
    <row r="600" ht="15.75" customHeight="1">
      <c r="A600" s="96" t="s">
        <v>617</v>
      </c>
      <c r="B600" s="95" t="s">
        <v>708</v>
      </c>
      <c r="C600" s="95" t="s">
        <v>712</v>
      </c>
      <c r="D600" s="97"/>
    </row>
    <row r="601" ht="15.75" customHeight="1">
      <c r="A601" s="96" t="s">
        <v>617</v>
      </c>
      <c r="B601" s="95" t="s">
        <v>708</v>
      </c>
      <c r="C601" s="95" t="s">
        <v>714</v>
      </c>
      <c r="D601" s="97"/>
    </row>
    <row r="602" ht="15.75" customHeight="1">
      <c r="A602" s="96" t="s">
        <v>617</v>
      </c>
      <c r="B602" s="95" t="s">
        <v>3135</v>
      </c>
      <c r="C602" s="95" t="s">
        <v>3136</v>
      </c>
      <c r="D602" s="97"/>
    </row>
    <row r="603" ht="15.75" customHeight="1">
      <c r="A603" s="96" t="s">
        <v>617</v>
      </c>
      <c r="B603" s="95" t="s">
        <v>3135</v>
      </c>
      <c r="C603" s="95" t="s">
        <v>3137</v>
      </c>
      <c r="D603" s="97"/>
    </row>
    <row r="604" ht="15.75" customHeight="1">
      <c r="A604" s="96" t="s">
        <v>617</v>
      </c>
      <c r="B604" s="95" t="s">
        <v>3135</v>
      </c>
      <c r="C604" s="95" t="s">
        <v>3138</v>
      </c>
      <c r="D604" s="97"/>
    </row>
    <row r="605" ht="15.75" customHeight="1">
      <c r="A605" s="96" t="s">
        <v>617</v>
      </c>
      <c r="B605" s="95" t="s">
        <v>3135</v>
      </c>
      <c r="C605" s="95" t="s">
        <v>3139</v>
      </c>
      <c r="D605" s="97"/>
    </row>
    <row r="606" ht="15.75" customHeight="1">
      <c r="A606" s="96" t="s">
        <v>617</v>
      </c>
      <c r="B606" s="95" t="s">
        <v>3135</v>
      </c>
      <c r="C606" s="95" t="s">
        <v>3140</v>
      </c>
      <c r="D606" s="97"/>
    </row>
    <row r="607" ht="15.75" customHeight="1">
      <c r="A607" s="96" t="s">
        <v>617</v>
      </c>
      <c r="B607" s="95" t="s">
        <v>3135</v>
      </c>
      <c r="C607" s="95" t="s">
        <v>3141</v>
      </c>
      <c r="D607" s="97"/>
    </row>
    <row r="608" ht="15.75" customHeight="1">
      <c r="A608" s="96" t="s">
        <v>617</v>
      </c>
      <c r="B608" s="95" t="s">
        <v>3135</v>
      </c>
      <c r="C608" s="95" t="s">
        <v>3142</v>
      </c>
      <c r="D608" s="97"/>
    </row>
    <row r="609" ht="15.75" customHeight="1">
      <c r="A609" s="96" t="s">
        <v>617</v>
      </c>
      <c r="B609" s="95" t="s">
        <v>715</v>
      </c>
      <c r="C609" s="95" t="s">
        <v>3143</v>
      </c>
      <c r="D609" s="97"/>
    </row>
    <row r="610" ht="15.75" customHeight="1">
      <c r="A610" s="96" t="s">
        <v>617</v>
      </c>
      <c r="B610" s="95" t="s">
        <v>715</v>
      </c>
      <c r="C610" s="95" t="s">
        <v>717</v>
      </c>
      <c r="D610" s="97"/>
    </row>
    <row r="611" ht="15.75" customHeight="1">
      <c r="A611" s="96" t="s">
        <v>617</v>
      </c>
      <c r="B611" s="95" t="s">
        <v>715</v>
      </c>
      <c r="C611" s="95" t="s">
        <v>719</v>
      </c>
      <c r="D611" s="97"/>
    </row>
    <row r="612" ht="15.75" customHeight="1">
      <c r="A612" s="96" t="s">
        <v>617</v>
      </c>
      <c r="B612" s="95" t="s">
        <v>715</v>
      </c>
      <c r="C612" s="95" t="s">
        <v>718</v>
      </c>
      <c r="D612" s="97"/>
    </row>
    <row r="613" ht="15.75" customHeight="1">
      <c r="A613" s="96" t="s">
        <v>617</v>
      </c>
      <c r="B613" s="95" t="s">
        <v>715</v>
      </c>
      <c r="C613" s="95" t="s">
        <v>720</v>
      </c>
      <c r="D613" s="97"/>
    </row>
    <row r="614" ht="15.75" customHeight="1">
      <c r="A614" s="96" t="s">
        <v>617</v>
      </c>
      <c r="B614" s="95" t="s">
        <v>715</v>
      </c>
      <c r="C614" s="95" t="s">
        <v>3144</v>
      </c>
      <c r="D614" s="97"/>
    </row>
    <row r="615" ht="15.75" customHeight="1">
      <c r="A615" s="96" t="s">
        <v>617</v>
      </c>
      <c r="B615" s="95" t="s">
        <v>715</v>
      </c>
      <c r="C615" s="95" t="s">
        <v>3145</v>
      </c>
      <c r="D615" s="97"/>
    </row>
    <row r="616" ht="15.75" customHeight="1">
      <c r="A616" s="96" t="s">
        <v>617</v>
      </c>
      <c r="B616" s="95" t="s">
        <v>715</v>
      </c>
      <c r="C616" s="95" t="s">
        <v>723</v>
      </c>
      <c r="D616" s="97"/>
    </row>
    <row r="617" ht="15.75" customHeight="1">
      <c r="A617" s="96" t="s">
        <v>617</v>
      </c>
      <c r="B617" s="95" t="s">
        <v>715</v>
      </c>
      <c r="C617" s="95" t="s">
        <v>724</v>
      </c>
      <c r="D617" s="97"/>
    </row>
    <row r="618" ht="15.75" customHeight="1">
      <c r="A618" s="96" t="s">
        <v>617</v>
      </c>
      <c r="B618" s="95" t="s">
        <v>715</v>
      </c>
      <c r="C618" s="95" t="s">
        <v>725</v>
      </c>
      <c r="D618" s="97"/>
    </row>
    <row r="619" ht="15.75" customHeight="1">
      <c r="A619" s="96" t="s">
        <v>617</v>
      </c>
      <c r="B619" s="95" t="s">
        <v>715</v>
      </c>
      <c r="C619" s="95" t="s">
        <v>726</v>
      </c>
      <c r="D619" s="97"/>
    </row>
    <row r="620" ht="15.75" customHeight="1">
      <c r="A620" s="96" t="s">
        <v>617</v>
      </c>
      <c r="B620" s="95" t="s">
        <v>715</v>
      </c>
      <c r="C620" s="95" t="s">
        <v>727</v>
      </c>
      <c r="D620" s="97"/>
    </row>
    <row r="621" ht="15.75" customHeight="1">
      <c r="A621" s="95" t="s">
        <v>617</v>
      </c>
      <c r="B621" s="95" t="s">
        <v>749</v>
      </c>
      <c r="C621" s="97"/>
      <c r="D621" s="97"/>
    </row>
    <row r="622" ht="15.75" customHeight="1">
      <c r="A622" s="96" t="s">
        <v>617</v>
      </c>
      <c r="B622" s="95" t="s">
        <v>732</v>
      </c>
      <c r="C622" s="95" t="s">
        <v>733</v>
      </c>
      <c r="D622" s="97"/>
    </row>
    <row r="623" ht="15.75" customHeight="1">
      <c r="A623" s="96" t="s">
        <v>617</v>
      </c>
      <c r="B623" s="95" t="s">
        <v>732</v>
      </c>
      <c r="C623" s="95" t="s">
        <v>3146</v>
      </c>
      <c r="D623" s="97"/>
    </row>
    <row r="624" ht="15.75" customHeight="1">
      <c r="A624" s="96" t="s">
        <v>617</v>
      </c>
      <c r="B624" s="95" t="s">
        <v>732</v>
      </c>
      <c r="C624" s="95" t="s">
        <v>734</v>
      </c>
      <c r="D624" s="97"/>
    </row>
    <row r="625" ht="15.75" customHeight="1">
      <c r="A625" s="96" t="s">
        <v>617</v>
      </c>
      <c r="B625" s="95" t="s">
        <v>732</v>
      </c>
      <c r="C625" s="95" t="s">
        <v>736</v>
      </c>
      <c r="D625" s="97"/>
    </row>
    <row r="626" ht="15.75" customHeight="1">
      <c r="A626" s="96" t="s">
        <v>617</v>
      </c>
      <c r="B626" s="95" t="s">
        <v>732</v>
      </c>
      <c r="C626" s="95" t="s">
        <v>738</v>
      </c>
      <c r="D626" s="97"/>
    </row>
    <row r="627" ht="15.75" customHeight="1">
      <c r="A627" s="96" t="s">
        <v>617</v>
      </c>
      <c r="B627" s="95" t="s">
        <v>732</v>
      </c>
      <c r="C627" s="95" t="s">
        <v>739</v>
      </c>
      <c r="D627" s="97"/>
    </row>
    <row r="628" ht="15.75" customHeight="1">
      <c r="A628" s="96" t="s">
        <v>617</v>
      </c>
      <c r="B628" s="95" t="s">
        <v>732</v>
      </c>
      <c r="C628" s="95" t="s">
        <v>737</v>
      </c>
      <c r="D628" s="97"/>
    </row>
    <row r="629" ht="15.75" customHeight="1">
      <c r="A629" s="96" t="s">
        <v>617</v>
      </c>
      <c r="B629" s="95" t="s">
        <v>732</v>
      </c>
      <c r="C629" s="95" t="s">
        <v>740</v>
      </c>
      <c r="D629" s="97"/>
    </row>
    <row r="630" ht="15.75" customHeight="1">
      <c r="A630" s="96" t="s">
        <v>617</v>
      </c>
      <c r="B630" s="95" t="s">
        <v>732</v>
      </c>
      <c r="C630" s="95" t="s">
        <v>741</v>
      </c>
      <c r="D630" s="97"/>
    </row>
    <row r="631" ht="15.75" customHeight="1">
      <c r="A631" s="96" t="s">
        <v>617</v>
      </c>
      <c r="B631" s="95" t="s">
        <v>732</v>
      </c>
      <c r="C631" s="95" t="s">
        <v>742</v>
      </c>
      <c r="D631" s="97"/>
    </row>
    <row r="632" ht="15.75" customHeight="1">
      <c r="A632" s="96" t="s">
        <v>617</v>
      </c>
      <c r="B632" s="95" t="s">
        <v>732</v>
      </c>
      <c r="C632" s="95" t="s">
        <v>3147</v>
      </c>
      <c r="D632" s="97"/>
    </row>
    <row r="633" ht="15.75" customHeight="1">
      <c r="A633" s="96" t="s">
        <v>617</v>
      </c>
      <c r="B633" s="95" t="s">
        <v>732</v>
      </c>
      <c r="C633" s="95" t="s">
        <v>744</v>
      </c>
      <c r="D633" s="97"/>
    </row>
    <row r="634" ht="15.75" customHeight="1">
      <c r="A634" s="96" t="s">
        <v>617</v>
      </c>
      <c r="B634" s="95" t="s">
        <v>3148</v>
      </c>
      <c r="C634" s="95" t="s">
        <v>3149</v>
      </c>
      <c r="D634" s="97"/>
    </row>
    <row r="635" ht="15.75" customHeight="1">
      <c r="A635" s="96" t="s">
        <v>617</v>
      </c>
      <c r="B635" s="95" t="s">
        <v>3148</v>
      </c>
      <c r="C635" s="95" t="s">
        <v>3150</v>
      </c>
      <c r="D635" s="97"/>
    </row>
    <row r="636" ht="15.75" customHeight="1">
      <c r="A636" s="96" t="s">
        <v>617</v>
      </c>
      <c r="B636" s="95" t="s">
        <v>3148</v>
      </c>
      <c r="C636" s="95" t="s">
        <v>3151</v>
      </c>
      <c r="D636" s="97"/>
    </row>
    <row r="637" ht="15.75" customHeight="1">
      <c r="A637" s="96" t="s">
        <v>617</v>
      </c>
      <c r="B637" s="95" t="s">
        <v>3148</v>
      </c>
      <c r="C637" s="95" t="s">
        <v>3152</v>
      </c>
      <c r="D637" s="97"/>
    </row>
    <row r="638" ht="15.75" customHeight="1">
      <c r="A638" s="96" t="s">
        <v>617</v>
      </c>
      <c r="B638" s="95" t="s">
        <v>3148</v>
      </c>
      <c r="C638" s="95" t="s">
        <v>3153</v>
      </c>
      <c r="D638" s="97"/>
    </row>
    <row r="639" ht="15.75" customHeight="1">
      <c r="A639" s="96" t="s">
        <v>617</v>
      </c>
      <c r="B639" s="95" t="s">
        <v>3148</v>
      </c>
      <c r="C639" s="95" t="s">
        <v>3154</v>
      </c>
      <c r="D639" s="97"/>
    </row>
    <row r="640" ht="15.75" customHeight="1">
      <c r="A640" s="96" t="s">
        <v>617</v>
      </c>
      <c r="B640" s="95" t="s">
        <v>3148</v>
      </c>
      <c r="C640" s="95" t="s">
        <v>3155</v>
      </c>
      <c r="D640" s="97"/>
    </row>
    <row r="641" ht="15.75" customHeight="1">
      <c r="A641" s="96" t="s">
        <v>617</v>
      </c>
      <c r="B641" s="95" t="s">
        <v>3148</v>
      </c>
      <c r="C641" s="95" t="s">
        <v>3156</v>
      </c>
      <c r="D641" s="97"/>
    </row>
    <row r="642" ht="15.75" customHeight="1">
      <c r="A642" s="96" t="s">
        <v>617</v>
      </c>
      <c r="B642" s="95" t="s">
        <v>3148</v>
      </c>
      <c r="C642" s="95" t="s">
        <v>3157</v>
      </c>
      <c r="D642" s="97"/>
    </row>
    <row r="643" ht="15.75" customHeight="1">
      <c r="A643" s="96" t="s">
        <v>617</v>
      </c>
      <c r="B643" s="95" t="s">
        <v>3148</v>
      </c>
      <c r="C643" s="95" t="s">
        <v>3158</v>
      </c>
      <c r="D643" s="97"/>
    </row>
    <row r="644" ht="15.75" customHeight="1">
      <c r="A644" s="96" t="s">
        <v>617</v>
      </c>
      <c r="B644" s="95" t="s">
        <v>3148</v>
      </c>
      <c r="C644" s="95" t="s">
        <v>3159</v>
      </c>
      <c r="D644" s="97"/>
    </row>
    <row r="645" ht="15.75" customHeight="1">
      <c r="A645" s="96" t="s">
        <v>617</v>
      </c>
      <c r="B645" s="95" t="s">
        <v>3148</v>
      </c>
      <c r="C645" s="95" t="s">
        <v>3160</v>
      </c>
      <c r="D645" s="97"/>
    </row>
    <row r="646" ht="15.75" customHeight="1">
      <c r="A646" s="96" t="s">
        <v>617</v>
      </c>
      <c r="B646" s="95" t="s">
        <v>3148</v>
      </c>
      <c r="C646" s="95" t="s">
        <v>3161</v>
      </c>
      <c r="D646" s="97"/>
    </row>
    <row r="647" ht="15.75" customHeight="1">
      <c r="A647" s="96" t="s">
        <v>617</v>
      </c>
      <c r="B647" s="95" t="s">
        <v>3148</v>
      </c>
      <c r="C647" s="95" t="s">
        <v>3162</v>
      </c>
      <c r="D647" s="97"/>
    </row>
    <row r="648" ht="15.75" customHeight="1">
      <c r="A648" s="95" t="s">
        <v>617</v>
      </c>
      <c r="B648" s="95" t="s">
        <v>3163</v>
      </c>
      <c r="C648" s="97"/>
      <c r="D648" s="97"/>
    </row>
    <row r="649" ht="15.75" customHeight="1">
      <c r="A649" s="96" t="s">
        <v>617</v>
      </c>
      <c r="B649" s="95" t="s">
        <v>3164</v>
      </c>
      <c r="C649" s="95" t="s">
        <v>654</v>
      </c>
      <c r="D649" s="97"/>
    </row>
    <row r="650" ht="15.75" customHeight="1">
      <c r="A650" s="96" t="s">
        <v>617</v>
      </c>
      <c r="B650" s="95" t="s">
        <v>3164</v>
      </c>
      <c r="C650" s="95" t="s">
        <v>657</v>
      </c>
      <c r="D650" s="97"/>
    </row>
    <row r="651" ht="15.75" customHeight="1">
      <c r="A651" s="96" t="s">
        <v>617</v>
      </c>
      <c r="B651" s="95" t="s">
        <v>3164</v>
      </c>
      <c r="C651" s="95" t="s">
        <v>655</v>
      </c>
      <c r="D651" s="97"/>
    </row>
    <row r="652" ht="15.75" customHeight="1">
      <c r="A652" s="96" t="s">
        <v>617</v>
      </c>
      <c r="B652" s="95" t="s">
        <v>3164</v>
      </c>
      <c r="C652" s="95" t="s">
        <v>684</v>
      </c>
      <c r="D652" s="97"/>
    </row>
    <row r="653" ht="15.75" customHeight="1">
      <c r="A653" s="96" t="s">
        <v>617</v>
      </c>
      <c r="B653" s="95" t="s">
        <v>3164</v>
      </c>
      <c r="C653" s="95" t="s">
        <v>685</v>
      </c>
      <c r="D653" s="97"/>
    </row>
    <row r="654" ht="15.75" customHeight="1">
      <c r="A654" s="96" t="s">
        <v>617</v>
      </c>
      <c r="B654" s="95" t="s">
        <v>3164</v>
      </c>
      <c r="C654" s="95" t="s">
        <v>686</v>
      </c>
      <c r="D654" s="97"/>
    </row>
    <row r="655" ht="15.75" customHeight="1">
      <c r="A655" s="96" t="s">
        <v>617</v>
      </c>
      <c r="B655" s="95" t="s">
        <v>3164</v>
      </c>
      <c r="C655" s="95" t="s">
        <v>687</v>
      </c>
      <c r="D655" s="97"/>
    </row>
    <row r="656" ht="15.75" customHeight="1">
      <c r="A656" s="96" t="s">
        <v>617</v>
      </c>
      <c r="B656" s="95" t="s">
        <v>3164</v>
      </c>
      <c r="C656" s="95" t="s">
        <v>653</v>
      </c>
      <c r="D656" s="97"/>
    </row>
    <row r="657" ht="15.75" customHeight="1">
      <c r="A657" s="96" t="s">
        <v>617</v>
      </c>
      <c r="B657" s="95" t="s">
        <v>3164</v>
      </c>
      <c r="C657" s="95" t="s">
        <v>688</v>
      </c>
      <c r="D657" s="97"/>
    </row>
    <row r="658" ht="15.75" customHeight="1">
      <c r="A658" s="96" t="s">
        <v>617</v>
      </c>
      <c r="B658" s="95" t="s">
        <v>3164</v>
      </c>
      <c r="C658" s="95" t="s">
        <v>689</v>
      </c>
      <c r="D658" s="97"/>
    </row>
    <row r="659" ht="15.75" customHeight="1">
      <c r="A659" s="96" t="s">
        <v>617</v>
      </c>
      <c r="B659" s="95" t="s">
        <v>3164</v>
      </c>
      <c r="C659" s="95" t="s">
        <v>690</v>
      </c>
      <c r="D659" s="97"/>
    </row>
    <row r="660" ht="15.75" customHeight="1">
      <c r="A660" s="96" t="s">
        <v>617</v>
      </c>
      <c r="B660" s="95" t="s">
        <v>3164</v>
      </c>
      <c r="C660" s="95" t="s">
        <v>691</v>
      </c>
      <c r="D660" s="97"/>
    </row>
    <row r="661" ht="15.75" customHeight="1">
      <c r="A661" s="96" t="s">
        <v>617</v>
      </c>
      <c r="B661" s="95" t="s">
        <v>3164</v>
      </c>
      <c r="C661" s="95" t="s">
        <v>683</v>
      </c>
      <c r="D661" s="97"/>
    </row>
    <row r="662" ht="15.75" customHeight="1">
      <c r="A662" s="96" t="s">
        <v>617</v>
      </c>
      <c r="B662" s="95" t="s">
        <v>3165</v>
      </c>
      <c r="C662" s="95" t="s">
        <v>662</v>
      </c>
      <c r="D662" s="97"/>
    </row>
    <row r="663" ht="15.75" customHeight="1">
      <c r="A663" s="96" t="s">
        <v>617</v>
      </c>
      <c r="B663" s="95" t="s">
        <v>3165</v>
      </c>
      <c r="C663" s="95" t="s">
        <v>668</v>
      </c>
      <c r="D663" s="97"/>
    </row>
    <row r="664" ht="15.75" customHeight="1">
      <c r="A664" s="96" t="s">
        <v>617</v>
      </c>
      <c r="B664" s="95" t="s">
        <v>3165</v>
      </c>
      <c r="C664" s="95" t="s">
        <v>663</v>
      </c>
      <c r="D664" s="97"/>
    </row>
    <row r="665" ht="15.75" customHeight="1">
      <c r="A665" s="96" t="s">
        <v>617</v>
      </c>
      <c r="B665" s="95" t="s">
        <v>3165</v>
      </c>
      <c r="C665" s="95" t="s">
        <v>664</v>
      </c>
      <c r="D665" s="97"/>
    </row>
    <row r="666" ht="15.75" customHeight="1">
      <c r="A666" s="96" t="s">
        <v>617</v>
      </c>
      <c r="B666" s="95" t="s">
        <v>3165</v>
      </c>
      <c r="C666" s="95" t="s">
        <v>665</v>
      </c>
      <c r="D666" s="97"/>
    </row>
    <row r="667" ht="15.75" customHeight="1">
      <c r="A667" s="96" t="s">
        <v>617</v>
      </c>
      <c r="B667" s="95" t="s">
        <v>3165</v>
      </c>
      <c r="C667" s="95" t="s">
        <v>666</v>
      </c>
      <c r="D667" s="97"/>
    </row>
    <row r="668" ht="15.75" customHeight="1">
      <c r="A668" s="96" t="s">
        <v>617</v>
      </c>
      <c r="B668" s="95" t="s">
        <v>3165</v>
      </c>
      <c r="C668" s="95" t="s">
        <v>661</v>
      </c>
      <c r="D668" s="97"/>
    </row>
    <row r="669" ht="15.75" customHeight="1">
      <c r="A669" s="96" t="s">
        <v>617</v>
      </c>
      <c r="B669" s="95" t="s">
        <v>3165</v>
      </c>
      <c r="C669" s="95" t="s">
        <v>669</v>
      </c>
      <c r="D669" s="97"/>
    </row>
    <row r="670" ht="15.75" customHeight="1">
      <c r="A670" s="96" t="s">
        <v>617</v>
      </c>
      <c r="B670" s="95" t="s">
        <v>3165</v>
      </c>
      <c r="C670" s="95" t="s">
        <v>670</v>
      </c>
      <c r="D670" s="97"/>
    </row>
    <row r="671" ht="15.75" customHeight="1">
      <c r="A671" s="96" t="s">
        <v>617</v>
      </c>
      <c r="B671" s="95" t="s">
        <v>3165</v>
      </c>
      <c r="C671" s="95" t="s">
        <v>671</v>
      </c>
      <c r="D671" s="97"/>
    </row>
    <row r="672" ht="15.75" customHeight="1">
      <c r="A672" s="96" t="s">
        <v>617</v>
      </c>
      <c r="B672" s="95" t="s">
        <v>3165</v>
      </c>
      <c r="C672" s="95" t="s">
        <v>672</v>
      </c>
      <c r="D672" s="97"/>
    </row>
    <row r="673" ht="15.75" customHeight="1">
      <c r="A673" s="96" t="s">
        <v>617</v>
      </c>
      <c r="B673" s="95" t="s">
        <v>3165</v>
      </c>
      <c r="C673" s="95" t="s">
        <v>667</v>
      </c>
      <c r="D673" s="97"/>
    </row>
    <row r="674" ht="15.75" customHeight="1">
      <c r="A674" s="96" t="s">
        <v>617</v>
      </c>
      <c r="B674" s="95" t="s">
        <v>3165</v>
      </c>
      <c r="C674" s="95" t="s">
        <v>673</v>
      </c>
      <c r="D674" s="97"/>
    </row>
    <row r="675" ht="15.75" customHeight="1">
      <c r="A675" s="96" t="s">
        <v>617</v>
      </c>
      <c r="B675" s="95" t="s">
        <v>3165</v>
      </c>
      <c r="C675" s="95" t="s">
        <v>674</v>
      </c>
      <c r="D675" s="97"/>
    </row>
    <row r="676" ht="15.75" customHeight="1">
      <c r="A676" s="96" t="s">
        <v>617</v>
      </c>
      <c r="B676" s="95" t="s">
        <v>3165</v>
      </c>
      <c r="C676" s="95" t="s">
        <v>675</v>
      </c>
      <c r="D676" s="97"/>
    </row>
    <row r="677" ht="15.75" customHeight="1">
      <c r="A677" s="96" t="s">
        <v>617</v>
      </c>
      <c r="B677" s="95" t="s">
        <v>692</v>
      </c>
      <c r="C677" s="95" t="s">
        <v>695</v>
      </c>
      <c r="D677" s="97"/>
    </row>
    <row r="678" ht="15.75" customHeight="1">
      <c r="A678" s="96" t="s">
        <v>617</v>
      </c>
      <c r="B678" s="95" t="s">
        <v>692</v>
      </c>
      <c r="C678" s="95" t="s">
        <v>678</v>
      </c>
      <c r="D678" s="97"/>
    </row>
    <row r="679" ht="15.75" customHeight="1">
      <c r="A679" s="96" t="s">
        <v>617</v>
      </c>
      <c r="B679" s="95" t="s">
        <v>692</v>
      </c>
      <c r="C679" s="95" t="s">
        <v>659</v>
      </c>
      <c r="D679" s="97"/>
    </row>
    <row r="680" ht="15.75" customHeight="1">
      <c r="A680" s="96" t="s">
        <v>617</v>
      </c>
      <c r="B680" s="95" t="s">
        <v>692</v>
      </c>
      <c r="C680" s="95" t="s">
        <v>679</v>
      </c>
      <c r="D680" s="97"/>
    </row>
    <row r="681" ht="15.75" customHeight="1">
      <c r="A681" s="96" t="s">
        <v>617</v>
      </c>
      <c r="B681" s="95" t="s">
        <v>692</v>
      </c>
      <c r="C681" s="95" t="s">
        <v>693</v>
      </c>
      <c r="D681" s="97"/>
    </row>
    <row r="682" ht="15.75" customHeight="1">
      <c r="A682" s="96" t="s">
        <v>617</v>
      </c>
      <c r="B682" s="95" t="s">
        <v>692</v>
      </c>
      <c r="C682" s="95" t="s">
        <v>696</v>
      </c>
      <c r="D682" s="97"/>
    </row>
    <row r="683" ht="15.75" customHeight="1">
      <c r="A683" s="96" t="s">
        <v>617</v>
      </c>
      <c r="B683" s="95" t="s">
        <v>692</v>
      </c>
      <c r="C683" s="95" t="s">
        <v>698</v>
      </c>
      <c r="D683" s="97"/>
    </row>
    <row r="684" ht="15.75" customHeight="1">
      <c r="A684" s="96" t="s">
        <v>617</v>
      </c>
      <c r="B684" s="95" t="s">
        <v>692</v>
      </c>
      <c r="C684" s="95" t="s">
        <v>697</v>
      </c>
      <c r="D684" s="97"/>
    </row>
    <row r="685" ht="15.75" customHeight="1">
      <c r="A685" s="96" t="s">
        <v>617</v>
      </c>
      <c r="B685" s="95" t="s">
        <v>692</v>
      </c>
      <c r="C685" s="95" t="s">
        <v>297</v>
      </c>
      <c r="D685" s="97"/>
    </row>
    <row r="686" ht="15.75" customHeight="1">
      <c r="A686" s="96" t="s">
        <v>617</v>
      </c>
      <c r="B686" s="95" t="s">
        <v>692</v>
      </c>
      <c r="C686" s="95" t="s">
        <v>694</v>
      </c>
      <c r="D686" s="97"/>
    </row>
    <row r="687" ht="15.75" customHeight="1">
      <c r="A687" s="96" t="s">
        <v>617</v>
      </c>
      <c r="B687" s="95" t="s">
        <v>692</v>
      </c>
      <c r="C687" s="95" t="s">
        <v>652</v>
      </c>
      <c r="D687" s="97"/>
    </row>
    <row r="688" ht="15.75" customHeight="1">
      <c r="A688" s="96" t="s">
        <v>617</v>
      </c>
      <c r="B688" s="95" t="s">
        <v>692</v>
      </c>
      <c r="C688" s="95" t="s">
        <v>641</v>
      </c>
      <c r="D688" s="97"/>
    </row>
    <row r="689" ht="15.75" customHeight="1">
      <c r="A689" s="96" t="s">
        <v>617</v>
      </c>
      <c r="B689" s="95" t="s">
        <v>692</v>
      </c>
      <c r="C689" s="95" t="s">
        <v>699</v>
      </c>
      <c r="D689" s="97"/>
    </row>
    <row r="690" ht="15.75" customHeight="1">
      <c r="A690" s="96" t="s">
        <v>617</v>
      </c>
      <c r="B690" s="95" t="s">
        <v>692</v>
      </c>
      <c r="C690" s="95" t="s">
        <v>293</v>
      </c>
      <c r="D690" s="97"/>
    </row>
    <row r="691" ht="15.75" customHeight="1">
      <c r="A691" s="96" t="s">
        <v>617</v>
      </c>
      <c r="B691" s="95" t="s">
        <v>692</v>
      </c>
      <c r="C691" s="95" t="s">
        <v>680</v>
      </c>
      <c r="D691" s="97"/>
    </row>
    <row r="692" ht="15.75" customHeight="1">
      <c r="A692" s="96" t="s">
        <v>617</v>
      </c>
      <c r="B692" s="95" t="s">
        <v>692</v>
      </c>
      <c r="C692" s="95" t="s">
        <v>677</v>
      </c>
      <c r="D692" s="97"/>
    </row>
    <row r="693" ht="15.75" customHeight="1">
      <c r="A693" s="96" t="s">
        <v>617</v>
      </c>
      <c r="B693" s="95" t="s">
        <v>692</v>
      </c>
      <c r="C693" s="95" t="s">
        <v>700</v>
      </c>
      <c r="D693" s="97"/>
    </row>
    <row r="694" ht="15.75" customHeight="1">
      <c r="A694" s="96" t="s">
        <v>617</v>
      </c>
      <c r="B694" s="95" t="s">
        <v>692</v>
      </c>
      <c r="C694" s="95" t="s">
        <v>681</v>
      </c>
      <c r="D694" s="97"/>
    </row>
    <row r="695" ht="15.75" customHeight="1">
      <c r="A695" s="96" t="s">
        <v>617</v>
      </c>
      <c r="B695" s="95" t="s">
        <v>701</v>
      </c>
      <c r="C695" s="95" t="s">
        <v>705</v>
      </c>
      <c r="D695" s="97"/>
    </row>
    <row r="696" ht="15.75" customHeight="1">
      <c r="A696" s="96" t="s">
        <v>617</v>
      </c>
      <c r="B696" s="95" t="s">
        <v>701</v>
      </c>
      <c r="C696" s="95" t="s">
        <v>3166</v>
      </c>
      <c r="D696" s="97"/>
    </row>
    <row r="697" ht="15.75" customHeight="1">
      <c r="A697" s="96" t="s">
        <v>617</v>
      </c>
      <c r="B697" s="95" t="s">
        <v>701</v>
      </c>
      <c r="C697" s="95" t="s">
        <v>707</v>
      </c>
      <c r="D697" s="97"/>
    </row>
    <row r="698" ht="15.75" customHeight="1">
      <c r="A698" s="96" t="s">
        <v>617</v>
      </c>
      <c r="B698" s="95" t="s">
        <v>701</v>
      </c>
      <c r="C698" s="95" t="s">
        <v>702</v>
      </c>
      <c r="D698" s="97"/>
    </row>
    <row r="699" ht="15.75" customHeight="1">
      <c r="A699" s="96" t="s">
        <v>617</v>
      </c>
      <c r="B699" s="95" t="s">
        <v>701</v>
      </c>
      <c r="C699" s="95" t="s">
        <v>703</v>
      </c>
      <c r="D699" s="97"/>
    </row>
    <row r="700" ht="15.75" customHeight="1">
      <c r="A700" s="96" t="s">
        <v>617</v>
      </c>
      <c r="B700" s="95" t="s">
        <v>701</v>
      </c>
      <c r="C700" s="95" t="s">
        <v>704</v>
      </c>
      <c r="D700" s="97"/>
    </row>
    <row r="701" ht="15.75" customHeight="1">
      <c r="A701" s="95" t="s">
        <v>617</v>
      </c>
      <c r="B701" s="95" t="s">
        <v>676</v>
      </c>
      <c r="C701" s="97"/>
      <c r="D701" s="97"/>
    </row>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51D2792-6892-475E-AF8F-8DBD6C0C9323}" filter="1" showAutoFilter="1">
      <autoFilter ref="$A$1:$D$701"/>
      <extLst>
        <ext uri="GoogleSheetsCustomDataVersion1">
          <go:sheetsCustomData xmlns:go="http://customooxmlschemas.google.com/" filterViewId="976537274"/>
        </ext>
      </extLst>
    </customSheetView>
  </customSheetView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5"/>
    <col customWidth="1" min="2" max="2" width="9.5"/>
    <col customWidth="1" min="3" max="3" width="19.5"/>
    <col customWidth="1" min="4" max="6" width="10.63"/>
  </cols>
  <sheetData>
    <row r="1" ht="12.75" customHeight="1">
      <c r="A1" s="98" t="s">
        <v>161</v>
      </c>
      <c r="B1" s="98" t="s">
        <v>63</v>
      </c>
      <c r="C1" s="57"/>
    </row>
    <row r="2" ht="12.75" customHeight="1">
      <c r="A2" s="95" t="s">
        <v>294</v>
      </c>
      <c r="B2" s="96" t="s">
        <v>745</v>
      </c>
    </row>
    <row r="3" ht="12.75" customHeight="1">
      <c r="A3" s="95" t="s">
        <v>256</v>
      </c>
      <c r="B3" s="96" t="s">
        <v>745</v>
      </c>
    </row>
    <row r="4" ht="12.75" customHeight="1">
      <c r="A4" s="95" t="s">
        <v>288</v>
      </c>
      <c r="B4" s="96" t="s">
        <v>745</v>
      </c>
    </row>
    <row r="5" ht="12.75" customHeight="1">
      <c r="A5" s="95" t="s">
        <v>310</v>
      </c>
      <c r="B5" s="96" t="s">
        <v>745</v>
      </c>
    </row>
    <row r="6" ht="12.75" customHeight="1">
      <c r="A6" s="95" t="s">
        <v>749</v>
      </c>
      <c r="B6" s="96" t="s">
        <v>745</v>
      </c>
    </row>
    <row r="7" ht="12.75" customHeight="1">
      <c r="A7" s="95" t="s">
        <v>270</v>
      </c>
      <c r="B7" s="96">
        <v>5.0</v>
      </c>
    </row>
    <row r="8" ht="12.75" customHeight="1">
      <c r="A8" s="95" t="s">
        <v>270</v>
      </c>
      <c r="B8" s="96">
        <v>5.5</v>
      </c>
    </row>
    <row r="9" ht="12.75" customHeight="1">
      <c r="A9" s="95" t="s">
        <v>270</v>
      </c>
      <c r="B9" s="96">
        <v>6.0</v>
      </c>
    </row>
    <row r="10" ht="12.75" customHeight="1">
      <c r="A10" s="95" t="s">
        <v>270</v>
      </c>
      <c r="B10" s="96">
        <v>6.5</v>
      </c>
    </row>
    <row r="11" ht="12.75" customHeight="1">
      <c r="A11" s="95" t="s">
        <v>270</v>
      </c>
      <c r="B11" s="96">
        <v>7.0</v>
      </c>
    </row>
    <row r="12" ht="12.75" customHeight="1">
      <c r="A12" s="95" t="s">
        <v>270</v>
      </c>
      <c r="B12" s="96">
        <v>7.5</v>
      </c>
    </row>
    <row r="13" ht="12.75" customHeight="1">
      <c r="A13" s="95" t="s">
        <v>270</v>
      </c>
      <c r="B13" s="96">
        <v>8.0</v>
      </c>
    </row>
    <row r="14" ht="12.75" customHeight="1">
      <c r="A14" s="95" t="s">
        <v>270</v>
      </c>
      <c r="B14" s="96">
        <v>8.5</v>
      </c>
    </row>
    <row r="15" ht="12.75" customHeight="1">
      <c r="A15" s="95" t="s">
        <v>270</v>
      </c>
      <c r="B15" s="96">
        <v>9.0</v>
      </c>
    </row>
    <row r="16" ht="12.75" customHeight="1">
      <c r="A16" s="95" t="s">
        <v>270</v>
      </c>
      <c r="B16" s="96">
        <v>9.5</v>
      </c>
    </row>
    <row r="17" ht="12.75" customHeight="1">
      <c r="A17" s="95" t="s">
        <v>270</v>
      </c>
      <c r="B17" s="96">
        <v>10.0</v>
      </c>
    </row>
    <row r="18" ht="12.75" customHeight="1">
      <c r="A18" s="95" t="s">
        <v>270</v>
      </c>
      <c r="B18" s="96">
        <v>10.5</v>
      </c>
    </row>
    <row r="19" ht="12.75" customHeight="1">
      <c r="A19" s="95" t="s">
        <v>270</v>
      </c>
      <c r="B19" s="96">
        <v>11.0</v>
      </c>
    </row>
    <row r="20" ht="12.75" customHeight="1">
      <c r="A20" s="95" t="s">
        <v>270</v>
      </c>
      <c r="B20" s="96">
        <v>11.5</v>
      </c>
    </row>
    <row r="21" ht="12.75" customHeight="1">
      <c r="A21" s="95" t="s">
        <v>270</v>
      </c>
      <c r="B21" s="96">
        <v>12.0</v>
      </c>
    </row>
    <row r="22" ht="12.75" customHeight="1">
      <c r="A22" s="95" t="s">
        <v>270</v>
      </c>
      <c r="B22" s="96">
        <v>12.5</v>
      </c>
    </row>
    <row r="23" ht="12.75" customHeight="1">
      <c r="A23" s="95" t="s">
        <v>270</v>
      </c>
      <c r="B23" s="96">
        <v>13.0</v>
      </c>
    </row>
    <row r="24" ht="12.75" customHeight="1">
      <c r="A24" s="95" t="s">
        <v>164</v>
      </c>
      <c r="B24" s="96">
        <v>0.0</v>
      </c>
    </row>
    <row r="25" ht="12.75" customHeight="1">
      <c r="A25" s="95" t="s">
        <v>164</v>
      </c>
      <c r="B25" s="96">
        <v>0.0</v>
      </c>
    </row>
    <row r="26" ht="12.75" customHeight="1">
      <c r="A26" s="95" t="s">
        <v>164</v>
      </c>
      <c r="B26" s="96">
        <v>2.0</v>
      </c>
    </row>
    <row r="27" ht="12.75" customHeight="1">
      <c r="A27" s="95" t="s">
        <v>164</v>
      </c>
      <c r="B27" s="96">
        <v>4.0</v>
      </c>
    </row>
    <row r="28" ht="12.75" customHeight="1">
      <c r="A28" s="95" t="s">
        <v>164</v>
      </c>
      <c r="B28" s="96">
        <v>6.0</v>
      </c>
    </row>
    <row r="29" ht="12.75" customHeight="1">
      <c r="A29" s="95" t="s">
        <v>164</v>
      </c>
      <c r="B29" s="96">
        <v>8.0</v>
      </c>
    </row>
    <row r="30" ht="12.75" customHeight="1">
      <c r="A30" s="95" t="s">
        <v>164</v>
      </c>
      <c r="B30" s="96">
        <v>10.0</v>
      </c>
    </row>
    <row r="31" ht="12.75" customHeight="1">
      <c r="A31" s="95" t="s">
        <v>164</v>
      </c>
      <c r="B31" s="96">
        <v>12.0</v>
      </c>
    </row>
    <row r="32" ht="12.75" customHeight="1">
      <c r="A32" s="95" t="s">
        <v>164</v>
      </c>
      <c r="B32" s="96" t="s">
        <v>803</v>
      </c>
    </row>
    <row r="33" ht="12.75" customHeight="1">
      <c r="A33" s="95" t="s">
        <v>164</v>
      </c>
      <c r="B33" s="96" t="s">
        <v>804</v>
      </c>
    </row>
    <row r="34" ht="12.75" customHeight="1">
      <c r="A34" s="95" t="s">
        <v>164</v>
      </c>
      <c r="B34" s="96" t="s">
        <v>76</v>
      </c>
    </row>
    <row r="35" ht="12.75" customHeight="1">
      <c r="A35" s="95" t="s">
        <v>164</v>
      </c>
      <c r="B35" s="96" t="s">
        <v>80</v>
      </c>
    </row>
    <row r="36" ht="12.75" customHeight="1">
      <c r="A36" s="95" t="s">
        <v>164</v>
      </c>
      <c r="B36" s="96" t="s">
        <v>83</v>
      </c>
    </row>
    <row r="37" ht="12.75" customHeight="1">
      <c r="A37" s="95" t="s">
        <v>164</v>
      </c>
      <c r="B37" s="96" t="s">
        <v>85</v>
      </c>
    </row>
    <row r="38" ht="12.75" customHeight="1">
      <c r="A38" s="95" t="s">
        <v>164</v>
      </c>
      <c r="B38" s="96">
        <v>14.0</v>
      </c>
    </row>
    <row r="39" ht="12.75" customHeight="1">
      <c r="A39" s="95" t="s">
        <v>164</v>
      </c>
      <c r="B39" s="96" t="s">
        <v>835</v>
      </c>
    </row>
    <row r="40" ht="12.75" customHeight="1">
      <c r="A40" s="95" t="s">
        <v>164</v>
      </c>
      <c r="B40" s="96">
        <v>16.0</v>
      </c>
    </row>
    <row r="41" ht="12.75" customHeight="1">
      <c r="A41" s="95" t="s">
        <v>164</v>
      </c>
      <c r="B41" s="96" t="s">
        <v>836</v>
      </c>
    </row>
    <row r="42" ht="12.75" customHeight="1">
      <c r="A42" s="95" t="s">
        <v>164</v>
      </c>
      <c r="B42" s="96">
        <v>18.0</v>
      </c>
    </row>
    <row r="43" ht="12.75" customHeight="1">
      <c r="A43" s="95" t="s">
        <v>164</v>
      </c>
      <c r="B43" s="96" t="s">
        <v>837</v>
      </c>
    </row>
    <row r="44" ht="12.75" customHeight="1">
      <c r="A44" s="95" t="s">
        <v>164</v>
      </c>
      <c r="B44" s="96">
        <v>20.0</v>
      </c>
    </row>
    <row r="45" ht="12.75" customHeight="1">
      <c r="A45" s="95" t="s">
        <v>164</v>
      </c>
      <c r="B45" s="96" t="s">
        <v>838</v>
      </c>
    </row>
    <row r="46" ht="12.75" customHeight="1">
      <c r="A46" s="95" t="s">
        <v>164</v>
      </c>
      <c r="B46" s="96">
        <v>22.0</v>
      </c>
    </row>
    <row r="47" ht="12.75" customHeight="1">
      <c r="A47" s="95" t="s">
        <v>164</v>
      </c>
      <c r="B47" s="96" t="s">
        <v>839</v>
      </c>
    </row>
    <row r="48" ht="12.75" customHeight="1">
      <c r="A48" s="95" t="s">
        <v>164</v>
      </c>
      <c r="B48" s="96">
        <v>24.0</v>
      </c>
    </row>
    <row r="49" ht="12.75" customHeight="1">
      <c r="A49" s="95" t="s">
        <v>164</v>
      </c>
      <c r="B49" s="96" t="s">
        <v>840</v>
      </c>
    </row>
    <row r="50" ht="12.75" customHeight="1">
      <c r="A50" s="95" t="s">
        <v>164</v>
      </c>
      <c r="B50" s="96">
        <v>26.0</v>
      </c>
    </row>
    <row r="51" ht="12.75" customHeight="1">
      <c r="A51" s="95" t="s">
        <v>164</v>
      </c>
      <c r="B51" s="96" t="s">
        <v>841</v>
      </c>
    </row>
    <row r="52" ht="12.75" customHeight="1">
      <c r="A52" s="95" t="s">
        <v>164</v>
      </c>
      <c r="B52" s="96">
        <v>28.0</v>
      </c>
    </row>
    <row r="53" ht="12.75" customHeight="1">
      <c r="A53" s="95" t="s">
        <v>164</v>
      </c>
      <c r="B53" s="96" t="s">
        <v>842</v>
      </c>
    </row>
    <row r="54" ht="12.75" customHeight="1">
      <c r="A54" s="95" t="s">
        <v>164</v>
      </c>
      <c r="B54" s="96">
        <v>30.0</v>
      </c>
    </row>
    <row r="55" ht="12.75" customHeight="1">
      <c r="A55" s="95" t="s">
        <v>164</v>
      </c>
      <c r="B55" s="96" t="s">
        <v>843</v>
      </c>
    </row>
    <row r="56" ht="12.75" customHeight="1">
      <c r="A56" s="95" t="s">
        <v>164</v>
      </c>
      <c r="B56" s="96">
        <v>32.0</v>
      </c>
    </row>
    <row r="57" ht="12.75" customHeight="1">
      <c r="A57" s="95" t="s">
        <v>164</v>
      </c>
      <c r="B57" s="96" t="s">
        <v>844</v>
      </c>
    </row>
    <row r="58" ht="12.75" customHeight="1">
      <c r="A58" s="95" t="s">
        <v>164</v>
      </c>
      <c r="B58" s="96" t="s">
        <v>845</v>
      </c>
    </row>
    <row r="59" ht="12.75" customHeight="1">
      <c r="A59" s="95" t="s">
        <v>164</v>
      </c>
      <c r="B59" s="96" t="s">
        <v>846</v>
      </c>
    </row>
    <row r="60" ht="12.75" customHeight="1">
      <c r="A60" s="95" t="s">
        <v>164</v>
      </c>
      <c r="B60" s="96" t="s">
        <v>847</v>
      </c>
    </row>
    <row r="61" ht="12.75" customHeight="1">
      <c r="A61" s="95" t="s">
        <v>164</v>
      </c>
      <c r="B61" s="96" t="s">
        <v>848</v>
      </c>
    </row>
    <row r="62" ht="12.75" customHeight="1">
      <c r="A62" s="95" t="s">
        <v>164</v>
      </c>
      <c r="B62" s="96" t="s">
        <v>849</v>
      </c>
    </row>
    <row r="63" ht="12.75" customHeight="1">
      <c r="A63" s="95" t="s">
        <v>164</v>
      </c>
      <c r="B63" s="96" t="s">
        <v>850</v>
      </c>
    </row>
    <row r="64" ht="12.75" customHeight="1">
      <c r="A64" s="95" t="s">
        <v>164</v>
      </c>
      <c r="B64" s="96" t="s">
        <v>851</v>
      </c>
    </row>
    <row r="65" ht="12.75" customHeight="1">
      <c r="A65" s="95" t="s">
        <v>164</v>
      </c>
      <c r="B65" s="96" t="s">
        <v>852</v>
      </c>
    </row>
    <row r="66" ht="12.75" customHeight="1">
      <c r="A66" s="95" t="s">
        <v>164</v>
      </c>
      <c r="B66" s="96" t="s">
        <v>908</v>
      </c>
    </row>
    <row r="67" ht="12.75" customHeight="1">
      <c r="A67" s="95" t="s">
        <v>164</v>
      </c>
      <c r="B67" s="96" t="s">
        <v>909</v>
      </c>
    </row>
    <row r="68" ht="12.75" customHeight="1">
      <c r="A68" s="95" t="s">
        <v>164</v>
      </c>
      <c r="B68" s="96" t="s">
        <v>910</v>
      </c>
    </row>
    <row r="69" ht="12.75" customHeight="1">
      <c r="A69" s="95" t="s">
        <v>164</v>
      </c>
      <c r="B69" s="96" t="s">
        <v>911</v>
      </c>
    </row>
    <row r="70" ht="12.75" customHeight="1">
      <c r="A70" s="95" t="s">
        <v>164</v>
      </c>
      <c r="B70" s="96" t="s">
        <v>912</v>
      </c>
    </row>
    <row r="71" ht="12.75" customHeight="1">
      <c r="A71" s="95" t="s">
        <v>164</v>
      </c>
      <c r="B71" s="96" t="s">
        <v>913</v>
      </c>
    </row>
    <row r="72" ht="12.75" customHeight="1">
      <c r="A72" s="95" t="s">
        <v>164</v>
      </c>
      <c r="B72" s="96" t="s">
        <v>914</v>
      </c>
    </row>
    <row r="73" ht="12.75" customHeight="1">
      <c r="A73" s="95" t="s">
        <v>164</v>
      </c>
      <c r="B73" s="96" t="s">
        <v>915</v>
      </c>
    </row>
    <row r="74" ht="12.75" customHeight="1">
      <c r="A74" s="95" t="s">
        <v>164</v>
      </c>
      <c r="B74" s="96" t="s">
        <v>916</v>
      </c>
    </row>
    <row r="75" ht="12.75" customHeight="1">
      <c r="A75" s="95" t="s">
        <v>164</v>
      </c>
      <c r="B75" s="96" t="s">
        <v>917</v>
      </c>
    </row>
    <row r="76" ht="12.75" customHeight="1">
      <c r="A76" s="95" t="s">
        <v>164</v>
      </c>
      <c r="B76" s="96" t="s">
        <v>918</v>
      </c>
    </row>
    <row r="77" ht="12.75" customHeight="1">
      <c r="A77" s="95" t="s">
        <v>164</v>
      </c>
      <c r="B77" s="96" t="s">
        <v>919</v>
      </c>
    </row>
    <row r="78" ht="12.75" customHeight="1">
      <c r="A78" s="95" t="s">
        <v>164</v>
      </c>
      <c r="B78" s="96" t="s">
        <v>920</v>
      </c>
    </row>
    <row r="79" ht="12.75" customHeight="1">
      <c r="A79" s="95" t="s">
        <v>164</v>
      </c>
      <c r="B79" s="96" t="s">
        <v>921</v>
      </c>
    </row>
    <row r="80" ht="12.75" customHeight="1">
      <c r="A80" s="95" t="s">
        <v>164</v>
      </c>
      <c r="B80" s="96" t="s">
        <v>922</v>
      </c>
    </row>
    <row r="81" ht="12.75" customHeight="1">
      <c r="A81" s="95" t="s">
        <v>164</v>
      </c>
      <c r="B81" s="96" t="s">
        <v>923</v>
      </c>
    </row>
    <row r="82" ht="12.75" customHeight="1">
      <c r="A82" s="95" t="s">
        <v>164</v>
      </c>
      <c r="B82" s="96" t="s">
        <v>924</v>
      </c>
    </row>
    <row r="83" ht="12.75" customHeight="1">
      <c r="A83" s="95" t="s">
        <v>164</v>
      </c>
      <c r="B83" s="96" t="s">
        <v>925</v>
      </c>
    </row>
    <row r="84" ht="12.75" customHeight="1">
      <c r="A84" s="95" t="s">
        <v>164</v>
      </c>
      <c r="B84" s="96" t="s">
        <v>926</v>
      </c>
    </row>
    <row r="85" ht="12.75" customHeight="1">
      <c r="A85" s="95" t="s">
        <v>164</v>
      </c>
      <c r="B85" s="96" t="s">
        <v>984</v>
      </c>
    </row>
    <row r="86" ht="12.75" customHeight="1">
      <c r="A86" s="95" t="s">
        <v>164</v>
      </c>
      <c r="B86" s="96" t="s">
        <v>985</v>
      </c>
    </row>
    <row r="87" ht="12.75" customHeight="1">
      <c r="A87" s="95" t="s">
        <v>164</v>
      </c>
      <c r="B87" s="96" t="s">
        <v>986</v>
      </c>
    </row>
    <row r="88" ht="12.75" customHeight="1">
      <c r="A88" s="95" t="s">
        <v>164</v>
      </c>
      <c r="B88" s="96" t="s">
        <v>987</v>
      </c>
    </row>
    <row r="89" ht="12.75" customHeight="1">
      <c r="A89" s="95" t="s">
        <v>164</v>
      </c>
      <c r="B89" s="96" t="s">
        <v>988</v>
      </c>
    </row>
    <row r="90" ht="12.75" customHeight="1">
      <c r="A90" s="95" t="s">
        <v>164</v>
      </c>
      <c r="B90" s="96" t="s">
        <v>989</v>
      </c>
    </row>
    <row r="91" ht="12.75" customHeight="1">
      <c r="A91" s="95" t="s">
        <v>164</v>
      </c>
      <c r="B91" s="96" t="s">
        <v>990</v>
      </c>
    </row>
    <row r="92" ht="12.75" customHeight="1">
      <c r="A92" s="95" t="s">
        <v>164</v>
      </c>
      <c r="B92" s="96" t="s">
        <v>991</v>
      </c>
    </row>
    <row r="93" ht="12.75" customHeight="1">
      <c r="A93" s="95" t="s">
        <v>164</v>
      </c>
      <c r="B93" s="96" t="s">
        <v>992</v>
      </c>
    </row>
    <row r="94" ht="12.75" customHeight="1">
      <c r="A94" s="95" t="s">
        <v>164</v>
      </c>
      <c r="B94" s="96" t="s">
        <v>993</v>
      </c>
    </row>
    <row r="95" ht="12.75" customHeight="1">
      <c r="A95" s="95" t="s">
        <v>164</v>
      </c>
      <c r="B95" s="96" t="s">
        <v>994</v>
      </c>
    </row>
    <row r="96" ht="12.75" customHeight="1">
      <c r="A96" s="95" t="s">
        <v>164</v>
      </c>
      <c r="B96" s="96" t="s">
        <v>995</v>
      </c>
    </row>
    <row r="97" ht="12.75" customHeight="1">
      <c r="A97" s="95" t="s">
        <v>164</v>
      </c>
      <c r="B97" s="96" t="s">
        <v>996</v>
      </c>
    </row>
    <row r="98" ht="12.75" customHeight="1">
      <c r="A98" s="95" t="s">
        <v>164</v>
      </c>
      <c r="B98" s="96" t="s">
        <v>997</v>
      </c>
    </row>
    <row r="99" ht="12.75" customHeight="1">
      <c r="A99" s="95" t="s">
        <v>164</v>
      </c>
      <c r="B99" s="96" t="s">
        <v>998</v>
      </c>
    </row>
    <row r="100" ht="12.75" customHeight="1">
      <c r="A100" s="95" t="s">
        <v>164</v>
      </c>
      <c r="B100" s="96" t="s">
        <v>999</v>
      </c>
    </row>
    <row r="101" ht="12.75" customHeight="1">
      <c r="A101" s="95" t="s">
        <v>164</v>
      </c>
      <c r="B101" s="96" t="s">
        <v>1000</v>
      </c>
    </row>
    <row r="102" ht="12.75" customHeight="1">
      <c r="A102" s="95" t="s">
        <v>164</v>
      </c>
      <c r="B102" s="96" t="s">
        <v>1001</v>
      </c>
    </row>
    <row r="103" ht="12.75" customHeight="1">
      <c r="A103" s="95" t="s">
        <v>164</v>
      </c>
      <c r="B103" s="96" t="s">
        <v>1054</v>
      </c>
    </row>
    <row r="104" ht="12.75" customHeight="1">
      <c r="A104" s="95" t="s">
        <v>164</v>
      </c>
      <c r="B104" s="96" t="s">
        <v>1055</v>
      </c>
    </row>
    <row r="105" ht="12.75" customHeight="1">
      <c r="A105" s="95" t="s">
        <v>164</v>
      </c>
      <c r="B105" s="96" t="s">
        <v>1056</v>
      </c>
    </row>
    <row r="106" ht="12.75" customHeight="1">
      <c r="A106" s="95" t="s">
        <v>164</v>
      </c>
      <c r="B106" s="96" t="s">
        <v>1057</v>
      </c>
    </row>
    <row r="107" ht="12.75" customHeight="1">
      <c r="A107" s="95" t="s">
        <v>164</v>
      </c>
      <c r="B107" s="96" t="s">
        <v>1058</v>
      </c>
    </row>
    <row r="108" ht="12.75" customHeight="1">
      <c r="A108" s="95" t="s">
        <v>164</v>
      </c>
      <c r="B108" s="96" t="s">
        <v>1059</v>
      </c>
    </row>
    <row r="109" ht="12.75" customHeight="1">
      <c r="A109" s="95" t="s">
        <v>164</v>
      </c>
      <c r="B109" s="96" t="s">
        <v>1060</v>
      </c>
    </row>
    <row r="110" ht="12.75" customHeight="1">
      <c r="A110" s="95" t="s">
        <v>164</v>
      </c>
      <c r="B110" s="96" t="s">
        <v>1061</v>
      </c>
    </row>
    <row r="111" ht="12.75" customHeight="1">
      <c r="A111" s="95" t="s">
        <v>164</v>
      </c>
      <c r="B111" s="96" t="s">
        <v>1062</v>
      </c>
    </row>
    <row r="112" ht="12.75" customHeight="1">
      <c r="A112" s="95" t="s">
        <v>164</v>
      </c>
      <c r="B112" s="96" t="s">
        <v>1063</v>
      </c>
    </row>
    <row r="113" ht="12.75" customHeight="1">
      <c r="A113" s="95" t="s">
        <v>164</v>
      </c>
      <c r="B113" s="96" t="s">
        <v>1064</v>
      </c>
    </row>
    <row r="114" ht="12.75" customHeight="1">
      <c r="A114" s="95" t="s">
        <v>164</v>
      </c>
      <c r="B114" s="96" t="s">
        <v>1065</v>
      </c>
    </row>
    <row r="115" ht="12.75" customHeight="1">
      <c r="A115" s="95" t="s">
        <v>164</v>
      </c>
      <c r="B115" s="96" t="s">
        <v>1066</v>
      </c>
    </row>
    <row r="116" ht="12.75" customHeight="1">
      <c r="A116" s="95" t="s">
        <v>164</v>
      </c>
      <c r="B116" s="96" t="s">
        <v>1067</v>
      </c>
    </row>
    <row r="117" ht="12.75" customHeight="1">
      <c r="A117" s="95" t="s">
        <v>164</v>
      </c>
      <c r="B117" s="96" t="s">
        <v>1068</v>
      </c>
    </row>
    <row r="118" ht="12.75" customHeight="1">
      <c r="A118" s="95" t="s">
        <v>164</v>
      </c>
      <c r="B118" s="96" t="s">
        <v>1069</v>
      </c>
    </row>
    <row r="119" ht="12.75" customHeight="1">
      <c r="A119" s="95" t="s">
        <v>164</v>
      </c>
      <c r="B119" s="96" t="s">
        <v>1070</v>
      </c>
    </row>
    <row r="120" ht="12.75" customHeight="1">
      <c r="A120" s="95" t="s">
        <v>164</v>
      </c>
      <c r="B120" s="96" t="s">
        <v>1071</v>
      </c>
    </row>
    <row r="121" ht="12.75" customHeight="1">
      <c r="A121" s="95" t="s">
        <v>164</v>
      </c>
      <c r="B121" s="96" t="s">
        <v>1072</v>
      </c>
    </row>
    <row r="122" ht="12.75" customHeight="1">
      <c r="A122" s="95" t="s">
        <v>164</v>
      </c>
      <c r="B122" s="96" t="s">
        <v>1073</v>
      </c>
    </row>
    <row r="123" ht="12.75" customHeight="1">
      <c r="A123" s="95" t="s">
        <v>164</v>
      </c>
      <c r="B123" s="96" t="s">
        <v>1074</v>
      </c>
    </row>
    <row r="124" ht="12.75" customHeight="1">
      <c r="A124" s="95" t="s">
        <v>164</v>
      </c>
      <c r="B124" s="96" t="s">
        <v>1075</v>
      </c>
    </row>
    <row r="125" ht="12.75" customHeight="1">
      <c r="A125" s="95" t="s">
        <v>164</v>
      </c>
      <c r="B125" s="96" t="s">
        <v>1076</v>
      </c>
    </row>
    <row r="126" ht="12.75" customHeight="1">
      <c r="A126" s="95" t="s">
        <v>164</v>
      </c>
      <c r="B126" s="96" t="s">
        <v>1077</v>
      </c>
    </row>
    <row r="127" ht="12.75" customHeight="1">
      <c r="A127" s="95" t="s">
        <v>164</v>
      </c>
      <c r="B127" s="96" t="s">
        <v>1078</v>
      </c>
    </row>
    <row r="128" ht="12.75" customHeight="1">
      <c r="A128" s="95" t="s">
        <v>164</v>
      </c>
      <c r="B128" s="96" t="s">
        <v>1079</v>
      </c>
    </row>
    <row r="129" ht="12.75" customHeight="1">
      <c r="A129" s="95" t="s">
        <v>164</v>
      </c>
      <c r="B129" s="96" t="s">
        <v>1080</v>
      </c>
    </row>
    <row r="130" ht="12.75" customHeight="1">
      <c r="A130" s="95" t="s">
        <v>164</v>
      </c>
      <c r="B130" s="96" t="s">
        <v>1081</v>
      </c>
    </row>
    <row r="131" ht="12.75" customHeight="1">
      <c r="A131" s="95" t="s">
        <v>164</v>
      </c>
      <c r="B131" s="96" t="s">
        <v>1082</v>
      </c>
    </row>
    <row r="132" ht="12.75" customHeight="1">
      <c r="A132" s="95" t="s">
        <v>164</v>
      </c>
      <c r="B132" s="96" t="s">
        <v>1083</v>
      </c>
    </row>
    <row r="133" ht="12.75" customHeight="1">
      <c r="A133" s="95" t="s">
        <v>164</v>
      </c>
      <c r="B133" s="96" t="s">
        <v>1084</v>
      </c>
    </row>
    <row r="134" ht="12.75" customHeight="1">
      <c r="A134" s="95" t="s">
        <v>164</v>
      </c>
      <c r="B134" s="96" t="s">
        <v>1085</v>
      </c>
    </row>
    <row r="135" ht="12.75" customHeight="1">
      <c r="A135" s="95" t="s">
        <v>164</v>
      </c>
      <c r="B135" s="96" t="s">
        <v>1086</v>
      </c>
    </row>
    <row r="136" ht="12.75" customHeight="1">
      <c r="A136" s="95" t="s">
        <v>164</v>
      </c>
      <c r="B136" s="96" t="s">
        <v>1087</v>
      </c>
    </row>
    <row r="137" ht="12.75" customHeight="1">
      <c r="A137" s="95" t="s">
        <v>164</v>
      </c>
      <c r="B137" s="96" t="s">
        <v>1088</v>
      </c>
    </row>
    <row r="138" ht="12.75" customHeight="1">
      <c r="A138" s="95" t="s">
        <v>164</v>
      </c>
      <c r="B138" s="96" t="s">
        <v>1089</v>
      </c>
    </row>
    <row r="139" ht="12.75" customHeight="1">
      <c r="A139" s="95" t="s">
        <v>164</v>
      </c>
      <c r="B139" s="96" t="s">
        <v>1090</v>
      </c>
    </row>
    <row r="140" ht="12.75" customHeight="1">
      <c r="A140" s="95" t="s">
        <v>164</v>
      </c>
      <c r="B140" s="96" t="s">
        <v>1091</v>
      </c>
    </row>
    <row r="141" ht="12.75" customHeight="1">
      <c r="A141" s="95" t="s">
        <v>164</v>
      </c>
      <c r="B141" s="96" t="s">
        <v>1092</v>
      </c>
    </row>
    <row r="142" ht="12.75" customHeight="1">
      <c r="A142" s="95" t="s">
        <v>164</v>
      </c>
      <c r="B142" s="96" t="s">
        <v>1093</v>
      </c>
    </row>
    <row r="143" ht="12.75" customHeight="1">
      <c r="A143" s="95" t="s">
        <v>164</v>
      </c>
      <c r="B143" s="96" t="s">
        <v>1094</v>
      </c>
    </row>
    <row r="144" ht="12.75" customHeight="1">
      <c r="A144" s="95" t="s">
        <v>164</v>
      </c>
      <c r="B144" s="96" t="s">
        <v>1095</v>
      </c>
    </row>
    <row r="145" ht="12.75" customHeight="1">
      <c r="A145" s="95" t="s">
        <v>176</v>
      </c>
      <c r="B145" s="96">
        <v>0.0</v>
      </c>
    </row>
    <row r="146" ht="12.75" customHeight="1">
      <c r="A146" s="95" t="s">
        <v>176</v>
      </c>
      <c r="B146" s="96">
        <v>0.0</v>
      </c>
    </row>
    <row r="147" ht="12.75" customHeight="1">
      <c r="A147" s="95" t="s">
        <v>176</v>
      </c>
      <c r="B147" s="96">
        <v>2.0</v>
      </c>
    </row>
    <row r="148" ht="12.75" customHeight="1">
      <c r="A148" s="95" t="s">
        <v>176</v>
      </c>
      <c r="B148" s="96">
        <v>4.0</v>
      </c>
    </row>
    <row r="149" ht="12.75" customHeight="1">
      <c r="A149" s="95" t="s">
        <v>176</v>
      </c>
      <c r="B149" s="96">
        <v>6.0</v>
      </c>
    </row>
    <row r="150" ht="12.75" customHeight="1">
      <c r="A150" s="95" t="s">
        <v>176</v>
      </c>
      <c r="B150" s="96">
        <v>8.0</v>
      </c>
    </row>
    <row r="151" ht="12.75" customHeight="1">
      <c r="A151" s="95" t="s">
        <v>176</v>
      </c>
      <c r="B151" s="96">
        <v>10.0</v>
      </c>
    </row>
    <row r="152" ht="12.75" customHeight="1">
      <c r="A152" s="95" t="s">
        <v>176</v>
      </c>
      <c r="B152" s="96">
        <v>12.0</v>
      </c>
    </row>
    <row r="153" ht="12.75" customHeight="1">
      <c r="A153" s="95" t="s">
        <v>176</v>
      </c>
      <c r="B153" s="96" t="s">
        <v>803</v>
      </c>
    </row>
    <row r="154" ht="12.75" customHeight="1">
      <c r="A154" s="95" t="s">
        <v>176</v>
      </c>
      <c r="B154" s="96" t="s">
        <v>804</v>
      </c>
    </row>
    <row r="155" ht="12.75" customHeight="1">
      <c r="A155" s="95" t="s">
        <v>176</v>
      </c>
      <c r="B155" s="96" t="s">
        <v>76</v>
      </c>
    </row>
    <row r="156" ht="12.75" customHeight="1">
      <c r="A156" s="95" t="s">
        <v>176</v>
      </c>
      <c r="B156" s="96" t="s">
        <v>80</v>
      </c>
    </row>
    <row r="157" ht="12.75" customHeight="1">
      <c r="A157" s="95" t="s">
        <v>176</v>
      </c>
      <c r="B157" s="96" t="s">
        <v>83</v>
      </c>
    </row>
    <row r="158" ht="12.75" customHeight="1">
      <c r="A158" s="95" t="s">
        <v>176</v>
      </c>
      <c r="B158" s="96" t="s">
        <v>85</v>
      </c>
    </row>
    <row r="159" ht="12.75" customHeight="1">
      <c r="A159" s="95" t="s">
        <v>176</v>
      </c>
      <c r="B159" s="96">
        <v>14.0</v>
      </c>
    </row>
    <row r="160" ht="12.75" customHeight="1">
      <c r="A160" s="95" t="s">
        <v>176</v>
      </c>
      <c r="B160" s="96" t="s">
        <v>835</v>
      </c>
    </row>
    <row r="161" ht="12.75" customHeight="1">
      <c r="A161" s="95" t="s">
        <v>176</v>
      </c>
      <c r="B161" s="96">
        <v>16.0</v>
      </c>
    </row>
    <row r="162" ht="12.75" customHeight="1">
      <c r="A162" s="95" t="s">
        <v>176</v>
      </c>
      <c r="B162" s="96" t="s">
        <v>836</v>
      </c>
    </row>
    <row r="163" ht="12.75" customHeight="1">
      <c r="A163" s="95" t="s">
        <v>176</v>
      </c>
      <c r="B163" s="96">
        <v>18.0</v>
      </c>
    </row>
    <row r="164" ht="12.75" customHeight="1">
      <c r="A164" s="95" t="s">
        <v>176</v>
      </c>
      <c r="B164" s="96" t="s">
        <v>837</v>
      </c>
    </row>
    <row r="165" ht="12.75" customHeight="1">
      <c r="A165" s="95" t="s">
        <v>176</v>
      </c>
      <c r="B165" s="96">
        <v>20.0</v>
      </c>
    </row>
    <row r="166" ht="12.75" customHeight="1">
      <c r="A166" s="95" t="s">
        <v>176</v>
      </c>
      <c r="B166" s="96" t="s">
        <v>838</v>
      </c>
    </row>
    <row r="167" ht="12.75" customHeight="1">
      <c r="A167" s="95" t="s">
        <v>176</v>
      </c>
      <c r="B167" s="96">
        <v>22.0</v>
      </c>
    </row>
    <row r="168" ht="12.75" customHeight="1">
      <c r="A168" s="95" t="s">
        <v>176</v>
      </c>
      <c r="B168" s="96" t="s">
        <v>839</v>
      </c>
    </row>
    <row r="169" ht="12.75" customHeight="1">
      <c r="A169" s="95" t="s">
        <v>176</v>
      </c>
      <c r="B169" s="96">
        <v>24.0</v>
      </c>
    </row>
    <row r="170" ht="12.75" customHeight="1">
      <c r="A170" s="95" t="s">
        <v>176</v>
      </c>
      <c r="B170" s="96" t="s">
        <v>840</v>
      </c>
    </row>
    <row r="171" ht="12.75" customHeight="1">
      <c r="A171" s="95" t="s">
        <v>176</v>
      </c>
      <c r="B171" s="96">
        <v>26.0</v>
      </c>
    </row>
    <row r="172" ht="12.75" customHeight="1">
      <c r="A172" s="95" t="s">
        <v>176</v>
      </c>
      <c r="B172" s="96" t="s">
        <v>841</v>
      </c>
    </row>
    <row r="173" ht="12.75" customHeight="1">
      <c r="A173" s="95" t="s">
        <v>176</v>
      </c>
      <c r="B173" s="96">
        <v>28.0</v>
      </c>
    </row>
    <row r="174" ht="12.75" customHeight="1">
      <c r="A174" s="95" t="s">
        <v>176</v>
      </c>
      <c r="B174" s="96" t="s">
        <v>842</v>
      </c>
    </row>
    <row r="175" ht="12.75" customHeight="1">
      <c r="A175" s="95" t="s">
        <v>176</v>
      </c>
      <c r="B175" s="96">
        <v>30.0</v>
      </c>
    </row>
    <row r="176" ht="12.75" customHeight="1">
      <c r="A176" s="95" t="s">
        <v>176</v>
      </c>
      <c r="B176" s="96" t="s">
        <v>843</v>
      </c>
    </row>
    <row r="177" ht="12.75" customHeight="1">
      <c r="A177" s="95" t="s">
        <v>176</v>
      </c>
      <c r="B177" s="96">
        <v>32.0</v>
      </c>
    </row>
    <row r="178" ht="12.75" customHeight="1">
      <c r="A178" s="95" t="s">
        <v>176</v>
      </c>
      <c r="B178" s="96" t="s">
        <v>844</v>
      </c>
    </row>
    <row r="179" ht="12.75" customHeight="1">
      <c r="A179" s="95" t="s">
        <v>176</v>
      </c>
      <c r="B179" s="96" t="s">
        <v>845</v>
      </c>
    </row>
    <row r="180" ht="12.75" customHeight="1">
      <c r="A180" s="95" t="s">
        <v>176</v>
      </c>
      <c r="B180" s="96" t="s">
        <v>846</v>
      </c>
    </row>
    <row r="181" ht="12.75" customHeight="1">
      <c r="A181" s="95" t="s">
        <v>176</v>
      </c>
      <c r="B181" s="96" t="s">
        <v>847</v>
      </c>
    </row>
    <row r="182" ht="12.75" customHeight="1">
      <c r="A182" s="95" t="s">
        <v>176</v>
      </c>
      <c r="B182" s="96" t="s">
        <v>848</v>
      </c>
    </row>
    <row r="183" ht="12.75" customHeight="1">
      <c r="A183" s="95" t="s">
        <v>176</v>
      </c>
      <c r="B183" s="96" t="s">
        <v>849</v>
      </c>
    </row>
    <row r="184" ht="12.75" customHeight="1">
      <c r="A184" s="95" t="s">
        <v>176</v>
      </c>
      <c r="B184" s="96" t="s">
        <v>850</v>
      </c>
    </row>
    <row r="185" ht="12.75" customHeight="1">
      <c r="A185" s="95" t="s">
        <v>176</v>
      </c>
      <c r="B185" s="96" t="s">
        <v>851</v>
      </c>
    </row>
    <row r="186" ht="12.75" customHeight="1">
      <c r="A186" s="95" t="s">
        <v>176</v>
      </c>
      <c r="B186" s="96" t="s">
        <v>852</v>
      </c>
    </row>
    <row r="187" ht="12.75" customHeight="1">
      <c r="A187" s="95" t="s">
        <v>176</v>
      </c>
      <c r="B187" s="96" t="s">
        <v>908</v>
      </c>
    </row>
    <row r="188" ht="12.75" customHeight="1">
      <c r="A188" s="95" t="s">
        <v>176</v>
      </c>
      <c r="B188" s="96" t="s">
        <v>909</v>
      </c>
    </row>
    <row r="189" ht="12.75" customHeight="1">
      <c r="A189" s="95" t="s">
        <v>176</v>
      </c>
      <c r="B189" s="96" t="s">
        <v>910</v>
      </c>
    </row>
    <row r="190" ht="12.75" customHeight="1">
      <c r="A190" s="95" t="s">
        <v>176</v>
      </c>
      <c r="B190" s="96" t="s">
        <v>911</v>
      </c>
    </row>
    <row r="191" ht="12.75" customHeight="1">
      <c r="A191" s="95" t="s">
        <v>176</v>
      </c>
      <c r="B191" s="96" t="s">
        <v>912</v>
      </c>
    </row>
    <row r="192" ht="12.75" customHeight="1">
      <c r="A192" s="95" t="s">
        <v>176</v>
      </c>
      <c r="B192" s="96" t="s">
        <v>913</v>
      </c>
    </row>
    <row r="193" ht="12.75" customHeight="1">
      <c r="A193" s="95" t="s">
        <v>176</v>
      </c>
      <c r="B193" s="96" t="s">
        <v>914</v>
      </c>
    </row>
    <row r="194" ht="12.75" customHeight="1">
      <c r="A194" s="95" t="s">
        <v>176</v>
      </c>
      <c r="B194" s="96" t="s">
        <v>915</v>
      </c>
    </row>
    <row r="195" ht="12.75" customHeight="1">
      <c r="A195" s="95" t="s">
        <v>176</v>
      </c>
      <c r="B195" s="96" t="s">
        <v>916</v>
      </c>
    </row>
    <row r="196" ht="12.75" customHeight="1">
      <c r="A196" s="95" t="s">
        <v>176</v>
      </c>
      <c r="B196" s="96" t="s">
        <v>917</v>
      </c>
    </row>
    <row r="197" ht="12.75" customHeight="1">
      <c r="A197" s="95" t="s">
        <v>176</v>
      </c>
      <c r="B197" s="96" t="s">
        <v>918</v>
      </c>
    </row>
    <row r="198" ht="12.75" customHeight="1">
      <c r="A198" s="95" t="s">
        <v>176</v>
      </c>
      <c r="B198" s="96" t="s">
        <v>919</v>
      </c>
    </row>
    <row r="199" ht="12.75" customHeight="1">
      <c r="A199" s="95" t="s">
        <v>176</v>
      </c>
      <c r="B199" s="96" t="s">
        <v>920</v>
      </c>
    </row>
    <row r="200" ht="12.75" customHeight="1">
      <c r="A200" s="95" t="s">
        <v>176</v>
      </c>
      <c r="B200" s="96" t="s">
        <v>921</v>
      </c>
    </row>
    <row r="201" ht="12.75" customHeight="1">
      <c r="A201" s="95" t="s">
        <v>176</v>
      </c>
      <c r="B201" s="96" t="s">
        <v>922</v>
      </c>
    </row>
    <row r="202" ht="12.75" customHeight="1">
      <c r="A202" s="95" t="s">
        <v>176</v>
      </c>
      <c r="B202" s="96" t="s">
        <v>923</v>
      </c>
    </row>
    <row r="203" ht="12.75" customHeight="1">
      <c r="A203" s="95" t="s">
        <v>176</v>
      </c>
      <c r="B203" s="96" t="s">
        <v>924</v>
      </c>
    </row>
    <row r="204" ht="12.75" customHeight="1">
      <c r="A204" s="95" t="s">
        <v>176</v>
      </c>
      <c r="B204" s="96" t="s">
        <v>925</v>
      </c>
    </row>
    <row r="205" ht="12.75" customHeight="1">
      <c r="A205" s="95" t="s">
        <v>176</v>
      </c>
      <c r="B205" s="96" t="s">
        <v>926</v>
      </c>
    </row>
    <row r="206" ht="12.75" customHeight="1">
      <c r="A206" s="95" t="s">
        <v>176</v>
      </c>
      <c r="B206" s="96" t="s">
        <v>984</v>
      </c>
    </row>
    <row r="207" ht="12.75" customHeight="1">
      <c r="A207" s="95" t="s">
        <v>176</v>
      </c>
      <c r="B207" s="96" t="s">
        <v>985</v>
      </c>
    </row>
    <row r="208" ht="12.75" customHeight="1">
      <c r="A208" s="95" t="s">
        <v>176</v>
      </c>
      <c r="B208" s="96" t="s">
        <v>986</v>
      </c>
    </row>
    <row r="209" ht="12.75" customHeight="1">
      <c r="A209" s="95" t="s">
        <v>176</v>
      </c>
      <c r="B209" s="96" t="s">
        <v>987</v>
      </c>
    </row>
    <row r="210" ht="12.75" customHeight="1">
      <c r="A210" s="95" t="s">
        <v>176</v>
      </c>
      <c r="B210" s="96" t="s">
        <v>988</v>
      </c>
    </row>
    <row r="211" ht="12.75" customHeight="1">
      <c r="A211" s="95" t="s">
        <v>176</v>
      </c>
      <c r="B211" s="96" t="s">
        <v>989</v>
      </c>
    </row>
    <row r="212" ht="12.75" customHeight="1">
      <c r="A212" s="95" t="s">
        <v>176</v>
      </c>
      <c r="B212" s="96" t="s">
        <v>990</v>
      </c>
    </row>
    <row r="213" ht="12.75" customHeight="1">
      <c r="A213" s="95" t="s">
        <v>176</v>
      </c>
      <c r="B213" s="96" t="s">
        <v>991</v>
      </c>
    </row>
    <row r="214" ht="12.75" customHeight="1">
      <c r="A214" s="95" t="s">
        <v>176</v>
      </c>
      <c r="B214" s="96" t="s">
        <v>992</v>
      </c>
    </row>
    <row r="215" ht="12.75" customHeight="1">
      <c r="A215" s="95" t="s">
        <v>176</v>
      </c>
      <c r="B215" s="96" t="s">
        <v>993</v>
      </c>
    </row>
    <row r="216" ht="12.75" customHeight="1">
      <c r="A216" s="95" t="s">
        <v>176</v>
      </c>
      <c r="B216" s="96" t="s">
        <v>994</v>
      </c>
    </row>
    <row r="217" ht="12.75" customHeight="1">
      <c r="A217" s="95" t="s">
        <v>176</v>
      </c>
      <c r="B217" s="96" t="s">
        <v>995</v>
      </c>
    </row>
    <row r="218" ht="12.75" customHeight="1">
      <c r="A218" s="95" t="s">
        <v>176</v>
      </c>
      <c r="B218" s="96" t="s">
        <v>996</v>
      </c>
    </row>
    <row r="219" ht="12.75" customHeight="1">
      <c r="A219" s="95" t="s">
        <v>176</v>
      </c>
      <c r="B219" s="96" t="s">
        <v>997</v>
      </c>
    </row>
    <row r="220" ht="12.75" customHeight="1">
      <c r="A220" s="95" t="s">
        <v>176</v>
      </c>
      <c r="B220" s="96" t="s">
        <v>998</v>
      </c>
    </row>
    <row r="221" ht="12.75" customHeight="1">
      <c r="A221" s="95" t="s">
        <v>176</v>
      </c>
      <c r="B221" s="96" t="s">
        <v>999</v>
      </c>
    </row>
    <row r="222" ht="12.75" customHeight="1">
      <c r="A222" s="95" t="s">
        <v>176</v>
      </c>
      <c r="B222" s="96" t="s">
        <v>1000</v>
      </c>
    </row>
    <row r="223" ht="12.75" customHeight="1">
      <c r="A223" s="95" t="s">
        <v>176</v>
      </c>
      <c r="B223" s="96" t="s">
        <v>1001</v>
      </c>
    </row>
    <row r="224" ht="12.75" customHeight="1">
      <c r="A224" s="95" t="s">
        <v>176</v>
      </c>
      <c r="B224" s="96" t="s">
        <v>1054</v>
      </c>
    </row>
    <row r="225" ht="12.75" customHeight="1">
      <c r="A225" s="95" t="s">
        <v>176</v>
      </c>
      <c r="B225" s="96" t="s">
        <v>1055</v>
      </c>
    </row>
    <row r="226" ht="12.75" customHeight="1">
      <c r="A226" s="95" t="s">
        <v>176</v>
      </c>
      <c r="B226" s="96" t="s">
        <v>1056</v>
      </c>
    </row>
    <row r="227" ht="12.75" customHeight="1">
      <c r="A227" s="95" t="s">
        <v>176</v>
      </c>
      <c r="B227" s="96" t="s">
        <v>1057</v>
      </c>
    </row>
    <row r="228" ht="12.75" customHeight="1">
      <c r="A228" s="95" t="s">
        <v>176</v>
      </c>
      <c r="B228" s="96" t="s">
        <v>1058</v>
      </c>
    </row>
    <row r="229" ht="12.75" customHeight="1">
      <c r="A229" s="95" t="s">
        <v>176</v>
      </c>
      <c r="B229" s="96" t="s">
        <v>1059</v>
      </c>
    </row>
    <row r="230" ht="12.75" customHeight="1">
      <c r="A230" s="95" t="s">
        <v>176</v>
      </c>
      <c r="B230" s="96" t="s">
        <v>1060</v>
      </c>
    </row>
    <row r="231" ht="12.75" customHeight="1">
      <c r="A231" s="95" t="s">
        <v>176</v>
      </c>
      <c r="B231" s="96" t="s">
        <v>1061</v>
      </c>
    </row>
    <row r="232" ht="12.75" customHeight="1">
      <c r="A232" s="95" t="s">
        <v>176</v>
      </c>
      <c r="B232" s="96" t="s">
        <v>1062</v>
      </c>
    </row>
    <row r="233" ht="12.75" customHeight="1">
      <c r="A233" s="95" t="s">
        <v>176</v>
      </c>
      <c r="B233" s="96" t="s">
        <v>1063</v>
      </c>
    </row>
    <row r="234" ht="12.75" customHeight="1">
      <c r="A234" s="95" t="s">
        <v>176</v>
      </c>
      <c r="B234" s="96" t="s">
        <v>1064</v>
      </c>
    </row>
    <row r="235" ht="12.75" customHeight="1">
      <c r="A235" s="95" t="s">
        <v>176</v>
      </c>
      <c r="B235" s="96" t="s">
        <v>1065</v>
      </c>
    </row>
    <row r="236" ht="12.75" customHeight="1">
      <c r="A236" s="95" t="s">
        <v>176</v>
      </c>
      <c r="B236" s="96" t="s">
        <v>1066</v>
      </c>
    </row>
    <row r="237" ht="12.75" customHeight="1">
      <c r="A237" s="95" t="s">
        <v>176</v>
      </c>
      <c r="B237" s="96" t="s">
        <v>1067</v>
      </c>
    </row>
    <row r="238" ht="12.75" customHeight="1">
      <c r="A238" s="95" t="s">
        <v>176</v>
      </c>
      <c r="B238" s="96" t="s">
        <v>1068</v>
      </c>
    </row>
    <row r="239" ht="12.75" customHeight="1">
      <c r="A239" s="95" t="s">
        <v>176</v>
      </c>
      <c r="B239" s="96" t="s">
        <v>1069</v>
      </c>
    </row>
    <row r="240" ht="12.75" customHeight="1">
      <c r="A240" s="95" t="s">
        <v>176</v>
      </c>
      <c r="B240" s="96" t="s">
        <v>1070</v>
      </c>
    </row>
    <row r="241" ht="12.75" customHeight="1">
      <c r="A241" s="95" t="s">
        <v>176</v>
      </c>
      <c r="B241" s="96" t="s">
        <v>1071</v>
      </c>
    </row>
    <row r="242" ht="12.75" customHeight="1">
      <c r="A242" s="95" t="s">
        <v>176</v>
      </c>
      <c r="B242" s="96" t="s">
        <v>1072</v>
      </c>
    </row>
    <row r="243" ht="12.75" customHeight="1">
      <c r="A243" s="95" t="s">
        <v>176</v>
      </c>
      <c r="B243" s="96" t="s">
        <v>1073</v>
      </c>
    </row>
    <row r="244" ht="12.75" customHeight="1">
      <c r="A244" s="95" t="s">
        <v>176</v>
      </c>
      <c r="B244" s="96" t="s">
        <v>1074</v>
      </c>
    </row>
    <row r="245" ht="12.75" customHeight="1">
      <c r="A245" s="95" t="s">
        <v>176</v>
      </c>
      <c r="B245" s="96" t="s">
        <v>1075</v>
      </c>
    </row>
    <row r="246" ht="12.75" customHeight="1">
      <c r="A246" s="95" t="s">
        <v>176</v>
      </c>
      <c r="B246" s="96" t="s">
        <v>1076</v>
      </c>
    </row>
    <row r="247" ht="12.75" customHeight="1">
      <c r="A247" s="95" t="s">
        <v>176</v>
      </c>
      <c r="B247" s="96" t="s">
        <v>1077</v>
      </c>
    </row>
    <row r="248" ht="12.75" customHeight="1">
      <c r="A248" s="95" t="s">
        <v>176</v>
      </c>
      <c r="B248" s="96" t="s">
        <v>1078</v>
      </c>
    </row>
    <row r="249" ht="12.75" customHeight="1">
      <c r="A249" s="95" t="s">
        <v>176</v>
      </c>
      <c r="B249" s="96" t="s">
        <v>1079</v>
      </c>
    </row>
    <row r="250" ht="12.75" customHeight="1">
      <c r="A250" s="95" t="s">
        <v>176</v>
      </c>
      <c r="B250" s="96" t="s">
        <v>1080</v>
      </c>
    </row>
    <row r="251" ht="12.75" customHeight="1">
      <c r="A251" s="95" t="s">
        <v>176</v>
      </c>
      <c r="B251" s="96" t="s">
        <v>1081</v>
      </c>
    </row>
    <row r="252" ht="12.75" customHeight="1">
      <c r="A252" s="95" t="s">
        <v>176</v>
      </c>
      <c r="B252" s="96" t="s">
        <v>1082</v>
      </c>
    </row>
    <row r="253" ht="12.75" customHeight="1">
      <c r="A253" s="95" t="s">
        <v>176</v>
      </c>
      <c r="B253" s="96" t="s">
        <v>1083</v>
      </c>
    </row>
    <row r="254" ht="12.75" customHeight="1">
      <c r="A254" s="95" t="s">
        <v>176</v>
      </c>
      <c r="B254" s="96" t="s">
        <v>1084</v>
      </c>
    </row>
    <row r="255" ht="12.75" customHeight="1">
      <c r="A255" s="95" t="s">
        <v>176</v>
      </c>
      <c r="B255" s="96" t="s">
        <v>1085</v>
      </c>
    </row>
    <row r="256" ht="12.75" customHeight="1">
      <c r="A256" s="95" t="s">
        <v>176</v>
      </c>
      <c r="B256" s="96" t="s">
        <v>1086</v>
      </c>
    </row>
    <row r="257" ht="12.75" customHeight="1">
      <c r="A257" s="95" t="s">
        <v>176</v>
      </c>
      <c r="B257" s="96" t="s">
        <v>1087</v>
      </c>
    </row>
    <row r="258" ht="12.75" customHeight="1">
      <c r="A258" s="95" t="s">
        <v>176</v>
      </c>
      <c r="B258" s="96" t="s">
        <v>1088</v>
      </c>
    </row>
    <row r="259" ht="12.75" customHeight="1">
      <c r="A259" s="95" t="s">
        <v>176</v>
      </c>
      <c r="B259" s="96" t="s">
        <v>1089</v>
      </c>
    </row>
    <row r="260" ht="12.75" customHeight="1">
      <c r="A260" s="95" t="s">
        <v>176</v>
      </c>
      <c r="B260" s="96" t="s">
        <v>1090</v>
      </c>
    </row>
    <row r="261" ht="12.75" customHeight="1">
      <c r="A261" s="95" t="s">
        <v>176</v>
      </c>
      <c r="B261" s="96" t="s">
        <v>1091</v>
      </c>
    </row>
    <row r="262" ht="12.75" customHeight="1">
      <c r="A262" s="95" t="s">
        <v>176</v>
      </c>
      <c r="B262" s="96" t="s">
        <v>1092</v>
      </c>
    </row>
    <row r="263" ht="12.75" customHeight="1">
      <c r="A263" s="95" t="s">
        <v>176</v>
      </c>
      <c r="B263" s="96" t="s">
        <v>1093</v>
      </c>
    </row>
    <row r="264" ht="12.75" customHeight="1">
      <c r="A264" s="95" t="s">
        <v>176</v>
      </c>
      <c r="B264" s="96" t="s">
        <v>1094</v>
      </c>
    </row>
    <row r="265" ht="12.75" customHeight="1">
      <c r="A265" s="95" t="s">
        <v>176</v>
      </c>
      <c r="B265" s="96" t="s">
        <v>1095</v>
      </c>
    </row>
    <row r="266" ht="12.75" customHeight="1">
      <c r="A266" s="95" t="s">
        <v>202</v>
      </c>
      <c r="B266" s="96">
        <v>0.0</v>
      </c>
    </row>
    <row r="267" ht="12.75" customHeight="1">
      <c r="A267" s="95" t="s">
        <v>202</v>
      </c>
      <c r="B267" s="96">
        <v>0.0</v>
      </c>
    </row>
    <row r="268" ht="12.75" customHeight="1">
      <c r="A268" s="95" t="s">
        <v>202</v>
      </c>
      <c r="B268" s="96">
        <v>2.0</v>
      </c>
    </row>
    <row r="269" ht="12.75" customHeight="1">
      <c r="A269" s="95" t="s">
        <v>202</v>
      </c>
      <c r="B269" s="96">
        <v>4.0</v>
      </c>
    </row>
    <row r="270" ht="12.75" customHeight="1">
      <c r="A270" s="95" t="s">
        <v>202</v>
      </c>
      <c r="B270" s="96">
        <v>6.0</v>
      </c>
    </row>
    <row r="271" ht="12.75" customHeight="1">
      <c r="A271" s="95" t="s">
        <v>202</v>
      </c>
      <c r="B271" s="96">
        <v>8.0</v>
      </c>
    </row>
    <row r="272" ht="12.75" customHeight="1">
      <c r="A272" s="95" t="s">
        <v>202</v>
      </c>
      <c r="B272" s="96">
        <v>10.0</v>
      </c>
    </row>
    <row r="273" ht="12.75" customHeight="1">
      <c r="A273" s="95" t="s">
        <v>202</v>
      </c>
      <c r="B273" s="96">
        <v>12.0</v>
      </c>
    </row>
    <row r="274" ht="12.75" customHeight="1">
      <c r="A274" s="95" t="s">
        <v>202</v>
      </c>
      <c r="B274" s="96" t="s">
        <v>803</v>
      </c>
    </row>
    <row r="275" ht="12.75" customHeight="1">
      <c r="A275" s="95" t="s">
        <v>202</v>
      </c>
      <c r="B275" s="96" t="s">
        <v>804</v>
      </c>
    </row>
    <row r="276" ht="12.75" customHeight="1">
      <c r="A276" s="95" t="s">
        <v>202</v>
      </c>
      <c r="B276" s="96" t="s">
        <v>76</v>
      </c>
    </row>
    <row r="277" ht="12.75" customHeight="1">
      <c r="A277" s="95" t="s">
        <v>202</v>
      </c>
      <c r="B277" s="96" t="s">
        <v>80</v>
      </c>
    </row>
    <row r="278" ht="12.75" customHeight="1">
      <c r="A278" s="95" t="s">
        <v>202</v>
      </c>
      <c r="B278" s="96" t="s">
        <v>83</v>
      </c>
    </row>
    <row r="279" ht="12.75" customHeight="1">
      <c r="A279" s="95" t="s">
        <v>202</v>
      </c>
      <c r="B279" s="96" t="s">
        <v>85</v>
      </c>
    </row>
    <row r="280" ht="12.75" customHeight="1">
      <c r="A280" s="95" t="s">
        <v>202</v>
      </c>
      <c r="B280" s="96">
        <v>14.0</v>
      </c>
    </row>
    <row r="281" ht="12.75" customHeight="1">
      <c r="A281" s="95" t="s">
        <v>202</v>
      </c>
      <c r="B281" s="96" t="s">
        <v>835</v>
      </c>
    </row>
    <row r="282" ht="12.75" customHeight="1">
      <c r="A282" s="95" t="s">
        <v>202</v>
      </c>
      <c r="B282" s="96">
        <v>16.0</v>
      </c>
    </row>
    <row r="283" ht="12.75" customHeight="1">
      <c r="A283" s="95" t="s">
        <v>202</v>
      </c>
      <c r="B283" s="96" t="s">
        <v>836</v>
      </c>
    </row>
    <row r="284" ht="12.75" customHeight="1">
      <c r="A284" s="95" t="s">
        <v>202</v>
      </c>
      <c r="B284" s="96">
        <v>18.0</v>
      </c>
    </row>
    <row r="285" ht="12.75" customHeight="1">
      <c r="A285" s="95" t="s">
        <v>202</v>
      </c>
      <c r="B285" s="96" t="s">
        <v>837</v>
      </c>
    </row>
    <row r="286" ht="12.75" customHeight="1">
      <c r="A286" s="95" t="s">
        <v>202</v>
      </c>
      <c r="B286" s="96">
        <v>20.0</v>
      </c>
    </row>
    <row r="287" ht="12.75" customHeight="1">
      <c r="A287" s="95" t="s">
        <v>202</v>
      </c>
      <c r="B287" s="96" t="s">
        <v>838</v>
      </c>
    </row>
    <row r="288" ht="12.75" customHeight="1">
      <c r="A288" s="95" t="s">
        <v>202</v>
      </c>
      <c r="B288" s="96">
        <v>22.0</v>
      </c>
    </row>
    <row r="289" ht="12.75" customHeight="1">
      <c r="A289" s="95" t="s">
        <v>202</v>
      </c>
      <c r="B289" s="96" t="s">
        <v>839</v>
      </c>
    </row>
    <row r="290" ht="12.75" customHeight="1">
      <c r="A290" s="95" t="s">
        <v>202</v>
      </c>
      <c r="B290" s="96">
        <v>24.0</v>
      </c>
    </row>
    <row r="291" ht="12.75" customHeight="1">
      <c r="A291" s="95" t="s">
        <v>202</v>
      </c>
      <c r="B291" s="96" t="s">
        <v>840</v>
      </c>
    </row>
    <row r="292" ht="12.75" customHeight="1">
      <c r="A292" s="95" t="s">
        <v>202</v>
      </c>
      <c r="B292" s="96">
        <v>26.0</v>
      </c>
    </row>
    <row r="293" ht="12.75" customHeight="1">
      <c r="A293" s="95" t="s">
        <v>202</v>
      </c>
      <c r="B293" s="96" t="s">
        <v>841</v>
      </c>
    </row>
    <row r="294" ht="12.75" customHeight="1">
      <c r="A294" s="95" t="s">
        <v>202</v>
      </c>
      <c r="B294" s="96">
        <v>28.0</v>
      </c>
    </row>
    <row r="295" ht="12.75" customHeight="1">
      <c r="A295" s="95" t="s">
        <v>202</v>
      </c>
      <c r="B295" s="96" t="s">
        <v>842</v>
      </c>
    </row>
    <row r="296" ht="12.75" customHeight="1">
      <c r="A296" s="95" t="s">
        <v>202</v>
      </c>
      <c r="B296" s="96">
        <v>30.0</v>
      </c>
    </row>
    <row r="297" ht="12.75" customHeight="1">
      <c r="A297" s="95" t="s">
        <v>202</v>
      </c>
      <c r="B297" s="96" t="s">
        <v>843</v>
      </c>
    </row>
    <row r="298" ht="12.75" customHeight="1">
      <c r="A298" s="95" t="s">
        <v>202</v>
      </c>
      <c r="B298" s="96">
        <v>32.0</v>
      </c>
    </row>
    <row r="299" ht="12.75" customHeight="1">
      <c r="A299" s="95" t="s">
        <v>202</v>
      </c>
      <c r="B299" s="96" t="s">
        <v>844</v>
      </c>
    </row>
    <row r="300" ht="12.75" customHeight="1">
      <c r="A300" s="95" t="s">
        <v>202</v>
      </c>
      <c r="B300" s="96" t="s">
        <v>845</v>
      </c>
    </row>
    <row r="301" ht="12.75" customHeight="1">
      <c r="A301" s="95" t="s">
        <v>202</v>
      </c>
      <c r="B301" s="96" t="s">
        <v>846</v>
      </c>
    </row>
    <row r="302" ht="12.75" customHeight="1">
      <c r="A302" s="95" t="s">
        <v>202</v>
      </c>
      <c r="B302" s="96" t="s">
        <v>847</v>
      </c>
    </row>
    <row r="303" ht="12.75" customHeight="1">
      <c r="A303" s="95" t="s">
        <v>202</v>
      </c>
      <c r="B303" s="96" t="s">
        <v>848</v>
      </c>
    </row>
    <row r="304" ht="12.75" customHeight="1">
      <c r="A304" s="95" t="s">
        <v>202</v>
      </c>
      <c r="B304" s="96" t="s">
        <v>849</v>
      </c>
    </row>
    <row r="305" ht="12.75" customHeight="1">
      <c r="A305" s="95" t="s">
        <v>202</v>
      </c>
      <c r="B305" s="96" t="s">
        <v>850</v>
      </c>
    </row>
    <row r="306" ht="12.75" customHeight="1">
      <c r="A306" s="95" t="s">
        <v>202</v>
      </c>
      <c r="B306" s="96" t="s">
        <v>851</v>
      </c>
    </row>
    <row r="307" ht="12.75" customHeight="1">
      <c r="A307" s="95" t="s">
        <v>202</v>
      </c>
      <c r="B307" s="96" t="s">
        <v>852</v>
      </c>
    </row>
    <row r="308" ht="12.75" customHeight="1">
      <c r="A308" s="95" t="s">
        <v>202</v>
      </c>
      <c r="B308" s="96" t="s">
        <v>908</v>
      </c>
    </row>
    <row r="309" ht="12.75" customHeight="1">
      <c r="A309" s="95" t="s">
        <v>202</v>
      </c>
      <c r="B309" s="96" t="s">
        <v>909</v>
      </c>
    </row>
    <row r="310" ht="12.75" customHeight="1">
      <c r="A310" s="95" t="s">
        <v>202</v>
      </c>
      <c r="B310" s="96" t="s">
        <v>910</v>
      </c>
    </row>
    <row r="311" ht="12.75" customHeight="1">
      <c r="A311" s="95" t="s">
        <v>202</v>
      </c>
      <c r="B311" s="96" t="s">
        <v>911</v>
      </c>
    </row>
    <row r="312" ht="12.75" customHeight="1">
      <c r="A312" s="95" t="s">
        <v>202</v>
      </c>
      <c r="B312" s="96" t="s">
        <v>912</v>
      </c>
    </row>
    <row r="313" ht="12.75" customHeight="1">
      <c r="A313" s="95" t="s">
        <v>202</v>
      </c>
      <c r="B313" s="96" t="s">
        <v>913</v>
      </c>
    </row>
    <row r="314" ht="12.75" customHeight="1">
      <c r="A314" s="95" t="s">
        <v>202</v>
      </c>
      <c r="B314" s="96" t="s">
        <v>914</v>
      </c>
    </row>
    <row r="315" ht="12.75" customHeight="1">
      <c r="A315" s="95" t="s">
        <v>202</v>
      </c>
      <c r="B315" s="96" t="s">
        <v>915</v>
      </c>
    </row>
    <row r="316" ht="12.75" customHeight="1">
      <c r="A316" s="95" t="s">
        <v>202</v>
      </c>
      <c r="B316" s="96" t="s">
        <v>916</v>
      </c>
    </row>
    <row r="317" ht="12.75" customHeight="1">
      <c r="A317" s="95" t="s">
        <v>202</v>
      </c>
      <c r="B317" s="96" t="s">
        <v>917</v>
      </c>
    </row>
    <row r="318" ht="12.75" customHeight="1">
      <c r="A318" s="95" t="s">
        <v>202</v>
      </c>
      <c r="B318" s="96" t="s">
        <v>918</v>
      </c>
    </row>
    <row r="319" ht="12.75" customHeight="1">
      <c r="A319" s="95" t="s">
        <v>202</v>
      </c>
      <c r="B319" s="96" t="s">
        <v>919</v>
      </c>
    </row>
    <row r="320" ht="12.75" customHeight="1">
      <c r="A320" s="95" t="s">
        <v>202</v>
      </c>
      <c r="B320" s="96" t="s">
        <v>920</v>
      </c>
    </row>
    <row r="321" ht="12.75" customHeight="1">
      <c r="A321" s="95" t="s">
        <v>202</v>
      </c>
      <c r="B321" s="96" t="s">
        <v>921</v>
      </c>
    </row>
    <row r="322" ht="12.75" customHeight="1">
      <c r="A322" s="95" t="s">
        <v>202</v>
      </c>
      <c r="B322" s="96" t="s">
        <v>922</v>
      </c>
    </row>
    <row r="323" ht="12.75" customHeight="1">
      <c r="A323" s="95" t="s">
        <v>202</v>
      </c>
      <c r="B323" s="96" t="s">
        <v>923</v>
      </c>
    </row>
    <row r="324" ht="12.75" customHeight="1">
      <c r="A324" s="95" t="s">
        <v>202</v>
      </c>
      <c r="B324" s="96" t="s">
        <v>924</v>
      </c>
    </row>
    <row r="325" ht="12.75" customHeight="1">
      <c r="A325" s="95" t="s">
        <v>202</v>
      </c>
      <c r="B325" s="96" t="s">
        <v>925</v>
      </c>
    </row>
    <row r="326" ht="12.75" customHeight="1">
      <c r="A326" s="95" t="s">
        <v>202</v>
      </c>
      <c r="B326" s="96" t="s">
        <v>926</v>
      </c>
    </row>
    <row r="327" ht="12.75" customHeight="1">
      <c r="A327" s="95" t="s">
        <v>202</v>
      </c>
      <c r="B327" s="96" t="s">
        <v>984</v>
      </c>
    </row>
    <row r="328" ht="12.75" customHeight="1">
      <c r="A328" s="95" t="s">
        <v>202</v>
      </c>
      <c r="B328" s="96" t="s">
        <v>985</v>
      </c>
    </row>
    <row r="329" ht="12.75" customHeight="1">
      <c r="A329" s="95" t="s">
        <v>202</v>
      </c>
      <c r="B329" s="96" t="s">
        <v>986</v>
      </c>
    </row>
    <row r="330" ht="12.75" customHeight="1">
      <c r="A330" s="95" t="s">
        <v>202</v>
      </c>
      <c r="B330" s="96" t="s">
        <v>987</v>
      </c>
    </row>
    <row r="331" ht="12.75" customHeight="1">
      <c r="A331" s="95" t="s">
        <v>202</v>
      </c>
      <c r="B331" s="96" t="s">
        <v>988</v>
      </c>
    </row>
    <row r="332" ht="12.75" customHeight="1">
      <c r="A332" s="95" t="s">
        <v>202</v>
      </c>
      <c r="B332" s="96" t="s">
        <v>989</v>
      </c>
    </row>
    <row r="333" ht="12.75" customHeight="1">
      <c r="A333" s="95" t="s">
        <v>202</v>
      </c>
      <c r="B333" s="96" t="s">
        <v>990</v>
      </c>
    </row>
    <row r="334" ht="12.75" customHeight="1">
      <c r="A334" s="95" t="s">
        <v>202</v>
      </c>
      <c r="B334" s="96" t="s">
        <v>991</v>
      </c>
    </row>
    <row r="335" ht="12.75" customHeight="1">
      <c r="A335" s="95" t="s">
        <v>202</v>
      </c>
      <c r="B335" s="96" t="s">
        <v>992</v>
      </c>
    </row>
    <row r="336" ht="12.75" customHeight="1">
      <c r="A336" s="95" t="s">
        <v>202</v>
      </c>
      <c r="B336" s="96" t="s">
        <v>993</v>
      </c>
    </row>
    <row r="337" ht="12.75" customHeight="1">
      <c r="A337" s="95" t="s">
        <v>202</v>
      </c>
      <c r="B337" s="96" t="s">
        <v>994</v>
      </c>
    </row>
    <row r="338" ht="12.75" customHeight="1">
      <c r="A338" s="95" t="s">
        <v>202</v>
      </c>
      <c r="B338" s="96" t="s">
        <v>995</v>
      </c>
    </row>
    <row r="339" ht="12.75" customHeight="1">
      <c r="A339" s="95" t="s">
        <v>202</v>
      </c>
      <c r="B339" s="96" t="s">
        <v>996</v>
      </c>
    </row>
    <row r="340" ht="12.75" customHeight="1">
      <c r="A340" s="95" t="s">
        <v>202</v>
      </c>
      <c r="B340" s="96" t="s">
        <v>997</v>
      </c>
    </row>
    <row r="341" ht="12.75" customHeight="1">
      <c r="A341" s="95" t="s">
        <v>202</v>
      </c>
      <c r="B341" s="96" t="s">
        <v>998</v>
      </c>
    </row>
    <row r="342" ht="12.75" customHeight="1">
      <c r="A342" s="95" t="s">
        <v>202</v>
      </c>
      <c r="B342" s="96" t="s">
        <v>999</v>
      </c>
    </row>
    <row r="343" ht="12.75" customHeight="1">
      <c r="A343" s="95" t="s">
        <v>202</v>
      </c>
      <c r="B343" s="96" t="s">
        <v>1000</v>
      </c>
    </row>
    <row r="344" ht="12.75" customHeight="1">
      <c r="A344" s="95" t="s">
        <v>202</v>
      </c>
      <c r="B344" s="96" t="s">
        <v>1001</v>
      </c>
    </row>
    <row r="345" ht="12.75" customHeight="1">
      <c r="A345" s="95" t="s">
        <v>202</v>
      </c>
      <c r="B345" s="96" t="s">
        <v>1054</v>
      </c>
    </row>
    <row r="346" ht="12.75" customHeight="1">
      <c r="A346" s="95" t="s">
        <v>202</v>
      </c>
      <c r="B346" s="96" t="s">
        <v>1055</v>
      </c>
    </row>
    <row r="347" ht="12.75" customHeight="1">
      <c r="A347" s="95" t="s">
        <v>202</v>
      </c>
      <c r="B347" s="96" t="s">
        <v>1056</v>
      </c>
    </row>
    <row r="348" ht="12.75" customHeight="1">
      <c r="A348" s="95" t="s">
        <v>202</v>
      </c>
      <c r="B348" s="96" t="s">
        <v>1057</v>
      </c>
    </row>
    <row r="349" ht="12.75" customHeight="1">
      <c r="A349" s="95" t="s">
        <v>202</v>
      </c>
      <c r="B349" s="96" t="s">
        <v>1058</v>
      </c>
    </row>
    <row r="350" ht="12.75" customHeight="1">
      <c r="A350" s="95" t="s">
        <v>202</v>
      </c>
      <c r="B350" s="96" t="s">
        <v>1059</v>
      </c>
    </row>
    <row r="351" ht="12.75" customHeight="1">
      <c r="A351" s="95" t="s">
        <v>202</v>
      </c>
      <c r="B351" s="96" t="s">
        <v>1060</v>
      </c>
    </row>
    <row r="352" ht="12.75" customHeight="1">
      <c r="A352" s="95" t="s">
        <v>202</v>
      </c>
      <c r="B352" s="96" t="s">
        <v>1061</v>
      </c>
    </row>
    <row r="353" ht="12.75" customHeight="1">
      <c r="A353" s="95" t="s">
        <v>202</v>
      </c>
      <c r="B353" s="96" t="s">
        <v>1062</v>
      </c>
    </row>
    <row r="354" ht="12.75" customHeight="1">
      <c r="A354" s="95" t="s">
        <v>202</v>
      </c>
      <c r="B354" s="96" t="s">
        <v>1063</v>
      </c>
    </row>
    <row r="355" ht="12.75" customHeight="1">
      <c r="A355" s="95" t="s">
        <v>202</v>
      </c>
      <c r="B355" s="96" t="s">
        <v>1064</v>
      </c>
    </row>
    <row r="356" ht="12.75" customHeight="1">
      <c r="A356" s="95" t="s">
        <v>202</v>
      </c>
      <c r="B356" s="96" t="s">
        <v>1065</v>
      </c>
    </row>
    <row r="357" ht="12.75" customHeight="1">
      <c r="A357" s="95" t="s">
        <v>202</v>
      </c>
      <c r="B357" s="96" t="s">
        <v>1066</v>
      </c>
    </row>
    <row r="358" ht="12.75" customHeight="1">
      <c r="A358" s="95" t="s">
        <v>202</v>
      </c>
      <c r="B358" s="96" t="s">
        <v>1067</v>
      </c>
    </row>
    <row r="359" ht="12.75" customHeight="1">
      <c r="A359" s="95" t="s">
        <v>202</v>
      </c>
      <c r="B359" s="96" t="s">
        <v>1068</v>
      </c>
    </row>
    <row r="360" ht="12.75" customHeight="1">
      <c r="A360" s="95" t="s">
        <v>202</v>
      </c>
      <c r="B360" s="96" t="s">
        <v>1069</v>
      </c>
    </row>
    <row r="361" ht="12.75" customHeight="1">
      <c r="A361" s="95" t="s">
        <v>202</v>
      </c>
      <c r="B361" s="96" t="s">
        <v>1070</v>
      </c>
    </row>
    <row r="362" ht="12.75" customHeight="1">
      <c r="A362" s="95" t="s">
        <v>202</v>
      </c>
      <c r="B362" s="96" t="s">
        <v>1071</v>
      </c>
    </row>
    <row r="363" ht="12.75" customHeight="1">
      <c r="A363" s="95" t="s">
        <v>202</v>
      </c>
      <c r="B363" s="96" t="s">
        <v>1072</v>
      </c>
    </row>
    <row r="364" ht="12.75" customHeight="1">
      <c r="A364" s="95" t="s">
        <v>202</v>
      </c>
      <c r="B364" s="96" t="s">
        <v>1073</v>
      </c>
    </row>
    <row r="365" ht="12.75" customHeight="1">
      <c r="A365" s="95" t="s">
        <v>202</v>
      </c>
      <c r="B365" s="96" t="s">
        <v>1074</v>
      </c>
    </row>
    <row r="366" ht="12.75" customHeight="1">
      <c r="A366" s="95" t="s">
        <v>202</v>
      </c>
      <c r="B366" s="96" t="s">
        <v>1075</v>
      </c>
    </row>
    <row r="367" ht="12.75" customHeight="1">
      <c r="A367" s="95" t="s">
        <v>202</v>
      </c>
      <c r="B367" s="96" t="s">
        <v>1076</v>
      </c>
    </row>
    <row r="368" ht="12.75" customHeight="1">
      <c r="A368" s="95" t="s">
        <v>202</v>
      </c>
      <c r="B368" s="96" t="s">
        <v>1077</v>
      </c>
    </row>
    <row r="369" ht="12.75" customHeight="1">
      <c r="A369" s="95" t="s">
        <v>202</v>
      </c>
      <c r="B369" s="96" t="s">
        <v>1078</v>
      </c>
    </row>
    <row r="370" ht="12.75" customHeight="1">
      <c r="A370" s="95" t="s">
        <v>202</v>
      </c>
      <c r="B370" s="96" t="s">
        <v>1079</v>
      </c>
    </row>
    <row r="371" ht="12.75" customHeight="1">
      <c r="A371" s="95" t="s">
        <v>202</v>
      </c>
      <c r="B371" s="96" t="s">
        <v>1080</v>
      </c>
    </row>
    <row r="372" ht="12.75" customHeight="1">
      <c r="A372" s="95" t="s">
        <v>202</v>
      </c>
      <c r="B372" s="96" t="s">
        <v>1081</v>
      </c>
    </row>
    <row r="373" ht="12.75" customHeight="1">
      <c r="A373" s="95" t="s">
        <v>202</v>
      </c>
      <c r="B373" s="96" t="s">
        <v>1082</v>
      </c>
    </row>
    <row r="374" ht="12.75" customHeight="1">
      <c r="A374" s="95" t="s">
        <v>202</v>
      </c>
      <c r="B374" s="96" t="s">
        <v>1083</v>
      </c>
    </row>
    <row r="375" ht="12.75" customHeight="1">
      <c r="A375" s="95" t="s">
        <v>202</v>
      </c>
      <c r="B375" s="96" t="s">
        <v>1084</v>
      </c>
    </row>
    <row r="376" ht="12.75" customHeight="1">
      <c r="A376" s="95" t="s">
        <v>202</v>
      </c>
      <c r="B376" s="96" t="s">
        <v>1085</v>
      </c>
    </row>
    <row r="377" ht="12.75" customHeight="1">
      <c r="A377" s="95" t="s">
        <v>202</v>
      </c>
      <c r="B377" s="96" t="s">
        <v>1086</v>
      </c>
    </row>
    <row r="378" ht="12.75" customHeight="1">
      <c r="A378" s="95" t="s">
        <v>202</v>
      </c>
      <c r="B378" s="96" t="s">
        <v>1087</v>
      </c>
    </row>
    <row r="379" ht="12.75" customHeight="1">
      <c r="A379" s="95" t="s">
        <v>202</v>
      </c>
      <c r="B379" s="96" t="s">
        <v>1088</v>
      </c>
    </row>
    <row r="380" ht="12.75" customHeight="1">
      <c r="A380" s="95" t="s">
        <v>202</v>
      </c>
      <c r="B380" s="96" t="s">
        <v>1089</v>
      </c>
    </row>
    <row r="381" ht="12.75" customHeight="1">
      <c r="A381" s="95" t="s">
        <v>202</v>
      </c>
      <c r="B381" s="96" t="s">
        <v>1090</v>
      </c>
    </row>
    <row r="382" ht="12.75" customHeight="1">
      <c r="A382" s="95" t="s">
        <v>202</v>
      </c>
      <c r="B382" s="96" t="s">
        <v>1091</v>
      </c>
    </row>
    <row r="383" ht="12.75" customHeight="1">
      <c r="A383" s="95" t="s">
        <v>202</v>
      </c>
      <c r="B383" s="96" t="s">
        <v>1092</v>
      </c>
    </row>
    <row r="384" ht="12.75" customHeight="1">
      <c r="A384" s="95" t="s">
        <v>202</v>
      </c>
      <c r="B384" s="96" t="s">
        <v>1093</v>
      </c>
    </row>
    <row r="385" ht="12.75" customHeight="1">
      <c r="A385" s="95" t="s">
        <v>202</v>
      </c>
      <c r="B385" s="96" t="s">
        <v>1094</v>
      </c>
    </row>
    <row r="386" ht="12.75" customHeight="1">
      <c r="A386" s="95" t="s">
        <v>202</v>
      </c>
      <c r="B386" s="96" t="s">
        <v>1095</v>
      </c>
    </row>
    <row r="387" ht="12.75" customHeight="1">
      <c r="A387" s="95" t="s">
        <v>195</v>
      </c>
      <c r="B387" s="96">
        <v>0.0</v>
      </c>
    </row>
    <row r="388" ht="12.75" customHeight="1">
      <c r="A388" s="95" t="s">
        <v>195</v>
      </c>
      <c r="B388" s="96">
        <v>0.0</v>
      </c>
    </row>
    <row r="389" ht="12.75" customHeight="1">
      <c r="A389" s="95" t="s">
        <v>195</v>
      </c>
      <c r="B389" s="96">
        <v>2.0</v>
      </c>
    </row>
    <row r="390" ht="12.75" customHeight="1">
      <c r="A390" s="95" t="s">
        <v>195</v>
      </c>
      <c r="B390" s="96">
        <v>4.0</v>
      </c>
    </row>
    <row r="391" ht="12.75" customHeight="1">
      <c r="A391" s="95" t="s">
        <v>195</v>
      </c>
      <c r="B391" s="96">
        <v>6.0</v>
      </c>
    </row>
    <row r="392" ht="12.75" customHeight="1">
      <c r="A392" s="95" t="s">
        <v>195</v>
      </c>
      <c r="B392" s="96">
        <v>8.0</v>
      </c>
    </row>
    <row r="393" ht="12.75" customHeight="1">
      <c r="A393" s="95" t="s">
        <v>195</v>
      </c>
      <c r="B393" s="96">
        <v>10.0</v>
      </c>
    </row>
    <row r="394" ht="12.75" customHeight="1">
      <c r="A394" s="95" t="s">
        <v>195</v>
      </c>
      <c r="B394" s="96">
        <v>12.0</v>
      </c>
    </row>
    <row r="395" ht="12.75" customHeight="1">
      <c r="A395" s="95" t="s">
        <v>195</v>
      </c>
      <c r="B395" s="96" t="s">
        <v>803</v>
      </c>
    </row>
    <row r="396" ht="12.75" customHeight="1">
      <c r="A396" s="95" t="s">
        <v>195</v>
      </c>
      <c r="B396" s="96" t="s">
        <v>804</v>
      </c>
    </row>
    <row r="397" ht="12.75" customHeight="1">
      <c r="A397" s="95" t="s">
        <v>195</v>
      </c>
      <c r="B397" s="96" t="s">
        <v>76</v>
      </c>
    </row>
    <row r="398" ht="12.75" customHeight="1">
      <c r="A398" s="95" t="s">
        <v>195</v>
      </c>
      <c r="B398" s="96" t="s">
        <v>80</v>
      </c>
    </row>
    <row r="399" ht="12.75" customHeight="1">
      <c r="A399" s="95" t="s">
        <v>195</v>
      </c>
      <c r="B399" s="96" t="s">
        <v>83</v>
      </c>
    </row>
    <row r="400" ht="12.75" customHeight="1">
      <c r="A400" s="95" t="s">
        <v>195</v>
      </c>
      <c r="B400" s="96" t="s">
        <v>85</v>
      </c>
    </row>
    <row r="401" ht="12.75" customHeight="1">
      <c r="A401" s="95" t="s">
        <v>195</v>
      </c>
      <c r="B401" s="96">
        <v>14.0</v>
      </c>
    </row>
    <row r="402" ht="12.75" customHeight="1">
      <c r="A402" s="95" t="s">
        <v>195</v>
      </c>
      <c r="B402" s="96" t="s">
        <v>835</v>
      </c>
    </row>
    <row r="403" ht="12.75" customHeight="1">
      <c r="A403" s="95" t="s">
        <v>195</v>
      </c>
      <c r="B403" s="96">
        <v>16.0</v>
      </c>
    </row>
    <row r="404" ht="12.75" customHeight="1">
      <c r="A404" s="95" t="s">
        <v>195</v>
      </c>
      <c r="B404" s="96" t="s">
        <v>836</v>
      </c>
    </row>
    <row r="405" ht="12.75" customHeight="1">
      <c r="A405" s="95" t="s">
        <v>195</v>
      </c>
      <c r="B405" s="96">
        <v>18.0</v>
      </c>
    </row>
    <row r="406" ht="12.75" customHeight="1">
      <c r="A406" s="95" t="s">
        <v>195</v>
      </c>
      <c r="B406" s="96" t="s">
        <v>837</v>
      </c>
    </row>
    <row r="407" ht="12.75" customHeight="1">
      <c r="A407" s="95" t="s">
        <v>195</v>
      </c>
      <c r="B407" s="96">
        <v>20.0</v>
      </c>
    </row>
    <row r="408" ht="12.75" customHeight="1">
      <c r="A408" s="95" t="s">
        <v>195</v>
      </c>
      <c r="B408" s="96" t="s">
        <v>838</v>
      </c>
    </row>
    <row r="409" ht="12.75" customHeight="1">
      <c r="A409" s="95" t="s">
        <v>195</v>
      </c>
      <c r="B409" s="96">
        <v>22.0</v>
      </c>
    </row>
    <row r="410" ht="12.75" customHeight="1">
      <c r="A410" s="95" t="s">
        <v>195</v>
      </c>
      <c r="B410" s="96" t="s">
        <v>839</v>
      </c>
    </row>
    <row r="411" ht="12.75" customHeight="1">
      <c r="A411" s="95" t="s">
        <v>195</v>
      </c>
      <c r="B411" s="96">
        <v>24.0</v>
      </c>
    </row>
    <row r="412" ht="12.75" customHeight="1">
      <c r="A412" s="95" t="s">
        <v>195</v>
      </c>
      <c r="B412" s="96" t="s">
        <v>840</v>
      </c>
    </row>
    <row r="413" ht="12.75" customHeight="1">
      <c r="A413" s="95" t="s">
        <v>195</v>
      </c>
      <c r="B413" s="96">
        <v>26.0</v>
      </c>
    </row>
    <row r="414" ht="12.75" customHeight="1">
      <c r="A414" s="95" t="s">
        <v>195</v>
      </c>
      <c r="B414" s="96" t="s">
        <v>841</v>
      </c>
    </row>
    <row r="415" ht="12.75" customHeight="1">
      <c r="A415" s="95" t="s">
        <v>195</v>
      </c>
      <c r="B415" s="96">
        <v>28.0</v>
      </c>
    </row>
    <row r="416" ht="12.75" customHeight="1">
      <c r="A416" s="95" t="s">
        <v>195</v>
      </c>
      <c r="B416" s="96" t="s">
        <v>842</v>
      </c>
    </row>
    <row r="417" ht="12.75" customHeight="1">
      <c r="A417" s="95" t="s">
        <v>195</v>
      </c>
      <c r="B417" s="96">
        <v>30.0</v>
      </c>
    </row>
    <row r="418" ht="12.75" customHeight="1">
      <c r="A418" s="95" t="s">
        <v>195</v>
      </c>
      <c r="B418" s="96" t="s">
        <v>843</v>
      </c>
    </row>
    <row r="419" ht="12.75" customHeight="1">
      <c r="A419" s="95" t="s">
        <v>195</v>
      </c>
      <c r="B419" s="96">
        <v>32.0</v>
      </c>
    </row>
    <row r="420" ht="12.75" customHeight="1">
      <c r="A420" s="95" t="s">
        <v>195</v>
      </c>
      <c r="B420" s="96" t="s">
        <v>844</v>
      </c>
    </row>
    <row r="421" ht="12.75" customHeight="1">
      <c r="A421" s="95" t="s">
        <v>195</v>
      </c>
      <c r="B421" s="96" t="s">
        <v>845</v>
      </c>
    </row>
    <row r="422" ht="12.75" customHeight="1">
      <c r="A422" s="95" t="s">
        <v>195</v>
      </c>
      <c r="B422" s="96" t="s">
        <v>846</v>
      </c>
    </row>
    <row r="423" ht="12.75" customHeight="1">
      <c r="A423" s="95" t="s">
        <v>195</v>
      </c>
      <c r="B423" s="96" t="s">
        <v>847</v>
      </c>
    </row>
    <row r="424" ht="12.75" customHeight="1">
      <c r="A424" s="95" t="s">
        <v>195</v>
      </c>
      <c r="B424" s="96" t="s">
        <v>848</v>
      </c>
    </row>
    <row r="425" ht="12.75" customHeight="1">
      <c r="A425" s="95" t="s">
        <v>195</v>
      </c>
      <c r="B425" s="96" t="s">
        <v>849</v>
      </c>
    </row>
    <row r="426" ht="12.75" customHeight="1">
      <c r="A426" s="95" t="s">
        <v>195</v>
      </c>
      <c r="B426" s="96" t="s">
        <v>850</v>
      </c>
    </row>
    <row r="427" ht="12.75" customHeight="1">
      <c r="A427" s="95" t="s">
        <v>195</v>
      </c>
      <c r="B427" s="96" t="s">
        <v>851</v>
      </c>
    </row>
    <row r="428" ht="12.75" customHeight="1">
      <c r="A428" s="95" t="s">
        <v>195</v>
      </c>
      <c r="B428" s="96" t="s">
        <v>852</v>
      </c>
    </row>
    <row r="429" ht="12.75" customHeight="1">
      <c r="A429" s="95" t="s">
        <v>195</v>
      </c>
      <c r="B429" s="96" t="s">
        <v>908</v>
      </c>
    </row>
    <row r="430" ht="12.75" customHeight="1">
      <c r="A430" s="95" t="s">
        <v>195</v>
      </c>
      <c r="B430" s="96" t="s">
        <v>909</v>
      </c>
    </row>
    <row r="431" ht="12.75" customHeight="1">
      <c r="A431" s="95" t="s">
        <v>195</v>
      </c>
      <c r="B431" s="96" t="s">
        <v>910</v>
      </c>
    </row>
    <row r="432" ht="12.75" customHeight="1">
      <c r="A432" s="95" t="s">
        <v>195</v>
      </c>
      <c r="B432" s="96" t="s">
        <v>911</v>
      </c>
    </row>
    <row r="433" ht="12.75" customHeight="1">
      <c r="A433" s="95" t="s">
        <v>195</v>
      </c>
      <c r="B433" s="96" t="s">
        <v>912</v>
      </c>
    </row>
    <row r="434" ht="12.75" customHeight="1">
      <c r="A434" s="95" t="s">
        <v>195</v>
      </c>
      <c r="B434" s="96" t="s">
        <v>913</v>
      </c>
    </row>
    <row r="435" ht="12.75" customHeight="1">
      <c r="A435" s="95" t="s">
        <v>195</v>
      </c>
      <c r="B435" s="96" t="s">
        <v>914</v>
      </c>
    </row>
    <row r="436" ht="12.75" customHeight="1">
      <c r="A436" s="95" t="s">
        <v>195</v>
      </c>
      <c r="B436" s="96" t="s">
        <v>915</v>
      </c>
    </row>
    <row r="437" ht="12.75" customHeight="1">
      <c r="A437" s="95" t="s">
        <v>195</v>
      </c>
      <c r="B437" s="96" t="s">
        <v>916</v>
      </c>
    </row>
    <row r="438" ht="12.75" customHeight="1">
      <c r="A438" s="95" t="s">
        <v>195</v>
      </c>
      <c r="B438" s="96" t="s">
        <v>917</v>
      </c>
    </row>
    <row r="439" ht="12.75" customHeight="1">
      <c r="A439" s="95" t="s">
        <v>195</v>
      </c>
      <c r="B439" s="96" t="s">
        <v>918</v>
      </c>
    </row>
    <row r="440" ht="12.75" customHeight="1">
      <c r="A440" s="95" t="s">
        <v>195</v>
      </c>
      <c r="B440" s="96" t="s">
        <v>919</v>
      </c>
    </row>
    <row r="441" ht="12.75" customHeight="1">
      <c r="A441" s="95" t="s">
        <v>195</v>
      </c>
      <c r="B441" s="96" t="s">
        <v>920</v>
      </c>
    </row>
    <row r="442" ht="12.75" customHeight="1">
      <c r="A442" s="95" t="s">
        <v>195</v>
      </c>
      <c r="B442" s="96" t="s">
        <v>921</v>
      </c>
    </row>
    <row r="443" ht="12.75" customHeight="1">
      <c r="A443" s="95" t="s">
        <v>195</v>
      </c>
      <c r="B443" s="96" t="s">
        <v>922</v>
      </c>
    </row>
    <row r="444" ht="12.75" customHeight="1">
      <c r="A444" s="95" t="s">
        <v>195</v>
      </c>
      <c r="B444" s="96" t="s">
        <v>923</v>
      </c>
    </row>
    <row r="445" ht="12.75" customHeight="1">
      <c r="A445" s="95" t="s">
        <v>195</v>
      </c>
      <c r="B445" s="96" t="s">
        <v>924</v>
      </c>
    </row>
    <row r="446" ht="12.75" customHeight="1">
      <c r="A446" s="95" t="s">
        <v>195</v>
      </c>
      <c r="B446" s="96" t="s">
        <v>925</v>
      </c>
    </row>
    <row r="447" ht="12.75" customHeight="1">
      <c r="A447" s="95" t="s">
        <v>195</v>
      </c>
      <c r="B447" s="96" t="s">
        <v>926</v>
      </c>
    </row>
    <row r="448" ht="12.75" customHeight="1">
      <c r="A448" s="95" t="s">
        <v>195</v>
      </c>
      <c r="B448" s="96" t="s">
        <v>984</v>
      </c>
    </row>
    <row r="449" ht="12.75" customHeight="1">
      <c r="A449" s="95" t="s">
        <v>195</v>
      </c>
      <c r="B449" s="96" t="s">
        <v>985</v>
      </c>
    </row>
    <row r="450" ht="12.75" customHeight="1">
      <c r="A450" s="95" t="s">
        <v>195</v>
      </c>
      <c r="B450" s="96" t="s">
        <v>986</v>
      </c>
    </row>
    <row r="451" ht="12.75" customHeight="1">
      <c r="A451" s="95" t="s">
        <v>195</v>
      </c>
      <c r="B451" s="96" t="s">
        <v>987</v>
      </c>
    </row>
    <row r="452" ht="12.75" customHeight="1">
      <c r="A452" s="95" t="s">
        <v>195</v>
      </c>
      <c r="B452" s="96" t="s">
        <v>988</v>
      </c>
    </row>
    <row r="453" ht="12.75" customHeight="1">
      <c r="A453" s="95" t="s">
        <v>195</v>
      </c>
      <c r="B453" s="96" t="s">
        <v>989</v>
      </c>
    </row>
    <row r="454" ht="12.75" customHeight="1">
      <c r="A454" s="95" t="s">
        <v>195</v>
      </c>
      <c r="B454" s="96" t="s">
        <v>990</v>
      </c>
    </row>
    <row r="455" ht="12.75" customHeight="1">
      <c r="A455" s="95" t="s">
        <v>195</v>
      </c>
      <c r="B455" s="96" t="s">
        <v>991</v>
      </c>
    </row>
    <row r="456" ht="12.75" customHeight="1">
      <c r="A456" s="95" t="s">
        <v>195</v>
      </c>
      <c r="B456" s="96" t="s">
        <v>992</v>
      </c>
    </row>
    <row r="457" ht="12.75" customHeight="1">
      <c r="A457" s="95" t="s">
        <v>195</v>
      </c>
      <c r="B457" s="96" t="s">
        <v>993</v>
      </c>
    </row>
    <row r="458" ht="12.75" customHeight="1">
      <c r="A458" s="95" t="s">
        <v>195</v>
      </c>
      <c r="B458" s="96" t="s">
        <v>994</v>
      </c>
    </row>
    <row r="459" ht="12.75" customHeight="1">
      <c r="A459" s="95" t="s">
        <v>195</v>
      </c>
      <c r="B459" s="96" t="s">
        <v>995</v>
      </c>
    </row>
    <row r="460" ht="12.75" customHeight="1">
      <c r="A460" s="95" t="s">
        <v>195</v>
      </c>
      <c r="B460" s="96" t="s">
        <v>996</v>
      </c>
    </row>
    <row r="461" ht="12.75" customHeight="1">
      <c r="A461" s="95" t="s">
        <v>195</v>
      </c>
      <c r="B461" s="96" t="s">
        <v>997</v>
      </c>
    </row>
    <row r="462" ht="12.75" customHeight="1">
      <c r="A462" s="95" t="s">
        <v>195</v>
      </c>
      <c r="B462" s="96" t="s">
        <v>998</v>
      </c>
    </row>
    <row r="463" ht="12.75" customHeight="1">
      <c r="A463" s="95" t="s">
        <v>195</v>
      </c>
      <c r="B463" s="96" t="s">
        <v>999</v>
      </c>
    </row>
    <row r="464" ht="12.75" customHeight="1">
      <c r="A464" s="95" t="s">
        <v>195</v>
      </c>
      <c r="B464" s="96" t="s">
        <v>1000</v>
      </c>
    </row>
    <row r="465" ht="12.75" customHeight="1">
      <c r="A465" s="95" t="s">
        <v>195</v>
      </c>
      <c r="B465" s="96" t="s">
        <v>1001</v>
      </c>
    </row>
    <row r="466" ht="12.75" customHeight="1">
      <c r="A466" s="95" t="s">
        <v>195</v>
      </c>
      <c r="B466" s="96" t="s">
        <v>1054</v>
      </c>
    </row>
    <row r="467" ht="12.75" customHeight="1">
      <c r="A467" s="95" t="s">
        <v>195</v>
      </c>
      <c r="B467" s="96" t="s">
        <v>1055</v>
      </c>
    </row>
    <row r="468" ht="12.75" customHeight="1">
      <c r="A468" s="95" t="s">
        <v>195</v>
      </c>
      <c r="B468" s="96" t="s">
        <v>1056</v>
      </c>
    </row>
    <row r="469" ht="12.75" customHeight="1">
      <c r="A469" s="95" t="s">
        <v>195</v>
      </c>
      <c r="B469" s="96" t="s">
        <v>1057</v>
      </c>
    </row>
    <row r="470" ht="12.75" customHeight="1">
      <c r="A470" s="95" t="s">
        <v>195</v>
      </c>
      <c r="B470" s="96" t="s">
        <v>1058</v>
      </c>
    </row>
    <row r="471" ht="12.75" customHeight="1">
      <c r="A471" s="95" t="s">
        <v>195</v>
      </c>
      <c r="B471" s="96" t="s">
        <v>1059</v>
      </c>
    </row>
    <row r="472" ht="12.75" customHeight="1">
      <c r="A472" s="95" t="s">
        <v>195</v>
      </c>
      <c r="B472" s="96" t="s">
        <v>1060</v>
      </c>
    </row>
    <row r="473" ht="12.75" customHeight="1">
      <c r="A473" s="95" t="s">
        <v>195</v>
      </c>
      <c r="B473" s="96" t="s">
        <v>1061</v>
      </c>
    </row>
    <row r="474" ht="12.75" customHeight="1">
      <c r="A474" s="95" t="s">
        <v>195</v>
      </c>
      <c r="B474" s="96" t="s">
        <v>1062</v>
      </c>
    </row>
    <row r="475" ht="12.75" customHeight="1">
      <c r="A475" s="95" t="s">
        <v>195</v>
      </c>
      <c r="B475" s="96" t="s">
        <v>1063</v>
      </c>
    </row>
    <row r="476" ht="12.75" customHeight="1">
      <c r="A476" s="95" t="s">
        <v>195</v>
      </c>
      <c r="B476" s="96" t="s">
        <v>1064</v>
      </c>
    </row>
    <row r="477" ht="12.75" customHeight="1">
      <c r="A477" s="95" t="s">
        <v>195</v>
      </c>
      <c r="B477" s="96" t="s">
        <v>1065</v>
      </c>
    </row>
    <row r="478" ht="12.75" customHeight="1">
      <c r="A478" s="95" t="s">
        <v>195</v>
      </c>
      <c r="B478" s="96" t="s">
        <v>1066</v>
      </c>
    </row>
    <row r="479" ht="12.75" customHeight="1">
      <c r="A479" s="95" t="s">
        <v>195</v>
      </c>
      <c r="B479" s="96" t="s">
        <v>1067</v>
      </c>
    </row>
    <row r="480" ht="12.75" customHeight="1">
      <c r="A480" s="95" t="s">
        <v>195</v>
      </c>
      <c r="B480" s="96" t="s">
        <v>1068</v>
      </c>
    </row>
    <row r="481" ht="12.75" customHeight="1">
      <c r="A481" s="95" t="s">
        <v>195</v>
      </c>
      <c r="B481" s="96" t="s">
        <v>1069</v>
      </c>
    </row>
    <row r="482" ht="12.75" customHeight="1">
      <c r="A482" s="95" t="s">
        <v>195</v>
      </c>
      <c r="B482" s="96" t="s">
        <v>1070</v>
      </c>
    </row>
    <row r="483" ht="12.75" customHeight="1">
      <c r="A483" s="95" t="s">
        <v>195</v>
      </c>
      <c r="B483" s="96" t="s">
        <v>1071</v>
      </c>
    </row>
    <row r="484" ht="12.75" customHeight="1">
      <c r="A484" s="95" t="s">
        <v>195</v>
      </c>
      <c r="B484" s="96" t="s">
        <v>1072</v>
      </c>
    </row>
    <row r="485" ht="12.75" customHeight="1">
      <c r="A485" s="95" t="s">
        <v>195</v>
      </c>
      <c r="B485" s="96" t="s">
        <v>1073</v>
      </c>
    </row>
    <row r="486" ht="12.75" customHeight="1">
      <c r="A486" s="95" t="s">
        <v>195</v>
      </c>
      <c r="B486" s="96" t="s">
        <v>1074</v>
      </c>
    </row>
    <row r="487" ht="12.75" customHeight="1">
      <c r="A487" s="95" t="s">
        <v>195</v>
      </c>
      <c r="B487" s="96" t="s">
        <v>1075</v>
      </c>
    </row>
    <row r="488" ht="12.75" customHeight="1">
      <c r="A488" s="95" t="s">
        <v>195</v>
      </c>
      <c r="B488" s="96" t="s">
        <v>1076</v>
      </c>
    </row>
    <row r="489" ht="12.75" customHeight="1">
      <c r="A489" s="95" t="s">
        <v>195</v>
      </c>
      <c r="B489" s="96" t="s">
        <v>1077</v>
      </c>
    </row>
    <row r="490" ht="12.75" customHeight="1">
      <c r="A490" s="95" t="s">
        <v>195</v>
      </c>
      <c r="B490" s="96" t="s">
        <v>1078</v>
      </c>
    </row>
    <row r="491" ht="12.75" customHeight="1">
      <c r="A491" s="95" t="s">
        <v>195</v>
      </c>
      <c r="B491" s="96" t="s">
        <v>1079</v>
      </c>
    </row>
    <row r="492" ht="12.75" customHeight="1">
      <c r="A492" s="95" t="s">
        <v>195</v>
      </c>
      <c r="B492" s="96" t="s">
        <v>1080</v>
      </c>
    </row>
    <row r="493" ht="12.75" customHeight="1">
      <c r="A493" s="95" t="s">
        <v>195</v>
      </c>
      <c r="B493" s="96" t="s">
        <v>1081</v>
      </c>
    </row>
    <row r="494" ht="12.75" customHeight="1">
      <c r="A494" s="95" t="s">
        <v>195</v>
      </c>
      <c r="B494" s="96" t="s">
        <v>1082</v>
      </c>
    </row>
    <row r="495" ht="12.75" customHeight="1">
      <c r="A495" s="95" t="s">
        <v>195</v>
      </c>
      <c r="B495" s="96" t="s">
        <v>1083</v>
      </c>
    </row>
    <row r="496" ht="12.75" customHeight="1">
      <c r="A496" s="95" t="s">
        <v>195</v>
      </c>
      <c r="B496" s="96" t="s">
        <v>1084</v>
      </c>
    </row>
    <row r="497" ht="12.75" customHeight="1">
      <c r="A497" s="95" t="s">
        <v>195</v>
      </c>
      <c r="B497" s="96" t="s">
        <v>1085</v>
      </c>
    </row>
    <row r="498" ht="12.75" customHeight="1">
      <c r="A498" s="95" t="s">
        <v>195</v>
      </c>
      <c r="B498" s="96" t="s">
        <v>1086</v>
      </c>
    </row>
    <row r="499" ht="12.75" customHeight="1">
      <c r="A499" s="95" t="s">
        <v>195</v>
      </c>
      <c r="B499" s="96" t="s">
        <v>1087</v>
      </c>
    </row>
    <row r="500" ht="12.75" customHeight="1">
      <c r="A500" s="95" t="s">
        <v>195</v>
      </c>
      <c r="B500" s="96" t="s">
        <v>1088</v>
      </c>
    </row>
    <row r="501" ht="12.75" customHeight="1">
      <c r="A501" s="95" t="s">
        <v>195</v>
      </c>
      <c r="B501" s="96" t="s">
        <v>1089</v>
      </c>
    </row>
    <row r="502" ht="12.75" customHeight="1">
      <c r="A502" s="95" t="s">
        <v>195</v>
      </c>
      <c r="B502" s="96" t="s">
        <v>1090</v>
      </c>
    </row>
    <row r="503" ht="12.75" customHeight="1">
      <c r="A503" s="95" t="s">
        <v>195</v>
      </c>
      <c r="B503" s="96" t="s">
        <v>1091</v>
      </c>
    </row>
    <row r="504" ht="12.75" customHeight="1">
      <c r="A504" s="95" t="s">
        <v>195</v>
      </c>
      <c r="B504" s="96" t="s">
        <v>1092</v>
      </c>
    </row>
    <row r="505" ht="12.75" customHeight="1">
      <c r="A505" s="95" t="s">
        <v>195</v>
      </c>
      <c r="B505" s="96" t="s">
        <v>1093</v>
      </c>
    </row>
    <row r="506" ht="12.75" customHeight="1">
      <c r="A506" s="95" t="s">
        <v>195</v>
      </c>
      <c r="B506" s="96" t="s">
        <v>1094</v>
      </c>
    </row>
    <row r="507" ht="12.75" customHeight="1">
      <c r="A507" s="95" t="s">
        <v>195</v>
      </c>
      <c r="B507" s="96" t="s">
        <v>1095</v>
      </c>
    </row>
    <row r="508" ht="12.75" customHeight="1">
      <c r="A508" s="95" t="s">
        <v>181</v>
      </c>
      <c r="B508" s="96">
        <v>0.0</v>
      </c>
    </row>
    <row r="509" ht="12.75" customHeight="1">
      <c r="A509" s="95" t="s">
        <v>181</v>
      </c>
      <c r="B509" s="96">
        <v>0.0</v>
      </c>
    </row>
    <row r="510" ht="12.75" customHeight="1">
      <c r="A510" s="95" t="s">
        <v>181</v>
      </c>
      <c r="B510" s="96">
        <v>2.0</v>
      </c>
    </row>
    <row r="511" ht="12.75" customHeight="1">
      <c r="A511" s="95" t="s">
        <v>181</v>
      </c>
      <c r="B511" s="96">
        <v>4.0</v>
      </c>
    </row>
    <row r="512" ht="12.75" customHeight="1">
      <c r="A512" s="95" t="s">
        <v>181</v>
      </c>
      <c r="B512" s="96">
        <v>6.0</v>
      </c>
    </row>
    <row r="513" ht="12.75" customHeight="1">
      <c r="A513" s="95" t="s">
        <v>181</v>
      </c>
      <c r="B513" s="96">
        <v>8.0</v>
      </c>
    </row>
    <row r="514" ht="12.75" customHeight="1">
      <c r="A514" s="95" t="s">
        <v>181</v>
      </c>
      <c r="B514" s="96">
        <v>10.0</v>
      </c>
    </row>
    <row r="515" ht="12.75" customHeight="1">
      <c r="A515" s="95" t="s">
        <v>181</v>
      </c>
      <c r="B515" s="96">
        <v>12.0</v>
      </c>
    </row>
    <row r="516" ht="12.75" customHeight="1">
      <c r="A516" s="95" t="s">
        <v>181</v>
      </c>
      <c r="B516" s="96" t="s">
        <v>803</v>
      </c>
    </row>
    <row r="517" ht="12.75" customHeight="1">
      <c r="A517" s="95" t="s">
        <v>181</v>
      </c>
      <c r="B517" s="96" t="s">
        <v>804</v>
      </c>
    </row>
    <row r="518" ht="12.75" customHeight="1">
      <c r="A518" s="95" t="s">
        <v>181</v>
      </c>
      <c r="B518" s="96" t="s">
        <v>76</v>
      </c>
    </row>
    <row r="519" ht="12.75" customHeight="1">
      <c r="A519" s="95" t="s">
        <v>181</v>
      </c>
      <c r="B519" s="96" t="s">
        <v>80</v>
      </c>
    </row>
    <row r="520" ht="12.75" customHeight="1">
      <c r="A520" s="95" t="s">
        <v>181</v>
      </c>
      <c r="B520" s="96" t="s">
        <v>83</v>
      </c>
    </row>
    <row r="521" ht="12.75" customHeight="1">
      <c r="A521" s="95" t="s">
        <v>181</v>
      </c>
      <c r="B521" s="96" t="s">
        <v>85</v>
      </c>
    </row>
    <row r="522" ht="12.75" customHeight="1">
      <c r="A522" s="95" t="s">
        <v>181</v>
      </c>
      <c r="B522" s="96">
        <v>14.0</v>
      </c>
    </row>
    <row r="523" ht="12.75" customHeight="1">
      <c r="A523" s="95" t="s">
        <v>181</v>
      </c>
      <c r="B523" s="96" t="s">
        <v>835</v>
      </c>
    </row>
    <row r="524" ht="12.75" customHeight="1">
      <c r="A524" s="95" t="s">
        <v>181</v>
      </c>
      <c r="B524" s="96">
        <v>16.0</v>
      </c>
    </row>
    <row r="525" ht="12.75" customHeight="1">
      <c r="A525" s="95" t="s">
        <v>181</v>
      </c>
      <c r="B525" s="96" t="s">
        <v>836</v>
      </c>
    </row>
    <row r="526" ht="12.75" customHeight="1">
      <c r="A526" s="95" t="s">
        <v>181</v>
      </c>
      <c r="B526" s="96">
        <v>18.0</v>
      </c>
    </row>
    <row r="527" ht="12.75" customHeight="1">
      <c r="A527" s="95" t="s">
        <v>181</v>
      </c>
      <c r="B527" s="96" t="s">
        <v>837</v>
      </c>
    </row>
    <row r="528" ht="12.75" customHeight="1">
      <c r="A528" s="95" t="s">
        <v>181</v>
      </c>
      <c r="B528" s="96">
        <v>20.0</v>
      </c>
    </row>
    <row r="529" ht="12.75" customHeight="1">
      <c r="A529" s="95" t="s">
        <v>181</v>
      </c>
      <c r="B529" s="96" t="s">
        <v>838</v>
      </c>
    </row>
    <row r="530" ht="12.75" customHeight="1">
      <c r="A530" s="95" t="s">
        <v>181</v>
      </c>
      <c r="B530" s="96">
        <v>22.0</v>
      </c>
    </row>
    <row r="531" ht="12.75" customHeight="1">
      <c r="A531" s="95" t="s">
        <v>181</v>
      </c>
      <c r="B531" s="96" t="s">
        <v>839</v>
      </c>
    </row>
    <row r="532" ht="12.75" customHeight="1">
      <c r="A532" s="95" t="s">
        <v>181</v>
      </c>
      <c r="B532" s="96">
        <v>24.0</v>
      </c>
    </row>
    <row r="533" ht="12.75" customHeight="1">
      <c r="A533" s="95" t="s">
        <v>181</v>
      </c>
      <c r="B533" s="96" t="s">
        <v>840</v>
      </c>
    </row>
    <row r="534" ht="12.75" customHeight="1">
      <c r="A534" s="95" t="s">
        <v>181</v>
      </c>
      <c r="B534" s="96">
        <v>26.0</v>
      </c>
    </row>
    <row r="535" ht="12.75" customHeight="1">
      <c r="A535" s="95" t="s">
        <v>181</v>
      </c>
      <c r="B535" s="96" t="s">
        <v>841</v>
      </c>
    </row>
    <row r="536" ht="12.75" customHeight="1">
      <c r="A536" s="95" t="s">
        <v>181</v>
      </c>
      <c r="B536" s="96">
        <v>28.0</v>
      </c>
    </row>
    <row r="537" ht="12.75" customHeight="1">
      <c r="A537" s="95" t="s">
        <v>181</v>
      </c>
      <c r="B537" s="96" t="s">
        <v>842</v>
      </c>
    </row>
    <row r="538" ht="12.75" customHeight="1">
      <c r="A538" s="95" t="s">
        <v>181</v>
      </c>
      <c r="B538" s="96">
        <v>30.0</v>
      </c>
    </row>
    <row r="539" ht="12.75" customHeight="1">
      <c r="A539" s="95" t="s">
        <v>181</v>
      </c>
      <c r="B539" s="96" t="s">
        <v>843</v>
      </c>
    </row>
    <row r="540" ht="12.75" customHeight="1">
      <c r="A540" s="95" t="s">
        <v>181</v>
      </c>
      <c r="B540" s="96">
        <v>32.0</v>
      </c>
    </row>
    <row r="541" ht="12.75" customHeight="1">
      <c r="A541" s="95" t="s">
        <v>181</v>
      </c>
      <c r="B541" s="96" t="s">
        <v>844</v>
      </c>
    </row>
    <row r="542" ht="12.75" customHeight="1">
      <c r="A542" s="95" t="s">
        <v>181</v>
      </c>
      <c r="B542" s="96" t="s">
        <v>845</v>
      </c>
    </row>
    <row r="543" ht="12.75" customHeight="1">
      <c r="A543" s="95" t="s">
        <v>181</v>
      </c>
      <c r="B543" s="96" t="s">
        <v>846</v>
      </c>
    </row>
    <row r="544" ht="12.75" customHeight="1">
      <c r="A544" s="95" t="s">
        <v>181</v>
      </c>
      <c r="B544" s="96" t="s">
        <v>847</v>
      </c>
    </row>
    <row r="545" ht="12.75" customHeight="1">
      <c r="A545" s="95" t="s">
        <v>181</v>
      </c>
      <c r="B545" s="96" t="s">
        <v>848</v>
      </c>
    </row>
    <row r="546" ht="12.75" customHeight="1">
      <c r="A546" s="95" t="s">
        <v>181</v>
      </c>
      <c r="B546" s="96" t="s">
        <v>849</v>
      </c>
    </row>
    <row r="547" ht="12.75" customHeight="1">
      <c r="A547" s="95" t="s">
        <v>181</v>
      </c>
      <c r="B547" s="96" t="s">
        <v>850</v>
      </c>
    </row>
    <row r="548" ht="12.75" customHeight="1">
      <c r="A548" s="95" t="s">
        <v>181</v>
      </c>
      <c r="B548" s="96" t="s">
        <v>851</v>
      </c>
    </row>
    <row r="549" ht="12.75" customHeight="1">
      <c r="A549" s="95" t="s">
        <v>181</v>
      </c>
      <c r="B549" s="96" t="s">
        <v>852</v>
      </c>
    </row>
    <row r="550" ht="12.75" customHeight="1">
      <c r="A550" s="95" t="s">
        <v>181</v>
      </c>
      <c r="B550" s="96" t="s">
        <v>908</v>
      </c>
    </row>
    <row r="551" ht="12.75" customHeight="1">
      <c r="A551" s="95" t="s">
        <v>181</v>
      </c>
      <c r="B551" s="96" t="s">
        <v>909</v>
      </c>
    </row>
    <row r="552" ht="12.75" customHeight="1">
      <c r="A552" s="95" t="s">
        <v>181</v>
      </c>
      <c r="B552" s="96" t="s">
        <v>910</v>
      </c>
    </row>
    <row r="553" ht="12.75" customHeight="1">
      <c r="A553" s="95" t="s">
        <v>181</v>
      </c>
      <c r="B553" s="96" t="s">
        <v>911</v>
      </c>
    </row>
    <row r="554" ht="12.75" customHeight="1">
      <c r="A554" s="95" t="s">
        <v>181</v>
      </c>
      <c r="B554" s="96" t="s">
        <v>912</v>
      </c>
    </row>
    <row r="555" ht="12.75" customHeight="1">
      <c r="A555" s="95" t="s">
        <v>181</v>
      </c>
      <c r="B555" s="96" t="s">
        <v>913</v>
      </c>
    </row>
    <row r="556" ht="12.75" customHeight="1">
      <c r="A556" s="95" t="s">
        <v>181</v>
      </c>
      <c r="B556" s="96" t="s">
        <v>914</v>
      </c>
    </row>
    <row r="557" ht="12.75" customHeight="1">
      <c r="A557" s="95" t="s">
        <v>181</v>
      </c>
      <c r="B557" s="96" t="s">
        <v>915</v>
      </c>
    </row>
    <row r="558" ht="12.75" customHeight="1">
      <c r="A558" s="95" t="s">
        <v>181</v>
      </c>
      <c r="B558" s="96" t="s">
        <v>916</v>
      </c>
    </row>
    <row r="559" ht="12.75" customHeight="1">
      <c r="A559" s="95" t="s">
        <v>181</v>
      </c>
      <c r="B559" s="96" t="s">
        <v>917</v>
      </c>
    </row>
    <row r="560" ht="12.75" customHeight="1">
      <c r="A560" s="95" t="s">
        <v>181</v>
      </c>
      <c r="B560" s="96" t="s">
        <v>918</v>
      </c>
    </row>
    <row r="561" ht="12.75" customHeight="1">
      <c r="A561" s="95" t="s">
        <v>181</v>
      </c>
      <c r="B561" s="96" t="s">
        <v>919</v>
      </c>
    </row>
    <row r="562" ht="12.75" customHeight="1">
      <c r="A562" s="95" t="s">
        <v>181</v>
      </c>
      <c r="B562" s="96" t="s">
        <v>920</v>
      </c>
    </row>
    <row r="563" ht="12.75" customHeight="1">
      <c r="A563" s="95" t="s">
        <v>181</v>
      </c>
      <c r="B563" s="96" t="s">
        <v>921</v>
      </c>
    </row>
    <row r="564" ht="12.75" customHeight="1">
      <c r="A564" s="95" t="s">
        <v>181</v>
      </c>
      <c r="B564" s="96" t="s">
        <v>922</v>
      </c>
    </row>
    <row r="565" ht="12.75" customHeight="1">
      <c r="A565" s="95" t="s">
        <v>181</v>
      </c>
      <c r="B565" s="96" t="s">
        <v>923</v>
      </c>
    </row>
    <row r="566" ht="12.75" customHeight="1">
      <c r="A566" s="95" t="s">
        <v>181</v>
      </c>
      <c r="B566" s="96" t="s">
        <v>924</v>
      </c>
    </row>
    <row r="567" ht="12.75" customHeight="1">
      <c r="A567" s="95" t="s">
        <v>181</v>
      </c>
      <c r="B567" s="96" t="s">
        <v>925</v>
      </c>
    </row>
    <row r="568" ht="12.75" customHeight="1">
      <c r="A568" s="95" t="s">
        <v>181</v>
      </c>
      <c r="B568" s="96" t="s">
        <v>926</v>
      </c>
    </row>
    <row r="569" ht="12.75" customHeight="1">
      <c r="A569" s="95" t="s">
        <v>181</v>
      </c>
      <c r="B569" s="96" t="s">
        <v>984</v>
      </c>
    </row>
    <row r="570" ht="12.75" customHeight="1">
      <c r="A570" s="95" t="s">
        <v>181</v>
      </c>
      <c r="B570" s="96" t="s">
        <v>985</v>
      </c>
    </row>
    <row r="571" ht="12.75" customHeight="1">
      <c r="A571" s="95" t="s">
        <v>181</v>
      </c>
      <c r="B571" s="96" t="s">
        <v>986</v>
      </c>
    </row>
    <row r="572" ht="12.75" customHeight="1">
      <c r="A572" s="95" t="s">
        <v>181</v>
      </c>
      <c r="B572" s="96" t="s">
        <v>987</v>
      </c>
    </row>
    <row r="573" ht="12.75" customHeight="1">
      <c r="A573" s="95" t="s">
        <v>181</v>
      </c>
      <c r="B573" s="96" t="s">
        <v>988</v>
      </c>
    </row>
    <row r="574" ht="12.75" customHeight="1">
      <c r="A574" s="95" t="s">
        <v>181</v>
      </c>
      <c r="B574" s="96" t="s">
        <v>989</v>
      </c>
    </row>
    <row r="575" ht="12.75" customHeight="1">
      <c r="A575" s="95" t="s">
        <v>181</v>
      </c>
      <c r="B575" s="96" t="s">
        <v>990</v>
      </c>
    </row>
    <row r="576" ht="12.75" customHeight="1">
      <c r="A576" s="95" t="s">
        <v>181</v>
      </c>
      <c r="B576" s="96" t="s">
        <v>991</v>
      </c>
    </row>
    <row r="577" ht="12.75" customHeight="1">
      <c r="A577" s="95" t="s">
        <v>181</v>
      </c>
      <c r="B577" s="96" t="s">
        <v>992</v>
      </c>
    </row>
    <row r="578" ht="12.75" customHeight="1">
      <c r="A578" s="95" t="s">
        <v>181</v>
      </c>
      <c r="B578" s="96" t="s">
        <v>993</v>
      </c>
    </row>
    <row r="579" ht="12.75" customHeight="1">
      <c r="A579" s="95" t="s">
        <v>181</v>
      </c>
      <c r="B579" s="96" t="s">
        <v>994</v>
      </c>
    </row>
    <row r="580" ht="12.75" customHeight="1">
      <c r="A580" s="95" t="s">
        <v>181</v>
      </c>
      <c r="B580" s="96" t="s">
        <v>995</v>
      </c>
    </row>
    <row r="581" ht="12.75" customHeight="1">
      <c r="A581" s="95" t="s">
        <v>181</v>
      </c>
      <c r="B581" s="96" t="s">
        <v>996</v>
      </c>
    </row>
    <row r="582" ht="12.75" customHeight="1">
      <c r="A582" s="95" t="s">
        <v>181</v>
      </c>
      <c r="B582" s="96" t="s">
        <v>997</v>
      </c>
    </row>
    <row r="583" ht="12.75" customHeight="1">
      <c r="A583" s="95" t="s">
        <v>181</v>
      </c>
      <c r="B583" s="96" t="s">
        <v>998</v>
      </c>
    </row>
    <row r="584" ht="12.75" customHeight="1">
      <c r="A584" s="95" t="s">
        <v>181</v>
      </c>
      <c r="B584" s="96" t="s">
        <v>999</v>
      </c>
    </row>
    <row r="585" ht="12.75" customHeight="1">
      <c r="A585" s="95" t="s">
        <v>181</v>
      </c>
      <c r="B585" s="96" t="s">
        <v>1000</v>
      </c>
    </row>
    <row r="586" ht="12.75" customHeight="1">
      <c r="A586" s="95" t="s">
        <v>181</v>
      </c>
      <c r="B586" s="96" t="s">
        <v>1001</v>
      </c>
    </row>
    <row r="587" ht="12.75" customHeight="1">
      <c r="A587" s="95" t="s">
        <v>181</v>
      </c>
      <c r="B587" s="96" t="s">
        <v>1054</v>
      </c>
    </row>
    <row r="588" ht="12.75" customHeight="1">
      <c r="A588" s="95" t="s">
        <v>181</v>
      </c>
      <c r="B588" s="96" t="s">
        <v>1055</v>
      </c>
    </row>
    <row r="589" ht="12.75" customHeight="1">
      <c r="A589" s="95" t="s">
        <v>181</v>
      </c>
      <c r="B589" s="96" t="s">
        <v>1056</v>
      </c>
    </row>
    <row r="590" ht="12.75" customHeight="1">
      <c r="A590" s="95" t="s">
        <v>181</v>
      </c>
      <c r="B590" s="96" t="s">
        <v>1057</v>
      </c>
    </row>
    <row r="591" ht="12.75" customHeight="1">
      <c r="A591" s="95" t="s">
        <v>181</v>
      </c>
      <c r="B591" s="96" t="s">
        <v>1058</v>
      </c>
    </row>
    <row r="592" ht="12.75" customHeight="1">
      <c r="A592" s="95" t="s">
        <v>181</v>
      </c>
      <c r="B592" s="96" t="s">
        <v>1059</v>
      </c>
    </row>
    <row r="593" ht="12.75" customHeight="1">
      <c r="A593" s="95" t="s">
        <v>181</v>
      </c>
      <c r="B593" s="96" t="s">
        <v>1060</v>
      </c>
    </row>
    <row r="594" ht="12.75" customHeight="1">
      <c r="A594" s="95" t="s">
        <v>181</v>
      </c>
      <c r="B594" s="96" t="s">
        <v>1061</v>
      </c>
    </row>
    <row r="595" ht="12.75" customHeight="1">
      <c r="A595" s="95" t="s">
        <v>181</v>
      </c>
      <c r="B595" s="96" t="s">
        <v>1062</v>
      </c>
    </row>
    <row r="596" ht="12.75" customHeight="1">
      <c r="A596" s="95" t="s">
        <v>181</v>
      </c>
      <c r="B596" s="96" t="s">
        <v>1063</v>
      </c>
    </row>
    <row r="597" ht="12.75" customHeight="1">
      <c r="A597" s="95" t="s">
        <v>181</v>
      </c>
      <c r="B597" s="96" t="s">
        <v>1064</v>
      </c>
    </row>
    <row r="598" ht="12.75" customHeight="1">
      <c r="A598" s="95" t="s">
        <v>181</v>
      </c>
      <c r="B598" s="96" t="s">
        <v>1065</v>
      </c>
    </row>
    <row r="599" ht="12.75" customHeight="1">
      <c r="A599" s="95" t="s">
        <v>181</v>
      </c>
      <c r="B599" s="96" t="s">
        <v>1066</v>
      </c>
    </row>
    <row r="600" ht="12.75" customHeight="1">
      <c r="A600" s="95" t="s">
        <v>181</v>
      </c>
      <c r="B600" s="96" t="s">
        <v>1067</v>
      </c>
    </row>
    <row r="601" ht="12.75" customHeight="1">
      <c r="A601" s="95" t="s">
        <v>181</v>
      </c>
      <c r="B601" s="96" t="s">
        <v>1068</v>
      </c>
    </row>
    <row r="602" ht="12.75" customHeight="1">
      <c r="A602" s="95" t="s">
        <v>181</v>
      </c>
      <c r="B602" s="96" t="s">
        <v>1069</v>
      </c>
    </row>
    <row r="603" ht="12.75" customHeight="1">
      <c r="A603" s="95" t="s">
        <v>181</v>
      </c>
      <c r="B603" s="96" t="s">
        <v>1070</v>
      </c>
    </row>
    <row r="604" ht="12.75" customHeight="1">
      <c r="A604" s="95" t="s">
        <v>181</v>
      </c>
      <c r="B604" s="96" t="s">
        <v>1071</v>
      </c>
    </row>
    <row r="605" ht="12.75" customHeight="1">
      <c r="A605" s="95" t="s">
        <v>181</v>
      </c>
      <c r="B605" s="96" t="s">
        <v>1072</v>
      </c>
    </row>
    <row r="606" ht="12.75" customHeight="1">
      <c r="A606" s="95" t="s">
        <v>181</v>
      </c>
      <c r="B606" s="96" t="s">
        <v>1073</v>
      </c>
    </row>
    <row r="607" ht="12.75" customHeight="1">
      <c r="A607" s="95" t="s">
        <v>181</v>
      </c>
      <c r="B607" s="96" t="s">
        <v>1074</v>
      </c>
    </row>
    <row r="608" ht="12.75" customHeight="1">
      <c r="A608" s="95" t="s">
        <v>181</v>
      </c>
      <c r="B608" s="96" t="s">
        <v>1075</v>
      </c>
    </row>
    <row r="609" ht="12.75" customHeight="1">
      <c r="A609" s="95" t="s">
        <v>181</v>
      </c>
      <c r="B609" s="96" t="s">
        <v>1076</v>
      </c>
    </row>
    <row r="610" ht="12.75" customHeight="1">
      <c r="A610" s="95" t="s">
        <v>181</v>
      </c>
      <c r="B610" s="96" t="s">
        <v>1077</v>
      </c>
    </row>
    <row r="611" ht="12.75" customHeight="1">
      <c r="A611" s="95" t="s">
        <v>181</v>
      </c>
      <c r="B611" s="96" t="s">
        <v>1078</v>
      </c>
    </row>
    <row r="612" ht="12.75" customHeight="1">
      <c r="A612" s="95" t="s">
        <v>181</v>
      </c>
      <c r="B612" s="96" t="s">
        <v>1079</v>
      </c>
    </row>
    <row r="613" ht="12.75" customHeight="1">
      <c r="A613" s="95" t="s">
        <v>181</v>
      </c>
      <c r="B613" s="96" t="s">
        <v>1080</v>
      </c>
    </row>
    <row r="614" ht="12.75" customHeight="1">
      <c r="A614" s="95" t="s">
        <v>181</v>
      </c>
      <c r="B614" s="96" t="s">
        <v>1081</v>
      </c>
    </row>
    <row r="615" ht="12.75" customHeight="1">
      <c r="A615" s="95" t="s">
        <v>181</v>
      </c>
      <c r="B615" s="96" t="s">
        <v>1082</v>
      </c>
    </row>
    <row r="616" ht="12.75" customHeight="1">
      <c r="A616" s="95" t="s">
        <v>181</v>
      </c>
      <c r="B616" s="96" t="s">
        <v>1083</v>
      </c>
    </row>
    <row r="617" ht="12.75" customHeight="1">
      <c r="A617" s="95" t="s">
        <v>181</v>
      </c>
      <c r="B617" s="96" t="s">
        <v>1084</v>
      </c>
    </row>
    <row r="618" ht="12.75" customHeight="1">
      <c r="A618" s="95" t="s">
        <v>181</v>
      </c>
      <c r="B618" s="96" t="s">
        <v>1085</v>
      </c>
    </row>
    <row r="619" ht="12.75" customHeight="1">
      <c r="A619" s="95" t="s">
        <v>181</v>
      </c>
      <c r="B619" s="96" t="s">
        <v>1086</v>
      </c>
    </row>
    <row r="620" ht="12.75" customHeight="1">
      <c r="A620" s="95" t="s">
        <v>181</v>
      </c>
      <c r="B620" s="96" t="s">
        <v>1087</v>
      </c>
    </row>
    <row r="621" ht="12.75" customHeight="1">
      <c r="A621" s="95" t="s">
        <v>181</v>
      </c>
      <c r="B621" s="96" t="s">
        <v>1088</v>
      </c>
    </row>
    <row r="622" ht="12.75" customHeight="1">
      <c r="A622" s="95" t="s">
        <v>181</v>
      </c>
      <c r="B622" s="96" t="s">
        <v>1089</v>
      </c>
    </row>
    <row r="623" ht="12.75" customHeight="1">
      <c r="A623" s="95" t="s">
        <v>181</v>
      </c>
      <c r="B623" s="96" t="s">
        <v>1090</v>
      </c>
    </row>
    <row r="624" ht="12.75" customHeight="1">
      <c r="A624" s="95" t="s">
        <v>181</v>
      </c>
      <c r="B624" s="96" t="s">
        <v>1091</v>
      </c>
    </row>
    <row r="625" ht="12.75" customHeight="1">
      <c r="A625" s="95" t="s">
        <v>181</v>
      </c>
      <c r="B625" s="96" t="s">
        <v>1092</v>
      </c>
    </row>
    <row r="626" ht="12.75" customHeight="1">
      <c r="A626" s="95" t="s">
        <v>181</v>
      </c>
      <c r="B626" s="96" t="s">
        <v>1093</v>
      </c>
    </row>
    <row r="627" ht="12.75" customHeight="1">
      <c r="A627" s="95" t="s">
        <v>181</v>
      </c>
      <c r="B627" s="96" t="s">
        <v>1094</v>
      </c>
    </row>
    <row r="628" ht="12.75" customHeight="1">
      <c r="A628" s="95" t="s">
        <v>181</v>
      </c>
      <c r="B628" s="96" t="s">
        <v>1095</v>
      </c>
    </row>
    <row r="629" ht="12.75" customHeight="1">
      <c r="A629" s="95" t="s">
        <v>251</v>
      </c>
      <c r="B629" s="96">
        <v>0.0</v>
      </c>
    </row>
    <row r="630" ht="12.75" customHeight="1">
      <c r="A630" s="95" t="s">
        <v>251</v>
      </c>
      <c r="B630" s="96">
        <v>0.0</v>
      </c>
    </row>
    <row r="631" ht="12.75" customHeight="1">
      <c r="A631" s="95" t="s">
        <v>251</v>
      </c>
      <c r="B631" s="96">
        <v>2.0</v>
      </c>
    </row>
    <row r="632" ht="12.75" customHeight="1">
      <c r="A632" s="95" t="s">
        <v>251</v>
      </c>
      <c r="B632" s="96">
        <v>4.0</v>
      </c>
    </row>
    <row r="633" ht="12.75" customHeight="1">
      <c r="A633" s="95" t="s">
        <v>251</v>
      </c>
      <c r="B633" s="96">
        <v>6.0</v>
      </c>
    </row>
    <row r="634" ht="12.75" customHeight="1">
      <c r="A634" s="95" t="s">
        <v>251</v>
      </c>
      <c r="B634" s="96">
        <v>8.0</v>
      </c>
    </row>
    <row r="635" ht="12.75" customHeight="1">
      <c r="A635" s="95" t="s">
        <v>251</v>
      </c>
      <c r="B635" s="96">
        <v>10.0</v>
      </c>
    </row>
    <row r="636" ht="12.75" customHeight="1">
      <c r="A636" s="95" t="s">
        <v>251</v>
      </c>
      <c r="B636" s="96">
        <v>12.0</v>
      </c>
    </row>
    <row r="637" ht="12.75" customHeight="1">
      <c r="A637" s="95" t="s">
        <v>251</v>
      </c>
      <c r="B637" s="96" t="s">
        <v>803</v>
      </c>
    </row>
    <row r="638" ht="12.75" customHeight="1">
      <c r="A638" s="95" t="s">
        <v>251</v>
      </c>
      <c r="B638" s="96" t="s">
        <v>804</v>
      </c>
    </row>
    <row r="639" ht="12.75" customHeight="1">
      <c r="A639" s="95" t="s">
        <v>251</v>
      </c>
      <c r="B639" s="96" t="s">
        <v>76</v>
      </c>
    </row>
    <row r="640" ht="12.75" customHeight="1">
      <c r="A640" s="95" t="s">
        <v>251</v>
      </c>
      <c r="B640" s="96" t="s">
        <v>80</v>
      </c>
    </row>
    <row r="641" ht="12.75" customHeight="1">
      <c r="A641" s="95" t="s">
        <v>251</v>
      </c>
      <c r="B641" s="96" t="s">
        <v>83</v>
      </c>
    </row>
    <row r="642" ht="12.75" customHeight="1">
      <c r="A642" s="95" t="s">
        <v>251</v>
      </c>
      <c r="B642" s="96" t="s">
        <v>85</v>
      </c>
    </row>
    <row r="643" ht="12.75" customHeight="1">
      <c r="A643" s="95" t="s">
        <v>251</v>
      </c>
      <c r="B643" s="96">
        <v>14.0</v>
      </c>
    </row>
    <row r="644" ht="12.75" customHeight="1">
      <c r="A644" s="95" t="s">
        <v>251</v>
      </c>
      <c r="B644" s="96" t="s">
        <v>835</v>
      </c>
    </row>
    <row r="645" ht="12.75" customHeight="1">
      <c r="A645" s="95" t="s">
        <v>251</v>
      </c>
      <c r="B645" s="96">
        <v>16.0</v>
      </c>
    </row>
    <row r="646" ht="12.75" customHeight="1">
      <c r="A646" s="95" t="s">
        <v>251</v>
      </c>
      <c r="B646" s="96" t="s">
        <v>836</v>
      </c>
    </row>
    <row r="647" ht="12.75" customHeight="1">
      <c r="A647" s="95" t="s">
        <v>251</v>
      </c>
      <c r="B647" s="96">
        <v>18.0</v>
      </c>
    </row>
    <row r="648" ht="12.75" customHeight="1">
      <c r="A648" s="95" t="s">
        <v>251</v>
      </c>
      <c r="B648" s="96" t="s">
        <v>837</v>
      </c>
    </row>
    <row r="649" ht="12.75" customHeight="1">
      <c r="A649" s="95" t="s">
        <v>251</v>
      </c>
      <c r="B649" s="96">
        <v>20.0</v>
      </c>
    </row>
    <row r="650" ht="12.75" customHeight="1">
      <c r="A650" s="95" t="s">
        <v>251</v>
      </c>
      <c r="B650" s="96" t="s">
        <v>838</v>
      </c>
    </row>
    <row r="651" ht="12.75" customHeight="1">
      <c r="A651" s="95" t="s">
        <v>251</v>
      </c>
      <c r="B651" s="96">
        <v>22.0</v>
      </c>
    </row>
    <row r="652" ht="12.75" customHeight="1">
      <c r="A652" s="95" t="s">
        <v>251</v>
      </c>
      <c r="B652" s="96" t="s">
        <v>839</v>
      </c>
    </row>
    <row r="653" ht="12.75" customHeight="1">
      <c r="A653" s="95" t="s">
        <v>251</v>
      </c>
      <c r="B653" s="96">
        <v>24.0</v>
      </c>
    </row>
    <row r="654" ht="12.75" customHeight="1">
      <c r="A654" s="95" t="s">
        <v>251</v>
      </c>
      <c r="B654" s="96" t="s">
        <v>840</v>
      </c>
    </row>
    <row r="655" ht="12.75" customHeight="1">
      <c r="A655" s="95" t="s">
        <v>251</v>
      </c>
      <c r="B655" s="96">
        <v>26.0</v>
      </c>
    </row>
    <row r="656" ht="12.75" customHeight="1">
      <c r="A656" s="95" t="s">
        <v>251</v>
      </c>
      <c r="B656" s="96" t="s">
        <v>841</v>
      </c>
    </row>
    <row r="657" ht="12.75" customHeight="1">
      <c r="A657" s="95" t="s">
        <v>251</v>
      </c>
      <c r="B657" s="96">
        <v>28.0</v>
      </c>
    </row>
    <row r="658" ht="12.75" customHeight="1">
      <c r="A658" s="95" t="s">
        <v>251</v>
      </c>
      <c r="B658" s="96" t="s">
        <v>842</v>
      </c>
    </row>
    <row r="659" ht="12.75" customHeight="1">
      <c r="A659" s="95" t="s">
        <v>251</v>
      </c>
      <c r="B659" s="96">
        <v>30.0</v>
      </c>
    </row>
    <row r="660" ht="12.75" customHeight="1">
      <c r="A660" s="95" t="s">
        <v>251</v>
      </c>
      <c r="B660" s="96" t="s">
        <v>843</v>
      </c>
    </row>
    <row r="661" ht="12.75" customHeight="1">
      <c r="A661" s="95" t="s">
        <v>251</v>
      </c>
      <c r="B661" s="96">
        <v>32.0</v>
      </c>
    </row>
    <row r="662" ht="12.75" customHeight="1">
      <c r="A662" s="95" t="s">
        <v>251</v>
      </c>
      <c r="B662" s="96" t="s">
        <v>844</v>
      </c>
    </row>
    <row r="663" ht="12.75" customHeight="1">
      <c r="A663" s="95" t="s">
        <v>251</v>
      </c>
      <c r="B663" s="96" t="s">
        <v>845</v>
      </c>
    </row>
    <row r="664" ht="12.75" customHeight="1">
      <c r="A664" s="95" t="s">
        <v>251</v>
      </c>
      <c r="B664" s="96" t="s">
        <v>846</v>
      </c>
    </row>
    <row r="665" ht="12.75" customHeight="1">
      <c r="A665" s="95" t="s">
        <v>251</v>
      </c>
      <c r="B665" s="96" t="s">
        <v>847</v>
      </c>
    </row>
    <row r="666" ht="12.75" customHeight="1">
      <c r="A666" s="95" t="s">
        <v>251</v>
      </c>
      <c r="B666" s="96" t="s">
        <v>848</v>
      </c>
    </row>
    <row r="667" ht="12.75" customHeight="1">
      <c r="A667" s="95" t="s">
        <v>251</v>
      </c>
      <c r="B667" s="96" t="s">
        <v>849</v>
      </c>
    </row>
    <row r="668" ht="12.75" customHeight="1">
      <c r="A668" s="95" t="s">
        <v>251</v>
      </c>
      <c r="B668" s="96" t="s">
        <v>850</v>
      </c>
    </row>
    <row r="669" ht="12.75" customHeight="1">
      <c r="A669" s="95" t="s">
        <v>251</v>
      </c>
      <c r="B669" s="96" t="s">
        <v>851</v>
      </c>
    </row>
    <row r="670" ht="12.75" customHeight="1">
      <c r="A670" s="95" t="s">
        <v>251</v>
      </c>
      <c r="B670" s="96" t="s">
        <v>852</v>
      </c>
    </row>
    <row r="671" ht="12.75" customHeight="1">
      <c r="A671" s="95" t="s">
        <v>251</v>
      </c>
      <c r="B671" s="96" t="s">
        <v>908</v>
      </c>
    </row>
    <row r="672" ht="12.75" customHeight="1">
      <c r="A672" s="95" t="s">
        <v>251</v>
      </c>
      <c r="B672" s="96" t="s">
        <v>909</v>
      </c>
    </row>
    <row r="673" ht="12.75" customHeight="1">
      <c r="A673" s="95" t="s">
        <v>251</v>
      </c>
      <c r="B673" s="96" t="s">
        <v>910</v>
      </c>
    </row>
    <row r="674" ht="12.75" customHeight="1">
      <c r="A674" s="95" t="s">
        <v>251</v>
      </c>
      <c r="B674" s="96" t="s">
        <v>911</v>
      </c>
    </row>
    <row r="675" ht="12.75" customHeight="1">
      <c r="A675" s="95" t="s">
        <v>251</v>
      </c>
      <c r="B675" s="96" t="s">
        <v>912</v>
      </c>
    </row>
    <row r="676" ht="12.75" customHeight="1">
      <c r="A676" s="95" t="s">
        <v>251</v>
      </c>
      <c r="B676" s="96" t="s">
        <v>913</v>
      </c>
    </row>
    <row r="677" ht="12.75" customHeight="1">
      <c r="A677" s="95" t="s">
        <v>251</v>
      </c>
      <c r="B677" s="96" t="s">
        <v>914</v>
      </c>
    </row>
    <row r="678" ht="12.75" customHeight="1">
      <c r="A678" s="95" t="s">
        <v>251</v>
      </c>
      <c r="B678" s="96" t="s">
        <v>915</v>
      </c>
    </row>
    <row r="679" ht="12.75" customHeight="1">
      <c r="A679" s="95" t="s">
        <v>251</v>
      </c>
      <c r="B679" s="96" t="s">
        <v>916</v>
      </c>
    </row>
    <row r="680" ht="12.75" customHeight="1">
      <c r="A680" s="95" t="s">
        <v>251</v>
      </c>
      <c r="B680" s="96" t="s">
        <v>917</v>
      </c>
    </row>
    <row r="681" ht="12.75" customHeight="1">
      <c r="A681" s="95" t="s">
        <v>251</v>
      </c>
      <c r="B681" s="96" t="s">
        <v>918</v>
      </c>
    </row>
    <row r="682" ht="12.75" customHeight="1">
      <c r="A682" s="95" t="s">
        <v>251</v>
      </c>
      <c r="B682" s="96" t="s">
        <v>919</v>
      </c>
    </row>
    <row r="683" ht="12.75" customHeight="1">
      <c r="A683" s="95" t="s">
        <v>251</v>
      </c>
      <c r="B683" s="96" t="s">
        <v>920</v>
      </c>
    </row>
    <row r="684" ht="12.75" customHeight="1">
      <c r="A684" s="95" t="s">
        <v>251</v>
      </c>
      <c r="B684" s="96" t="s">
        <v>921</v>
      </c>
    </row>
    <row r="685" ht="12.75" customHeight="1">
      <c r="A685" s="95" t="s">
        <v>251</v>
      </c>
      <c r="B685" s="96" t="s">
        <v>922</v>
      </c>
    </row>
    <row r="686" ht="12.75" customHeight="1">
      <c r="A686" s="95" t="s">
        <v>251</v>
      </c>
      <c r="B686" s="96" t="s">
        <v>923</v>
      </c>
    </row>
    <row r="687" ht="12.75" customHeight="1">
      <c r="A687" s="95" t="s">
        <v>251</v>
      </c>
      <c r="B687" s="96" t="s">
        <v>924</v>
      </c>
    </row>
    <row r="688" ht="12.75" customHeight="1">
      <c r="A688" s="95" t="s">
        <v>251</v>
      </c>
      <c r="B688" s="96" t="s">
        <v>925</v>
      </c>
    </row>
    <row r="689" ht="12.75" customHeight="1">
      <c r="A689" s="95" t="s">
        <v>251</v>
      </c>
      <c r="B689" s="96" t="s">
        <v>926</v>
      </c>
    </row>
    <row r="690" ht="12.75" customHeight="1">
      <c r="A690" s="95" t="s">
        <v>251</v>
      </c>
      <c r="B690" s="96" t="s">
        <v>984</v>
      </c>
    </row>
    <row r="691" ht="12.75" customHeight="1">
      <c r="A691" s="95" t="s">
        <v>251</v>
      </c>
      <c r="B691" s="96" t="s">
        <v>985</v>
      </c>
    </row>
    <row r="692" ht="12.75" customHeight="1">
      <c r="A692" s="95" t="s">
        <v>251</v>
      </c>
      <c r="B692" s="96" t="s">
        <v>986</v>
      </c>
    </row>
    <row r="693" ht="12.75" customHeight="1">
      <c r="A693" s="95" t="s">
        <v>251</v>
      </c>
      <c r="B693" s="96" t="s">
        <v>987</v>
      </c>
    </row>
    <row r="694" ht="12.75" customHeight="1">
      <c r="A694" s="95" t="s">
        <v>251</v>
      </c>
      <c r="B694" s="96" t="s">
        <v>988</v>
      </c>
    </row>
    <row r="695" ht="12.75" customHeight="1">
      <c r="A695" s="95" t="s">
        <v>251</v>
      </c>
      <c r="B695" s="96" t="s">
        <v>989</v>
      </c>
    </row>
    <row r="696" ht="12.75" customHeight="1">
      <c r="A696" s="95" t="s">
        <v>251</v>
      </c>
      <c r="B696" s="96" t="s">
        <v>990</v>
      </c>
    </row>
    <row r="697" ht="12.75" customHeight="1">
      <c r="A697" s="95" t="s">
        <v>251</v>
      </c>
      <c r="B697" s="96" t="s">
        <v>991</v>
      </c>
    </row>
    <row r="698" ht="12.75" customHeight="1">
      <c r="A698" s="95" t="s">
        <v>251</v>
      </c>
      <c r="B698" s="96" t="s">
        <v>992</v>
      </c>
    </row>
    <row r="699" ht="12.75" customHeight="1">
      <c r="A699" s="95" t="s">
        <v>251</v>
      </c>
      <c r="B699" s="96" t="s">
        <v>993</v>
      </c>
    </row>
    <row r="700" ht="12.75" customHeight="1">
      <c r="A700" s="95" t="s">
        <v>251</v>
      </c>
      <c r="B700" s="96" t="s">
        <v>994</v>
      </c>
    </row>
    <row r="701" ht="12.75" customHeight="1">
      <c r="A701" s="95" t="s">
        <v>251</v>
      </c>
      <c r="B701" s="96" t="s">
        <v>995</v>
      </c>
    </row>
    <row r="702" ht="12.75" customHeight="1">
      <c r="A702" s="95" t="s">
        <v>251</v>
      </c>
      <c r="B702" s="96" t="s">
        <v>996</v>
      </c>
    </row>
    <row r="703" ht="12.75" customHeight="1">
      <c r="A703" s="95" t="s">
        <v>251</v>
      </c>
      <c r="B703" s="96" t="s">
        <v>997</v>
      </c>
    </row>
    <row r="704" ht="12.75" customHeight="1">
      <c r="A704" s="95" t="s">
        <v>251</v>
      </c>
      <c r="B704" s="96" t="s">
        <v>998</v>
      </c>
    </row>
    <row r="705" ht="12.75" customHeight="1">
      <c r="A705" s="95" t="s">
        <v>251</v>
      </c>
      <c r="B705" s="96" t="s">
        <v>999</v>
      </c>
    </row>
    <row r="706" ht="12.75" customHeight="1">
      <c r="A706" s="95" t="s">
        <v>251</v>
      </c>
      <c r="B706" s="96" t="s">
        <v>1000</v>
      </c>
    </row>
    <row r="707" ht="12.75" customHeight="1">
      <c r="A707" s="95" t="s">
        <v>251</v>
      </c>
      <c r="B707" s="96" t="s">
        <v>1001</v>
      </c>
    </row>
    <row r="708" ht="12.75" customHeight="1">
      <c r="A708" s="95" t="s">
        <v>251</v>
      </c>
      <c r="B708" s="96" t="s">
        <v>1054</v>
      </c>
    </row>
    <row r="709" ht="12.75" customHeight="1">
      <c r="A709" s="95" t="s">
        <v>251</v>
      </c>
      <c r="B709" s="96" t="s">
        <v>1055</v>
      </c>
    </row>
    <row r="710" ht="12.75" customHeight="1">
      <c r="A710" s="95" t="s">
        <v>251</v>
      </c>
      <c r="B710" s="96" t="s">
        <v>1056</v>
      </c>
    </row>
    <row r="711" ht="12.75" customHeight="1">
      <c r="A711" s="95" t="s">
        <v>251</v>
      </c>
      <c r="B711" s="96" t="s">
        <v>1057</v>
      </c>
    </row>
    <row r="712" ht="12.75" customHeight="1">
      <c r="A712" s="95" t="s">
        <v>251</v>
      </c>
      <c r="B712" s="96" t="s">
        <v>1058</v>
      </c>
    </row>
    <row r="713" ht="12.75" customHeight="1">
      <c r="A713" s="95" t="s">
        <v>251</v>
      </c>
      <c r="B713" s="96" t="s">
        <v>1059</v>
      </c>
    </row>
    <row r="714" ht="12.75" customHeight="1">
      <c r="A714" s="95" t="s">
        <v>251</v>
      </c>
      <c r="B714" s="96" t="s">
        <v>1060</v>
      </c>
    </row>
    <row r="715" ht="12.75" customHeight="1">
      <c r="A715" s="95" t="s">
        <v>251</v>
      </c>
      <c r="B715" s="96" t="s">
        <v>1061</v>
      </c>
    </row>
    <row r="716" ht="12.75" customHeight="1">
      <c r="A716" s="95" t="s">
        <v>251</v>
      </c>
      <c r="B716" s="96" t="s">
        <v>1062</v>
      </c>
    </row>
    <row r="717" ht="12.75" customHeight="1">
      <c r="A717" s="95" t="s">
        <v>251</v>
      </c>
      <c r="B717" s="96" t="s">
        <v>1063</v>
      </c>
    </row>
    <row r="718" ht="12.75" customHeight="1">
      <c r="A718" s="95" t="s">
        <v>251</v>
      </c>
      <c r="B718" s="96" t="s">
        <v>1064</v>
      </c>
    </row>
    <row r="719" ht="12.75" customHeight="1">
      <c r="A719" s="95" t="s">
        <v>251</v>
      </c>
      <c r="B719" s="96" t="s">
        <v>1065</v>
      </c>
    </row>
    <row r="720" ht="12.75" customHeight="1">
      <c r="A720" s="95" t="s">
        <v>251</v>
      </c>
      <c r="B720" s="96" t="s">
        <v>1066</v>
      </c>
    </row>
    <row r="721" ht="12.75" customHeight="1">
      <c r="A721" s="95" t="s">
        <v>251</v>
      </c>
      <c r="B721" s="96" t="s">
        <v>1067</v>
      </c>
    </row>
    <row r="722" ht="12.75" customHeight="1">
      <c r="A722" s="95" t="s">
        <v>251</v>
      </c>
      <c r="B722" s="96" t="s">
        <v>1068</v>
      </c>
    </row>
    <row r="723" ht="12.75" customHeight="1">
      <c r="A723" s="95" t="s">
        <v>251</v>
      </c>
      <c r="B723" s="96" t="s">
        <v>1069</v>
      </c>
    </row>
    <row r="724" ht="12.75" customHeight="1">
      <c r="A724" s="95" t="s">
        <v>251</v>
      </c>
      <c r="B724" s="96" t="s">
        <v>1070</v>
      </c>
    </row>
    <row r="725" ht="12.75" customHeight="1">
      <c r="A725" s="95" t="s">
        <v>251</v>
      </c>
      <c r="B725" s="96" t="s">
        <v>1071</v>
      </c>
    </row>
    <row r="726" ht="12.75" customHeight="1">
      <c r="A726" s="95" t="s">
        <v>251</v>
      </c>
      <c r="B726" s="96" t="s">
        <v>1072</v>
      </c>
    </row>
    <row r="727" ht="12.75" customHeight="1">
      <c r="A727" s="95" t="s">
        <v>251</v>
      </c>
      <c r="B727" s="96" t="s">
        <v>1073</v>
      </c>
    </row>
    <row r="728" ht="12.75" customHeight="1">
      <c r="A728" s="95" t="s">
        <v>251</v>
      </c>
      <c r="B728" s="96" t="s">
        <v>1074</v>
      </c>
    </row>
    <row r="729" ht="12.75" customHeight="1">
      <c r="A729" s="95" t="s">
        <v>251</v>
      </c>
      <c r="B729" s="96" t="s">
        <v>1075</v>
      </c>
    </row>
    <row r="730" ht="12.75" customHeight="1">
      <c r="A730" s="95" t="s">
        <v>251</v>
      </c>
      <c r="B730" s="96" t="s">
        <v>1076</v>
      </c>
    </row>
    <row r="731" ht="12.75" customHeight="1">
      <c r="A731" s="95" t="s">
        <v>251</v>
      </c>
      <c r="B731" s="96" t="s">
        <v>1077</v>
      </c>
    </row>
    <row r="732" ht="12.75" customHeight="1">
      <c r="A732" s="95" t="s">
        <v>251</v>
      </c>
      <c r="B732" s="96" t="s">
        <v>1078</v>
      </c>
    </row>
    <row r="733" ht="12.75" customHeight="1">
      <c r="A733" s="95" t="s">
        <v>251</v>
      </c>
      <c r="B733" s="96" t="s">
        <v>1079</v>
      </c>
    </row>
    <row r="734" ht="12.75" customHeight="1">
      <c r="A734" s="95" t="s">
        <v>251</v>
      </c>
      <c r="B734" s="96" t="s">
        <v>1080</v>
      </c>
    </row>
    <row r="735" ht="12.75" customHeight="1">
      <c r="A735" s="95" t="s">
        <v>251</v>
      </c>
      <c r="B735" s="96" t="s">
        <v>1081</v>
      </c>
    </row>
    <row r="736" ht="12.75" customHeight="1">
      <c r="A736" s="95" t="s">
        <v>251</v>
      </c>
      <c r="B736" s="96" t="s">
        <v>1082</v>
      </c>
    </row>
    <row r="737" ht="12.75" customHeight="1">
      <c r="A737" s="95" t="s">
        <v>251</v>
      </c>
      <c r="B737" s="96" t="s">
        <v>1083</v>
      </c>
    </row>
    <row r="738" ht="12.75" customHeight="1">
      <c r="A738" s="95" t="s">
        <v>251</v>
      </c>
      <c r="B738" s="96" t="s">
        <v>1084</v>
      </c>
    </row>
    <row r="739" ht="12.75" customHeight="1">
      <c r="A739" s="95" t="s">
        <v>251</v>
      </c>
      <c r="B739" s="96" t="s">
        <v>1085</v>
      </c>
    </row>
    <row r="740" ht="12.75" customHeight="1">
      <c r="A740" s="95" t="s">
        <v>251</v>
      </c>
      <c r="B740" s="96" t="s">
        <v>1086</v>
      </c>
    </row>
    <row r="741" ht="12.75" customHeight="1">
      <c r="A741" s="95" t="s">
        <v>251</v>
      </c>
      <c r="B741" s="96" t="s">
        <v>1087</v>
      </c>
    </row>
    <row r="742" ht="12.75" customHeight="1">
      <c r="A742" s="95" t="s">
        <v>251</v>
      </c>
      <c r="B742" s="96" t="s">
        <v>1088</v>
      </c>
    </row>
    <row r="743" ht="12.75" customHeight="1">
      <c r="A743" s="95" t="s">
        <v>251</v>
      </c>
      <c r="B743" s="96" t="s">
        <v>1089</v>
      </c>
    </row>
    <row r="744" ht="12.75" customHeight="1">
      <c r="A744" s="95" t="s">
        <v>251</v>
      </c>
      <c r="B744" s="96" t="s">
        <v>1090</v>
      </c>
    </row>
    <row r="745" ht="12.75" customHeight="1">
      <c r="A745" s="95" t="s">
        <v>251</v>
      </c>
      <c r="B745" s="96" t="s">
        <v>1091</v>
      </c>
    </row>
    <row r="746" ht="12.75" customHeight="1">
      <c r="A746" s="95" t="s">
        <v>251</v>
      </c>
      <c r="B746" s="96" t="s">
        <v>1092</v>
      </c>
    </row>
    <row r="747" ht="12.75" customHeight="1">
      <c r="A747" s="95" t="s">
        <v>251</v>
      </c>
      <c r="B747" s="96" t="s">
        <v>1093</v>
      </c>
    </row>
    <row r="748" ht="12.75" customHeight="1">
      <c r="A748" s="95" t="s">
        <v>251</v>
      </c>
      <c r="B748" s="96" t="s">
        <v>1094</v>
      </c>
    </row>
    <row r="749" ht="12.75" customHeight="1">
      <c r="A749" s="95" t="s">
        <v>251</v>
      </c>
      <c r="B749" s="96" t="s">
        <v>1095</v>
      </c>
    </row>
    <row r="750" ht="12.75" customHeight="1">
      <c r="A750" s="95" t="s">
        <v>215</v>
      </c>
      <c r="B750" s="96">
        <v>23.0</v>
      </c>
    </row>
    <row r="751" ht="12.75" customHeight="1">
      <c r="A751" s="95" t="s">
        <v>215</v>
      </c>
      <c r="B751" s="96">
        <v>24.0</v>
      </c>
    </row>
    <row r="752" ht="12.75" customHeight="1">
      <c r="A752" s="95" t="s">
        <v>215</v>
      </c>
      <c r="B752" s="96">
        <v>25.0</v>
      </c>
    </row>
    <row r="753" ht="12.75" customHeight="1">
      <c r="A753" s="95" t="s">
        <v>215</v>
      </c>
      <c r="B753" s="96">
        <v>26.0</v>
      </c>
    </row>
    <row r="754" ht="12.75" customHeight="1">
      <c r="A754" s="95" t="s">
        <v>215</v>
      </c>
      <c r="B754" s="96">
        <v>27.0</v>
      </c>
    </row>
    <row r="755" ht="12.75" customHeight="1">
      <c r="A755" s="95" t="s">
        <v>215</v>
      </c>
      <c r="B755" s="96">
        <v>28.0</v>
      </c>
    </row>
    <row r="756" ht="12.75" customHeight="1">
      <c r="A756" s="95" t="s">
        <v>215</v>
      </c>
      <c r="B756" s="96">
        <v>29.0</v>
      </c>
    </row>
    <row r="757" ht="12.75" customHeight="1">
      <c r="A757" s="95" t="s">
        <v>215</v>
      </c>
      <c r="B757" s="96">
        <v>30.0</v>
      </c>
    </row>
    <row r="758" ht="12.75" customHeight="1">
      <c r="A758" s="95" t="s">
        <v>215</v>
      </c>
      <c r="B758" s="96">
        <v>31.0</v>
      </c>
    </row>
    <row r="759" ht="12.75" customHeight="1">
      <c r="A759" s="95" t="s">
        <v>215</v>
      </c>
      <c r="B759" s="96">
        <v>0.0</v>
      </c>
    </row>
    <row r="760" ht="12.75" customHeight="1">
      <c r="A760" s="95" t="s">
        <v>215</v>
      </c>
      <c r="B760" s="96">
        <v>0.0</v>
      </c>
    </row>
    <row r="761" ht="12.75" customHeight="1">
      <c r="A761" s="95" t="s">
        <v>215</v>
      </c>
      <c r="B761" s="96">
        <v>2.0</v>
      </c>
    </row>
    <row r="762" ht="12.75" customHeight="1">
      <c r="A762" s="95" t="s">
        <v>215</v>
      </c>
      <c r="B762" s="96">
        <v>4.0</v>
      </c>
    </row>
    <row r="763" ht="12.75" customHeight="1">
      <c r="A763" s="95" t="s">
        <v>215</v>
      </c>
      <c r="B763" s="96">
        <v>6.0</v>
      </c>
    </row>
    <row r="764" ht="12.75" customHeight="1">
      <c r="A764" s="95" t="s">
        <v>215</v>
      </c>
      <c r="B764" s="96">
        <v>8.0</v>
      </c>
    </row>
    <row r="765" ht="12.75" customHeight="1">
      <c r="A765" s="95" t="s">
        <v>215</v>
      </c>
      <c r="B765" s="96">
        <v>10.0</v>
      </c>
    </row>
    <row r="766" ht="12.75" customHeight="1">
      <c r="A766" s="95" t="s">
        <v>215</v>
      </c>
      <c r="B766" s="96">
        <v>12.0</v>
      </c>
    </row>
    <row r="767" ht="12.75" customHeight="1">
      <c r="A767" s="95" t="s">
        <v>215</v>
      </c>
      <c r="B767" s="96">
        <v>32.0</v>
      </c>
    </row>
    <row r="768" ht="12.75" customHeight="1">
      <c r="A768" s="95" t="s">
        <v>215</v>
      </c>
      <c r="B768" s="96">
        <v>33.0</v>
      </c>
    </row>
    <row r="769" ht="12.75" customHeight="1">
      <c r="A769" s="95" t="s">
        <v>215</v>
      </c>
      <c r="B769" s="96">
        <v>34.0</v>
      </c>
    </row>
    <row r="770" ht="12.75" customHeight="1">
      <c r="A770" s="95" t="s">
        <v>215</v>
      </c>
      <c r="B770" s="96">
        <v>14.0</v>
      </c>
    </row>
    <row r="771" ht="12.75" customHeight="1">
      <c r="A771" s="95" t="s">
        <v>215</v>
      </c>
      <c r="B771" s="96" t="s">
        <v>835</v>
      </c>
    </row>
    <row r="772" ht="12.75" customHeight="1">
      <c r="A772" s="95" t="s">
        <v>215</v>
      </c>
      <c r="B772" s="96">
        <v>16.0</v>
      </c>
    </row>
    <row r="773" ht="12.75" customHeight="1">
      <c r="A773" s="95" t="s">
        <v>215</v>
      </c>
      <c r="B773" s="96" t="s">
        <v>836</v>
      </c>
    </row>
    <row r="774" ht="12.75" customHeight="1">
      <c r="A774" s="95" t="s">
        <v>215</v>
      </c>
      <c r="B774" s="96">
        <v>18.0</v>
      </c>
    </row>
    <row r="775" ht="12.75" customHeight="1">
      <c r="A775" s="95" t="s">
        <v>215</v>
      </c>
      <c r="B775" s="96" t="s">
        <v>837</v>
      </c>
    </row>
    <row r="776" ht="12.75" customHeight="1">
      <c r="A776" s="95" t="s">
        <v>215</v>
      </c>
      <c r="B776" s="96">
        <v>20.0</v>
      </c>
    </row>
    <row r="777" ht="12.75" customHeight="1">
      <c r="A777" s="95" t="s">
        <v>215</v>
      </c>
      <c r="B777" s="96" t="s">
        <v>838</v>
      </c>
    </row>
    <row r="778" ht="12.75" customHeight="1">
      <c r="A778" s="95" t="s">
        <v>215</v>
      </c>
      <c r="B778" s="96">
        <v>22.0</v>
      </c>
    </row>
    <row r="779" ht="12.75" customHeight="1">
      <c r="A779" s="95" t="s">
        <v>215</v>
      </c>
      <c r="B779" s="96" t="s">
        <v>839</v>
      </c>
    </row>
    <row r="780" ht="12.75" customHeight="1">
      <c r="A780" s="95" t="s">
        <v>215</v>
      </c>
      <c r="B780" s="96" t="s">
        <v>1213</v>
      </c>
    </row>
    <row r="781" ht="12.75" customHeight="1">
      <c r="A781" s="95" t="s">
        <v>215</v>
      </c>
      <c r="B781" s="96" t="s">
        <v>840</v>
      </c>
    </row>
    <row r="782" ht="12.75" customHeight="1">
      <c r="A782" s="95" t="s">
        <v>215</v>
      </c>
      <c r="B782" s="96" t="s">
        <v>1214</v>
      </c>
    </row>
    <row r="783" ht="12.75" customHeight="1">
      <c r="A783" s="95" t="s">
        <v>215</v>
      </c>
      <c r="B783" s="96" t="s">
        <v>841</v>
      </c>
    </row>
    <row r="784" ht="12.75" customHeight="1">
      <c r="A784" s="95" t="s">
        <v>215</v>
      </c>
      <c r="B784" s="96" t="s">
        <v>1215</v>
      </c>
    </row>
    <row r="785" ht="12.75" customHeight="1">
      <c r="A785" s="95" t="s">
        <v>215</v>
      </c>
      <c r="B785" s="96" t="s">
        <v>842</v>
      </c>
    </row>
    <row r="786" ht="12.75" customHeight="1">
      <c r="A786" s="95" t="s">
        <v>215</v>
      </c>
      <c r="B786" s="96" t="s">
        <v>1216</v>
      </c>
    </row>
    <row r="787" ht="12.75" customHeight="1">
      <c r="A787" s="95" t="s">
        <v>215</v>
      </c>
      <c r="B787" s="96" t="s">
        <v>843</v>
      </c>
    </row>
    <row r="788" ht="12.75" customHeight="1">
      <c r="A788" s="95" t="s">
        <v>215</v>
      </c>
      <c r="B788" s="96" t="s">
        <v>1217</v>
      </c>
    </row>
    <row r="789" ht="12.75" customHeight="1">
      <c r="A789" s="95" t="s">
        <v>215</v>
      </c>
      <c r="B789" s="96" t="s">
        <v>844</v>
      </c>
    </row>
    <row r="790" ht="12.75" customHeight="1">
      <c r="A790" s="95" t="s">
        <v>215</v>
      </c>
      <c r="B790" s="96" t="s">
        <v>1243</v>
      </c>
    </row>
    <row r="791" ht="12.75" customHeight="1">
      <c r="A791" s="95" t="s">
        <v>215</v>
      </c>
      <c r="B791" s="96" t="s">
        <v>1244</v>
      </c>
    </row>
    <row r="792" ht="12.75" customHeight="1">
      <c r="A792" s="95" t="s">
        <v>215</v>
      </c>
      <c r="B792" s="96" t="s">
        <v>1245</v>
      </c>
    </row>
    <row r="793" ht="12.75" customHeight="1">
      <c r="A793" s="95" t="s">
        <v>215</v>
      </c>
      <c r="B793" s="96" t="s">
        <v>1246</v>
      </c>
    </row>
    <row r="794" ht="12.75" customHeight="1">
      <c r="A794" s="95" t="s">
        <v>215</v>
      </c>
      <c r="B794" s="96" t="s">
        <v>1247</v>
      </c>
    </row>
    <row r="795" ht="12.75" customHeight="1">
      <c r="A795" s="95" t="s">
        <v>215</v>
      </c>
      <c r="B795" s="96" t="s">
        <v>1248</v>
      </c>
    </row>
    <row r="796" ht="12.75" customHeight="1">
      <c r="A796" s="95" t="s">
        <v>215</v>
      </c>
      <c r="B796" s="96" t="s">
        <v>1249</v>
      </c>
    </row>
    <row r="797" ht="12.75" customHeight="1">
      <c r="A797" s="95" t="s">
        <v>215</v>
      </c>
      <c r="B797" s="96" t="s">
        <v>1250</v>
      </c>
    </row>
    <row r="798" ht="12.75" customHeight="1">
      <c r="A798" s="95" t="s">
        <v>215</v>
      </c>
      <c r="B798" s="96" t="s">
        <v>1251</v>
      </c>
    </row>
    <row r="799" ht="12.75" customHeight="1">
      <c r="A799" s="95" t="s">
        <v>215</v>
      </c>
      <c r="B799" s="96" t="s">
        <v>1252</v>
      </c>
    </row>
    <row r="800" ht="12.75" customHeight="1">
      <c r="A800" s="95" t="s">
        <v>215</v>
      </c>
      <c r="B800" s="96" t="s">
        <v>1253</v>
      </c>
    </row>
    <row r="801" ht="12.75" customHeight="1">
      <c r="A801" s="95" t="s">
        <v>215</v>
      </c>
      <c r="B801" s="96" t="s">
        <v>1254</v>
      </c>
    </row>
    <row r="802" ht="12.75" customHeight="1">
      <c r="A802" s="95" t="s">
        <v>215</v>
      </c>
      <c r="B802" s="96" t="s">
        <v>908</v>
      </c>
    </row>
    <row r="803" ht="12.75" customHeight="1">
      <c r="A803" s="95" t="s">
        <v>215</v>
      </c>
      <c r="B803" s="96" t="s">
        <v>909</v>
      </c>
    </row>
    <row r="804" ht="12.75" customHeight="1">
      <c r="A804" s="95" t="s">
        <v>215</v>
      </c>
      <c r="B804" s="96" t="s">
        <v>910</v>
      </c>
    </row>
    <row r="805" ht="12.75" customHeight="1">
      <c r="A805" s="95" t="s">
        <v>215</v>
      </c>
      <c r="B805" s="96" t="s">
        <v>911</v>
      </c>
    </row>
    <row r="806" ht="12.75" customHeight="1">
      <c r="A806" s="95" t="s">
        <v>215</v>
      </c>
      <c r="B806" s="96" t="s">
        <v>912</v>
      </c>
    </row>
    <row r="807" ht="12.75" customHeight="1">
      <c r="A807" s="95" t="s">
        <v>215</v>
      </c>
      <c r="B807" s="96" t="s">
        <v>913</v>
      </c>
    </row>
    <row r="808" ht="12.75" customHeight="1">
      <c r="A808" s="95" t="s">
        <v>215</v>
      </c>
      <c r="B808" s="96" t="s">
        <v>914</v>
      </c>
    </row>
    <row r="809" ht="12.75" customHeight="1">
      <c r="A809" s="95" t="s">
        <v>215</v>
      </c>
      <c r="B809" s="96" t="s">
        <v>915</v>
      </c>
    </row>
    <row r="810" ht="12.75" customHeight="1">
      <c r="A810" s="95" t="s">
        <v>215</v>
      </c>
      <c r="B810" s="96" t="s">
        <v>916</v>
      </c>
    </row>
    <row r="811" ht="12.75" customHeight="1">
      <c r="A811" s="95" t="s">
        <v>215</v>
      </c>
      <c r="B811" s="96" t="s">
        <v>917</v>
      </c>
    </row>
    <row r="812" ht="12.75" customHeight="1">
      <c r="A812" s="95" t="s">
        <v>215</v>
      </c>
      <c r="B812" s="96" t="s">
        <v>918</v>
      </c>
    </row>
    <row r="813" ht="12.75" customHeight="1">
      <c r="A813" s="95" t="s">
        <v>215</v>
      </c>
      <c r="B813" s="96" t="s">
        <v>984</v>
      </c>
    </row>
    <row r="814" ht="12.75" customHeight="1">
      <c r="A814" s="95" t="s">
        <v>215</v>
      </c>
      <c r="B814" s="96" t="s">
        <v>985</v>
      </c>
    </row>
    <row r="815" ht="12.75" customHeight="1">
      <c r="A815" s="95" t="s">
        <v>215</v>
      </c>
      <c r="B815" s="96" t="s">
        <v>986</v>
      </c>
    </row>
    <row r="816" ht="12.75" customHeight="1">
      <c r="A816" s="95" t="s">
        <v>215</v>
      </c>
      <c r="B816" s="96" t="s">
        <v>987</v>
      </c>
    </row>
    <row r="817" ht="12.75" customHeight="1">
      <c r="A817" s="95" t="s">
        <v>215</v>
      </c>
      <c r="B817" s="96" t="s">
        <v>988</v>
      </c>
    </row>
    <row r="818" ht="12.75" customHeight="1">
      <c r="A818" s="95" t="s">
        <v>215</v>
      </c>
      <c r="B818" s="96" t="s">
        <v>989</v>
      </c>
    </row>
    <row r="819" ht="12.75" customHeight="1">
      <c r="A819" s="95" t="s">
        <v>215</v>
      </c>
      <c r="B819" s="96" t="s">
        <v>990</v>
      </c>
    </row>
    <row r="820" ht="12.75" customHeight="1">
      <c r="A820" s="95" t="s">
        <v>215</v>
      </c>
      <c r="B820" s="96" t="s">
        <v>991</v>
      </c>
    </row>
    <row r="821" ht="12.75" customHeight="1">
      <c r="A821" s="95" t="s">
        <v>215</v>
      </c>
      <c r="B821" s="96" t="s">
        <v>992</v>
      </c>
    </row>
    <row r="822" ht="12.75" customHeight="1">
      <c r="A822" s="95" t="s">
        <v>215</v>
      </c>
      <c r="B822" s="96" t="s">
        <v>993</v>
      </c>
    </row>
    <row r="823" ht="12.75" customHeight="1">
      <c r="A823" s="95" t="s">
        <v>215</v>
      </c>
      <c r="B823" s="96" t="s">
        <v>994</v>
      </c>
    </row>
    <row r="824" ht="12.75" customHeight="1">
      <c r="A824" s="95" t="s">
        <v>215</v>
      </c>
      <c r="B824" s="96" t="s">
        <v>1290</v>
      </c>
    </row>
    <row r="825" ht="12.75" customHeight="1">
      <c r="A825" s="95" t="s">
        <v>215</v>
      </c>
      <c r="B825" s="96" t="s">
        <v>1078</v>
      </c>
    </row>
    <row r="826" ht="12.75" customHeight="1">
      <c r="A826" s="95" t="s">
        <v>215</v>
      </c>
      <c r="B826" s="96" t="s">
        <v>1291</v>
      </c>
    </row>
    <row r="827" ht="12.75" customHeight="1">
      <c r="A827" s="95" t="s">
        <v>215</v>
      </c>
      <c r="B827" s="96" t="s">
        <v>1080</v>
      </c>
    </row>
    <row r="828" ht="12.75" customHeight="1">
      <c r="A828" s="95" t="s">
        <v>215</v>
      </c>
      <c r="B828" s="96" t="s">
        <v>1292</v>
      </c>
    </row>
    <row r="829" ht="12.75" customHeight="1">
      <c r="A829" s="95" t="s">
        <v>215</v>
      </c>
      <c r="B829" s="96" t="s">
        <v>1082</v>
      </c>
    </row>
    <row r="830" ht="12.75" customHeight="1">
      <c r="A830" s="95" t="s">
        <v>215</v>
      </c>
      <c r="B830" s="96" t="s">
        <v>1293</v>
      </c>
    </row>
    <row r="831" ht="12.75" customHeight="1">
      <c r="A831" s="95" t="s">
        <v>215</v>
      </c>
      <c r="B831" s="96" t="s">
        <v>1084</v>
      </c>
    </row>
    <row r="832" ht="12.75" customHeight="1">
      <c r="A832" s="95" t="s">
        <v>215</v>
      </c>
      <c r="B832" s="96" t="s">
        <v>1294</v>
      </c>
    </row>
    <row r="833" ht="12.75" customHeight="1">
      <c r="A833" s="95" t="s">
        <v>215</v>
      </c>
      <c r="B833" s="96" t="s">
        <v>1054</v>
      </c>
    </row>
    <row r="834" ht="12.75" customHeight="1">
      <c r="A834" s="95" t="s">
        <v>215</v>
      </c>
      <c r="B834" s="96" t="s">
        <v>1055</v>
      </c>
    </row>
    <row r="835" ht="12.75" customHeight="1">
      <c r="A835" s="95" t="s">
        <v>215</v>
      </c>
      <c r="B835" s="96" t="s">
        <v>1056</v>
      </c>
    </row>
    <row r="836" ht="12.75" customHeight="1">
      <c r="A836" s="95" t="s">
        <v>215</v>
      </c>
      <c r="B836" s="96" t="s">
        <v>1057</v>
      </c>
    </row>
    <row r="837" ht="12.75" customHeight="1">
      <c r="A837" s="95" t="s">
        <v>215</v>
      </c>
      <c r="B837" s="96" t="s">
        <v>1058</v>
      </c>
    </row>
    <row r="838" ht="12.75" customHeight="1">
      <c r="A838" s="95" t="s">
        <v>215</v>
      </c>
      <c r="B838" s="96" t="s">
        <v>1059</v>
      </c>
    </row>
    <row r="839" ht="12.75" customHeight="1">
      <c r="A839" s="95" t="s">
        <v>215</v>
      </c>
      <c r="B839" s="96" t="s">
        <v>1060</v>
      </c>
    </row>
    <row r="840" ht="12.75" customHeight="1">
      <c r="A840" s="95" t="s">
        <v>215</v>
      </c>
      <c r="B840" s="96" t="s">
        <v>1061</v>
      </c>
    </row>
    <row r="841" ht="12.75" customHeight="1">
      <c r="A841" s="95" t="s">
        <v>215</v>
      </c>
      <c r="B841" s="96" t="s">
        <v>1086</v>
      </c>
    </row>
    <row r="842" ht="12.75" customHeight="1">
      <c r="A842" s="95" t="s">
        <v>215</v>
      </c>
      <c r="B842" s="96" t="s">
        <v>1295</v>
      </c>
    </row>
    <row r="843" ht="12.75" customHeight="1">
      <c r="A843" s="95" t="s">
        <v>215</v>
      </c>
      <c r="B843" s="96" t="s">
        <v>1296</v>
      </c>
    </row>
    <row r="844" ht="12.75" customHeight="1">
      <c r="A844" s="95" t="s">
        <v>215</v>
      </c>
      <c r="B844" s="96" t="s">
        <v>1068</v>
      </c>
    </row>
    <row r="845" ht="12.75" customHeight="1">
      <c r="A845" s="95" t="s">
        <v>215</v>
      </c>
      <c r="B845" s="96" t="s">
        <v>1069</v>
      </c>
    </row>
    <row r="846" ht="12.75" customHeight="1">
      <c r="A846" s="95" t="s">
        <v>215</v>
      </c>
      <c r="B846" s="96" t="s">
        <v>1070</v>
      </c>
    </row>
    <row r="847" ht="12.75" customHeight="1">
      <c r="A847" s="95" t="s">
        <v>215</v>
      </c>
      <c r="B847" s="96" t="s">
        <v>1071</v>
      </c>
    </row>
    <row r="848" ht="12.75" customHeight="1">
      <c r="A848" s="95" t="s">
        <v>215</v>
      </c>
      <c r="B848" s="96" t="s">
        <v>1072</v>
      </c>
    </row>
    <row r="849" ht="12.75" customHeight="1">
      <c r="A849" s="95" t="s">
        <v>215</v>
      </c>
      <c r="B849" s="96" t="s">
        <v>1073</v>
      </c>
    </row>
    <row r="850" ht="12.75" customHeight="1">
      <c r="A850" s="95" t="s">
        <v>215</v>
      </c>
      <c r="B850" s="96" t="s">
        <v>1074</v>
      </c>
    </row>
    <row r="851" ht="12.75" customHeight="1">
      <c r="A851" s="95" t="s">
        <v>215</v>
      </c>
      <c r="B851" s="96" t="s">
        <v>1075</v>
      </c>
    </row>
    <row r="852" ht="12.75" customHeight="1">
      <c r="A852" s="95" t="s">
        <v>215</v>
      </c>
      <c r="B852" s="96" t="s">
        <v>1076</v>
      </c>
    </row>
    <row r="853" ht="12.75" customHeight="1">
      <c r="A853" s="95" t="s">
        <v>215</v>
      </c>
      <c r="B853" s="96" t="s">
        <v>1077</v>
      </c>
    </row>
    <row r="854" ht="12.75" customHeight="1">
      <c r="A854" s="95" t="s">
        <v>215</v>
      </c>
      <c r="B854" s="96" t="s">
        <v>1297</v>
      </c>
    </row>
    <row r="855" ht="12.75" customHeight="1">
      <c r="A855" s="95" t="s">
        <v>215</v>
      </c>
      <c r="B855" s="96" t="s">
        <v>1079</v>
      </c>
    </row>
    <row r="856" ht="12.75" customHeight="1">
      <c r="A856" s="95" t="s">
        <v>215</v>
      </c>
      <c r="B856" s="96" t="s">
        <v>1298</v>
      </c>
    </row>
    <row r="857" ht="12.75" customHeight="1">
      <c r="A857" s="95" t="s">
        <v>215</v>
      </c>
      <c r="B857" s="96" t="s">
        <v>1081</v>
      </c>
    </row>
    <row r="858" ht="12.75" customHeight="1">
      <c r="A858" s="95" t="s">
        <v>215</v>
      </c>
      <c r="B858" s="96" t="s">
        <v>1299</v>
      </c>
    </row>
    <row r="859" ht="12.75" customHeight="1">
      <c r="A859" s="95" t="s">
        <v>215</v>
      </c>
      <c r="B859" s="96" t="s">
        <v>1083</v>
      </c>
    </row>
    <row r="860" ht="12.75" customHeight="1">
      <c r="A860" s="95" t="s">
        <v>215</v>
      </c>
      <c r="B860" s="96" t="s">
        <v>1300</v>
      </c>
    </row>
    <row r="861" ht="12.75" customHeight="1">
      <c r="A861" s="95" t="s">
        <v>215</v>
      </c>
      <c r="B861" s="96" t="s">
        <v>1085</v>
      </c>
    </row>
    <row r="862" ht="12.75" customHeight="1">
      <c r="A862" s="95" t="s">
        <v>215</v>
      </c>
      <c r="B862" s="96" t="s">
        <v>1301</v>
      </c>
    </row>
    <row r="863" ht="12.75" customHeight="1">
      <c r="A863" s="95" t="s">
        <v>215</v>
      </c>
      <c r="B863" s="96" t="s">
        <v>1087</v>
      </c>
    </row>
    <row r="864" ht="12.75" customHeight="1">
      <c r="A864" s="95" t="s">
        <v>225</v>
      </c>
      <c r="B864" s="96">
        <v>23.0</v>
      </c>
    </row>
    <row r="865" ht="12.75" customHeight="1">
      <c r="A865" s="95" t="s">
        <v>225</v>
      </c>
      <c r="B865" s="96">
        <v>24.0</v>
      </c>
    </row>
    <row r="866" ht="12.75" customHeight="1">
      <c r="A866" s="95" t="s">
        <v>225</v>
      </c>
      <c r="B866" s="96">
        <v>25.0</v>
      </c>
    </row>
    <row r="867" ht="12.75" customHeight="1">
      <c r="A867" s="95" t="s">
        <v>225</v>
      </c>
      <c r="B867" s="96">
        <v>26.0</v>
      </c>
    </row>
    <row r="868" ht="12.75" customHeight="1">
      <c r="A868" s="95" t="s">
        <v>225</v>
      </c>
      <c r="B868" s="96">
        <v>27.0</v>
      </c>
    </row>
    <row r="869" ht="12.75" customHeight="1">
      <c r="A869" s="95" t="s">
        <v>225</v>
      </c>
      <c r="B869" s="96">
        <v>28.0</v>
      </c>
    </row>
    <row r="870" ht="12.75" customHeight="1">
      <c r="A870" s="95" t="s">
        <v>225</v>
      </c>
      <c r="B870" s="96">
        <v>29.0</v>
      </c>
    </row>
    <row r="871" ht="12.75" customHeight="1">
      <c r="A871" s="95" t="s">
        <v>225</v>
      </c>
      <c r="B871" s="96">
        <v>30.0</v>
      </c>
    </row>
    <row r="872" ht="12.75" customHeight="1">
      <c r="A872" s="95" t="s">
        <v>225</v>
      </c>
      <c r="B872" s="96">
        <v>31.0</v>
      </c>
    </row>
    <row r="873" ht="12.75" customHeight="1">
      <c r="A873" s="95" t="s">
        <v>225</v>
      </c>
      <c r="B873" s="96">
        <v>0.0</v>
      </c>
    </row>
    <row r="874" ht="12.75" customHeight="1">
      <c r="A874" s="95" t="s">
        <v>225</v>
      </c>
      <c r="B874" s="96">
        <v>0.0</v>
      </c>
    </row>
    <row r="875" ht="12.75" customHeight="1">
      <c r="A875" s="95" t="s">
        <v>225</v>
      </c>
      <c r="B875" s="96">
        <v>2.0</v>
      </c>
    </row>
    <row r="876" ht="12.75" customHeight="1">
      <c r="A876" s="95" t="s">
        <v>225</v>
      </c>
      <c r="B876" s="96">
        <v>4.0</v>
      </c>
    </row>
    <row r="877" ht="12.75" customHeight="1">
      <c r="A877" s="95" t="s">
        <v>225</v>
      </c>
      <c r="B877" s="96">
        <v>6.0</v>
      </c>
    </row>
    <row r="878" ht="12.75" customHeight="1">
      <c r="A878" s="95" t="s">
        <v>225</v>
      </c>
      <c r="B878" s="96">
        <v>8.0</v>
      </c>
    </row>
    <row r="879" ht="12.75" customHeight="1">
      <c r="A879" s="95" t="s">
        <v>225</v>
      </c>
      <c r="B879" s="96">
        <v>10.0</v>
      </c>
    </row>
    <row r="880" ht="12.75" customHeight="1">
      <c r="A880" s="95" t="s">
        <v>225</v>
      </c>
      <c r="B880" s="96">
        <v>12.0</v>
      </c>
    </row>
    <row r="881" ht="12.75" customHeight="1">
      <c r="A881" s="95" t="s">
        <v>225</v>
      </c>
      <c r="B881" s="96" t="s">
        <v>803</v>
      </c>
    </row>
    <row r="882" ht="12.75" customHeight="1">
      <c r="A882" s="95" t="s">
        <v>225</v>
      </c>
      <c r="B882" s="96" t="s">
        <v>804</v>
      </c>
    </row>
    <row r="883" ht="12.75" customHeight="1">
      <c r="A883" s="95" t="s">
        <v>225</v>
      </c>
      <c r="B883" s="96" t="s">
        <v>76</v>
      </c>
    </row>
    <row r="884" ht="12.75" customHeight="1">
      <c r="A884" s="95" t="s">
        <v>225</v>
      </c>
      <c r="B884" s="96" t="s">
        <v>80</v>
      </c>
    </row>
    <row r="885" ht="12.75" customHeight="1">
      <c r="A885" s="95" t="s">
        <v>225</v>
      </c>
      <c r="B885" s="96" t="s">
        <v>83</v>
      </c>
    </row>
    <row r="886" ht="12.75" customHeight="1">
      <c r="A886" s="95" t="s">
        <v>225</v>
      </c>
      <c r="B886" s="96" t="s">
        <v>85</v>
      </c>
    </row>
    <row r="887" ht="12.75" customHeight="1">
      <c r="A887" s="95" t="s">
        <v>225</v>
      </c>
      <c r="B887" s="96">
        <v>32.0</v>
      </c>
    </row>
    <row r="888" ht="12.75" customHeight="1">
      <c r="A888" s="95" t="s">
        <v>225</v>
      </c>
      <c r="B888" s="96">
        <v>33.0</v>
      </c>
    </row>
    <row r="889" ht="12.75" customHeight="1">
      <c r="A889" s="95" t="s">
        <v>225</v>
      </c>
      <c r="B889" s="96">
        <v>34.0</v>
      </c>
    </row>
    <row r="890" ht="12.75" customHeight="1">
      <c r="A890" s="95" t="s">
        <v>225</v>
      </c>
      <c r="B890" s="96">
        <v>14.0</v>
      </c>
    </row>
    <row r="891" ht="12.75" customHeight="1">
      <c r="A891" s="95" t="s">
        <v>225</v>
      </c>
      <c r="B891" s="96" t="s">
        <v>835</v>
      </c>
    </row>
    <row r="892" ht="12.75" customHeight="1">
      <c r="A892" s="95" t="s">
        <v>225</v>
      </c>
      <c r="B892" s="96">
        <v>16.0</v>
      </c>
    </row>
    <row r="893" ht="12.75" customHeight="1">
      <c r="A893" s="95" t="s">
        <v>225</v>
      </c>
      <c r="B893" s="96" t="s">
        <v>836</v>
      </c>
    </row>
    <row r="894" ht="12.75" customHeight="1">
      <c r="A894" s="95" t="s">
        <v>225</v>
      </c>
      <c r="B894" s="96">
        <v>18.0</v>
      </c>
    </row>
    <row r="895" ht="12.75" customHeight="1">
      <c r="A895" s="95" t="s">
        <v>225</v>
      </c>
      <c r="B895" s="96" t="s">
        <v>837</v>
      </c>
    </row>
    <row r="896" ht="12.75" customHeight="1">
      <c r="A896" s="95" t="s">
        <v>225</v>
      </c>
      <c r="B896" s="96">
        <v>20.0</v>
      </c>
    </row>
    <row r="897" ht="12.75" customHeight="1">
      <c r="A897" s="95" t="s">
        <v>225</v>
      </c>
      <c r="B897" s="96" t="s">
        <v>838</v>
      </c>
    </row>
    <row r="898" ht="12.75" customHeight="1">
      <c r="A898" s="95" t="s">
        <v>225</v>
      </c>
      <c r="B898" s="96">
        <v>22.0</v>
      </c>
    </row>
    <row r="899" ht="12.75" customHeight="1">
      <c r="A899" s="95" t="s">
        <v>225</v>
      </c>
      <c r="B899" s="96" t="s">
        <v>839</v>
      </c>
    </row>
    <row r="900" ht="12.75" customHeight="1">
      <c r="A900" s="95" t="s">
        <v>225</v>
      </c>
      <c r="B900" s="96" t="s">
        <v>1213</v>
      </c>
    </row>
    <row r="901" ht="12.75" customHeight="1">
      <c r="A901" s="95" t="s">
        <v>225</v>
      </c>
      <c r="B901" s="96" t="s">
        <v>840</v>
      </c>
    </row>
    <row r="902" ht="12.75" customHeight="1">
      <c r="A902" s="95" t="s">
        <v>225</v>
      </c>
      <c r="B902" s="96" t="s">
        <v>1214</v>
      </c>
    </row>
    <row r="903" ht="12.75" customHeight="1">
      <c r="A903" s="95" t="s">
        <v>225</v>
      </c>
      <c r="B903" s="96" t="s">
        <v>841</v>
      </c>
    </row>
    <row r="904" ht="12.75" customHeight="1">
      <c r="A904" s="95" t="s">
        <v>225</v>
      </c>
      <c r="B904" s="96" t="s">
        <v>1215</v>
      </c>
    </row>
    <row r="905" ht="12.75" customHeight="1">
      <c r="A905" s="95" t="s">
        <v>225</v>
      </c>
      <c r="B905" s="96" t="s">
        <v>842</v>
      </c>
    </row>
    <row r="906" ht="12.75" customHeight="1">
      <c r="A906" s="95" t="s">
        <v>225</v>
      </c>
      <c r="B906" s="96" t="s">
        <v>1216</v>
      </c>
    </row>
    <row r="907" ht="12.75" customHeight="1">
      <c r="A907" s="95" t="s">
        <v>225</v>
      </c>
      <c r="B907" s="96" t="s">
        <v>843</v>
      </c>
    </row>
    <row r="908" ht="12.75" customHeight="1">
      <c r="A908" s="95" t="s">
        <v>225</v>
      </c>
      <c r="B908" s="96" t="s">
        <v>1217</v>
      </c>
    </row>
    <row r="909" ht="12.75" customHeight="1">
      <c r="A909" s="95" t="s">
        <v>225</v>
      </c>
      <c r="B909" s="96" t="s">
        <v>844</v>
      </c>
    </row>
    <row r="910" ht="12.75" customHeight="1">
      <c r="A910" s="95" t="s">
        <v>225</v>
      </c>
      <c r="B910" s="96" t="s">
        <v>845</v>
      </c>
    </row>
    <row r="911" ht="12.75" customHeight="1">
      <c r="A911" s="95" t="s">
        <v>225</v>
      </c>
      <c r="B911" s="96" t="s">
        <v>846</v>
      </c>
    </row>
    <row r="912" ht="12.75" customHeight="1">
      <c r="A912" s="95" t="s">
        <v>225</v>
      </c>
      <c r="B912" s="96" t="s">
        <v>847</v>
      </c>
    </row>
    <row r="913" ht="12.75" customHeight="1">
      <c r="A913" s="95" t="s">
        <v>225</v>
      </c>
      <c r="B913" s="96" t="s">
        <v>848</v>
      </c>
    </row>
    <row r="914" ht="12.75" customHeight="1">
      <c r="A914" s="95" t="s">
        <v>225</v>
      </c>
      <c r="B914" s="96" t="s">
        <v>849</v>
      </c>
    </row>
    <row r="915" ht="12.75" customHeight="1">
      <c r="A915" s="95" t="s">
        <v>225</v>
      </c>
      <c r="B915" s="96" t="s">
        <v>850</v>
      </c>
    </row>
    <row r="916" ht="12.75" customHeight="1">
      <c r="A916" s="95" t="s">
        <v>225</v>
      </c>
      <c r="B916" s="96" t="s">
        <v>851</v>
      </c>
    </row>
    <row r="917" ht="12.75" customHeight="1">
      <c r="A917" s="95" t="s">
        <v>225</v>
      </c>
      <c r="B917" s="96" t="s">
        <v>852</v>
      </c>
    </row>
    <row r="918" ht="12.75" customHeight="1">
      <c r="A918" s="95" t="s">
        <v>225</v>
      </c>
      <c r="B918" s="96" t="s">
        <v>1243</v>
      </c>
    </row>
    <row r="919" ht="12.75" customHeight="1">
      <c r="A919" s="95" t="s">
        <v>225</v>
      </c>
      <c r="B919" s="96" t="s">
        <v>1244</v>
      </c>
    </row>
    <row r="920" ht="12.75" customHeight="1">
      <c r="A920" s="95" t="s">
        <v>225</v>
      </c>
      <c r="B920" s="96" t="s">
        <v>1245</v>
      </c>
    </row>
    <row r="921" ht="12.75" customHeight="1">
      <c r="A921" s="95" t="s">
        <v>225</v>
      </c>
      <c r="B921" s="96" t="s">
        <v>1246</v>
      </c>
    </row>
    <row r="922" ht="12.75" customHeight="1">
      <c r="A922" s="95" t="s">
        <v>225</v>
      </c>
      <c r="B922" s="96" t="s">
        <v>1247</v>
      </c>
    </row>
    <row r="923" ht="12.75" customHeight="1">
      <c r="A923" s="95" t="s">
        <v>225</v>
      </c>
      <c r="B923" s="96" t="s">
        <v>1248</v>
      </c>
    </row>
    <row r="924" ht="12.75" customHeight="1">
      <c r="A924" s="95" t="s">
        <v>225</v>
      </c>
      <c r="B924" s="96" t="s">
        <v>1249</v>
      </c>
    </row>
    <row r="925" ht="12.75" customHeight="1">
      <c r="A925" s="95" t="s">
        <v>225</v>
      </c>
      <c r="B925" s="96" t="s">
        <v>1250</v>
      </c>
    </row>
    <row r="926" ht="12.75" customHeight="1">
      <c r="A926" s="95" t="s">
        <v>225</v>
      </c>
      <c r="B926" s="96" t="s">
        <v>1251</v>
      </c>
    </row>
    <row r="927" ht="12.75" customHeight="1">
      <c r="A927" s="95" t="s">
        <v>225</v>
      </c>
      <c r="B927" s="96" t="s">
        <v>1252</v>
      </c>
    </row>
    <row r="928" ht="12.75" customHeight="1">
      <c r="A928" s="95" t="s">
        <v>225</v>
      </c>
      <c r="B928" s="96" t="s">
        <v>1253</v>
      </c>
    </row>
    <row r="929" ht="12.75" customHeight="1">
      <c r="A929" s="95" t="s">
        <v>225</v>
      </c>
      <c r="B929" s="96" t="s">
        <v>1254</v>
      </c>
    </row>
    <row r="930" ht="12.75" customHeight="1">
      <c r="A930" s="95" t="s">
        <v>225</v>
      </c>
      <c r="B930" s="96" t="s">
        <v>908</v>
      </c>
    </row>
    <row r="931" ht="12.75" customHeight="1">
      <c r="A931" s="95" t="s">
        <v>225</v>
      </c>
      <c r="B931" s="96" t="s">
        <v>909</v>
      </c>
    </row>
    <row r="932" ht="12.75" customHeight="1">
      <c r="A932" s="95" t="s">
        <v>225</v>
      </c>
      <c r="B932" s="96" t="s">
        <v>910</v>
      </c>
    </row>
    <row r="933" ht="12.75" customHeight="1">
      <c r="A933" s="95" t="s">
        <v>225</v>
      </c>
      <c r="B933" s="96" t="s">
        <v>911</v>
      </c>
    </row>
    <row r="934" ht="12.75" customHeight="1">
      <c r="A934" s="95" t="s">
        <v>225</v>
      </c>
      <c r="B934" s="96" t="s">
        <v>912</v>
      </c>
    </row>
    <row r="935" ht="12.75" customHeight="1">
      <c r="A935" s="95" t="s">
        <v>225</v>
      </c>
      <c r="B935" s="96" t="s">
        <v>913</v>
      </c>
    </row>
    <row r="936" ht="12.75" customHeight="1">
      <c r="A936" s="95" t="s">
        <v>225</v>
      </c>
      <c r="B936" s="96" t="s">
        <v>914</v>
      </c>
    </row>
    <row r="937" ht="12.75" customHeight="1">
      <c r="A937" s="95" t="s">
        <v>225</v>
      </c>
      <c r="B937" s="96" t="s">
        <v>915</v>
      </c>
    </row>
    <row r="938" ht="12.75" customHeight="1">
      <c r="A938" s="95" t="s">
        <v>225</v>
      </c>
      <c r="B938" s="96" t="s">
        <v>916</v>
      </c>
    </row>
    <row r="939" ht="12.75" customHeight="1">
      <c r="A939" s="95" t="s">
        <v>225</v>
      </c>
      <c r="B939" s="96" t="s">
        <v>917</v>
      </c>
    </row>
    <row r="940" ht="12.75" customHeight="1">
      <c r="A940" s="95" t="s">
        <v>225</v>
      </c>
      <c r="B940" s="96" t="s">
        <v>918</v>
      </c>
    </row>
    <row r="941" ht="12.75" customHeight="1">
      <c r="A941" s="95" t="s">
        <v>225</v>
      </c>
      <c r="B941" s="96" t="s">
        <v>919</v>
      </c>
    </row>
    <row r="942" ht="12.75" customHeight="1">
      <c r="A942" s="95" t="s">
        <v>225</v>
      </c>
      <c r="B942" s="96" t="s">
        <v>920</v>
      </c>
    </row>
    <row r="943" ht="12.75" customHeight="1">
      <c r="A943" s="95" t="s">
        <v>225</v>
      </c>
      <c r="B943" s="96" t="s">
        <v>921</v>
      </c>
    </row>
    <row r="944" ht="12.75" customHeight="1">
      <c r="A944" s="95" t="s">
        <v>225</v>
      </c>
      <c r="B944" s="96" t="s">
        <v>922</v>
      </c>
    </row>
    <row r="945" ht="12.75" customHeight="1">
      <c r="A945" s="95" t="s">
        <v>225</v>
      </c>
      <c r="B945" s="96" t="s">
        <v>923</v>
      </c>
    </row>
    <row r="946" ht="12.75" customHeight="1">
      <c r="A946" s="95" t="s">
        <v>225</v>
      </c>
      <c r="B946" s="96" t="s">
        <v>924</v>
      </c>
    </row>
    <row r="947" ht="12.75" customHeight="1">
      <c r="A947" s="95" t="s">
        <v>225</v>
      </c>
      <c r="B947" s="96" t="s">
        <v>925</v>
      </c>
    </row>
    <row r="948" ht="12.75" customHeight="1">
      <c r="A948" s="95" t="s">
        <v>225</v>
      </c>
      <c r="B948" s="96" t="s">
        <v>984</v>
      </c>
    </row>
    <row r="949" ht="12.75" customHeight="1">
      <c r="A949" s="95" t="s">
        <v>225</v>
      </c>
      <c r="B949" s="96" t="s">
        <v>985</v>
      </c>
    </row>
    <row r="950" ht="12.75" customHeight="1">
      <c r="A950" s="95" t="s">
        <v>225</v>
      </c>
      <c r="B950" s="96" t="s">
        <v>986</v>
      </c>
    </row>
    <row r="951" ht="12.75" customHeight="1">
      <c r="A951" s="95" t="s">
        <v>225</v>
      </c>
      <c r="B951" s="96" t="s">
        <v>987</v>
      </c>
    </row>
    <row r="952" ht="12.75" customHeight="1">
      <c r="A952" s="95" t="s">
        <v>225</v>
      </c>
      <c r="B952" s="96" t="s">
        <v>988</v>
      </c>
    </row>
    <row r="953" ht="12.75" customHeight="1">
      <c r="A953" s="95" t="s">
        <v>225</v>
      </c>
      <c r="B953" s="96" t="s">
        <v>989</v>
      </c>
    </row>
    <row r="954" ht="12.75" customHeight="1">
      <c r="A954" s="95" t="s">
        <v>225</v>
      </c>
      <c r="B954" s="96" t="s">
        <v>990</v>
      </c>
    </row>
    <row r="955" ht="12.75" customHeight="1">
      <c r="A955" s="95" t="s">
        <v>225</v>
      </c>
      <c r="B955" s="96" t="s">
        <v>991</v>
      </c>
    </row>
    <row r="956" ht="12.75" customHeight="1">
      <c r="A956" s="95" t="s">
        <v>225</v>
      </c>
      <c r="B956" s="96" t="s">
        <v>992</v>
      </c>
    </row>
    <row r="957" ht="12.75" customHeight="1">
      <c r="A957" s="95" t="s">
        <v>225</v>
      </c>
      <c r="B957" s="96" t="s">
        <v>993</v>
      </c>
    </row>
    <row r="958" ht="12.75" customHeight="1">
      <c r="A958" s="95" t="s">
        <v>225</v>
      </c>
      <c r="B958" s="96" t="s">
        <v>994</v>
      </c>
    </row>
    <row r="959" ht="12.75" customHeight="1">
      <c r="A959" s="95" t="s">
        <v>225</v>
      </c>
      <c r="B959" s="96" t="s">
        <v>995</v>
      </c>
    </row>
    <row r="960" ht="12.75" customHeight="1">
      <c r="A960" s="95" t="s">
        <v>225</v>
      </c>
      <c r="B960" s="96" t="s">
        <v>996</v>
      </c>
    </row>
    <row r="961" ht="12.75" customHeight="1">
      <c r="A961" s="95" t="s">
        <v>225</v>
      </c>
      <c r="B961" s="96" t="s">
        <v>997</v>
      </c>
    </row>
    <row r="962" ht="12.75" customHeight="1">
      <c r="A962" s="95" t="s">
        <v>225</v>
      </c>
      <c r="B962" s="96" t="s">
        <v>998</v>
      </c>
    </row>
    <row r="963" ht="12.75" customHeight="1">
      <c r="A963" s="95" t="s">
        <v>225</v>
      </c>
      <c r="B963" s="96" t="s">
        <v>999</v>
      </c>
    </row>
    <row r="964" ht="12.75" customHeight="1">
      <c r="A964" s="95" t="s">
        <v>225</v>
      </c>
      <c r="B964" s="96" t="s">
        <v>1000</v>
      </c>
    </row>
    <row r="965" ht="12.75" customHeight="1">
      <c r="A965" s="95" t="s">
        <v>225</v>
      </c>
      <c r="B965" s="96" t="s">
        <v>1001</v>
      </c>
    </row>
    <row r="966" ht="12.75" customHeight="1">
      <c r="A966" s="95" t="s">
        <v>225</v>
      </c>
      <c r="B966" s="96" t="s">
        <v>1290</v>
      </c>
    </row>
    <row r="967" ht="12.75" customHeight="1">
      <c r="A967" s="95" t="s">
        <v>225</v>
      </c>
      <c r="B967" s="96" t="s">
        <v>1078</v>
      </c>
    </row>
    <row r="968" ht="12.75" customHeight="1">
      <c r="A968" s="95" t="s">
        <v>225</v>
      </c>
      <c r="B968" s="96" t="s">
        <v>1291</v>
      </c>
    </row>
    <row r="969" ht="12.75" customHeight="1">
      <c r="A969" s="95" t="s">
        <v>225</v>
      </c>
      <c r="B969" s="96" t="s">
        <v>1080</v>
      </c>
    </row>
    <row r="970" ht="12.75" customHeight="1">
      <c r="A970" s="95" t="s">
        <v>225</v>
      </c>
      <c r="B970" s="96" t="s">
        <v>1292</v>
      </c>
    </row>
    <row r="971" ht="12.75" customHeight="1">
      <c r="A971" s="95" t="s">
        <v>225</v>
      </c>
      <c r="B971" s="96" t="s">
        <v>1082</v>
      </c>
    </row>
    <row r="972" ht="12.75" customHeight="1">
      <c r="A972" s="95" t="s">
        <v>225</v>
      </c>
      <c r="B972" s="96" t="s">
        <v>1293</v>
      </c>
    </row>
    <row r="973" ht="12.75" customHeight="1">
      <c r="A973" s="95" t="s">
        <v>225</v>
      </c>
      <c r="B973" s="96" t="s">
        <v>1084</v>
      </c>
    </row>
    <row r="974" ht="12.75" customHeight="1">
      <c r="A974" s="95" t="s">
        <v>225</v>
      </c>
      <c r="B974" s="96" t="s">
        <v>1294</v>
      </c>
    </row>
    <row r="975" ht="12.75" customHeight="1">
      <c r="A975" s="95" t="s">
        <v>225</v>
      </c>
      <c r="B975" s="96" t="s">
        <v>1054</v>
      </c>
    </row>
    <row r="976" ht="12.75" customHeight="1">
      <c r="A976" s="95" t="s">
        <v>225</v>
      </c>
      <c r="B976" s="96" t="s">
        <v>1055</v>
      </c>
    </row>
    <row r="977" ht="12.75" customHeight="1">
      <c r="A977" s="95" t="s">
        <v>225</v>
      </c>
      <c r="B977" s="96" t="s">
        <v>1056</v>
      </c>
    </row>
    <row r="978" ht="12.75" customHeight="1">
      <c r="A978" s="95" t="s">
        <v>225</v>
      </c>
      <c r="B978" s="96" t="s">
        <v>1057</v>
      </c>
    </row>
    <row r="979" ht="12.75" customHeight="1">
      <c r="A979" s="95" t="s">
        <v>225</v>
      </c>
      <c r="B979" s="96" t="s">
        <v>1058</v>
      </c>
    </row>
    <row r="980" ht="12.75" customHeight="1">
      <c r="A980" s="95" t="s">
        <v>225</v>
      </c>
      <c r="B980" s="96" t="s">
        <v>1059</v>
      </c>
    </row>
    <row r="981" ht="12.75" customHeight="1">
      <c r="A981" s="95" t="s">
        <v>225</v>
      </c>
      <c r="B981" s="96" t="s">
        <v>1060</v>
      </c>
    </row>
    <row r="982" ht="12.75" customHeight="1">
      <c r="A982" s="95" t="s">
        <v>225</v>
      </c>
      <c r="B982" s="96" t="s">
        <v>1061</v>
      </c>
    </row>
    <row r="983" ht="12.75" customHeight="1">
      <c r="A983" s="95" t="s">
        <v>225</v>
      </c>
      <c r="B983" s="96" t="s">
        <v>1062</v>
      </c>
    </row>
    <row r="984" ht="12.75" customHeight="1">
      <c r="A984" s="95" t="s">
        <v>225</v>
      </c>
      <c r="B984" s="96" t="s">
        <v>1063</v>
      </c>
    </row>
    <row r="985" ht="12.75" customHeight="1">
      <c r="A985" s="95" t="s">
        <v>225</v>
      </c>
      <c r="B985" s="96" t="s">
        <v>1064</v>
      </c>
    </row>
    <row r="986" ht="12.75" customHeight="1">
      <c r="A986" s="95" t="s">
        <v>225</v>
      </c>
      <c r="B986" s="96" t="s">
        <v>1065</v>
      </c>
    </row>
    <row r="987" ht="12.75" customHeight="1">
      <c r="A987" s="95" t="s">
        <v>225</v>
      </c>
      <c r="B987" s="96" t="s">
        <v>1066</v>
      </c>
    </row>
    <row r="988" ht="12.75" customHeight="1">
      <c r="A988" s="95" t="s">
        <v>225</v>
      </c>
      <c r="B988" s="96" t="s">
        <v>1067</v>
      </c>
    </row>
    <row r="989" ht="12.75" customHeight="1">
      <c r="A989" s="95" t="s">
        <v>225</v>
      </c>
      <c r="B989" s="96" t="s">
        <v>1086</v>
      </c>
    </row>
    <row r="990" ht="12.75" customHeight="1">
      <c r="A990" s="95" t="s">
        <v>225</v>
      </c>
      <c r="B990" s="96" t="s">
        <v>1295</v>
      </c>
    </row>
    <row r="991" ht="12.75" customHeight="1">
      <c r="A991" s="95" t="s">
        <v>225</v>
      </c>
      <c r="B991" s="96" t="s">
        <v>1296</v>
      </c>
    </row>
    <row r="992" ht="12.75" customHeight="1">
      <c r="A992" s="95" t="s">
        <v>225</v>
      </c>
      <c r="B992" s="96" t="s">
        <v>1068</v>
      </c>
    </row>
    <row r="993" ht="12.75" customHeight="1">
      <c r="A993" s="95" t="s">
        <v>225</v>
      </c>
      <c r="B993" s="96" t="s">
        <v>1069</v>
      </c>
    </row>
    <row r="994" ht="12.75" customHeight="1">
      <c r="A994" s="95" t="s">
        <v>225</v>
      </c>
      <c r="B994" s="96" t="s">
        <v>1070</v>
      </c>
    </row>
    <row r="995" ht="12.75" customHeight="1">
      <c r="A995" s="95" t="s">
        <v>225</v>
      </c>
      <c r="B995" s="96" t="s">
        <v>1071</v>
      </c>
    </row>
    <row r="996" ht="12.75" customHeight="1">
      <c r="A996" s="95" t="s">
        <v>225</v>
      </c>
      <c r="B996" s="96" t="s">
        <v>1072</v>
      </c>
    </row>
    <row r="997" ht="12.75" customHeight="1">
      <c r="A997" s="95" t="s">
        <v>225</v>
      </c>
      <c r="B997" s="96" t="s">
        <v>1073</v>
      </c>
    </row>
    <row r="998" ht="12.75" customHeight="1">
      <c r="A998" s="95" t="s">
        <v>225</v>
      </c>
      <c r="B998" s="96" t="s">
        <v>1074</v>
      </c>
    </row>
    <row r="999" ht="12.75" customHeight="1">
      <c r="A999" s="95" t="s">
        <v>225</v>
      </c>
      <c r="B999" s="96" t="s">
        <v>1075</v>
      </c>
    </row>
    <row r="1000" ht="12.75" customHeight="1">
      <c r="A1000" s="95" t="s">
        <v>225</v>
      </c>
      <c r="B1000" s="96" t="s">
        <v>1076</v>
      </c>
    </row>
    <row r="1001" ht="12.75" customHeight="1">
      <c r="A1001" s="95" t="s">
        <v>225</v>
      </c>
      <c r="B1001" s="96" t="s">
        <v>1077</v>
      </c>
    </row>
    <row r="1002" ht="12.75" customHeight="1">
      <c r="A1002" s="95" t="s">
        <v>225</v>
      </c>
      <c r="B1002" s="96" t="s">
        <v>1297</v>
      </c>
    </row>
    <row r="1003" ht="12.75" customHeight="1">
      <c r="A1003" s="95" t="s">
        <v>225</v>
      </c>
      <c r="B1003" s="96" t="s">
        <v>1079</v>
      </c>
    </row>
    <row r="1004" ht="12.75" customHeight="1">
      <c r="A1004" s="95" t="s">
        <v>225</v>
      </c>
      <c r="B1004" s="96" t="s">
        <v>1298</v>
      </c>
    </row>
    <row r="1005" ht="12.75" customHeight="1">
      <c r="A1005" s="95" t="s">
        <v>225</v>
      </c>
      <c r="B1005" s="96" t="s">
        <v>1081</v>
      </c>
    </row>
    <row r="1006" ht="12.75" customHeight="1">
      <c r="A1006" s="95" t="s">
        <v>225</v>
      </c>
      <c r="B1006" s="96" t="s">
        <v>1299</v>
      </c>
    </row>
    <row r="1007" ht="12.75" customHeight="1">
      <c r="A1007" s="95" t="s">
        <v>225</v>
      </c>
      <c r="B1007" s="96" t="s">
        <v>1083</v>
      </c>
    </row>
    <row r="1008" ht="12.75" customHeight="1">
      <c r="A1008" s="95" t="s">
        <v>225</v>
      </c>
      <c r="B1008" s="96" t="s">
        <v>1300</v>
      </c>
    </row>
    <row r="1009" ht="12.75" customHeight="1">
      <c r="A1009" s="95" t="s">
        <v>225</v>
      </c>
      <c r="B1009" s="96" t="s">
        <v>1085</v>
      </c>
    </row>
    <row r="1010" ht="12.75" customHeight="1">
      <c r="A1010" s="95" t="s">
        <v>225</v>
      </c>
      <c r="B1010" s="96" t="s">
        <v>1301</v>
      </c>
    </row>
    <row r="1011" ht="12.75" customHeight="1">
      <c r="A1011" s="95" t="s">
        <v>225</v>
      </c>
      <c r="B1011" s="96" t="s">
        <v>1087</v>
      </c>
    </row>
    <row r="1012" ht="12.75" customHeight="1">
      <c r="A1012" s="95" t="s">
        <v>225</v>
      </c>
      <c r="B1012" s="96" t="s">
        <v>1088</v>
      </c>
    </row>
    <row r="1013" ht="12.75" customHeight="1">
      <c r="A1013" s="95" t="s">
        <v>225</v>
      </c>
      <c r="B1013" s="96" t="s">
        <v>1089</v>
      </c>
    </row>
    <row r="1014" ht="12.75" customHeight="1">
      <c r="A1014" s="95" t="s">
        <v>225</v>
      </c>
      <c r="B1014" s="96" t="s">
        <v>1090</v>
      </c>
    </row>
    <row r="1015" ht="12.75" customHeight="1">
      <c r="A1015" s="95" t="s">
        <v>225</v>
      </c>
      <c r="B1015" s="96" t="s">
        <v>1091</v>
      </c>
    </row>
    <row r="1016" ht="12.75" customHeight="1">
      <c r="A1016" s="95" t="s">
        <v>225</v>
      </c>
      <c r="B1016" s="96" t="s">
        <v>1092</v>
      </c>
    </row>
    <row r="1017" ht="12.75" customHeight="1">
      <c r="A1017" s="95" t="s">
        <v>225</v>
      </c>
      <c r="B1017" s="96" t="s">
        <v>1093</v>
      </c>
    </row>
    <row r="1018" ht="12.75" customHeight="1">
      <c r="A1018" s="95" t="s">
        <v>225</v>
      </c>
      <c r="B1018" s="96" t="s">
        <v>1094</v>
      </c>
    </row>
    <row r="1019" ht="12.75" customHeight="1">
      <c r="A1019" s="95" t="s">
        <v>225</v>
      </c>
      <c r="B1019" s="96" t="s">
        <v>1095</v>
      </c>
    </row>
    <row r="1020" ht="12.75" customHeight="1">
      <c r="A1020" s="95" t="s">
        <v>234</v>
      </c>
      <c r="B1020" s="96">
        <v>23.0</v>
      </c>
    </row>
    <row r="1021" ht="12.75" customHeight="1">
      <c r="A1021" s="95" t="s">
        <v>234</v>
      </c>
      <c r="B1021" s="96">
        <v>24.0</v>
      </c>
    </row>
    <row r="1022" ht="12.75" customHeight="1">
      <c r="A1022" s="95" t="s">
        <v>234</v>
      </c>
      <c r="B1022" s="96">
        <v>25.0</v>
      </c>
    </row>
    <row r="1023" ht="12.75" customHeight="1">
      <c r="A1023" s="95" t="s">
        <v>234</v>
      </c>
      <c r="B1023" s="96">
        <v>26.0</v>
      </c>
    </row>
    <row r="1024" ht="12.75" customHeight="1">
      <c r="A1024" s="95" t="s">
        <v>234</v>
      </c>
      <c r="B1024" s="96">
        <v>27.0</v>
      </c>
    </row>
    <row r="1025" ht="12.75" customHeight="1">
      <c r="A1025" s="95" t="s">
        <v>234</v>
      </c>
      <c r="B1025" s="96">
        <v>28.0</v>
      </c>
    </row>
    <row r="1026" ht="12.75" customHeight="1">
      <c r="A1026" s="95" t="s">
        <v>234</v>
      </c>
      <c r="B1026" s="96">
        <v>29.0</v>
      </c>
    </row>
    <row r="1027" ht="12.75" customHeight="1">
      <c r="A1027" s="95" t="s">
        <v>234</v>
      </c>
      <c r="B1027" s="96">
        <v>30.0</v>
      </c>
    </row>
    <row r="1028" ht="12.75" customHeight="1">
      <c r="A1028" s="95" t="s">
        <v>234</v>
      </c>
      <c r="B1028" s="96">
        <v>31.0</v>
      </c>
    </row>
    <row r="1029" ht="12.75" customHeight="1">
      <c r="A1029" s="95" t="s">
        <v>234</v>
      </c>
      <c r="B1029" s="96">
        <v>0.0</v>
      </c>
    </row>
    <row r="1030" ht="12.75" customHeight="1">
      <c r="A1030" s="95" t="s">
        <v>234</v>
      </c>
      <c r="B1030" s="96">
        <v>0.0</v>
      </c>
    </row>
    <row r="1031" ht="12.75" customHeight="1">
      <c r="A1031" s="95" t="s">
        <v>234</v>
      </c>
      <c r="B1031" s="96">
        <v>2.0</v>
      </c>
    </row>
    <row r="1032" ht="12.75" customHeight="1">
      <c r="A1032" s="95" t="s">
        <v>234</v>
      </c>
      <c r="B1032" s="96">
        <v>4.0</v>
      </c>
    </row>
    <row r="1033" ht="12.75" customHeight="1">
      <c r="A1033" s="95" t="s">
        <v>234</v>
      </c>
      <c r="B1033" s="96">
        <v>6.0</v>
      </c>
    </row>
    <row r="1034" ht="12.75" customHeight="1">
      <c r="A1034" s="95" t="s">
        <v>234</v>
      </c>
      <c r="B1034" s="96">
        <v>8.0</v>
      </c>
    </row>
    <row r="1035" ht="12.75" customHeight="1">
      <c r="A1035" s="95" t="s">
        <v>234</v>
      </c>
      <c r="B1035" s="96">
        <v>10.0</v>
      </c>
    </row>
    <row r="1036" ht="12.75" customHeight="1">
      <c r="A1036" s="95" t="s">
        <v>234</v>
      </c>
      <c r="B1036" s="96">
        <v>12.0</v>
      </c>
    </row>
    <row r="1037" ht="12.75" customHeight="1">
      <c r="A1037" s="95" t="s">
        <v>234</v>
      </c>
      <c r="B1037" s="96" t="s">
        <v>803</v>
      </c>
    </row>
    <row r="1038" ht="12.75" customHeight="1">
      <c r="A1038" s="95" t="s">
        <v>234</v>
      </c>
      <c r="B1038" s="96" t="s">
        <v>804</v>
      </c>
    </row>
    <row r="1039" ht="12.75" customHeight="1">
      <c r="A1039" s="95" t="s">
        <v>234</v>
      </c>
      <c r="B1039" s="96" t="s">
        <v>76</v>
      </c>
    </row>
    <row r="1040" ht="12.75" customHeight="1">
      <c r="A1040" s="95" t="s">
        <v>234</v>
      </c>
      <c r="B1040" s="96" t="s">
        <v>80</v>
      </c>
    </row>
    <row r="1041" ht="12.75" customHeight="1">
      <c r="A1041" s="95" t="s">
        <v>234</v>
      </c>
      <c r="B1041" s="96" t="s">
        <v>83</v>
      </c>
    </row>
    <row r="1042" ht="12.75" customHeight="1">
      <c r="A1042" s="95" t="s">
        <v>234</v>
      </c>
      <c r="B1042" s="96" t="s">
        <v>85</v>
      </c>
    </row>
    <row r="1043" ht="12.75" customHeight="1">
      <c r="A1043" s="95" t="s">
        <v>234</v>
      </c>
      <c r="B1043" s="96">
        <v>32.0</v>
      </c>
    </row>
    <row r="1044" ht="12.75" customHeight="1">
      <c r="A1044" s="95" t="s">
        <v>234</v>
      </c>
      <c r="B1044" s="96">
        <v>33.0</v>
      </c>
    </row>
    <row r="1045" ht="12.75" customHeight="1">
      <c r="A1045" s="95" t="s">
        <v>234</v>
      </c>
      <c r="B1045" s="96">
        <v>34.0</v>
      </c>
    </row>
    <row r="1046" ht="12.75" customHeight="1">
      <c r="A1046" s="95" t="s">
        <v>234</v>
      </c>
      <c r="B1046" s="96">
        <v>14.0</v>
      </c>
    </row>
    <row r="1047" ht="12.75" customHeight="1">
      <c r="A1047" s="95" t="s">
        <v>234</v>
      </c>
      <c r="B1047" s="96" t="s">
        <v>835</v>
      </c>
    </row>
    <row r="1048" ht="12.75" customHeight="1">
      <c r="A1048" s="95" t="s">
        <v>234</v>
      </c>
      <c r="B1048" s="96">
        <v>16.0</v>
      </c>
    </row>
    <row r="1049" ht="12.75" customHeight="1">
      <c r="A1049" s="95" t="s">
        <v>234</v>
      </c>
      <c r="B1049" s="96" t="s">
        <v>836</v>
      </c>
    </row>
    <row r="1050" ht="12.75" customHeight="1">
      <c r="A1050" s="95" t="s">
        <v>234</v>
      </c>
      <c r="B1050" s="96">
        <v>18.0</v>
      </c>
    </row>
    <row r="1051" ht="12.75" customHeight="1">
      <c r="A1051" s="95" t="s">
        <v>234</v>
      </c>
      <c r="B1051" s="96" t="s">
        <v>837</v>
      </c>
    </row>
    <row r="1052" ht="12.75" customHeight="1">
      <c r="A1052" s="95" t="s">
        <v>234</v>
      </c>
      <c r="B1052" s="96">
        <v>20.0</v>
      </c>
    </row>
    <row r="1053" ht="12.75" customHeight="1">
      <c r="A1053" s="95" t="s">
        <v>234</v>
      </c>
      <c r="B1053" s="96" t="s">
        <v>838</v>
      </c>
    </row>
    <row r="1054" ht="12.75" customHeight="1">
      <c r="A1054" s="95" t="s">
        <v>234</v>
      </c>
      <c r="B1054" s="96">
        <v>22.0</v>
      </c>
    </row>
    <row r="1055" ht="12.75" customHeight="1">
      <c r="A1055" s="95" t="s">
        <v>234</v>
      </c>
      <c r="B1055" s="96" t="s">
        <v>839</v>
      </c>
    </row>
    <row r="1056" ht="12.75" customHeight="1">
      <c r="A1056" s="95" t="s">
        <v>234</v>
      </c>
      <c r="B1056" s="96" t="s">
        <v>1213</v>
      </c>
    </row>
    <row r="1057" ht="12.75" customHeight="1">
      <c r="A1057" s="95" t="s">
        <v>234</v>
      </c>
      <c r="B1057" s="96" t="s">
        <v>840</v>
      </c>
    </row>
    <row r="1058" ht="12.75" customHeight="1">
      <c r="A1058" s="95" t="s">
        <v>234</v>
      </c>
      <c r="B1058" s="96" t="s">
        <v>1214</v>
      </c>
    </row>
    <row r="1059" ht="12.75" customHeight="1">
      <c r="A1059" s="95" t="s">
        <v>234</v>
      </c>
      <c r="B1059" s="96" t="s">
        <v>841</v>
      </c>
    </row>
    <row r="1060" ht="12.75" customHeight="1">
      <c r="A1060" s="95" t="s">
        <v>234</v>
      </c>
      <c r="B1060" s="96" t="s">
        <v>1215</v>
      </c>
    </row>
    <row r="1061" ht="12.75" customHeight="1">
      <c r="A1061" s="95" t="s">
        <v>234</v>
      </c>
      <c r="B1061" s="96" t="s">
        <v>842</v>
      </c>
    </row>
    <row r="1062" ht="12.75" customHeight="1">
      <c r="A1062" s="95" t="s">
        <v>234</v>
      </c>
      <c r="B1062" s="96" t="s">
        <v>1216</v>
      </c>
    </row>
    <row r="1063" ht="12.75" customHeight="1">
      <c r="A1063" s="95" t="s">
        <v>234</v>
      </c>
      <c r="B1063" s="96" t="s">
        <v>843</v>
      </c>
    </row>
    <row r="1064" ht="12.75" customHeight="1">
      <c r="A1064" s="95" t="s">
        <v>234</v>
      </c>
      <c r="B1064" s="96" t="s">
        <v>1217</v>
      </c>
    </row>
    <row r="1065" ht="12.75" customHeight="1">
      <c r="A1065" s="95" t="s">
        <v>234</v>
      </c>
      <c r="B1065" s="96" t="s">
        <v>844</v>
      </c>
    </row>
    <row r="1066" ht="12.75" customHeight="1">
      <c r="A1066" s="95" t="s">
        <v>234</v>
      </c>
      <c r="B1066" s="96" t="s">
        <v>845</v>
      </c>
    </row>
    <row r="1067" ht="12.75" customHeight="1">
      <c r="A1067" s="95" t="s">
        <v>234</v>
      </c>
      <c r="B1067" s="96" t="s">
        <v>846</v>
      </c>
    </row>
    <row r="1068" ht="12.75" customHeight="1">
      <c r="A1068" s="95" t="s">
        <v>234</v>
      </c>
      <c r="B1068" s="96" t="s">
        <v>847</v>
      </c>
    </row>
    <row r="1069" ht="12.75" customHeight="1">
      <c r="A1069" s="95" t="s">
        <v>234</v>
      </c>
      <c r="B1069" s="96" t="s">
        <v>848</v>
      </c>
    </row>
    <row r="1070" ht="12.75" customHeight="1">
      <c r="A1070" s="95" t="s">
        <v>234</v>
      </c>
      <c r="B1070" s="96" t="s">
        <v>849</v>
      </c>
    </row>
    <row r="1071" ht="12.75" customHeight="1">
      <c r="A1071" s="95" t="s">
        <v>234</v>
      </c>
      <c r="B1071" s="96" t="s">
        <v>850</v>
      </c>
    </row>
    <row r="1072" ht="12.75" customHeight="1">
      <c r="A1072" s="95" t="s">
        <v>234</v>
      </c>
      <c r="B1072" s="96" t="s">
        <v>851</v>
      </c>
    </row>
    <row r="1073" ht="12.75" customHeight="1">
      <c r="A1073" s="95" t="s">
        <v>234</v>
      </c>
      <c r="B1073" s="96" t="s">
        <v>852</v>
      </c>
    </row>
    <row r="1074" ht="12.75" customHeight="1">
      <c r="A1074" s="95" t="s">
        <v>234</v>
      </c>
      <c r="B1074" s="96" t="s">
        <v>1243</v>
      </c>
    </row>
    <row r="1075" ht="12.75" customHeight="1">
      <c r="A1075" s="95" t="s">
        <v>234</v>
      </c>
      <c r="B1075" s="96" t="s">
        <v>1244</v>
      </c>
    </row>
    <row r="1076" ht="12.75" customHeight="1">
      <c r="A1076" s="95" t="s">
        <v>234</v>
      </c>
      <c r="B1076" s="96" t="s">
        <v>1245</v>
      </c>
    </row>
    <row r="1077" ht="12.75" customHeight="1">
      <c r="A1077" s="95" t="s">
        <v>234</v>
      </c>
      <c r="B1077" s="96" t="s">
        <v>1246</v>
      </c>
    </row>
    <row r="1078" ht="12.75" customHeight="1">
      <c r="A1078" s="95" t="s">
        <v>234</v>
      </c>
      <c r="B1078" s="96" t="s">
        <v>1247</v>
      </c>
    </row>
    <row r="1079" ht="12.75" customHeight="1">
      <c r="A1079" s="95" t="s">
        <v>234</v>
      </c>
      <c r="B1079" s="96" t="s">
        <v>1248</v>
      </c>
    </row>
    <row r="1080" ht="12.75" customHeight="1">
      <c r="A1080" s="95" t="s">
        <v>234</v>
      </c>
      <c r="B1080" s="96" t="s">
        <v>1249</v>
      </c>
    </row>
    <row r="1081" ht="12.75" customHeight="1">
      <c r="A1081" s="95" t="s">
        <v>234</v>
      </c>
      <c r="B1081" s="96" t="s">
        <v>1250</v>
      </c>
    </row>
    <row r="1082" ht="12.75" customHeight="1">
      <c r="A1082" s="95" t="s">
        <v>234</v>
      </c>
      <c r="B1082" s="96" t="s">
        <v>1251</v>
      </c>
    </row>
    <row r="1083" ht="12.75" customHeight="1">
      <c r="A1083" s="95" t="s">
        <v>234</v>
      </c>
      <c r="B1083" s="96" t="s">
        <v>1252</v>
      </c>
    </row>
    <row r="1084" ht="12.75" customHeight="1">
      <c r="A1084" s="95" t="s">
        <v>234</v>
      </c>
      <c r="B1084" s="96" t="s">
        <v>1253</v>
      </c>
    </row>
    <row r="1085" ht="12.75" customHeight="1">
      <c r="A1085" s="95" t="s">
        <v>234</v>
      </c>
      <c r="B1085" s="96" t="s">
        <v>1254</v>
      </c>
    </row>
    <row r="1086" ht="12.75" customHeight="1">
      <c r="A1086" s="95" t="s">
        <v>234</v>
      </c>
      <c r="B1086" s="96" t="s">
        <v>908</v>
      </c>
    </row>
    <row r="1087" ht="12.75" customHeight="1">
      <c r="A1087" s="95" t="s">
        <v>234</v>
      </c>
      <c r="B1087" s="96" t="s">
        <v>909</v>
      </c>
    </row>
    <row r="1088" ht="12.75" customHeight="1">
      <c r="A1088" s="95" t="s">
        <v>234</v>
      </c>
      <c r="B1088" s="96" t="s">
        <v>910</v>
      </c>
    </row>
    <row r="1089" ht="12.75" customHeight="1">
      <c r="A1089" s="95" t="s">
        <v>234</v>
      </c>
      <c r="B1089" s="96" t="s">
        <v>911</v>
      </c>
    </row>
    <row r="1090" ht="12.75" customHeight="1">
      <c r="A1090" s="95" t="s">
        <v>234</v>
      </c>
      <c r="B1090" s="96" t="s">
        <v>912</v>
      </c>
    </row>
    <row r="1091" ht="12.75" customHeight="1">
      <c r="A1091" s="95" t="s">
        <v>234</v>
      </c>
      <c r="B1091" s="96" t="s">
        <v>913</v>
      </c>
    </row>
    <row r="1092" ht="12.75" customHeight="1">
      <c r="A1092" s="95" t="s">
        <v>234</v>
      </c>
      <c r="B1092" s="96" t="s">
        <v>914</v>
      </c>
    </row>
    <row r="1093" ht="12.75" customHeight="1">
      <c r="A1093" s="95" t="s">
        <v>234</v>
      </c>
      <c r="B1093" s="96" t="s">
        <v>915</v>
      </c>
    </row>
    <row r="1094" ht="12.75" customHeight="1">
      <c r="A1094" s="95" t="s">
        <v>234</v>
      </c>
      <c r="B1094" s="96" t="s">
        <v>916</v>
      </c>
    </row>
    <row r="1095" ht="12.75" customHeight="1">
      <c r="A1095" s="95" t="s">
        <v>234</v>
      </c>
      <c r="B1095" s="96" t="s">
        <v>917</v>
      </c>
    </row>
    <row r="1096" ht="12.75" customHeight="1">
      <c r="A1096" s="95" t="s">
        <v>234</v>
      </c>
      <c r="B1096" s="96" t="s">
        <v>918</v>
      </c>
    </row>
    <row r="1097" ht="12.75" customHeight="1">
      <c r="A1097" s="95" t="s">
        <v>234</v>
      </c>
      <c r="B1097" s="96" t="s">
        <v>919</v>
      </c>
    </row>
    <row r="1098" ht="12.75" customHeight="1">
      <c r="A1098" s="95" t="s">
        <v>234</v>
      </c>
      <c r="B1098" s="96" t="s">
        <v>920</v>
      </c>
    </row>
    <row r="1099" ht="12.75" customHeight="1">
      <c r="A1099" s="95" t="s">
        <v>234</v>
      </c>
      <c r="B1099" s="96" t="s">
        <v>921</v>
      </c>
    </row>
    <row r="1100" ht="12.75" customHeight="1">
      <c r="A1100" s="95" t="s">
        <v>234</v>
      </c>
      <c r="B1100" s="96" t="s">
        <v>922</v>
      </c>
    </row>
    <row r="1101" ht="12.75" customHeight="1">
      <c r="A1101" s="95" t="s">
        <v>234</v>
      </c>
      <c r="B1101" s="96" t="s">
        <v>923</v>
      </c>
    </row>
    <row r="1102" ht="12.75" customHeight="1">
      <c r="A1102" s="95" t="s">
        <v>234</v>
      </c>
      <c r="B1102" s="96" t="s">
        <v>924</v>
      </c>
    </row>
    <row r="1103" ht="12.75" customHeight="1">
      <c r="A1103" s="95" t="s">
        <v>234</v>
      </c>
      <c r="B1103" s="96" t="s">
        <v>925</v>
      </c>
    </row>
    <row r="1104" ht="12.75" customHeight="1">
      <c r="A1104" s="95" t="s">
        <v>234</v>
      </c>
      <c r="B1104" s="96" t="s">
        <v>926</v>
      </c>
    </row>
    <row r="1105" ht="12.75" customHeight="1">
      <c r="A1105" s="95" t="s">
        <v>234</v>
      </c>
      <c r="B1105" s="96" t="s">
        <v>984</v>
      </c>
    </row>
    <row r="1106" ht="12.75" customHeight="1">
      <c r="A1106" s="95" t="s">
        <v>234</v>
      </c>
      <c r="B1106" s="96" t="s">
        <v>985</v>
      </c>
    </row>
    <row r="1107" ht="12.75" customHeight="1">
      <c r="A1107" s="95" t="s">
        <v>234</v>
      </c>
      <c r="B1107" s="96" t="s">
        <v>986</v>
      </c>
    </row>
    <row r="1108" ht="12.75" customHeight="1">
      <c r="A1108" s="95" t="s">
        <v>234</v>
      </c>
      <c r="B1108" s="96" t="s">
        <v>987</v>
      </c>
    </row>
    <row r="1109" ht="12.75" customHeight="1">
      <c r="A1109" s="95" t="s">
        <v>234</v>
      </c>
      <c r="B1109" s="96" t="s">
        <v>988</v>
      </c>
    </row>
    <row r="1110" ht="12.75" customHeight="1">
      <c r="A1110" s="95" t="s">
        <v>234</v>
      </c>
      <c r="B1110" s="96" t="s">
        <v>989</v>
      </c>
    </row>
    <row r="1111" ht="12.75" customHeight="1">
      <c r="A1111" s="95" t="s">
        <v>234</v>
      </c>
      <c r="B1111" s="96" t="s">
        <v>990</v>
      </c>
    </row>
    <row r="1112" ht="12.75" customHeight="1">
      <c r="A1112" s="95" t="s">
        <v>234</v>
      </c>
      <c r="B1112" s="96" t="s">
        <v>991</v>
      </c>
    </row>
    <row r="1113" ht="12.75" customHeight="1">
      <c r="A1113" s="95" t="s">
        <v>234</v>
      </c>
      <c r="B1113" s="96" t="s">
        <v>992</v>
      </c>
    </row>
    <row r="1114" ht="12.75" customHeight="1">
      <c r="A1114" s="95" t="s">
        <v>234</v>
      </c>
      <c r="B1114" s="96" t="s">
        <v>993</v>
      </c>
    </row>
    <row r="1115" ht="12.75" customHeight="1">
      <c r="A1115" s="95" t="s">
        <v>234</v>
      </c>
      <c r="B1115" s="96" t="s">
        <v>994</v>
      </c>
    </row>
    <row r="1116" ht="12.75" customHeight="1">
      <c r="A1116" s="95" t="s">
        <v>234</v>
      </c>
      <c r="B1116" s="96" t="s">
        <v>995</v>
      </c>
    </row>
    <row r="1117" ht="12.75" customHeight="1">
      <c r="A1117" s="95" t="s">
        <v>234</v>
      </c>
      <c r="B1117" s="96" t="s">
        <v>996</v>
      </c>
    </row>
    <row r="1118" ht="12.75" customHeight="1">
      <c r="A1118" s="95" t="s">
        <v>234</v>
      </c>
      <c r="B1118" s="96" t="s">
        <v>997</v>
      </c>
    </row>
    <row r="1119" ht="12.75" customHeight="1">
      <c r="A1119" s="95" t="s">
        <v>234</v>
      </c>
      <c r="B1119" s="96" t="s">
        <v>998</v>
      </c>
    </row>
    <row r="1120" ht="12.75" customHeight="1">
      <c r="A1120" s="95" t="s">
        <v>234</v>
      </c>
      <c r="B1120" s="96" t="s">
        <v>999</v>
      </c>
    </row>
    <row r="1121" ht="12.75" customHeight="1">
      <c r="A1121" s="95" t="s">
        <v>234</v>
      </c>
      <c r="B1121" s="96" t="s">
        <v>1000</v>
      </c>
    </row>
    <row r="1122" ht="12.75" customHeight="1">
      <c r="A1122" s="95" t="s">
        <v>234</v>
      </c>
      <c r="B1122" s="96" t="s">
        <v>1001</v>
      </c>
    </row>
    <row r="1123" ht="12.75" customHeight="1">
      <c r="A1123" s="95" t="s">
        <v>234</v>
      </c>
      <c r="B1123" s="96" t="s">
        <v>1290</v>
      </c>
    </row>
    <row r="1124" ht="12.75" customHeight="1">
      <c r="A1124" s="95" t="s">
        <v>234</v>
      </c>
      <c r="B1124" s="96" t="s">
        <v>1078</v>
      </c>
    </row>
    <row r="1125" ht="12.75" customHeight="1">
      <c r="A1125" s="95" t="s">
        <v>234</v>
      </c>
      <c r="B1125" s="96" t="s">
        <v>1291</v>
      </c>
    </row>
    <row r="1126" ht="12.75" customHeight="1">
      <c r="A1126" s="95" t="s">
        <v>234</v>
      </c>
      <c r="B1126" s="96" t="s">
        <v>1080</v>
      </c>
    </row>
    <row r="1127" ht="12.75" customHeight="1">
      <c r="A1127" s="95" t="s">
        <v>234</v>
      </c>
      <c r="B1127" s="96" t="s">
        <v>1292</v>
      </c>
    </row>
    <row r="1128" ht="12.75" customHeight="1">
      <c r="A1128" s="95" t="s">
        <v>234</v>
      </c>
      <c r="B1128" s="96" t="s">
        <v>1082</v>
      </c>
    </row>
    <row r="1129" ht="12.75" customHeight="1">
      <c r="A1129" s="95" t="s">
        <v>234</v>
      </c>
      <c r="B1129" s="96" t="s">
        <v>1293</v>
      </c>
    </row>
    <row r="1130" ht="12.75" customHeight="1">
      <c r="A1130" s="95" t="s">
        <v>234</v>
      </c>
      <c r="B1130" s="96" t="s">
        <v>1084</v>
      </c>
    </row>
    <row r="1131" ht="12.75" customHeight="1">
      <c r="A1131" s="95" t="s">
        <v>234</v>
      </c>
      <c r="B1131" s="96" t="s">
        <v>1294</v>
      </c>
    </row>
    <row r="1132" ht="12.75" customHeight="1">
      <c r="A1132" s="95" t="s">
        <v>234</v>
      </c>
      <c r="B1132" s="96" t="s">
        <v>1054</v>
      </c>
    </row>
    <row r="1133" ht="12.75" customHeight="1">
      <c r="A1133" s="95" t="s">
        <v>234</v>
      </c>
      <c r="B1133" s="96" t="s">
        <v>1055</v>
      </c>
    </row>
    <row r="1134" ht="12.75" customHeight="1">
      <c r="A1134" s="95" t="s">
        <v>234</v>
      </c>
      <c r="B1134" s="96" t="s">
        <v>1056</v>
      </c>
    </row>
    <row r="1135" ht="12.75" customHeight="1">
      <c r="A1135" s="95" t="s">
        <v>234</v>
      </c>
      <c r="B1135" s="96" t="s">
        <v>1057</v>
      </c>
    </row>
    <row r="1136" ht="12.75" customHeight="1">
      <c r="A1136" s="95" t="s">
        <v>234</v>
      </c>
      <c r="B1136" s="96" t="s">
        <v>1058</v>
      </c>
    </row>
    <row r="1137" ht="12.75" customHeight="1">
      <c r="A1137" s="95" t="s">
        <v>234</v>
      </c>
      <c r="B1137" s="96" t="s">
        <v>1059</v>
      </c>
    </row>
    <row r="1138" ht="12.75" customHeight="1">
      <c r="A1138" s="95" t="s">
        <v>234</v>
      </c>
      <c r="B1138" s="96" t="s">
        <v>1060</v>
      </c>
    </row>
    <row r="1139" ht="12.75" customHeight="1">
      <c r="A1139" s="95" t="s">
        <v>234</v>
      </c>
      <c r="B1139" s="96" t="s">
        <v>1061</v>
      </c>
    </row>
    <row r="1140" ht="12.75" customHeight="1">
      <c r="A1140" s="95" t="s">
        <v>234</v>
      </c>
      <c r="B1140" s="96" t="s">
        <v>1062</v>
      </c>
    </row>
    <row r="1141" ht="12.75" customHeight="1">
      <c r="A1141" s="95" t="s">
        <v>234</v>
      </c>
      <c r="B1141" s="96" t="s">
        <v>1063</v>
      </c>
    </row>
    <row r="1142" ht="12.75" customHeight="1">
      <c r="A1142" s="95" t="s">
        <v>234</v>
      </c>
      <c r="B1142" s="96" t="s">
        <v>1064</v>
      </c>
    </row>
    <row r="1143" ht="12.75" customHeight="1">
      <c r="A1143" s="95" t="s">
        <v>234</v>
      </c>
      <c r="B1143" s="96" t="s">
        <v>1065</v>
      </c>
    </row>
    <row r="1144" ht="12.75" customHeight="1">
      <c r="A1144" s="95" t="s">
        <v>234</v>
      </c>
      <c r="B1144" s="96" t="s">
        <v>1066</v>
      </c>
    </row>
    <row r="1145" ht="12.75" customHeight="1">
      <c r="A1145" s="95" t="s">
        <v>234</v>
      </c>
      <c r="B1145" s="96" t="s">
        <v>1067</v>
      </c>
    </row>
    <row r="1146" ht="12.75" customHeight="1">
      <c r="A1146" s="95" t="s">
        <v>234</v>
      </c>
      <c r="B1146" s="96" t="s">
        <v>1086</v>
      </c>
    </row>
    <row r="1147" ht="12.75" customHeight="1">
      <c r="A1147" s="95" t="s">
        <v>234</v>
      </c>
      <c r="B1147" s="96" t="s">
        <v>1295</v>
      </c>
    </row>
    <row r="1148" ht="12.75" customHeight="1">
      <c r="A1148" s="95" t="s">
        <v>234</v>
      </c>
      <c r="B1148" s="96" t="s">
        <v>1296</v>
      </c>
    </row>
    <row r="1149" ht="12.75" customHeight="1">
      <c r="A1149" s="95" t="s">
        <v>234</v>
      </c>
      <c r="B1149" s="96" t="s">
        <v>1068</v>
      </c>
    </row>
    <row r="1150" ht="12.75" customHeight="1">
      <c r="A1150" s="95" t="s">
        <v>234</v>
      </c>
      <c r="B1150" s="96" t="s">
        <v>1069</v>
      </c>
    </row>
    <row r="1151" ht="12.75" customHeight="1">
      <c r="A1151" s="95" t="s">
        <v>234</v>
      </c>
      <c r="B1151" s="96" t="s">
        <v>1070</v>
      </c>
    </row>
    <row r="1152" ht="12.75" customHeight="1">
      <c r="A1152" s="95" t="s">
        <v>234</v>
      </c>
      <c r="B1152" s="96" t="s">
        <v>1071</v>
      </c>
    </row>
    <row r="1153" ht="12.75" customHeight="1">
      <c r="A1153" s="95" t="s">
        <v>234</v>
      </c>
      <c r="B1153" s="96" t="s">
        <v>1072</v>
      </c>
    </row>
    <row r="1154" ht="12.75" customHeight="1">
      <c r="A1154" s="95" t="s">
        <v>234</v>
      </c>
      <c r="B1154" s="96" t="s">
        <v>1073</v>
      </c>
    </row>
    <row r="1155" ht="12.75" customHeight="1">
      <c r="A1155" s="95" t="s">
        <v>234</v>
      </c>
      <c r="B1155" s="96" t="s">
        <v>1074</v>
      </c>
    </row>
    <row r="1156" ht="12.75" customHeight="1">
      <c r="A1156" s="95" t="s">
        <v>234</v>
      </c>
      <c r="B1156" s="96" t="s">
        <v>1075</v>
      </c>
    </row>
    <row r="1157" ht="12.75" customHeight="1">
      <c r="A1157" s="95" t="s">
        <v>234</v>
      </c>
      <c r="B1157" s="96" t="s">
        <v>1076</v>
      </c>
    </row>
    <row r="1158" ht="12.75" customHeight="1">
      <c r="A1158" s="95" t="s">
        <v>234</v>
      </c>
      <c r="B1158" s="96" t="s">
        <v>1077</v>
      </c>
    </row>
    <row r="1159" ht="12.75" customHeight="1">
      <c r="A1159" s="95" t="s">
        <v>234</v>
      </c>
      <c r="B1159" s="96" t="s">
        <v>1297</v>
      </c>
    </row>
    <row r="1160" ht="12.75" customHeight="1">
      <c r="A1160" s="95" t="s">
        <v>234</v>
      </c>
      <c r="B1160" s="96" t="s">
        <v>1079</v>
      </c>
    </row>
    <row r="1161" ht="12.75" customHeight="1">
      <c r="A1161" s="95" t="s">
        <v>234</v>
      </c>
      <c r="B1161" s="96" t="s">
        <v>1298</v>
      </c>
    </row>
    <row r="1162" ht="12.75" customHeight="1">
      <c r="A1162" s="95" t="s">
        <v>234</v>
      </c>
      <c r="B1162" s="96" t="s">
        <v>1081</v>
      </c>
    </row>
    <row r="1163" ht="12.75" customHeight="1">
      <c r="A1163" s="95" t="s">
        <v>234</v>
      </c>
      <c r="B1163" s="96" t="s">
        <v>1299</v>
      </c>
    </row>
    <row r="1164" ht="12.75" customHeight="1">
      <c r="A1164" s="95" t="s">
        <v>234</v>
      </c>
      <c r="B1164" s="96" t="s">
        <v>1083</v>
      </c>
    </row>
    <row r="1165" ht="12.75" customHeight="1">
      <c r="A1165" s="95" t="s">
        <v>234</v>
      </c>
      <c r="B1165" s="96" t="s">
        <v>1300</v>
      </c>
    </row>
    <row r="1166" ht="12.75" customHeight="1">
      <c r="A1166" s="95" t="s">
        <v>234</v>
      </c>
      <c r="B1166" s="96" t="s">
        <v>1085</v>
      </c>
    </row>
    <row r="1167" ht="12.75" customHeight="1">
      <c r="A1167" s="95" t="s">
        <v>234</v>
      </c>
      <c r="B1167" s="96" t="s">
        <v>1301</v>
      </c>
    </row>
    <row r="1168" ht="12.75" customHeight="1">
      <c r="A1168" s="95" t="s">
        <v>234</v>
      </c>
      <c r="B1168" s="96" t="s">
        <v>1087</v>
      </c>
    </row>
    <row r="1169" ht="12.75" customHeight="1">
      <c r="A1169" s="95" t="s">
        <v>234</v>
      </c>
      <c r="B1169" s="96" t="s">
        <v>1088</v>
      </c>
    </row>
    <row r="1170" ht="12.75" customHeight="1">
      <c r="A1170" s="95" t="s">
        <v>234</v>
      </c>
      <c r="B1170" s="96" t="s">
        <v>1089</v>
      </c>
    </row>
    <row r="1171" ht="12.75" customHeight="1">
      <c r="A1171" s="95" t="s">
        <v>234</v>
      </c>
      <c r="B1171" s="96" t="s">
        <v>1090</v>
      </c>
    </row>
    <row r="1172" ht="12.75" customHeight="1">
      <c r="A1172" s="95" t="s">
        <v>234</v>
      </c>
      <c r="B1172" s="96" t="s">
        <v>1091</v>
      </c>
    </row>
    <row r="1173" ht="12.75" customHeight="1">
      <c r="A1173" s="95" t="s">
        <v>234</v>
      </c>
      <c r="B1173" s="96" t="s">
        <v>1092</v>
      </c>
    </row>
    <row r="1174" ht="12.75" customHeight="1">
      <c r="A1174" s="95" t="s">
        <v>234</v>
      </c>
      <c r="B1174" s="96" t="s">
        <v>1093</v>
      </c>
    </row>
    <row r="1175" ht="12.75" customHeight="1">
      <c r="A1175" s="95" t="s">
        <v>234</v>
      </c>
      <c r="B1175" s="96" t="s">
        <v>1094</v>
      </c>
    </row>
    <row r="1176" ht="12.75" customHeight="1">
      <c r="A1176" s="95" t="s">
        <v>234</v>
      </c>
      <c r="B1176" s="96" t="s">
        <v>1095</v>
      </c>
    </row>
    <row r="1177" ht="12.75" customHeight="1">
      <c r="A1177" s="95" t="s">
        <v>242</v>
      </c>
      <c r="B1177" s="96" t="s">
        <v>745</v>
      </c>
    </row>
    <row r="1178" ht="12.75" customHeight="1">
      <c r="A1178" s="95" t="s">
        <v>242</v>
      </c>
      <c r="B1178" s="96" t="s">
        <v>803</v>
      </c>
    </row>
    <row r="1179" ht="12.75" customHeight="1">
      <c r="A1179" s="95" t="s">
        <v>242</v>
      </c>
      <c r="B1179" s="96" t="s">
        <v>804</v>
      </c>
    </row>
    <row r="1180" ht="12.75" customHeight="1">
      <c r="A1180" s="95" t="s">
        <v>242</v>
      </c>
      <c r="B1180" s="96" t="s">
        <v>76</v>
      </c>
    </row>
    <row r="1181" ht="12.75" customHeight="1">
      <c r="A1181" s="95" t="s">
        <v>242</v>
      </c>
      <c r="B1181" s="96" t="s">
        <v>80</v>
      </c>
    </row>
    <row r="1182" ht="12.75" customHeight="1">
      <c r="A1182" s="95" t="s">
        <v>242</v>
      </c>
      <c r="B1182" s="96" t="s">
        <v>83</v>
      </c>
    </row>
    <row r="1183" ht="12.75" customHeight="1">
      <c r="A1183" s="95" t="s">
        <v>242</v>
      </c>
      <c r="B1183" s="96" t="s">
        <v>85</v>
      </c>
    </row>
    <row r="1184" ht="12.75" customHeight="1">
      <c r="A1184" s="95" t="s">
        <v>242</v>
      </c>
      <c r="B1184" s="96" t="s">
        <v>1356</v>
      </c>
    </row>
    <row r="1185" ht="12.75" customHeight="1">
      <c r="A1185" s="95" t="s">
        <v>242</v>
      </c>
      <c r="B1185" s="96" t="s">
        <v>1357</v>
      </c>
    </row>
    <row r="1186" ht="12.75" customHeight="1">
      <c r="A1186" s="95" t="s">
        <v>242</v>
      </c>
      <c r="B1186" s="96" t="s">
        <v>1358</v>
      </c>
    </row>
    <row r="1187" ht="12.75" customHeight="1">
      <c r="A1187" s="95" t="s">
        <v>242</v>
      </c>
      <c r="B1187" s="96" t="s">
        <v>1359</v>
      </c>
    </row>
    <row r="1188" ht="12.75" customHeight="1">
      <c r="A1188" s="95" t="s">
        <v>242</v>
      </c>
      <c r="B1188" s="96" t="s">
        <v>1360</v>
      </c>
    </row>
    <row r="1189" ht="12.75" customHeight="1">
      <c r="A1189" s="95" t="s">
        <v>242</v>
      </c>
      <c r="B1189" s="96" t="s">
        <v>1361</v>
      </c>
    </row>
    <row r="1190" ht="12.75" customHeight="1">
      <c r="A1190" s="95" t="s">
        <v>242</v>
      </c>
      <c r="B1190" s="96" t="s">
        <v>1362</v>
      </c>
    </row>
    <row r="1191" ht="12.75" customHeight="1">
      <c r="A1191" s="95" t="s">
        <v>242</v>
      </c>
      <c r="B1191" s="96" t="s">
        <v>1363</v>
      </c>
    </row>
    <row r="1192" ht="12.75" customHeight="1">
      <c r="A1192" s="95" t="s">
        <v>242</v>
      </c>
      <c r="B1192" s="96" t="s">
        <v>1364</v>
      </c>
    </row>
    <row r="1193" ht="12.75" customHeight="1">
      <c r="A1193" s="95" t="s">
        <v>242</v>
      </c>
      <c r="B1193" s="96" t="s">
        <v>1365</v>
      </c>
    </row>
    <row r="1194" ht="12.75" customHeight="1">
      <c r="A1194" s="95" t="s">
        <v>242</v>
      </c>
      <c r="B1194" s="96" t="s">
        <v>1366</v>
      </c>
    </row>
    <row r="1195" ht="12.75" customHeight="1">
      <c r="A1195" s="95" t="s">
        <v>242</v>
      </c>
      <c r="B1195" s="96" t="s">
        <v>1367</v>
      </c>
    </row>
    <row r="1196" ht="12.75" customHeight="1">
      <c r="A1196" s="95" t="s">
        <v>242</v>
      </c>
      <c r="B1196" s="96" t="s">
        <v>1368</v>
      </c>
    </row>
    <row r="1197" ht="12.75" customHeight="1">
      <c r="A1197" s="95" t="s">
        <v>242</v>
      </c>
      <c r="B1197" s="96" t="s">
        <v>1369</v>
      </c>
    </row>
    <row r="1198" ht="12.75" customHeight="1">
      <c r="A1198" s="95" t="s">
        <v>242</v>
      </c>
      <c r="B1198" s="96" t="s">
        <v>1370</v>
      </c>
    </row>
    <row r="1199" ht="12.75" customHeight="1">
      <c r="A1199" s="95" t="s">
        <v>242</v>
      </c>
      <c r="B1199" s="96" t="s">
        <v>1371</v>
      </c>
    </row>
    <row r="1200" ht="12.75" customHeight="1">
      <c r="A1200" s="95" t="s">
        <v>242</v>
      </c>
      <c r="B1200" s="96" t="s">
        <v>1372</v>
      </c>
    </row>
    <row r="1201" ht="12.75" customHeight="1">
      <c r="A1201" s="95" t="s">
        <v>242</v>
      </c>
      <c r="B1201" s="96" t="s">
        <v>1373</v>
      </c>
    </row>
    <row r="1202" ht="12.75" customHeight="1">
      <c r="A1202" s="95" t="s">
        <v>242</v>
      </c>
      <c r="B1202" s="96" t="s">
        <v>1374</v>
      </c>
    </row>
    <row r="1203" ht="12.75" customHeight="1">
      <c r="A1203" s="95" t="s">
        <v>242</v>
      </c>
      <c r="B1203" s="96" t="s">
        <v>1375</v>
      </c>
    </row>
    <row r="1204" ht="12.75" customHeight="1">
      <c r="A1204" s="95" t="s">
        <v>242</v>
      </c>
      <c r="B1204" s="96" t="s">
        <v>1376</v>
      </c>
    </row>
    <row r="1205" ht="12.75" customHeight="1">
      <c r="A1205" s="95" t="s">
        <v>242</v>
      </c>
      <c r="B1205" s="96" t="s">
        <v>1377</v>
      </c>
    </row>
    <row r="1206" ht="12.75" customHeight="1">
      <c r="A1206" s="95" t="s">
        <v>242</v>
      </c>
      <c r="B1206" s="96" t="s">
        <v>1378</v>
      </c>
    </row>
    <row r="1207" ht="12.75" customHeight="1">
      <c r="A1207" s="95" t="s">
        <v>242</v>
      </c>
      <c r="B1207" s="96" t="s">
        <v>1379</v>
      </c>
    </row>
    <row r="1208" ht="12.75" customHeight="1">
      <c r="A1208" s="95" t="s">
        <v>242</v>
      </c>
      <c r="B1208" s="96" t="s">
        <v>1380</v>
      </c>
    </row>
    <row r="1209" ht="12.75" customHeight="1">
      <c r="A1209" s="95" t="s">
        <v>242</v>
      </c>
      <c r="B1209" s="96" t="s">
        <v>1381</v>
      </c>
    </row>
    <row r="1210" ht="12.75" customHeight="1">
      <c r="A1210" s="95" t="s">
        <v>242</v>
      </c>
      <c r="B1210" s="96" t="s">
        <v>1382</v>
      </c>
    </row>
    <row r="1211" ht="12.75" customHeight="1">
      <c r="A1211" s="95" t="s">
        <v>242</v>
      </c>
      <c r="B1211" s="96" t="s">
        <v>1383</v>
      </c>
    </row>
    <row r="1212" ht="12.75" customHeight="1">
      <c r="A1212" s="95" t="s">
        <v>242</v>
      </c>
      <c r="B1212" s="96" t="s">
        <v>1384</v>
      </c>
    </row>
    <row r="1213" ht="12.75" customHeight="1">
      <c r="A1213" s="95" t="s">
        <v>242</v>
      </c>
      <c r="B1213" s="96" t="s">
        <v>845</v>
      </c>
    </row>
    <row r="1214" ht="12.75" customHeight="1">
      <c r="A1214" s="95" t="s">
        <v>242</v>
      </c>
      <c r="B1214" s="96" t="s">
        <v>846</v>
      </c>
    </row>
    <row r="1215" ht="12.75" customHeight="1">
      <c r="A1215" s="95" t="s">
        <v>242</v>
      </c>
      <c r="B1215" s="96" t="s">
        <v>847</v>
      </c>
    </row>
    <row r="1216" ht="12.75" customHeight="1">
      <c r="A1216" s="95" t="s">
        <v>242</v>
      </c>
      <c r="B1216" s="96" t="s">
        <v>848</v>
      </c>
    </row>
    <row r="1217" ht="12.75" customHeight="1">
      <c r="A1217" s="95" t="s">
        <v>242</v>
      </c>
      <c r="B1217" s="96" t="s">
        <v>849</v>
      </c>
    </row>
    <row r="1218" ht="12.75" customHeight="1">
      <c r="A1218" s="95" t="s">
        <v>242</v>
      </c>
      <c r="B1218" s="96" t="s">
        <v>850</v>
      </c>
    </row>
    <row r="1219" ht="12.75" customHeight="1">
      <c r="A1219" s="95" t="s">
        <v>242</v>
      </c>
      <c r="B1219" s="96" t="s">
        <v>851</v>
      </c>
    </row>
    <row r="1220" ht="12.75" customHeight="1">
      <c r="A1220" s="95" t="s">
        <v>242</v>
      </c>
      <c r="B1220" s="96" t="s">
        <v>852</v>
      </c>
    </row>
    <row r="1221" ht="12.75" customHeight="1">
      <c r="A1221" s="95" t="s">
        <v>242</v>
      </c>
      <c r="B1221" s="96" t="s">
        <v>1472</v>
      </c>
    </row>
    <row r="1222" ht="12.75" customHeight="1">
      <c r="A1222" s="95" t="s">
        <v>242</v>
      </c>
      <c r="B1222" s="96" t="s">
        <v>1473</v>
      </c>
    </row>
    <row r="1223" ht="12.75" customHeight="1">
      <c r="A1223" s="95" t="s">
        <v>242</v>
      </c>
      <c r="B1223" s="96" t="s">
        <v>1474</v>
      </c>
    </row>
    <row r="1224" ht="12.75" customHeight="1">
      <c r="A1224" s="95" t="s">
        <v>242</v>
      </c>
      <c r="B1224" s="96" t="s">
        <v>1475</v>
      </c>
    </row>
    <row r="1225" ht="12.75" customHeight="1">
      <c r="A1225" s="95" t="s">
        <v>242</v>
      </c>
      <c r="B1225" s="96" t="s">
        <v>1476</v>
      </c>
    </row>
    <row r="1226" ht="12.75" customHeight="1">
      <c r="A1226" s="95" t="s">
        <v>242</v>
      </c>
      <c r="B1226" s="96" t="s">
        <v>1477</v>
      </c>
    </row>
    <row r="1227" ht="12.75" customHeight="1">
      <c r="A1227" s="95" t="s">
        <v>242</v>
      </c>
      <c r="B1227" s="96" t="s">
        <v>1478</v>
      </c>
    </row>
    <row r="1228" ht="12.75" customHeight="1">
      <c r="A1228" s="95" t="s">
        <v>242</v>
      </c>
      <c r="B1228" s="96" t="s">
        <v>1479</v>
      </c>
    </row>
    <row r="1229" ht="12.75" customHeight="1">
      <c r="A1229" s="95" t="s">
        <v>242</v>
      </c>
      <c r="B1229" s="96" t="s">
        <v>1480</v>
      </c>
    </row>
    <row r="1230" ht="12.75" customHeight="1">
      <c r="A1230" s="95" t="s">
        <v>242</v>
      </c>
      <c r="B1230" s="96" t="s">
        <v>1481</v>
      </c>
    </row>
    <row r="1231" ht="12.75" customHeight="1">
      <c r="A1231" s="95" t="s">
        <v>242</v>
      </c>
      <c r="B1231" s="96" t="s">
        <v>1482</v>
      </c>
    </row>
    <row r="1232" ht="12.75" customHeight="1">
      <c r="A1232" s="95" t="s">
        <v>242</v>
      </c>
      <c r="B1232" s="96" t="s">
        <v>1483</v>
      </c>
    </row>
    <row r="1233" ht="12.75" customHeight="1">
      <c r="A1233" s="95" t="s">
        <v>242</v>
      </c>
      <c r="B1233" s="96" t="s">
        <v>1484</v>
      </c>
    </row>
    <row r="1234" ht="12.75" customHeight="1">
      <c r="A1234" s="95" t="s">
        <v>242</v>
      </c>
      <c r="B1234" s="96" t="s">
        <v>1485</v>
      </c>
    </row>
    <row r="1235" ht="12.75" customHeight="1">
      <c r="A1235" s="95" t="s">
        <v>242</v>
      </c>
      <c r="B1235" s="96" t="s">
        <v>1486</v>
      </c>
    </row>
    <row r="1236" ht="12.75" customHeight="1">
      <c r="A1236" s="95" t="s">
        <v>242</v>
      </c>
      <c r="B1236" s="96" t="s">
        <v>1487</v>
      </c>
    </row>
    <row r="1237" ht="12.75" customHeight="1">
      <c r="A1237" s="95" t="s">
        <v>242</v>
      </c>
      <c r="B1237" s="96" t="s">
        <v>1488</v>
      </c>
    </row>
    <row r="1238" ht="12.75" customHeight="1">
      <c r="A1238" s="95" t="s">
        <v>242</v>
      </c>
      <c r="B1238" s="96" t="s">
        <v>1489</v>
      </c>
    </row>
    <row r="1239" ht="12.75" customHeight="1">
      <c r="A1239" s="95" t="s">
        <v>242</v>
      </c>
      <c r="B1239" s="96" t="s">
        <v>1490</v>
      </c>
    </row>
    <row r="1240" ht="12.75" customHeight="1">
      <c r="A1240" s="95" t="s">
        <v>242</v>
      </c>
      <c r="B1240" s="96" t="s">
        <v>1491</v>
      </c>
    </row>
    <row r="1241" ht="12.75" customHeight="1">
      <c r="A1241" s="95" t="s">
        <v>242</v>
      </c>
      <c r="B1241" s="96" t="s">
        <v>1492</v>
      </c>
    </row>
    <row r="1242" ht="12.75" customHeight="1">
      <c r="A1242" s="95" t="s">
        <v>242</v>
      </c>
      <c r="B1242" s="96" t="s">
        <v>1493</v>
      </c>
    </row>
    <row r="1243" ht="12.75" customHeight="1">
      <c r="A1243" s="95" t="s">
        <v>242</v>
      </c>
      <c r="B1243" s="96" t="s">
        <v>1494</v>
      </c>
    </row>
    <row r="1244" ht="12.75" customHeight="1">
      <c r="A1244" s="95" t="s">
        <v>242</v>
      </c>
      <c r="B1244" s="96" t="s">
        <v>1495</v>
      </c>
    </row>
    <row r="1245" ht="12.75" customHeight="1">
      <c r="A1245" s="95" t="s">
        <v>242</v>
      </c>
      <c r="B1245" s="96" t="s">
        <v>1496</v>
      </c>
    </row>
    <row r="1246" ht="12.75" customHeight="1">
      <c r="A1246" s="95" t="s">
        <v>242</v>
      </c>
      <c r="B1246" s="96" t="s">
        <v>1497</v>
      </c>
    </row>
    <row r="1247" ht="12.75" customHeight="1">
      <c r="A1247" s="95" t="s">
        <v>242</v>
      </c>
      <c r="B1247" s="96" t="s">
        <v>1498</v>
      </c>
    </row>
    <row r="1248" ht="12.75" customHeight="1">
      <c r="A1248" s="95" t="s">
        <v>242</v>
      </c>
      <c r="B1248" s="96" t="s">
        <v>1499</v>
      </c>
    </row>
    <row r="1249" ht="12.75" customHeight="1">
      <c r="A1249" s="95" t="s">
        <v>242</v>
      </c>
      <c r="B1249" s="96" t="s">
        <v>1500</v>
      </c>
    </row>
    <row r="1250" ht="12.75" customHeight="1">
      <c r="A1250" s="95" t="s">
        <v>242</v>
      </c>
      <c r="B1250" s="96" t="s">
        <v>1501</v>
      </c>
    </row>
    <row r="1251" ht="12.75" customHeight="1">
      <c r="A1251" s="95" t="s">
        <v>242</v>
      </c>
      <c r="B1251" s="96" t="s">
        <v>1502</v>
      </c>
    </row>
    <row r="1252" ht="12.75" customHeight="1">
      <c r="A1252" s="95" t="s">
        <v>242</v>
      </c>
      <c r="B1252" s="96" t="s">
        <v>1503</v>
      </c>
    </row>
    <row r="1253" ht="12.75" customHeight="1">
      <c r="A1253" s="95" t="s">
        <v>242</v>
      </c>
      <c r="B1253" s="96" t="s">
        <v>1504</v>
      </c>
    </row>
    <row r="1254" ht="12.75" customHeight="1">
      <c r="A1254" s="95" t="s">
        <v>242</v>
      </c>
      <c r="B1254" s="96" t="s">
        <v>1505</v>
      </c>
    </row>
    <row r="1255" ht="12.75" customHeight="1">
      <c r="A1255" s="95" t="s">
        <v>242</v>
      </c>
      <c r="B1255" s="96" t="s">
        <v>1506</v>
      </c>
    </row>
    <row r="1256" ht="12.75" customHeight="1">
      <c r="A1256" s="95" t="s">
        <v>242</v>
      </c>
      <c r="B1256" s="96" t="s">
        <v>1507</v>
      </c>
    </row>
    <row r="1257" ht="12.75" customHeight="1">
      <c r="A1257" s="95" t="s">
        <v>242</v>
      </c>
      <c r="B1257" s="96" t="s">
        <v>1508</v>
      </c>
    </row>
    <row r="1258" ht="12.75" customHeight="1">
      <c r="A1258" s="95" t="s">
        <v>242</v>
      </c>
      <c r="B1258" s="96" t="s">
        <v>1509</v>
      </c>
    </row>
    <row r="1259" ht="12.75" customHeight="1">
      <c r="A1259" s="95" t="s">
        <v>242</v>
      </c>
      <c r="B1259" s="96" t="s">
        <v>1510</v>
      </c>
    </row>
    <row r="1260" ht="12.75" customHeight="1">
      <c r="A1260" s="95" t="s">
        <v>242</v>
      </c>
      <c r="B1260" s="96" t="s">
        <v>1511</v>
      </c>
    </row>
    <row r="1261" ht="12.75" customHeight="1">
      <c r="A1261" s="95" t="s">
        <v>242</v>
      </c>
      <c r="B1261" s="96" t="s">
        <v>1512</v>
      </c>
    </row>
    <row r="1262" ht="12.75" customHeight="1">
      <c r="A1262" s="95" t="s">
        <v>242</v>
      </c>
      <c r="B1262" s="96" t="s">
        <v>1513</v>
      </c>
    </row>
    <row r="1263" ht="12.75" customHeight="1">
      <c r="A1263" s="95" t="s">
        <v>242</v>
      </c>
      <c r="B1263" s="96" t="s">
        <v>1514</v>
      </c>
    </row>
    <row r="1264" ht="12.75" customHeight="1">
      <c r="A1264" s="95" t="s">
        <v>242</v>
      </c>
      <c r="B1264" s="96" t="s">
        <v>1515</v>
      </c>
    </row>
    <row r="1265" ht="12.75" customHeight="1">
      <c r="A1265" s="95" t="s">
        <v>242</v>
      </c>
      <c r="B1265" s="96" t="s">
        <v>1516</v>
      </c>
    </row>
    <row r="1266" ht="12.75" customHeight="1">
      <c r="A1266" s="95" t="s">
        <v>242</v>
      </c>
      <c r="B1266" s="96" t="s">
        <v>1517</v>
      </c>
    </row>
    <row r="1267" ht="12.75" customHeight="1">
      <c r="A1267" s="95" t="s">
        <v>242</v>
      </c>
      <c r="B1267" s="96" t="s">
        <v>1518</v>
      </c>
    </row>
    <row r="1268" ht="12.75" customHeight="1">
      <c r="A1268" s="95" t="s">
        <v>242</v>
      </c>
      <c r="B1268" s="96" t="s">
        <v>1519</v>
      </c>
    </row>
    <row r="1269" ht="12.75" customHeight="1">
      <c r="A1269" s="95" t="s">
        <v>330</v>
      </c>
      <c r="B1269" s="96" t="s">
        <v>745</v>
      </c>
    </row>
    <row r="1270" ht="12.75" customHeight="1">
      <c r="A1270" s="95" t="s">
        <v>342</v>
      </c>
      <c r="B1270" s="96" t="s">
        <v>745</v>
      </c>
    </row>
    <row r="1271" ht="12.75" customHeight="1">
      <c r="A1271" s="95" t="s">
        <v>351</v>
      </c>
      <c r="B1271" s="96" t="s">
        <v>745</v>
      </c>
    </row>
    <row r="1272" ht="12.75" customHeight="1">
      <c r="A1272" s="95" t="s">
        <v>242</v>
      </c>
      <c r="B1272" s="96" t="s">
        <v>1652</v>
      </c>
    </row>
    <row r="1273" ht="12.75" customHeight="1">
      <c r="A1273" s="95" t="s">
        <v>242</v>
      </c>
      <c r="B1273" s="96" t="s">
        <v>1062</v>
      </c>
    </row>
    <row r="1274" ht="12.75" customHeight="1">
      <c r="A1274" s="95" t="s">
        <v>242</v>
      </c>
      <c r="B1274" s="96" t="s">
        <v>1063</v>
      </c>
    </row>
    <row r="1275" ht="12.75" customHeight="1">
      <c r="A1275" s="95" t="s">
        <v>242</v>
      </c>
      <c r="B1275" s="96" t="s">
        <v>1064</v>
      </c>
    </row>
    <row r="1276" ht="12.75" customHeight="1">
      <c r="A1276" s="95" t="s">
        <v>242</v>
      </c>
      <c r="B1276" s="96" t="s">
        <v>1065</v>
      </c>
    </row>
    <row r="1277" ht="12.75" customHeight="1">
      <c r="A1277" s="95" t="s">
        <v>242</v>
      </c>
      <c r="B1277" s="96" t="s">
        <v>1066</v>
      </c>
    </row>
    <row r="1278" ht="12.75" customHeight="1">
      <c r="A1278" s="95" t="s">
        <v>242</v>
      </c>
      <c r="B1278" s="96" t="s">
        <v>1067</v>
      </c>
    </row>
    <row r="1279" ht="12.75" customHeight="1">
      <c r="A1279" s="95" t="s">
        <v>242</v>
      </c>
      <c r="B1279" s="96" t="s">
        <v>1653</v>
      </c>
    </row>
    <row r="1280" ht="12.75" customHeight="1">
      <c r="A1280" s="95" t="s">
        <v>242</v>
      </c>
      <c r="B1280" s="96" t="s">
        <v>1654</v>
      </c>
    </row>
    <row r="1281" ht="12.75" customHeight="1">
      <c r="A1281" s="95" t="s">
        <v>242</v>
      </c>
      <c r="B1281" s="96" t="s">
        <v>1655</v>
      </c>
    </row>
    <row r="1282" ht="12.75" customHeight="1">
      <c r="A1282" s="95" t="s">
        <v>242</v>
      </c>
      <c r="B1282" s="96" t="s">
        <v>1656</v>
      </c>
    </row>
    <row r="1283" ht="12.75" customHeight="1">
      <c r="A1283" s="95" t="s">
        <v>242</v>
      </c>
      <c r="B1283" s="96" t="s">
        <v>1657</v>
      </c>
    </row>
    <row r="1284" ht="12.75" customHeight="1">
      <c r="A1284" s="95" t="s">
        <v>242</v>
      </c>
      <c r="B1284" s="96" t="s">
        <v>1658</v>
      </c>
    </row>
    <row r="1285" ht="12.75" customHeight="1">
      <c r="A1285" s="95" t="s">
        <v>242</v>
      </c>
      <c r="B1285" s="96" t="s">
        <v>1659</v>
      </c>
    </row>
    <row r="1286" ht="12.75" customHeight="1">
      <c r="A1286" s="95" t="s">
        <v>242</v>
      </c>
      <c r="B1286" s="96" t="s">
        <v>1660</v>
      </c>
    </row>
    <row r="1287" ht="12.75" customHeight="1">
      <c r="A1287" s="95" t="s">
        <v>242</v>
      </c>
      <c r="B1287" s="96" t="s">
        <v>1661</v>
      </c>
    </row>
    <row r="1288" ht="12.75" customHeight="1">
      <c r="A1288" s="95" t="s">
        <v>242</v>
      </c>
      <c r="B1288" s="96" t="s">
        <v>1662</v>
      </c>
    </row>
    <row r="1289" ht="12.75" customHeight="1">
      <c r="A1289" s="95" t="s">
        <v>242</v>
      </c>
      <c r="B1289" s="96" t="s">
        <v>1663</v>
      </c>
    </row>
    <row r="1290" ht="12.75" customHeight="1">
      <c r="A1290" s="95" t="s">
        <v>242</v>
      </c>
      <c r="B1290" s="96" t="s">
        <v>1664</v>
      </c>
    </row>
    <row r="1291" ht="12.75" customHeight="1">
      <c r="A1291" s="95" t="s">
        <v>242</v>
      </c>
      <c r="B1291" s="96" t="s">
        <v>1665</v>
      </c>
    </row>
    <row r="1292" ht="12.75" customHeight="1">
      <c r="A1292" s="95" t="s">
        <v>242</v>
      </c>
      <c r="B1292" s="96" t="s">
        <v>1666</v>
      </c>
    </row>
    <row r="1293" ht="12.75" customHeight="1">
      <c r="A1293" s="95" t="s">
        <v>242</v>
      </c>
      <c r="B1293" s="96" t="s">
        <v>1667</v>
      </c>
    </row>
    <row r="1294" ht="12.75" customHeight="1">
      <c r="A1294" s="95" t="s">
        <v>242</v>
      </c>
      <c r="B1294" s="96" t="s">
        <v>1668</v>
      </c>
    </row>
    <row r="1295" ht="12.75" customHeight="1">
      <c r="A1295" s="95" t="s">
        <v>242</v>
      </c>
      <c r="B1295" s="96" t="s">
        <v>1669</v>
      </c>
    </row>
    <row r="1296" ht="12.75" customHeight="1">
      <c r="A1296" s="95" t="s">
        <v>242</v>
      </c>
      <c r="B1296" s="96" t="s">
        <v>1670</v>
      </c>
    </row>
    <row r="1297" ht="12.75" customHeight="1">
      <c r="A1297" s="95" t="s">
        <v>242</v>
      </c>
      <c r="B1297" s="96" t="s">
        <v>1671</v>
      </c>
    </row>
    <row r="1298" ht="12.75" customHeight="1">
      <c r="A1298" s="95" t="s">
        <v>242</v>
      </c>
      <c r="B1298" s="96" t="s">
        <v>1672</v>
      </c>
    </row>
    <row r="1299" ht="12.75" customHeight="1">
      <c r="A1299" s="95" t="s">
        <v>242</v>
      </c>
      <c r="B1299" s="96" t="s">
        <v>1673</v>
      </c>
    </row>
    <row r="1300" ht="12.75" customHeight="1">
      <c r="A1300" s="95" t="s">
        <v>242</v>
      </c>
      <c r="B1300" s="96" t="s">
        <v>1674</v>
      </c>
    </row>
    <row r="1301" ht="12.75" customHeight="1">
      <c r="A1301" s="95" t="s">
        <v>242</v>
      </c>
      <c r="B1301" s="96" t="s">
        <v>1675</v>
      </c>
    </row>
    <row r="1302" ht="12.75" customHeight="1">
      <c r="A1302" s="95" t="s">
        <v>242</v>
      </c>
      <c r="B1302" s="96" t="s">
        <v>1676</v>
      </c>
    </row>
    <row r="1303" ht="12.75" customHeight="1">
      <c r="A1303" s="95" t="s">
        <v>242</v>
      </c>
      <c r="B1303" s="96" t="s">
        <v>1677</v>
      </c>
    </row>
    <row r="1304" ht="12.75" customHeight="1">
      <c r="A1304" s="95" t="s">
        <v>242</v>
      </c>
      <c r="B1304" s="96" t="s">
        <v>1678</v>
      </c>
    </row>
    <row r="1305" ht="12.75" customHeight="1">
      <c r="A1305" s="95" t="s">
        <v>242</v>
      </c>
      <c r="B1305" s="96" t="s">
        <v>1679</v>
      </c>
    </row>
    <row r="1306" ht="12.75" customHeight="1">
      <c r="A1306" s="95" t="s">
        <v>242</v>
      </c>
      <c r="B1306" s="96" t="s">
        <v>1680</v>
      </c>
    </row>
    <row r="1307" ht="12.75" customHeight="1">
      <c r="A1307" s="95" t="s">
        <v>242</v>
      </c>
      <c r="B1307" s="96" t="s">
        <v>1681</v>
      </c>
    </row>
    <row r="1308" ht="12.75" customHeight="1">
      <c r="A1308" s="95" t="s">
        <v>242</v>
      </c>
      <c r="B1308" s="96" t="s">
        <v>1088</v>
      </c>
    </row>
    <row r="1309" ht="12.75" customHeight="1">
      <c r="A1309" s="95" t="s">
        <v>242</v>
      </c>
      <c r="B1309" s="96" t="s">
        <v>1089</v>
      </c>
    </row>
    <row r="1310" ht="12.75" customHeight="1">
      <c r="A1310" s="95" t="s">
        <v>242</v>
      </c>
      <c r="B1310" s="96" t="s">
        <v>1090</v>
      </c>
    </row>
    <row r="1311" ht="12.75" customHeight="1">
      <c r="A1311" s="95" t="s">
        <v>242</v>
      </c>
      <c r="B1311" s="96" t="s">
        <v>1091</v>
      </c>
    </row>
    <row r="1312" ht="12.75" customHeight="1">
      <c r="A1312" s="95" t="s">
        <v>242</v>
      </c>
      <c r="B1312" s="96" t="s">
        <v>1092</v>
      </c>
    </row>
    <row r="1313" ht="12.75" customHeight="1">
      <c r="A1313" s="95" t="s">
        <v>242</v>
      </c>
      <c r="B1313" s="96" t="s">
        <v>1093</v>
      </c>
    </row>
    <row r="1314" ht="12.75" customHeight="1">
      <c r="A1314" s="95" t="s">
        <v>242</v>
      </c>
      <c r="B1314" s="96" t="s">
        <v>1094</v>
      </c>
    </row>
    <row r="1315" ht="12.75" customHeight="1">
      <c r="A1315" s="95" t="s">
        <v>242</v>
      </c>
      <c r="B1315" s="96" t="s">
        <v>1095</v>
      </c>
    </row>
    <row r="1316" ht="12.75" customHeight="1">
      <c r="A1316" s="95" t="s">
        <v>242</v>
      </c>
      <c r="B1316" s="96" t="s">
        <v>1682</v>
      </c>
    </row>
    <row r="1317" ht="12.75" customHeight="1">
      <c r="A1317" s="95" t="s">
        <v>242</v>
      </c>
      <c r="B1317" s="96" t="s">
        <v>1683</v>
      </c>
    </row>
    <row r="1318" ht="12.75" customHeight="1">
      <c r="A1318" s="95" t="s">
        <v>242</v>
      </c>
      <c r="B1318" s="96" t="s">
        <v>1684</v>
      </c>
    </row>
    <row r="1319" ht="12.75" customHeight="1">
      <c r="A1319" s="95" t="s">
        <v>242</v>
      </c>
      <c r="B1319" s="96" t="s">
        <v>1685</v>
      </c>
    </row>
    <row r="1320" ht="12.75" customHeight="1">
      <c r="A1320" s="95" t="s">
        <v>242</v>
      </c>
      <c r="B1320" s="96" t="s">
        <v>1686</v>
      </c>
    </row>
    <row r="1321" ht="12.75" customHeight="1">
      <c r="A1321" s="95" t="s">
        <v>242</v>
      </c>
      <c r="B1321" s="96" t="s">
        <v>1687</v>
      </c>
    </row>
    <row r="1322" ht="12.75" customHeight="1">
      <c r="A1322" s="95" t="s">
        <v>242</v>
      </c>
      <c r="B1322" s="96" t="s">
        <v>1688</v>
      </c>
    </row>
    <row r="1323" ht="12.75" customHeight="1">
      <c r="A1323" s="95" t="s">
        <v>242</v>
      </c>
      <c r="B1323" s="96" t="s">
        <v>1689</v>
      </c>
    </row>
    <row r="1324" ht="12.75" customHeight="1">
      <c r="A1324" s="95" t="s">
        <v>242</v>
      </c>
      <c r="B1324" s="96" t="s">
        <v>1690</v>
      </c>
    </row>
    <row r="1325" ht="12.75" customHeight="1">
      <c r="A1325" s="95" t="s">
        <v>242</v>
      </c>
      <c r="B1325" s="96" t="s">
        <v>1691</v>
      </c>
    </row>
    <row r="1326" ht="12.75" customHeight="1">
      <c r="A1326" s="95" t="s">
        <v>242</v>
      </c>
      <c r="B1326" s="96" t="s">
        <v>1692</v>
      </c>
    </row>
    <row r="1327" ht="12.75" customHeight="1">
      <c r="A1327" s="95" t="s">
        <v>242</v>
      </c>
      <c r="B1327" s="96" t="s">
        <v>1693</v>
      </c>
    </row>
    <row r="1328" ht="12.75" customHeight="1">
      <c r="A1328" s="95" t="s">
        <v>242</v>
      </c>
      <c r="B1328" s="96" t="s">
        <v>1694</v>
      </c>
    </row>
    <row r="1329" ht="12.75" customHeight="1">
      <c r="A1329" s="95" t="s">
        <v>242</v>
      </c>
      <c r="B1329" s="96" t="s">
        <v>1695</v>
      </c>
    </row>
    <row r="1330" ht="12.75" customHeight="1">
      <c r="A1330" s="95" t="s">
        <v>242</v>
      </c>
      <c r="B1330" s="96" t="s">
        <v>1696</v>
      </c>
    </row>
    <row r="1331" ht="12.75" customHeight="1">
      <c r="A1331" s="95" t="s">
        <v>242</v>
      </c>
      <c r="B1331" s="96" t="s">
        <v>1697</v>
      </c>
    </row>
    <row r="1332" ht="12.75" customHeight="1">
      <c r="A1332" s="95" t="s">
        <v>242</v>
      </c>
      <c r="B1332" s="96" t="s">
        <v>1698</v>
      </c>
    </row>
    <row r="1333" ht="12.75" customHeight="1">
      <c r="A1333" s="95" t="s">
        <v>242</v>
      </c>
      <c r="B1333" s="96" t="s">
        <v>1699</v>
      </c>
    </row>
    <row r="1334" ht="12.75" customHeight="1">
      <c r="A1334" s="95" t="s">
        <v>242</v>
      </c>
      <c r="B1334" s="96" t="s">
        <v>1700</v>
      </c>
    </row>
    <row r="1335" ht="12.75" customHeight="1">
      <c r="A1335" s="95" t="s">
        <v>242</v>
      </c>
      <c r="B1335" s="96" t="s">
        <v>1701</v>
      </c>
    </row>
    <row r="1336" ht="12.75" customHeight="1">
      <c r="A1336" s="95" t="s">
        <v>242</v>
      </c>
      <c r="B1336" s="96" t="s">
        <v>1702</v>
      </c>
    </row>
    <row r="1337" ht="12.75" customHeight="1">
      <c r="A1337" s="95" t="s">
        <v>242</v>
      </c>
      <c r="B1337" s="96" t="s">
        <v>1703</v>
      </c>
    </row>
    <row r="1338" ht="12.75" customHeight="1">
      <c r="A1338" s="95" t="s">
        <v>242</v>
      </c>
      <c r="B1338" s="96" t="s">
        <v>1704</v>
      </c>
    </row>
    <row r="1339" ht="12.75" customHeight="1">
      <c r="A1339" s="95" t="s">
        <v>242</v>
      </c>
      <c r="B1339" s="96" t="s">
        <v>1705</v>
      </c>
    </row>
    <row r="1340" ht="12.75" customHeight="1">
      <c r="A1340" s="95" t="s">
        <v>242</v>
      </c>
      <c r="B1340" s="96" t="s">
        <v>1706</v>
      </c>
    </row>
    <row r="1341" ht="12.75" customHeight="1">
      <c r="A1341" s="95" t="s">
        <v>242</v>
      </c>
      <c r="B1341" s="96" t="s">
        <v>1707</v>
      </c>
    </row>
    <row r="1342" ht="12.75" customHeight="1">
      <c r="A1342" s="95" t="s">
        <v>242</v>
      </c>
      <c r="B1342" s="96" t="s">
        <v>1708</v>
      </c>
    </row>
    <row r="1343" ht="12.75" customHeight="1">
      <c r="A1343" s="95" t="s">
        <v>242</v>
      </c>
      <c r="B1343" s="96" t="s">
        <v>1709</v>
      </c>
    </row>
    <row r="1344" ht="12.75" customHeight="1">
      <c r="A1344" s="95" t="s">
        <v>242</v>
      </c>
      <c r="B1344" s="96" t="s">
        <v>1710</v>
      </c>
    </row>
    <row r="1345" ht="12.75" customHeight="1">
      <c r="A1345" s="95" t="s">
        <v>242</v>
      </c>
      <c r="B1345" s="96" t="s">
        <v>1711</v>
      </c>
    </row>
    <row r="1346" ht="12.75" customHeight="1">
      <c r="A1346" s="95" t="s">
        <v>242</v>
      </c>
      <c r="B1346" s="96" t="s">
        <v>1712</v>
      </c>
    </row>
    <row r="1347" ht="12.75" customHeight="1">
      <c r="A1347" s="95" t="s">
        <v>242</v>
      </c>
      <c r="B1347" s="96" t="s">
        <v>1713</v>
      </c>
    </row>
    <row r="1348" ht="12.75" customHeight="1">
      <c r="A1348" s="95" t="s">
        <v>242</v>
      </c>
      <c r="B1348" s="96" t="s">
        <v>1714</v>
      </c>
    </row>
    <row r="1349" ht="12.75" customHeight="1">
      <c r="A1349" s="95" t="s">
        <v>242</v>
      </c>
      <c r="B1349" s="96" t="s">
        <v>1715</v>
      </c>
    </row>
    <row r="1350" ht="12.75" customHeight="1">
      <c r="A1350" s="95" t="s">
        <v>242</v>
      </c>
      <c r="B1350" s="96" t="s">
        <v>1716</v>
      </c>
    </row>
    <row r="1351" ht="12.75" customHeight="1">
      <c r="A1351" s="95" t="s">
        <v>242</v>
      </c>
      <c r="B1351" s="96" t="s">
        <v>1717</v>
      </c>
    </row>
    <row r="1352" ht="12.75" customHeight="1">
      <c r="A1352" s="95" t="s">
        <v>242</v>
      </c>
      <c r="B1352" s="96" t="s">
        <v>3167</v>
      </c>
    </row>
    <row r="1353" ht="12.75" customHeight="1">
      <c r="A1353" s="95" t="s">
        <v>242</v>
      </c>
      <c r="B1353" s="96" t="s">
        <v>1719</v>
      </c>
    </row>
    <row r="1354" ht="12.75" customHeight="1">
      <c r="A1354" s="95" t="s">
        <v>242</v>
      </c>
      <c r="B1354" s="96" t="s">
        <v>1720</v>
      </c>
    </row>
    <row r="1355" ht="12.75" customHeight="1">
      <c r="A1355" s="95" t="s">
        <v>242</v>
      </c>
      <c r="B1355" s="96" t="s">
        <v>1721</v>
      </c>
    </row>
    <row r="1356" ht="12.75" customHeight="1">
      <c r="A1356" s="95" t="s">
        <v>242</v>
      </c>
      <c r="B1356" s="96" t="s">
        <v>1722</v>
      </c>
    </row>
    <row r="1357" ht="12.75" customHeight="1">
      <c r="A1357" s="95" t="s">
        <v>242</v>
      </c>
      <c r="B1357" s="96" t="s">
        <v>1723</v>
      </c>
    </row>
    <row r="1358" ht="12.75" customHeight="1">
      <c r="A1358" s="95" t="s">
        <v>242</v>
      </c>
      <c r="B1358" s="96" t="s">
        <v>1724</v>
      </c>
    </row>
    <row r="1359" ht="12.75" customHeight="1">
      <c r="A1359" s="95" t="s">
        <v>242</v>
      </c>
      <c r="B1359" s="96" t="s">
        <v>1725</v>
      </c>
    </row>
    <row r="1360" ht="12.75" customHeight="1">
      <c r="A1360" s="95" t="s">
        <v>242</v>
      </c>
      <c r="B1360" s="96" t="s">
        <v>3168</v>
      </c>
    </row>
    <row r="1361" ht="12.75" customHeight="1">
      <c r="A1361" s="95" t="s">
        <v>242</v>
      </c>
      <c r="B1361" s="96" t="s">
        <v>1727</v>
      </c>
    </row>
    <row r="1362" ht="12.75" customHeight="1">
      <c r="A1362" s="95" t="s">
        <v>242</v>
      </c>
      <c r="B1362" s="96" t="s">
        <v>1728</v>
      </c>
    </row>
    <row r="1363" ht="12.75" customHeight="1">
      <c r="A1363" s="95" t="s">
        <v>242</v>
      </c>
      <c r="B1363" s="96" t="s">
        <v>1729</v>
      </c>
    </row>
    <row r="1364" ht="12.75" customHeight="1">
      <c r="A1364" s="95" t="s">
        <v>294</v>
      </c>
      <c r="B1364" s="96" t="s">
        <v>745</v>
      </c>
    </row>
    <row r="1365" ht="12.75" customHeight="1">
      <c r="A1365" s="95" t="s">
        <v>256</v>
      </c>
      <c r="B1365" s="96" t="s">
        <v>745</v>
      </c>
    </row>
    <row r="1366" ht="12.75" customHeight="1">
      <c r="A1366" s="95" t="s">
        <v>181</v>
      </c>
      <c r="B1366" s="96" t="s">
        <v>804</v>
      </c>
    </row>
    <row r="1367" ht="12.75" customHeight="1">
      <c r="A1367" s="95" t="s">
        <v>181</v>
      </c>
      <c r="B1367" s="96" t="s">
        <v>76</v>
      </c>
    </row>
    <row r="1368" ht="12.75" customHeight="1">
      <c r="A1368" s="95" t="s">
        <v>181</v>
      </c>
      <c r="B1368" s="96" t="s">
        <v>80</v>
      </c>
    </row>
    <row r="1369" ht="12.75" customHeight="1">
      <c r="A1369" s="95" t="s">
        <v>181</v>
      </c>
      <c r="B1369" s="96" t="s">
        <v>83</v>
      </c>
    </row>
    <row r="1370" ht="12.75" customHeight="1">
      <c r="A1370" s="95" t="s">
        <v>181</v>
      </c>
      <c r="B1370" s="96" t="s">
        <v>85</v>
      </c>
    </row>
    <row r="1371" ht="12.75" customHeight="1">
      <c r="A1371" s="95" t="s">
        <v>181</v>
      </c>
      <c r="B1371" s="96" t="s">
        <v>845</v>
      </c>
    </row>
    <row r="1372" ht="12.75" customHeight="1">
      <c r="A1372" s="95" t="s">
        <v>181</v>
      </c>
      <c r="B1372" s="96" t="s">
        <v>2291</v>
      </c>
    </row>
    <row r="1373" ht="12.75" customHeight="1">
      <c r="A1373" s="95" t="s">
        <v>215</v>
      </c>
      <c r="B1373" s="96">
        <v>28.0</v>
      </c>
    </row>
    <row r="1374" ht="12.75" customHeight="1">
      <c r="A1374" s="95" t="s">
        <v>215</v>
      </c>
      <c r="B1374" s="96">
        <v>29.0</v>
      </c>
    </row>
    <row r="1375" ht="12.75" customHeight="1">
      <c r="A1375" s="95" t="s">
        <v>215</v>
      </c>
      <c r="B1375" s="96">
        <v>30.0</v>
      </c>
    </row>
    <row r="1376" ht="12.75" customHeight="1">
      <c r="A1376" s="95" t="s">
        <v>215</v>
      </c>
      <c r="B1376" s="96">
        <v>31.0</v>
      </c>
    </row>
    <row r="1377" ht="12.75" customHeight="1">
      <c r="A1377" s="95" t="s">
        <v>215</v>
      </c>
      <c r="B1377" s="96">
        <v>32.0</v>
      </c>
    </row>
    <row r="1378" ht="12.75" customHeight="1">
      <c r="A1378" s="95" t="s">
        <v>215</v>
      </c>
      <c r="B1378" s="96">
        <v>33.0</v>
      </c>
    </row>
    <row r="1379" ht="12.75" customHeight="1">
      <c r="A1379" s="95" t="s">
        <v>215</v>
      </c>
      <c r="B1379" s="96">
        <v>34.0</v>
      </c>
    </row>
    <row r="1380" ht="12.75" customHeight="1">
      <c r="A1380" s="95" t="s">
        <v>215</v>
      </c>
      <c r="B1380" s="96">
        <v>35.0</v>
      </c>
    </row>
    <row r="1381" ht="12.75" customHeight="1">
      <c r="A1381" s="95" t="s">
        <v>215</v>
      </c>
      <c r="B1381" s="96">
        <v>36.0</v>
      </c>
    </row>
    <row r="1382" ht="12.75" customHeight="1">
      <c r="A1382" s="95" t="s">
        <v>215</v>
      </c>
      <c r="B1382" s="96">
        <v>37.0</v>
      </c>
    </row>
    <row r="1383" ht="12.75" customHeight="1">
      <c r="A1383" s="95" t="s">
        <v>215</v>
      </c>
      <c r="B1383" s="96">
        <v>38.0</v>
      </c>
    </row>
    <row r="1384" ht="12.75" customHeight="1">
      <c r="A1384" s="95" t="s">
        <v>215</v>
      </c>
      <c r="B1384" s="96">
        <v>39.0</v>
      </c>
    </row>
    <row r="1385" ht="12.75" customHeight="1">
      <c r="A1385" s="95" t="s">
        <v>215</v>
      </c>
      <c r="B1385" s="96">
        <v>40.0</v>
      </c>
    </row>
    <row r="1386" ht="12.75" customHeight="1">
      <c r="A1386" s="95" t="s">
        <v>215</v>
      </c>
      <c r="B1386" s="96">
        <v>41.0</v>
      </c>
    </row>
    <row r="1387" ht="12.75" customHeight="1">
      <c r="A1387" s="95" t="s">
        <v>215</v>
      </c>
      <c r="B1387" s="96">
        <v>42.0</v>
      </c>
    </row>
    <row r="1388" ht="12.75" customHeight="1">
      <c r="A1388" s="95" t="s">
        <v>215</v>
      </c>
      <c r="B1388" s="96">
        <v>44.0</v>
      </c>
    </row>
    <row r="1389" ht="12.75" customHeight="1">
      <c r="A1389" s="95" t="s">
        <v>386</v>
      </c>
      <c r="B1389" s="96" t="s">
        <v>804</v>
      </c>
    </row>
    <row r="1390" ht="12.75" customHeight="1">
      <c r="A1390" s="95" t="s">
        <v>386</v>
      </c>
      <c r="B1390" s="96" t="s">
        <v>76</v>
      </c>
    </row>
    <row r="1391" ht="12.75" customHeight="1">
      <c r="A1391" s="95" t="s">
        <v>386</v>
      </c>
      <c r="B1391" s="96" t="s">
        <v>80</v>
      </c>
    </row>
    <row r="1392" ht="12.75" customHeight="1">
      <c r="A1392" s="95" t="s">
        <v>386</v>
      </c>
      <c r="B1392" s="96" t="s">
        <v>83</v>
      </c>
    </row>
    <row r="1393" ht="12.75" customHeight="1">
      <c r="A1393" s="95" t="s">
        <v>386</v>
      </c>
      <c r="B1393" s="96" t="s">
        <v>85</v>
      </c>
    </row>
    <row r="1394" ht="12.75" customHeight="1">
      <c r="A1394" s="95" t="s">
        <v>386</v>
      </c>
      <c r="B1394" s="96" t="s">
        <v>845</v>
      </c>
    </row>
    <row r="1395" ht="12.75" customHeight="1">
      <c r="A1395" s="95" t="s">
        <v>386</v>
      </c>
      <c r="B1395" s="96" t="s">
        <v>2291</v>
      </c>
    </row>
    <row r="1396" ht="12.75" customHeight="1">
      <c r="A1396" s="95" t="s">
        <v>386</v>
      </c>
      <c r="B1396" s="96">
        <v>28.0</v>
      </c>
    </row>
    <row r="1397" ht="12.75" customHeight="1">
      <c r="A1397" s="95" t="s">
        <v>386</v>
      </c>
      <c r="B1397" s="96">
        <v>29.0</v>
      </c>
    </row>
    <row r="1398" ht="12.75" customHeight="1">
      <c r="A1398" s="95" t="s">
        <v>386</v>
      </c>
      <c r="B1398" s="96">
        <v>30.0</v>
      </c>
    </row>
    <row r="1399" ht="12.75" customHeight="1">
      <c r="A1399" s="95" t="s">
        <v>386</v>
      </c>
      <c r="B1399" s="96">
        <v>31.0</v>
      </c>
    </row>
    <row r="1400" ht="12.75" customHeight="1">
      <c r="A1400" s="95" t="s">
        <v>386</v>
      </c>
      <c r="B1400" s="96">
        <v>32.0</v>
      </c>
    </row>
    <row r="1401" ht="12.75" customHeight="1">
      <c r="A1401" s="95" t="s">
        <v>386</v>
      </c>
      <c r="B1401" s="96">
        <v>33.0</v>
      </c>
    </row>
    <row r="1402" ht="12.75" customHeight="1">
      <c r="A1402" s="95" t="s">
        <v>386</v>
      </c>
      <c r="B1402" s="96">
        <v>34.0</v>
      </c>
    </row>
    <row r="1403" ht="12.75" customHeight="1">
      <c r="A1403" s="95" t="s">
        <v>386</v>
      </c>
      <c r="B1403" s="96">
        <v>35.0</v>
      </c>
    </row>
    <row r="1404" ht="12.75" customHeight="1">
      <c r="A1404" s="95" t="s">
        <v>386</v>
      </c>
      <c r="B1404" s="96">
        <v>36.0</v>
      </c>
    </row>
    <row r="1405" ht="12.75" customHeight="1">
      <c r="A1405" s="95" t="s">
        <v>386</v>
      </c>
      <c r="B1405" s="96">
        <v>37.0</v>
      </c>
    </row>
    <row r="1406" ht="12.75" customHeight="1">
      <c r="A1406" s="95" t="s">
        <v>386</v>
      </c>
      <c r="B1406" s="96">
        <v>38.0</v>
      </c>
    </row>
    <row r="1407" ht="12.75" customHeight="1">
      <c r="A1407" s="95" t="s">
        <v>386</v>
      </c>
      <c r="B1407" s="96">
        <v>39.0</v>
      </c>
    </row>
    <row r="1408" ht="12.75" customHeight="1">
      <c r="A1408" s="95" t="s">
        <v>386</v>
      </c>
      <c r="B1408" s="96">
        <v>40.0</v>
      </c>
    </row>
    <row r="1409" ht="12.75" customHeight="1">
      <c r="A1409" s="95" t="s">
        <v>386</v>
      </c>
      <c r="B1409" s="96">
        <v>41.0</v>
      </c>
    </row>
    <row r="1410" ht="12.75" customHeight="1">
      <c r="A1410" s="95" t="s">
        <v>386</v>
      </c>
      <c r="B1410" s="96">
        <v>42.0</v>
      </c>
    </row>
    <row r="1411" ht="12.75" customHeight="1">
      <c r="A1411" s="95" t="s">
        <v>386</v>
      </c>
      <c r="B1411" s="96">
        <v>43.0</v>
      </c>
    </row>
    <row r="1412" ht="12.75" customHeight="1">
      <c r="A1412" s="95" t="s">
        <v>386</v>
      </c>
      <c r="B1412" s="96">
        <v>44.0</v>
      </c>
    </row>
    <row r="1413" ht="12.75" customHeight="1">
      <c r="A1413" s="95" t="s">
        <v>392</v>
      </c>
      <c r="B1413" s="96" t="s">
        <v>804</v>
      </c>
    </row>
    <row r="1414" ht="12.75" customHeight="1">
      <c r="A1414" s="95" t="s">
        <v>392</v>
      </c>
      <c r="B1414" s="96" t="s">
        <v>76</v>
      </c>
    </row>
    <row r="1415" ht="12.75" customHeight="1">
      <c r="A1415" s="95" t="s">
        <v>392</v>
      </c>
      <c r="B1415" s="96" t="s">
        <v>80</v>
      </c>
    </row>
    <row r="1416" ht="12.75" customHeight="1">
      <c r="A1416" s="95" t="s">
        <v>392</v>
      </c>
      <c r="B1416" s="96" t="s">
        <v>83</v>
      </c>
    </row>
    <row r="1417" ht="12.75" customHeight="1">
      <c r="A1417" s="95" t="s">
        <v>392</v>
      </c>
      <c r="B1417" s="96" t="s">
        <v>85</v>
      </c>
    </row>
    <row r="1418" ht="12.75" customHeight="1">
      <c r="A1418" s="95" t="s">
        <v>392</v>
      </c>
      <c r="B1418" s="96" t="s">
        <v>845</v>
      </c>
    </row>
    <row r="1419" ht="12.75" customHeight="1">
      <c r="A1419" s="95" t="s">
        <v>392</v>
      </c>
      <c r="B1419" s="96" t="s">
        <v>2291</v>
      </c>
    </row>
    <row r="1420" ht="12.75" customHeight="1">
      <c r="A1420" s="95" t="s">
        <v>392</v>
      </c>
      <c r="B1420" s="96">
        <v>14.5</v>
      </c>
    </row>
    <row r="1421" ht="12.75" customHeight="1">
      <c r="A1421" s="95" t="s">
        <v>392</v>
      </c>
      <c r="B1421" s="96">
        <v>15.0</v>
      </c>
    </row>
    <row r="1422" ht="12.75" customHeight="1">
      <c r="A1422" s="95" t="s">
        <v>392</v>
      </c>
      <c r="B1422" s="96">
        <v>15.5</v>
      </c>
    </row>
    <row r="1423" ht="12.75" customHeight="1">
      <c r="A1423" s="95" t="s">
        <v>392</v>
      </c>
      <c r="B1423" s="96">
        <v>16.0</v>
      </c>
    </row>
    <row r="1424" ht="12.75" customHeight="1">
      <c r="A1424" s="95" t="s">
        <v>392</v>
      </c>
      <c r="B1424" s="96">
        <v>16.5</v>
      </c>
    </row>
    <row r="1425" ht="12.75" customHeight="1">
      <c r="A1425" s="95" t="s">
        <v>392</v>
      </c>
      <c r="B1425" s="96">
        <v>17.0</v>
      </c>
    </row>
    <row r="1426" ht="12.75" customHeight="1">
      <c r="A1426" s="95" t="s">
        <v>392</v>
      </c>
      <c r="B1426" s="96">
        <v>17.5</v>
      </c>
    </row>
    <row r="1427" ht="12.75" customHeight="1">
      <c r="A1427" s="95" t="s">
        <v>392</v>
      </c>
      <c r="B1427" s="96">
        <v>18.0</v>
      </c>
    </row>
    <row r="1428" ht="12.75" customHeight="1">
      <c r="A1428" s="95" t="s">
        <v>392</v>
      </c>
      <c r="B1428" s="96">
        <v>18.5</v>
      </c>
    </row>
    <row r="1429" ht="12.75" customHeight="1">
      <c r="A1429" s="95" t="s">
        <v>392</v>
      </c>
      <c r="B1429" s="96">
        <v>19.0</v>
      </c>
    </row>
    <row r="1430" ht="12.75" customHeight="1">
      <c r="A1430" s="95" t="s">
        <v>392</v>
      </c>
      <c r="B1430" s="96">
        <v>19.5</v>
      </c>
    </row>
    <row r="1431" ht="12.75" customHeight="1">
      <c r="A1431" s="95" t="s">
        <v>392</v>
      </c>
      <c r="B1431" s="96">
        <v>20.0</v>
      </c>
    </row>
    <row r="1432" ht="12.75" customHeight="1">
      <c r="A1432" s="95" t="s">
        <v>234</v>
      </c>
      <c r="B1432" s="96" t="s">
        <v>804</v>
      </c>
    </row>
    <row r="1433" ht="12.75" customHeight="1">
      <c r="A1433" s="95" t="s">
        <v>234</v>
      </c>
      <c r="B1433" s="96" t="s">
        <v>76</v>
      </c>
    </row>
    <row r="1434" ht="12.75" customHeight="1">
      <c r="A1434" s="95" t="s">
        <v>234</v>
      </c>
      <c r="B1434" s="96" t="s">
        <v>80</v>
      </c>
    </row>
    <row r="1435" ht="12.75" customHeight="1">
      <c r="A1435" s="95" t="s">
        <v>234</v>
      </c>
      <c r="B1435" s="96" t="s">
        <v>83</v>
      </c>
    </row>
    <row r="1436" ht="12.75" customHeight="1">
      <c r="A1436" s="95" t="s">
        <v>234</v>
      </c>
      <c r="B1436" s="96" t="s">
        <v>85</v>
      </c>
    </row>
    <row r="1437" ht="12.75" customHeight="1">
      <c r="A1437" s="95" t="s">
        <v>234</v>
      </c>
      <c r="B1437" s="96" t="s">
        <v>845</v>
      </c>
    </row>
    <row r="1438" ht="12.75" customHeight="1">
      <c r="A1438" s="95" t="s">
        <v>234</v>
      </c>
      <c r="B1438" s="96" t="s">
        <v>2291</v>
      </c>
    </row>
    <row r="1439" ht="12.75" customHeight="1">
      <c r="A1439" s="95" t="s">
        <v>234</v>
      </c>
      <c r="B1439" s="96">
        <v>28.0</v>
      </c>
    </row>
    <row r="1440" ht="12.75" customHeight="1">
      <c r="A1440" s="95" t="s">
        <v>234</v>
      </c>
      <c r="B1440" s="96">
        <v>29.0</v>
      </c>
    </row>
    <row r="1441" ht="12.75" customHeight="1">
      <c r="A1441" s="95" t="s">
        <v>234</v>
      </c>
      <c r="B1441" s="96">
        <v>30.0</v>
      </c>
    </row>
    <row r="1442" ht="12.75" customHeight="1">
      <c r="A1442" s="95" t="s">
        <v>234</v>
      </c>
      <c r="B1442" s="96">
        <v>31.0</v>
      </c>
    </row>
    <row r="1443" ht="12.75" customHeight="1">
      <c r="A1443" s="95" t="s">
        <v>234</v>
      </c>
      <c r="B1443" s="96">
        <v>32.0</v>
      </c>
    </row>
    <row r="1444" ht="12.75" customHeight="1">
      <c r="A1444" s="95" t="s">
        <v>234</v>
      </c>
      <c r="B1444" s="96">
        <v>33.0</v>
      </c>
    </row>
    <row r="1445" ht="12.75" customHeight="1">
      <c r="A1445" s="95" t="s">
        <v>234</v>
      </c>
      <c r="B1445" s="96">
        <v>34.0</v>
      </c>
    </row>
    <row r="1446" ht="12.75" customHeight="1">
      <c r="A1446" s="95" t="s">
        <v>234</v>
      </c>
      <c r="B1446" s="96">
        <v>35.0</v>
      </c>
    </row>
    <row r="1447" ht="12.75" customHeight="1">
      <c r="A1447" s="95" t="s">
        <v>234</v>
      </c>
      <c r="B1447" s="96">
        <v>36.0</v>
      </c>
    </row>
    <row r="1448" ht="12.75" customHeight="1">
      <c r="A1448" s="95" t="s">
        <v>234</v>
      </c>
      <c r="B1448" s="96">
        <v>37.0</v>
      </c>
    </row>
    <row r="1449" ht="12.75" customHeight="1">
      <c r="A1449" s="95" t="s">
        <v>234</v>
      </c>
      <c r="B1449" s="96">
        <v>38.0</v>
      </c>
    </row>
    <row r="1450" ht="12.75" customHeight="1">
      <c r="A1450" s="95" t="s">
        <v>234</v>
      </c>
      <c r="B1450" s="96">
        <v>39.0</v>
      </c>
    </row>
    <row r="1451" ht="12.75" customHeight="1">
      <c r="A1451" s="95" t="s">
        <v>234</v>
      </c>
      <c r="B1451" s="96">
        <v>40.0</v>
      </c>
    </row>
    <row r="1452" ht="12.75" customHeight="1">
      <c r="A1452" s="95" t="s">
        <v>234</v>
      </c>
      <c r="B1452" s="96">
        <v>41.0</v>
      </c>
    </row>
    <row r="1453" ht="12.75" customHeight="1">
      <c r="A1453" s="95" t="s">
        <v>234</v>
      </c>
      <c r="B1453" s="96">
        <v>42.0</v>
      </c>
    </row>
    <row r="1454" ht="12.75" customHeight="1">
      <c r="A1454" s="95" t="s">
        <v>234</v>
      </c>
      <c r="B1454" s="96">
        <v>43.0</v>
      </c>
    </row>
    <row r="1455" ht="12.75" customHeight="1">
      <c r="A1455" s="95" t="s">
        <v>234</v>
      </c>
      <c r="B1455" s="96">
        <v>44.0</v>
      </c>
    </row>
    <row r="1456" ht="12.75" customHeight="1">
      <c r="A1456" s="95" t="s">
        <v>407</v>
      </c>
      <c r="B1456" s="96" t="s">
        <v>1998</v>
      </c>
    </row>
    <row r="1457" ht="12.75" customHeight="1">
      <c r="A1457" s="95" t="s">
        <v>407</v>
      </c>
      <c r="B1457" s="96" t="s">
        <v>1999</v>
      </c>
    </row>
    <row r="1458" ht="12.75" customHeight="1">
      <c r="A1458" s="95" t="s">
        <v>407</v>
      </c>
      <c r="B1458" s="96" t="s">
        <v>2000</v>
      </c>
    </row>
    <row r="1459" ht="12.75" customHeight="1">
      <c r="A1459" s="95" t="s">
        <v>407</v>
      </c>
      <c r="B1459" s="96" t="s">
        <v>2001</v>
      </c>
    </row>
    <row r="1460" ht="12.75" customHeight="1">
      <c r="A1460" s="95" t="s">
        <v>407</v>
      </c>
      <c r="B1460" s="96" t="s">
        <v>2002</v>
      </c>
    </row>
    <row r="1461" ht="12.75" customHeight="1">
      <c r="A1461" s="95" t="s">
        <v>407</v>
      </c>
      <c r="B1461" s="96" t="s">
        <v>2003</v>
      </c>
    </row>
    <row r="1462" ht="12.75" customHeight="1">
      <c r="A1462" s="95" t="s">
        <v>407</v>
      </c>
      <c r="B1462" s="96" t="s">
        <v>2004</v>
      </c>
    </row>
    <row r="1463" ht="12.75" customHeight="1">
      <c r="A1463" s="95" t="s">
        <v>407</v>
      </c>
      <c r="B1463" s="96" t="s">
        <v>2005</v>
      </c>
    </row>
    <row r="1464" ht="12.75" customHeight="1">
      <c r="A1464" s="95" t="s">
        <v>407</v>
      </c>
      <c r="B1464" s="96" t="s">
        <v>2006</v>
      </c>
    </row>
    <row r="1465" ht="12.75" customHeight="1">
      <c r="A1465" s="95" t="s">
        <v>407</v>
      </c>
      <c r="B1465" s="96" t="s">
        <v>2007</v>
      </c>
    </row>
    <row r="1466" ht="12.75" customHeight="1">
      <c r="A1466" s="95" t="s">
        <v>407</v>
      </c>
      <c r="B1466" s="96" t="s">
        <v>2008</v>
      </c>
    </row>
    <row r="1467" ht="12.75" customHeight="1">
      <c r="A1467" s="95" t="s">
        <v>407</v>
      </c>
      <c r="B1467" s="96" t="s">
        <v>2009</v>
      </c>
    </row>
    <row r="1468" ht="12.75" customHeight="1">
      <c r="A1468" s="95" t="s">
        <v>407</v>
      </c>
      <c r="B1468" s="96" t="s">
        <v>2010</v>
      </c>
    </row>
    <row r="1469" ht="12.75" customHeight="1">
      <c r="A1469" s="95" t="s">
        <v>407</v>
      </c>
      <c r="B1469" s="96" t="s">
        <v>2011</v>
      </c>
    </row>
    <row r="1470" ht="12.75" customHeight="1">
      <c r="A1470" s="95" t="s">
        <v>407</v>
      </c>
      <c r="B1470" s="96" t="s">
        <v>2012</v>
      </c>
    </row>
    <row r="1471" ht="12.75" customHeight="1">
      <c r="A1471" s="95" t="s">
        <v>407</v>
      </c>
      <c r="B1471" s="96" t="s">
        <v>2013</v>
      </c>
    </row>
    <row r="1472" ht="12.75" customHeight="1">
      <c r="A1472" s="95" t="s">
        <v>407</v>
      </c>
      <c r="B1472" s="96" t="s">
        <v>2014</v>
      </c>
    </row>
    <row r="1473" ht="12.75" customHeight="1">
      <c r="A1473" s="95" t="s">
        <v>407</v>
      </c>
      <c r="B1473" s="96" t="s">
        <v>2015</v>
      </c>
    </row>
    <row r="1474" ht="12.75" customHeight="1">
      <c r="A1474" s="95" t="s">
        <v>407</v>
      </c>
      <c r="B1474" s="96" t="s">
        <v>2016</v>
      </c>
    </row>
    <row r="1475" ht="12.75" customHeight="1">
      <c r="A1475" s="95" t="s">
        <v>407</v>
      </c>
      <c r="B1475" s="96" t="s">
        <v>2017</v>
      </c>
    </row>
    <row r="1476" ht="12.75" customHeight="1">
      <c r="A1476" s="95" t="s">
        <v>407</v>
      </c>
      <c r="B1476" s="96" t="s">
        <v>2018</v>
      </c>
    </row>
    <row r="1477" ht="12.75" customHeight="1">
      <c r="A1477" s="95" t="s">
        <v>407</v>
      </c>
      <c r="B1477" s="96" t="s">
        <v>2019</v>
      </c>
    </row>
    <row r="1478" ht="12.75" customHeight="1">
      <c r="A1478" s="95" t="s">
        <v>407</v>
      </c>
      <c r="B1478" s="96" t="s">
        <v>2020</v>
      </c>
    </row>
    <row r="1479" ht="12.75" customHeight="1">
      <c r="A1479" s="95" t="s">
        <v>407</v>
      </c>
      <c r="B1479" s="96" t="s">
        <v>2021</v>
      </c>
    </row>
    <row r="1480" ht="12.75" customHeight="1">
      <c r="A1480" s="95" t="s">
        <v>407</v>
      </c>
      <c r="B1480" s="96" t="s">
        <v>2022</v>
      </c>
    </row>
    <row r="1481" ht="12.75" customHeight="1">
      <c r="A1481" s="95" t="s">
        <v>407</v>
      </c>
      <c r="B1481" s="96" t="s">
        <v>2023</v>
      </c>
    </row>
    <row r="1482" ht="12.75" customHeight="1">
      <c r="A1482" s="95" t="s">
        <v>407</v>
      </c>
      <c r="B1482" s="96" t="s">
        <v>2024</v>
      </c>
    </row>
    <row r="1483" ht="12.75" customHeight="1">
      <c r="A1483" s="95" t="s">
        <v>407</v>
      </c>
      <c r="B1483" s="96" t="s">
        <v>2025</v>
      </c>
    </row>
    <row r="1484" ht="12.75" customHeight="1">
      <c r="A1484" s="95" t="s">
        <v>407</v>
      </c>
      <c r="B1484" s="96" t="s">
        <v>2026</v>
      </c>
    </row>
    <row r="1485" ht="12.75" customHeight="1">
      <c r="A1485" s="95" t="s">
        <v>407</v>
      </c>
      <c r="B1485" s="96" t="s">
        <v>2027</v>
      </c>
    </row>
    <row r="1486" ht="12.75" customHeight="1">
      <c r="A1486" s="95" t="s">
        <v>407</v>
      </c>
      <c r="B1486" s="96" t="s">
        <v>2028</v>
      </c>
    </row>
    <row r="1487" ht="12.75" customHeight="1">
      <c r="A1487" s="95" t="s">
        <v>407</v>
      </c>
      <c r="B1487" s="96" t="s">
        <v>2029</v>
      </c>
    </row>
    <row r="1488" ht="12.75" customHeight="1">
      <c r="A1488" s="95" t="s">
        <v>407</v>
      </c>
      <c r="B1488" s="96" t="s">
        <v>2030</v>
      </c>
    </row>
    <row r="1489" ht="12.75" customHeight="1">
      <c r="A1489" s="95" t="s">
        <v>407</v>
      </c>
      <c r="B1489" s="96" t="s">
        <v>2031</v>
      </c>
    </row>
    <row r="1490" ht="12.75" customHeight="1">
      <c r="A1490" s="95" t="s">
        <v>407</v>
      </c>
      <c r="B1490" s="96" t="s">
        <v>2032</v>
      </c>
    </row>
    <row r="1491" ht="12.75" customHeight="1">
      <c r="A1491" s="95" t="s">
        <v>407</v>
      </c>
      <c r="B1491" s="96" t="s">
        <v>2033</v>
      </c>
    </row>
    <row r="1492" ht="12.75" customHeight="1">
      <c r="A1492" s="95" t="s">
        <v>407</v>
      </c>
      <c r="B1492" s="96" t="s">
        <v>2034</v>
      </c>
    </row>
    <row r="1493" ht="12.75" customHeight="1">
      <c r="A1493" s="95" t="s">
        <v>407</v>
      </c>
      <c r="B1493" s="96" t="s">
        <v>2035</v>
      </c>
    </row>
    <row r="1494" ht="12.75" customHeight="1">
      <c r="A1494" s="95" t="s">
        <v>407</v>
      </c>
      <c r="B1494" s="96" t="s">
        <v>2036</v>
      </c>
    </row>
    <row r="1495" ht="12.75" customHeight="1">
      <c r="A1495" s="95" t="s">
        <v>407</v>
      </c>
      <c r="B1495" s="96" t="s">
        <v>2037</v>
      </c>
    </row>
    <row r="1496" ht="12.75" customHeight="1">
      <c r="A1496" s="95" t="s">
        <v>407</v>
      </c>
      <c r="B1496" s="96" t="s">
        <v>2038</v>
      </c>
    </row>
    <row r="1497" ht="12.75" customHeight="1">
      <c r="A1497" s="95" t="s">
        <v>407</v>
      </c>
      <c r="B1497" s="96" t="s">
        <v>2039</v>
      </c>
    </row>
    <row r="1498" ht="12.75" customHeight="1">
      <c r="A1498" s="95" t="s">
        <v>407</v>
      </c>
      <c r="B1498" s="96" t="s">
        <v>2040</v>
      </c>
    </row>
    <row r="1499" ht="12.75" customHeight="1">
      <c r="A1499" s="95" t="s">
        <v>407</v>
      </c>
      <c r="B1499" s="96" t="s">
        <v>2041</v>
      </c>
    </row>
    <row r="1500" ht="12.75" customHeight="1">
      <c r="A1500" s="95" t="s">
        <v>407</v>
      </c>
      <c r="B1500" s="96" t="s">
        <v>2042</v>
      </c>
    </row>
    <row r="1501" ht="12.75" customHeight="1">
      <c r="A1501" s="95" t="s">
        <v>407</v>
      </c>
      <c r="B1501" s="96" t="s">
        <v>2043</v>
      </c>
    </row>
    <row r="1502" ht="12.75" customHeight="1">
      <c r="A1502" s="95" t="s">
        <v>407</v>
      </c>
      <c r="B1502" s="96" t="s">
        <v>2044</v>
      </c>
    </row>
    <row r="1503" ht="12.75" customHeight="1">
      <c r="A1503" s="95" t="s">
        <v>407</v>
      </c>
      <c r="B1503" s="96" t="s">
        <v>2045</v>
      </c>
    </row>
    <row r="1504" ht="12.75" customHeight="1">
      <c r="A1504" s="95" t="s">
        <v>407</v>
      </c>
      <c r="B1504" s="96" t="s">
        <v>2046</v>
      </c>
    </row>
    <row r="1505" ht="12.75" customHeight="1">
      <c r="A1505" s="95" t="s">
        <v>407</v>
      </c>
      <c r="B1505" s="96" t="s">
        <v>2047</v>
      </c>
    </row>
    <row r="1506" ht="12.75" customHeight="1">
      <c r="A1506" s="95" t="s">
        <v>407</v>
      </c>
      <c r="B1506" s="96" t="s">
        <v>2048</v>
      </c>
    </row>
    <row r="1507" ht="12.75" customHeight="1">
      <c r="A1507" s="95" t="s">
        <v>407</v>
      </c>
      <c r="B1507" s="96" t="s">
        <v>2049</v>
      </c>
    </row>
    <row r="1508" ht="12.75" customHeight="1">
      <c r="A1508" s="95" t="s">
        <v>407</v>
      </c>
      <c r="B1508" s="96" t="s">
        <v>2050</v>
      </c>
    </row>
    <row r="1509" ht="12.75" customHeight="1">
      <c r="A1509" s="95" t="s">
        <v>407</v>
      </c>
      <c r="B1509" s="96" t="s">
        <v>2051</v>
      </c>
    </row>
    <row r="1510" ht="12.75" customHeight="1">
      <c r="A1510" s="95" t="s">
        <v>407</v>
      </c>
      <c r="B1510" s="96" t="s">
        <v>2052</v>
      </c>
    </row>
    <row r="1511" ht="12.75" customHeight="1">
      <c r="A1511" s="95" t="s">
        <v>407</v>
      </c>
      <c r="B1511" s="96" t="s">
        <v>2053</v>
      </c>
    </row>
    <row r="1512" ht="12.75" customHeight="1">
      <c r="A1512" s="95" t="s">
        <v>407</v>
      </c>
      <c r="B1512" s="96" t="s">
        <v>2054</v>
      </c>
    </row>
    <row r="1513" ht="12.75" customHeight="1">
      <c r="A1513" s="95" t="s">
        <v>407</v>
      </c>
      <c r="B1513" s="96" t="s">
        <v>2055</v>
      </c>
    </row>
    <row r="1514" ht="12.75" customHeight="1">
      <c r="A1514" s="95" t="s">
        <v>407</v>
      </c>
      <c r="B1514" s="96" t="s">
        <v>2056</v>
      </c>
    </row>
    <row r="1515" ht="12.75" customHeight="1">
      <c r="A1515" s="95" t="s">
        <v>407</v>
      </c>
      <c r="B1515" s="96" t="s">
        <v>2057</v>
      </c>
    </row>
    <row r="1516" ht="12.75" customHeight="1">
      <c r="A1516" s="95" t="s">
        <v>407</v>
      </c>
      <c r="B1516" s="96" t="s">
        <v>2058</v>
      </c>
    </row>
    <row r="1517" ht="12.75" customHeight="1">
      <c r="A1517" s="95" t="s">
        <v>407</v>
      </c>
      <c r="B1517" s="96" t="s">
        <v>2059</v>
      </c>
    </row>
    <row r="1518" ht="12.75" customHeight="1">
      <c r="A1518" s="95" t="s">
        <v>407</v>
      </c>
      <c r="B1518" s="96" t="s">
        <v>2060</v>
      </c>
    </row>
    <row r="1519" ht="12.75" customHeight="1">
      <c r="A1519" s="95" t="s">
        <v>407</v>
      </c>
      <c r="B1519" s="96" t="s">
        <v>2061</v>
      </c>
    </row>
    <row r="1520" ht="12.75" customHeight="1">
      <c r="A1520" s="95" t="s">
        <v>407</v>
      </c>
      <c r="B1520" s="96" t="s">
        <v>2062</v>
      </c>
    </row>
    <row r="1521" ht="12.75" customHeight="1">
      <c r="A1521" s="95" t="s">
        <v>407</v>
      </c>
      <c r="B1521" s="96" t="s">
        <v>2063</v>
      </c>
    </row>
    <row r="1522" ht="12.75" customHeight="1">
      <c r="A1522" s="95" t="s">
        <v>407</v>
      </c>
      <c r="B1522" s="96" t="s">
        <v>2064</v>
      </c>
    </row>
    <row r="1523" ht="12.75" customHeight="1">
      <c r="A1523" s="95" t="s">
        <v>407</v>
      </c>
      <c r="B1523" s="96" t="s">
        <v>2065</v>
      </c>
    </row>
    <row r="1524" ht="12.75" customHeight="1">
      <c r="A1524" s="95" t="s">
        <v>407</v>
      </c>
      <c r="B1524" s="96" t="s">
        <v>2066</v>
      </c>
    </row>
    <row r="1525" ht="12.75" customHeight="1">
      <c r="A1525" s="95" t="s">
        <v>270</v>
      </c>
      <c r="B1525" s="96">
        <v>4.0</v>
      </c>
    </row>
    <row r="1526" ht="12.75" customHeight="1">
      <c r="A1526" s="95" t="s">
        <v>270</v>
      </c>
      <c r="B1526" s="96">
        <v>4.5</v>
      </c>
    </row>
    <row r="1527" ht="12.75" customHeight="1">
      <c r="A1527" s="95" t="s">
        <v>270</v>
      </c>
      <c r="B1527" s="96">
        <v>5.0</v>
      </c>
    </row>
    <row r="1528" ht="12.75" customHeight="1">
      <c r="A1528" s="95" t="s">
        <v>270</v>
      </c>
      <c r="B1528" s="96">
        <v>5.5</v>
      </c>
    </row>
    <row r="1529" ht="12.75" customHeight="1">
      <c r="A1529" s="95" t="s">
        <v>270</v>
      </c>
      <c r="B1529" s="96">
        <v>6.0</v>
      </c>
    </row>
    <row r="1530" ht="12.75" customHeight="1">
      <c r="A1530" s="95" t="s">
        <v>270</v>
      </c>
      <c r="B1530" s="96">
        <v>6.5</v>
      </c>
    </row>
    <row r="1531" ht="12.75" customHeight="1">
      <c r="A1531" s="95" t="s">
        <v>270</v>
      </c>
      <c r="B1531" s="96">
        <v>7.0</v>
      </c>
    </row>
    <row r="1532" ht="12.75" customHeight="1">
      <c r="A1532" s="95" t="s">
        <v>270</v>
      </c>
      <c r="B1532" s="96">
        <v>7.5</v>
      </c>
    </row>
    <row r="1533" ht="12.75" customHeight="1">
      <c r="A1533" s="95" t="s">
        <v>270</v>
      </c>
      <c r="B1533" s="96">
        <v>8.0</v>
      </c>
    </row>
    <row r="1534" ht="12.75" customHeight="1">
      <c r="A1534" s="95" t="s">
        <v>270</v>
      </c>
      <c r="B1534" s="96">
        <v>8.5</v>
      </c>
    </row>
    <row r="1535" ht="12.75" customHeight="1">
      <c r="A1535" s="95" t="s">
        <v>270</v>
      </c>
      <c r="B1535" s="96">
        <v>9.0</v>
      </c>
    </row>
    <row r="1536" ht="12.75" customHeight="1">
      <c r="A1536" s="95" t="s">
        <v>270</v>
      </c>
      <c r="B1536" s="96">
        <v>9.5</v>
      </c>
    </row>
    <row r="1537" ht="12.75" customHeight="1">
      <c r="A1537" s="95" t="s">
        <v>270</v>
      </c>
      <c r="B1537" s="96">
        <v>10.0</v>
      </c>
    </row>
    <row r="1538" ht="12.75" customHeight="1">
      <c r="A1538" s="95" t="s">
        <v>270</v>
      </c>
      <c r="B1538" s="96">
        <v>10.5</v>
      </c>
    </row>
    <row r="1539" ht="12.75" customHeight="1">
      <c r="A1539" s="95" t="s">
        <v>270</v>
      </c>
      <c r="B1539" s="96">
        <v>11.0</v>
      </c>
    </row>
    <row r="1540" ht="12.75" customHeight="1">
      <c r="A1540" s="95" t="s">
        <v>270</v>
      </c>
      <c r="B1540" s="96">
        <v>11.5</v>
      </c>
    </row>
    <row r="1541" ht="12.75" customHeight="1">
      <c r="A1541" s="95" t="s">
        <v>270</v>
      </c>
      <c r="B1541" s="96">
        <v>12.0</v>
      </c>
    </row>
    <row r="1542" ht="12.75" customHeight="1">
      <c r="A1542" s="95" t="s">
        <v>270</v>
      </c>
      <c r="B1542" s="96">
        <v>12.5</v>
      </c>
    </row>
    <row r="1543" ht="12.75" customHeight="1">
      <c r="A1543" s="95" t="s">
        <v>270</v>
      </c>
      <c r="B1543" s="96">
        <v>13.0</v>
      </c>
    </row>
    <row r="1544" ht="12.75" customHeight="1">
      <c r="A1544" s="95" t="s">
        <v>270</v>
      </c>
      <c r="B1544" s="96">
        <v>13.5</v>
      </c>
    </row>
    <row r="1545" ht="12.75" customHeight="1">
      <c r="A1545" s="95" t="s">
        <v>270</v>
      </c>
      <c r="B1545" s="96">
        <v>14.0</v>
      </c>
    </row>
    <row r="1546" ht="12.75" customHeight="1">
      <c r="A1546" s="95" t="s">
        <v>270</v>
      </c>
      <c r="B1546" s="96">
        <v>14.5</v>
      </c>
    </row>
    <row r="1547" ht="12.75" customHeight="1">
      <c r="A1547" s="95" t="s">
        <v>270</v>
      </c>
      <c r="B1547" s="96">
        <v>15.0</v>
      </c>
    </row>
    <row r="1548" ht="12.75" customHeight="1">
      <c r="A1548" s="95" t="s">
        <v>270</v>
      </c>
      <c r="B1548" s="96">
        <v>15.5</v>
      </c>
    </row>
    <row r="1549" ht="12.75" customHeight="1">
      <c r="A1549" s="95" t="s">
        <v>270</v>
      </c>
      <c r="B1549" s="96">
        <v>16.0</v>
      </c>
    </row>
    <row r="1550" ht="12.75" customHeight="1">
      <c r="A1550" s="95" t="s">
        <v>195</v>
      </c>
      <c r="B1550" s="96" t="s">
        <v>804</v>
      </c>
    </row>
    <row r="1551" ht="12.75" customHeight="1">
      <c r="A1551" s="95" t="s">
        <v>195</v>
      </c>
      <c r="B1551" s="96" t="s">
        <v>76</v>
      </c>
    </row>
    <row r="1552" ht="12.75" customHeight="1">
      <c r="A1552" s="95" t="s">
        <v>195</v>
      </c>
      <c r="B1552" s="96" t="s">
        <v>80</v>
      </c>
    </row>
    <row r="1553" ht="12.75" customHeight="1">
      <c r="A1553" s="95" t="s">
        <v>195</v>
      </c>
      <c r="B1553" s="96" t="s">
        <v>83</v>
      </c>
    </row>
    <row r="1554" ht="12.75" customHeight="1">
      <c r="A1554" s="95" t="s">
        <v>195</v>
      </c>
      <c r="B1554" s="96" t="s">
        <v>85</v>
      </c>
    </row>
    <row r="1555" ht="12.75" customHeight="1">
      <c r="A1555" s="95" t="s">
        <v>195</v>
      </c>
      <c r="B1555" s="96" t="s">
        <v>845</v>
      </c>
    </row>
    <row r="1556" ht="12.75" customHeight="1">
      <c r="A1556" s="95" t="s">
        <v>195</v>
      </c>
      <c r="B1556" s="96" t="s">
        <v>2291</v>
      </c>
    </row>
    <row r="1557" ht="12.75" customHeight="1">
      <c r="A1557" s="95" t="s">
        <v>251</v>
      </c>
      <c r="B1557" s="96" t="s">
        <v>804</v>
      </c>
    </row>
    <row r="1558" ht="12.75" customHeight="1">
      <c r="A1558" s="95" t="s">
        <v>251</v>
      </c>
      <c r="B1558" s="96" t="s">
        <v>76</v>
      </c>
    </row>
    <row r="1559" ht="12.75" customHeight="1">
      <c r="A1559" s="95" t="s">
        <v>251</v>
      </c>
      <c r="B1559" s="96" t="s">
        <v>80</v>
      </c>
    </row>
    <row r="1560" ht="12.75" customHeight="1">
      <c r="A1560" s="95" t="s">
        <v>251</v>
      </c>
      <c r="B1560" s="96" t="s">
        <v>83</v>
      </c>
    </row>
    <row r="1561" ht="12.75" customHeight="1">
      <c r="A1561" s="95" t="s">
        <v>251</v>
      </c>
      <c r="B1561" s="96" t="s">
        <v>85</v>
      </c>
    </row>
    <row r="1562" ht="12.75" customHeight="1">
      <c r="A1562" s="95" t="s">
        <v>251</v>
      </c>
      <c r="B1562" s="96" t="s">
        <v>845</v>
      </c>
    </row>
    <row r="1563" ht="12.75" customHeight="1">
      <c r="A1563" s="95" t="s">
        <v>251</v>
      </c>
      <c r="B1563" s="96" t="s">
        <v>2291</v>
      </c>
    </row>
    <row r="1564" ht="12.75" customHeight="1">
      <c r="A1564" s="95" t="s">
        <v>419</v>
      </c>
      <c r="B1564" s="96" t="s">
        <v>745</v>
      </c>
    </row>
    <row r="1565" ht="12.75" customHeight="1">
      <c r="A1565" s="95" t="s">
        <v>419</v>
      </c>
      <c r="B1565" s="96" t="s">
        <v>804</v>
      </c>
    </row>
    <row r="1566" ht="12.75" customHeight="1">
      <c r="A1566" s="95" t="s">
        <v>419</v>
      </c>
      <c r="B1566" s="96" t="s">
        <v>76</v>
      </c>
    </row>
    <row r="1567" ht="12.75" customHeight="1">
      <c r="A1567" s="95" t="s">
        <v>419</v>
      </c>
      <c r="B1567" s="96" t="s">
        <v>80</v>
      </c>
    </row>
    <row r="1568" ht="12.75" customHeight="1">
      <c r="A1568" s="95" t="s">
        <v>419</v>
      </c>
      <c r="B1568" s="96" t="s">
        <v>83</v>
      </c>
    </row>
    <row r="1569" ht="12.75" customHeight="1">
      <c r="A1569" s="95" t="s">
        <v>419</v>
      </c>
      <c r="B1569" s="96" t="s">
        <v>85</v>
      </c>
    </row>
    <row r="1570" ht="12.75" customHeight="1">
      <c r="A1570" s="95" t="s">
        <v>419</v>
      </c>
      <c r="B1570" s="96" t="s">
        <v>845</v>
      </c>
    </row>
    <row r="1571" ht="12.75" customHeight="1">
      <c r="A1571" s="95" t="s">
        <v>419</v>
      </c>
      <c r="B1571" s="96" t="s">
        <v>2291</v>
      </c>
    </row>
    <row r="1572" ht="12.75" customHeight="1">
      <c r="A1572" s="95" t="s">
        <v>427</v>
      </c>
      <c r="B1572" s="96" t="s">
        <v>745</v>
      </c>
    </row>
    <row r="1573" ht="12.75" customHeight="1">
      <c r="A1573" s="95" t="s">
        <v>749</v>
      </c>
      <c r="B1573" s="96" t="s">
        <v>745</v>
      </c>
    </row>
    <row r="1574" ht="12.75" customHeight="1">
      <c r="A1574" s="95" t="s">
        <v>254</v>
      </c>
      <c r="B1574" s="96" t="s">
        <v>2452</v>
      </c>
    </row>
    <row r="1575" ht="12.75" customHeight="1">
      <c r="A1575" s="95" t="s">
        <v>254</v>
      </c>
      <c r="B1575" s="96" t="s">
        <v>3169</v>
      </c>
    </row>
    <row r="1576" ht="12.75" customHeight="1">
      <c r="A1576" s="95" t="s">
        <v>254</v>
      </c>
      <c r="B1576" s="96" t="s">
        <v>2454</v>
      </c>
    </row>
    <row r="1577" ht="12.75" customHeight="1">
      <c r="A1577" s="95" t="s">
        <v>254</v>
      </c>
      <c r="B1577" s="96" t="s">
        <v>2455</v>
      </c>
    </row>
    <row r="1578" ht="12.75" customHeight="1">
      <c r="A1578" s="95" t="s">
        <v>254</v>
      </c>
      <c r="B1578" s="96" t="s">
        <v>2456</v>
      </c>
    </row>
    <row r="1579" ht="12.75" customHeight="1">
      <c r="A1579" s="95" t="s">
        <v>254</v>
      </c>
      <c r="B1579" s="96" t="s">
        <v>2457</v>
      </c>
    </row>
    <row r="1580" ht="12.75" customHeight="1">
      <c r="A1580" s="95" t="s">
        <v>254</v>
      </c>
      <c r="B1580" s="96" t="s">
        <v>2458</v>
      </c>
    </row>
    <row r="1581" ht="12.75" customHeight="1">
      <c r="A1581" s="95" t="s">
        <v>254</v>
      </c>
      <c r="B1581" s="96" t="s">
        <v>2459</v>
      </c>
    </row>
    <row r="1582" ht="12.75" customHeight="1">
      <c r="A1582" s="95" t="s">
        <v>254</v>
      </c>
      <c r="B1582" s="96" t="s">
        <v>2460</v>
      </c>
    </row>
    <row r="1583" ht="12.75" customHeight="1">
      <c r="A1583" s="95" t="s">
        <v>254</v>
      </c>
      <c r="B1583" s="96" t="s">
        <v>2461</v>
      </c>
    </row>
    <row r="1584" ht="12.75" customHeight="1">
      <c r="A1584" s="95" t="s">
        <v>254</v>
      </c>
      <c r="B1584" s="96" t="s">
        <v>2462</v>
      </c>
    </row>
    <row r="1585" ht="12.75" customHeight="1">
      <c r="A1585" s="95" t="s">
        <v>254</v>
      </c>
      <c r="B1585" s="96" t="s">
        <v>2463</v>
      </c>
    </row>
    <row r="1586" ht="12.75" customHeight="1">
      <c r="A1586" s="95" t="s">
        <v>254</v>
      </c>
      <c r="B1586" s="96" t="s">
        <v>2464</v>
      </c>
    </row>
    <row r="1587" ht="12.75" customHeight="1">
      <c r="A1587" s="95" t="s">
        <v>254</v>
      </c>
      <c r="B1587" s="96" t="s">
        <v>2465</v>
      </c>
    </row>
    <row r="1588" ht="12.75" customHeight="1">
      <c r="A1588" s="95" t="s">
        <v>254</v>
      </c>
      <c r="B1588" s="96" t="s">
        <v>2466</v>
      </c>
    </row>
    <row r="1589" ht="12.75" customHeight="1">
      <c r="A1589" s="95" t="s">
        <v>164</v>
      </c>
      <c r="B1589" s="96" t="s">
        <v>3169</v>
      </c>
    </row>
    <row r="1590" ht="12.75" customHeight="1">
      <c r="A1590" s="95" t="s">
        <v>164</v>
      </c>
      <c r="B1590" s="96" t="s">
        <v>2454</v>
      </c>
    </row>
    <row r="1591" ht="12.75" customHeight="1">
      <c r="A1591" s="95" t="s">
        <v>164</v>
      </c>
      <c r="B1591" s="96" t="s">
        <v>2455</v>
      </c>
    </row>
    <row r="1592" ht="12.75" customHeight="1">
      <c r="A1592" s="95" t="s">
        <v>164</v>
      </c>
      <c r="B1592" s="96" t="s">
        <v>2456</v>
      </c>
    </row>
    <row r="1593" ht="12.75" customHeight="1">
      <c r="A1593" s="95" t="s">
        <v>164</v>
      </c>
      <c r="B1593" s="96" t="s">
        <v>2457</v>
      </c>
    </row>
    <row r="1594" ht="12.75" customHeight="1">
      <c r="A1594" s="95" t="s">
        <v>164</v>
      </c>
      <c r="B1594" s="96" t="s">
        <v>2458</v>
      </c>
    </row>
    <row r="1595" ht="12.75" customHeight="1">
      <c r="A1595" s="95" t="s">
        <v>164</v>
      </c>
      <c r="B1595" s="96" t="s">
        <v>2459</v>
      </c>
    </row>
    <row r="1596" ht="12.75" customHeight="1">
      <c r="A1596" s="95" t="s">
        <v>164</v>
      </c>
      <c r="B1596" s="96" t="s">
        <v>2460</v>
      </c>
    </row>
    <row r="1597" ht="12.75" customHeight="1">
      <c r="A1597" s="95" t="s">
        <v>164</v>
      </c>
      <c r="B1597" s="96" t="s">
        <v>2461</v>
      </c>
    </row>
    <row r="1598" ht="12.75" customHeight="1">
      <c r="A1598" s="95" t="s">
        <v>164</v>
      </c>
      <c r="B1598" s="96" t="s">
        <v>2462</v>
      </c>
    </row>
    <row r="1599" ht="12.75" customHeight="1">
      <c r="A1599" s="95" t="s">
        <v>164</v>
      </c>
      <c r="B1599" s="96" t="s">
        <v>2463</v>
      </c>
    </row>
    <row r="1600" ht="12.75" customHeight="1">
      <c r="A1600" s="95" t="s">
        <v>164</v>
      </c>
      <c r="B1600" s="96" t="s">
        <v>2464</v>
      </c>
    </row>
    <row r="1601" ht="12.75" customHeight="1">
      <c r="A1601" s="95" t="s">
        <v>164</v>
      </c>
      <c r="B1601" s="96" t="s">
        <v>2465</v>
      </c>
    </row>
    <row r="1602" ht="12.75" customHeight="1">
      <c r="A1602" s="95" t="s">
        <v>164</v>
      </c>
      <c r="B1602" s="96" t="s">
        <v>2466</v>
      </c>
    </row>
    <row r="1603" ht="12.75" customHeight="1">
      <c r="A1603" s="95" t="s">
        <v>164</v>
      </c>
      <c r="B1603" s="96" t="s">
        <v>2506</v>
      </c>
    </row>
    <row r="1604" ht="12.75" customHeight="1">
      <c r="A1604" s="95" t="s">
        <v>164</v>
      </c>
      <c r="B1604" s="96" t="s">
        <v>2507</v>
      </c>
    </row>
    <row r="1605" ht="12.75" customHeight="1">
      <c r="A1605" s="95" t="s">
        <v>164</v>
      </c>
      <c r="B1605" s="96" t="s">
        <v>2508</v>
      </c>
    </row>
    <row r="1606" ht="12.75" customHeight="1">
      <c r="A1606" s="95" t="s">
        <v>164</v>
      </c>
      <c r="B1606" s="96" t="s">
        <v>2509</v>
      </c>
    </row>
    <row r="1607" ht="12.75" customHeight="1">
      <c r="A1607" s="95" t="s">
        <v>164</v>
      </c>
      <c r="B1607" s="96" t="s">
        <v>2510</v>
      </c>
    </row>
    <row r="1608" ht="12.75" customHeight="1">
      <c r="A1608" s="95" t="s">
        <v>164</v>
      </c>
      <c r="B1608" s="96" t="s">
        <v>2511</v>
      </c>
    </row>
    <row r="1609" ht="12.75" customHeight="1">
      <c r="A1609" s="95" t="s">
        <v>164</v>
      </c>
      <c r="B1609" s="96" t="s">
        <v>2512</v>
      </c>
    </row>
    <row r="1610" ht="12.75" customHeight="1">
      <c r="A1610" s="95" t="s">
        <v>164</v>
      </c>
      <c r="B1610" s="96" t="s">
        <v>2513</v>
      </c>
    </row>
    <row r="1611" ht="12.75" customHeight="1">
      <c r="A1611" s="95" t="s">
        <v>164</v>
      </c>
      <c r="B1611" s="96" t="s">
        <v>2514</v>
      </c>
    </row>
    <row r="1612" ht="12.75" customHeight="1">
      <c r="A1612" s="95" t="s">
        <v>164</v>
      </c>
      <c r="B1612" s="96" t="s">
        <v>2515</v>
      </c>
    </row>
    <row r="1613" ht="12.75" customHeight="1">
      <c r="A1613" s="95" t="s">
        <v>164</v>
      </c>
      <c r="B1613" s="96" t="s">
        <v>2516</v>
      </c>
    </row>
    <row r="1614" ht="12.75" customHeight="1">
      <c r="A1614" s="95" t="s">
        <v>164</v>
      </c>
      <c r="B1614" s="96" t="s">
        <v>2517</v>
      </c>
    </row>
    <row r="1615" ht="12.75" customHeight="1">
      <c r="A1615" s="95" t="s">
        <v>164</v>
      </c>
      <c r="B1615" s="96" t="s">
        <v>2518</v>
      </c>
    </row>
    <row r="1616" ht="12.75" customHeight="1">
      <c r="A1616" s="95" t="s">
        <v>164</v>
      </c>
      <c r="B1616" s="96" t="s">
        <v>2519</v>
      </c>
    </row>
    <row r="1617" ht="12.75" customHeight="1">
      <c r="A1617" s="95" t="s">
        <v>164</v>
      </c>
      <c r="B1617" s="96" t="s">
        <v>2520</v>
      </c>
    </row>
    <row r="1618" ht="12.75" customHeight="1">
      <c r="A1618" s="95" t="s">
        <v>164</v>
      </c>
      <c r="B1618" s="96" t="s">
        <v>2521</v>
      </c>
    </row>
    <row r="1619" ht="12.75" customHeight="1">
      <c r="A1619" s="95" t="s">
        <v>164</v>
      </c>
      <c r="B1619" s="96" t="s">
        <v>2522</v>
      </c>
    </row>
    <row r="1620" ht="12.75" customHeight="1">
      <c r="A1620" s="95" t="s">
        <v>164</v>
      </c>
      <c r="B1620" s="96" t="s">
        <v>2523</v>
      </c>
    </row>
    <row r="1621" ht="12.75" customHeight="1">
      <c r="A1621" s="95" t="s">
        <v>164</v>
      </c>
      <c r="B1621" s="96" t="s">
        <v>2524</v>
      </c>
    </row>
    <row r="1622" ht="12.75" customHeight="1">
      <c r="A1622" s="95" t="s">
        <v>164</v>
      </c>
      <c r="B1622" s="96" t="s">
        <v>2525</v>
      </c>
    </row>
    <row r="1623" ht="12.75" customHeight="1">
      <c r="A1623" s="95" t="s">
        <v>449</v>
      </c>
      <c r="B1623" s="96" t="s">
        <v>3169</v>
      </c>
    </row>
    <row r="1624" ht="12.75" customHeight="1">
      <c r="A1624" s="95" t="s">
        <v>449</v>
      </c>
      <c r="B1624" s="96" t="s">
        <v>2454</v>
      </c>
    </row>
    <row r="1625" ht="12.75" customHeight="1">
      <c r="A1625" s="95" t="s">
        <v>449</v>
      </c>
      <c r="B1625" s="96" t="s">
        <v>2455</v>
      </c>
    </row>
    <row r="1626" ht="12.75" customHeight="1">
      <c r="A1626" s="95" t="s">
        <v>449</v>
      </c>
      <c r="B1626" s="96" t="s">
        <v>2456</v>
      </c>
    </row>
    <row r="1627" ht="12.75" customHeight="1">
      <c r="A1627" s="95" t="s">
        <v>449</v>
      </c>
      <c r="B1627" s="96" t="s">
        <v>2457</v>
      </c>
    </row>
    <row r="1628" ht="12.75" customHeight="1">
      <c r="A1628" s="95" t="s">
        <v>449</v>
      </c>
      <c r="B1628" s="96" t="s">
        <v>2458</v>
      </c>
    </row>
    <row r="1629" ht="12.75" customHeight="1">
      <c r="A1629" s="95" t="s">
        <v>449</v>
      </c>
      <c r="B1629" s="96" t="s">
        <v>2459</v>
      </c>
    </row>
    <row r="1630" ht="12.75" customHeight="1">
      <c r="A1630" s="95" t="s">
        <v>449</v>
      </c>
      <c r="B1630" s="96" t="s">
        <v>2460</v>
      </c>
    </row>
    <row r="1631" ht="12.75" customHeight="1">
      <c r="A1631" s="95" t="s">
        <v>449</v>
      </c>
      <c r="B1631" s="96" t="s">
        <v>2461</v>
      </c>
    </row>
    <row r="1632" ht="12.75" customHeight="1">
      <c r="A1632" s="95" t="s">
        <v>449</v>
      </c>
      <c r="B1632" s="96" t="s">
        <v>2462</v>
      </c>
    </row>
    <row r="1633" ht="12.75" customHeight="1">
      <c r="A1633" s="95" t="s">
        <v>449</v>
      </c>
      <c r="B1633" s="96" t="s">
        <v>2463</v>
      </c>
    </row>
    <row r="1634" ht="12.75" customHeight="1">
      <c r="A1634" s="95" t="s">
        <v>449</v>
      </c>
      <c r="B1634" s="96" t="s">
        <v>2464</v>
      </c>
    </row>
    <row r="1635" ht="12.75" customHeight="1">
      <c r="A1635" s="95" t="s">
        <v>449</v>
      </c>
      <c r="B1635" s="96" t="s">
        <v>2465</v>
      </c>
    </row>
    <row r="1636" ht="12.75" customHeight="1">
      <c r="A1636" s="95" t="s">
        <v>449</v>
      </c>
      <c r="B1636" s="96" t="s">
        <v>2466</v>
      </c>
    </row>
    <row r="1637" ht="12.75" customHeight="1">
      <c r="A1637" s="95" t="s">
        <v>449</v>
      </c>
      <c r="B1637" s="96" t="s">
        <v>2506</v>
      </c>
    </row>
    <row r="1638" ht="12.75" customHeight="1">
      <c r="A1638" s="95" t="s">
        <v>449</v>
      </c>
      <c r="B1638" s="96" t="s">
        <v>2507</v>
      </c>
    </row>
    <row r="1639" ht="12.75" customHeight="1">
      <c r="A1639" s="95" t="s">
        <v>449</v>
      </c>
      <c r="B1639" s="96" t="s">
        <v>2508</v>
      </c>
    </row>
    <row r="1640" ht="12.75" customHeight="1">
      <c r="A1640" s="95" t="s">
        <v>449</v>
      </c>
      <c r="B1640" s="96" t="s">
        <v>2509</v>
      </c>
    </row>
    <row r="1641" ht="12.75" customHeight="1">
      <c r="A1641" s="95" t="s">
        <v>449</v>
      </c>
      <c r="B1641" s="96" t="s">
        <v>2510</v>
      </c>
    </row>
    <row r="1642" ht="12.75" customHeight="1">
      <c r="A1642" s="95" t="s">
        <v>449</v>
      </c>
      <c r="B1642" s="96" t="s">
        <v>2511</v>
      </c>
    </row>
    <row r="1643" ht="12.75" customHeight="1">
      <c r="A1643" s="95" t="s">
        <v>449</v>
      </c>
      <c r="B1643" s="96" t="s">
        <v>2512</v>
      </c>
    </row>
    <row r="1644" ht="12.75" customHeight="1">
      <c r="A1644" s="95" t="s">
        <v>449</v>
      </c>
      <c r="B1644" s="96" t="s">
        <v>2513</v>
      </c>
    </row>
    <row r="1645" ht="12.75" customHeight="1">
      <c r="A1645" s="95" t="s">
        <v>449</v>
      </c>
      <c r="B1645" s="96" t="s">
        <v>2514</v>
      </c>
    </row>
    <row r="1646" ht="12.75" customHeight="1">
      <c r="A1646" s="95" t="s">
        <v>449</v>
      </c>
      <c r="B1646" s="96" t="s">
        <v>2515</v>
      </c>
    </row>
    <row r="1647" ht="12.75" customHeight="1">
      <c r="A1647" s="95" t="s">
        <v>449</v>
      </c>
      <c r="B1647" s="96" t="s">
        <v>2516</v>
      </c>
    </row>
    <row r="1648" ht="12.75" customHeight="1">
      <c r="A1648" s="95" t="s">
        <v>449</v>
      </c>
      <c r="B1648" s="96" t="s">
        <v>2517</v>
      </c>
    </row>
    <row r="1649" ht="12.75" customHeight="1">
      <c r="A1649" s="95" t="s">
        <v>449</v>
      </c>
      <c r="B1649" s="96" t="s">
        <v>2518</v>
      </c>
    </row>
    <row r="1650" ht="12.75" customHeight="1">
      <c r="A1650" s="95" t="s">
        <v>449</v>
      </c>
      <c r="B1650" s="96" t="s">
        <v>2519</v>
      </c>
    </row>
    <row r="1651" ht="12.75" customHeight="1">
      <c r="A1651" s="95" t="s">
        <v>449</v>
      </c>
      <c r="B1651" s="96" t="s">
        <v>2520</v>
      </c>
    </row>
    <row r="1652" ht="12.75" customHeight="1">
      <c r="A1652" s="95" t="s">
        <v>449</v>
      </c>
      <c r="B1652" s="96" t="s">
        <v>2521</v>
      </c>
    </row>
    <row r="1653" ht="12.75" customHeight="1">
      <c r="A1653" s="95" t="s">
        <v>449</v>
      </c>
      <c r="B1653" s="96" t="s">
        <v>2522</v>
      </c>
    </row>
    <row r="1654" ht="12.75" customHeight="1">
      <c r="A1654" s="95" t="s">
        <v>449</v>
      </c>
      <c r="B1654" s="96" t="s">
        <v>2523</v>
      </c>
    </row>
    <row r="1655" ht="12.75" customHeight="1">
      <c r="A1655" s="95" t="s">
        <v>449</v>
      </c>
      <c r="B1655" s="96" t="s">
        <v>2524</v>
      </c>
    </row>
    <row r="1656" ht="12.75" customHeight="1">
      <c r="A1656" s="95" t="s">
        <v>449</v>
      </c>
      <c r="B1656" s="96" t="s">
        <v>2525</v>
      </c>
    </row>
    <row r="1657" ht="12.75" customHeight="1">
      <c r="A1657" s="95" t="s">
        <v>449</v>
      </c>
      <c r="B1657" s="96" t="s">
        <v>2578</v>
      </c>
    </row>
    <row r="1658" ht="12.75" customHeight="1">
      <c r="A1658" s="95" t="s">
        <v>449</v>
      </c>
      <c r="B1658" s="96" t="s">
        <v>2579</v>
      </c>
    </row>
    <row r="1659" ht="12.75" customHeight="1">
      <c r="A1659" s="95" t="s">
        <v>449</v>
      </c>
      <c r="B1659" s="96" t="s">
        <v>2580</v>
      </c>
    </row>
    <row r="1660" ht="12.75" customHeight="1">
      <c r="A1660" s="95" t="s">
        <v>449</v>
      </c>
      <c r="B1660" s="96" t="s">
        <v>2581</v>
      </c>
    </row>
    <row r="1661" ht="12.75" customHeight="1">
      <c r="A1661" s="95" t="s">
        <v>449</v>
      </c>
      <c r="B1661" s="96" t="s">
        <v>2582</v>
      </c>
    </row>
    <row r="1662" ht="12.75" customHeight="1">
      <c r="A1662" s="95" t="s">
        <v>449</v>
      </c>
      <c r="B1662" s="96" t="s">
        <v>2583</v>
      </c>
    </row>
    <row r="1663" ht="12.75" customHeight="1">
      <c r="A1663" s="95" t="s">
        <v>449</v>
      </c>
      <c r="B1663" s="96" t="s">
        <v>2584</v>
      </c>
    </row>
    <row r="1664" ht="12.75" customHeight="1">
      <c r="A1664" s="95" t="s">
        <v>449</v>
      </c>
      <c r="B1664" s="96" t="s">
        <v>2585</v>
      </c>
    </row>
    <row r="1665" ht="12.75" customHeight="1">
      <c r="A1665" s="95" t="s">
        <v>449</v>
      </c>
      <c r="B1665" s="96" t="s">
        <v>2586</v>
      </c>
    </row>
    <row r="1666" ht="12.75" customHeight="1">
      <c r="A1666" s="95" t="s">
        <v>449</v>
      </c>
      <c r="B1666" s="96" t="s">
        <v>2587</v>
      </c>
    </row>
    <row r="1667" ht="12.75" customHeight="1">
      <c r="A1667" s="95" t="s">
        <v>449</v>
      </c>
      <c r="B1667" s="96" t="s">
        <v>2588</v>
      </c>
    </row>
    <row r="1668" ht="12.75" customHeight="1">
      <c r="A1668" s="95" t="s">
        <v>449</v>
      </c>
      <c r="B1668" s="96" t="s">
        <v>2589</v>
      </c>
    </row>
    <row r="1669" ht="12.75" customHeight="1">
      <c r="A1669" s="95" t="s">
        <v>449</v>
      </c>
      <c r="B1669" s="96" t="s">
        <v>2590</v>
      </c>
    </row>
    <row r="1670" ht="12.75" customHeight="1">
      <c r="A1670" s="95" t="s">
        <v>449</v>
      </c>
      <c r="B1670" s="96" t="s">
        <v>2591</v>
      </c>
    </row>
    <row r="1671" ht="12.75" customHeight="1">
      <c r="A1671" s="95" t="s">
        <v>449</v>
      </c>
      <c r="B1671" s="96" t="s">
        <v>2592</v>
      </c>
    </row>
    <row r="1672" ht="12.75" customHeight="1">
      <c r="A1672" s="95" t="s">
        <v>449</v>
      </c>
      <c r="B1672" s="96" t="s">
        <v>2593</v>
      </c>
    </row>
    <row r="1673" ht="12.75" customHeight="1">
      <c r="A1673" s="95" t="s">
        <v>449</v>
      </c>
      <c r="B1673" s="96" t="s">
        <v>2594</v>
      </c>
    </row>
    <row r="1674" ht="12.75" customHeight="1">
      <c r="A1674" s="95" t="s">
        <v>449</v>
      </c>
      <c r="B1674" s="96" t="s">
        <v>2595</v>
      </c>
    </row>
    <row r="1675" ht="12.75" customHeight="1">
      <c r="A1675" s="95" t="s">
        <v>449</v>
      </c>
      <c r="B1675" s="96" t="s">
        <v>2596</v>
      </c>
    </row>
    <row r="1676" ht="12.75" customHeight="1">
      <c r="A1676" s="95" t="s">
        <v>449</v>
      </c>
      <c r="B1676" s="96" t="s">
        <v>2597</v>
      </c>
    </row>
    <row r="1677" ht="12.75" customHeight="1">
      <c r="A1677" s="95" t="s">
        <v>449</v>
      </c>
      <c r="B1677" s="96" t="s">
        <v>2598</v>
      </c>
    </row>
    <row r="1678" ht="12.75" customHeight="1">
      <c r="A1678" s="95" t="s">
        <v>449</v>
      </c>
      <c r="B1678" s="96" t="s">
        <v>2599</v>
      </c>
    </row>
    <row r="1679" ht="12.75" customHeight="1">
      <c r="A1679" s="95" t="s">
        <v>270</v>
      </c>
      <c r="B1679" s="96" t="s">
        <v>2651</v>
      </c>
    </row>
    <row r="1680" ht="12.75" customHeight="1">
      <c r="A1680" s="95" t="s">
        <v>270</v>
      </c>
      <c r="B1680" s="96" t="s">
        <v>2652</v>
      </c>
    </row>
    <row r="1681" ht="12.75" customHeight="1">
      <c r="A1681" s="95" t="s">
        <v>270</v>
      </c>
      <c r="B1681" s="96" t="s">
        <v>2653</v>
      </c>
    </row>
    <row r="1682" ht="12.75" customHeight="1">
      <c r="A1682" s="95" t="s">
        <v>270</v>
      </c>
      <c r="B1682" s="96" t="s">
        <v>2654</v>
      </c>
    </row>
    <row r="1683" ht="12.75" customHeight="1">
      <c r="A1683" s="95" t="s">
        <v>270</v>
      </c>
      <c r="B1683" s="96" t="s">
        <v>2655</v>
      </c>
    </row>
    <row r="1684" ht="12.75" customHeight="1">
      <c r="A1684" s="95" t="s">
        <v>270</v>
      </c>
      <c r="B1684" s="96" t="s">
        <v>2656</v>
      </c>
    </row>
    <row r="1685" ht="12.75" customHeight="1">
      <c r="A1685" s="95" t="s">
        <v>270</v>
      </c>
      <c r="B1685" s="96" t="s">
        <v>2657</v>
      </c>
    </row>
    <row r="1686" ht="12.75" customHeight="1">
      <c r="A1686" s="95" t="s">
        <v>270</v>
      </c>
      <c r="B1686" s="96" t="s">
        <v>2658</v>
      </c>
    </row>
    <row r="1687" ht="12.75" customHeight="1">
      <c r="A1687" s="95" t="s">
        <v>270</v>
      </c>
      <c r="B1687" s="96" t="s">
        <v>2659</v>
      </c>
    </row>
    <row r="1688" ht="12.75" customHeight="1">
      <c r="A1688" s="95" t="s">
        <v>270</v>
      </c>
      <c r="B1688" s="96" t="s">
        <v>2660</v>
      </c>
    </row>
    <row r="1689" ht="12.75" customHeight="1">
      <c r="A1689" s="95" t="s">
        <v>270</v>
      </c>
      <c r="B1689" s="96" t="s">
        <v>2661</v>
      </c>
    </row>
    <row r="1690" ht="12.75" customHeight="1">
      <c r="A1690" s="95" t="s">
        <v>270</v>
      </c>
      <c r="B1690" s="96" t="s">
        <v>2662</v>
      </c>
    </row>
    <row r="1691" ht="12.75" customHeight="1">
      <c r="A1691" s="95" t="s">
        <v>270</v>
      </c>
      <c r="B1691" s="96" t="s">
        <v>2663</v>
      </c>
    </row>
    <row r="1692" ht="12.75" customHeight="1">
      <c r="A1692" s="95" t="s">
        <v>270</v>
      </c>
      <c r="B1692" s="96" t="s">
        <v>2664</v>
      </c>
    </row>
    <row r="1693" ht="12.75" customHeight="1">
      <c r="A1693" s="95" t="s">
        <v>270</v>
      </c>
      <c r="B1693" s="96" t="s">
        <v>2665</v>
      </c>
    </row>
    <row r="1694" ht="12.75" customHeight="1">
      <c r="A1694" s="95" t="s">
        <v>270</v>
      </c>
      <c r="B1694" s="96" t="s">
        <v>2698</v>
      </c>
    </row>
    <row r="1695" ht="12.75" customHeight="1">
      <c r="A1695" s="95" t="s">
        <v>270</v>
      </c>
      <c r="B1695" s="96" t="s">
        <v>2515</v>
      </c>
    </row>
    <row r="1696" ht="12.75" customHeight="1">
      <c r="A1696" s="95" t="s">
        <v>270</v>
      </c>
      <c r="B1696" s="96" t="s">
        <v>2699</v>
      </c>
    </row>
    <row r="1697" ht="12.75" customHeight="1">
      <c r="A1697" s="95" t="s">
        <v>270</v>
      </c>
      <c r="B1697" s="96" t="s">
        <v>2700</v>
      </c>
    </row>
    <row r="1698" ht="12.75" customHeight="1">
      <c r="A1698" s="95" t="s">
        <v>270</v>
      </c>
      <c r="B1698" s="96" t="s">
        <v>2701</v>
      </c>
    </row>
    <row r="1699" ht="12.75" customHeight="1">
      <c r="A1699" s="95" t="s">
        <v>270</v>
      </c>
      <c r="B1699" s="96" t="s">
        <v>2516</v>
      </c>
    </row>
    <row r="1700" ht="12.75" customHeight="1">
      <c r="A1700" s="95" t="s">
        <v>270</v>
      </c>
      <c r="B1700" s="96" t="s">
        <v>2702</v>
      </c>
    </row>
    <row r="1701" ht="12.75" customHeight="1">
      <c r="A1701" s="95" t="s">
        <v>270</v>
      </c>
      <c r="B1701" s="96" t="s">
        <v>2703</v>
      </c>
    </row>
    <row r="1702" ht="12.75" customHeight="1">
      <c r="A1702" s="95" t="s">
        <v>270</v>
      </c>
      <c r="B1702" s="96" t="s">
        <v>2704</v>
      </c>
    </row>
    <row r="1703" ht="12.75" customHeight="1">
      <c r="A1703" s="95" t="s">
        <v>270</v>
      </c>
      <c r="B1703" s="96" t="s">
        <v>2517</v>
      </c>
    </row>
    <row r="1704" ht="12.75" customHeight="1">
      <c r="A1704" s="95" t="s">
        <v>270</v>
      </c>
      <c r="B1704" s="96" t="s">
        <v>2705</v>
      </c>
    </row>
    <row r="1705" ht="12.75" customHeight="1">
      <c r="A1705" s="95" t="s">
        <v>270</v>
      </c>
      <c r="B1705" s="96" t="s">
        <v>2706</v>
      </c>
    </row>
    <row r="1706" ht="12.75" customHeight="1">
      <c r="A1706" s="95" t="s">
        <v>270</v>
      </c>
      <c r="B1706" s="96" t="s">
        <v>2707</v>
      </c>
    </row>
    <row r="1707" ht="12.75" customHeight="1">
      <c r="A1707" s="95" t="s">
        <v>270</v>
      </c>
      <c r="B1707" s="96" t="s">
        <v>2708</v>
      </c>
    </row>
    <row r="1708" ht="12.75" customHeight="1">
      <c r="A1708" s="95" t="s">
        <v>270</v>
      </c>
      <c r="B1708" s="96" t="s">
        <v>2709</v>
      </c>
    </row>
    <row r="1709" ht="12.75" customHeight="1">
      <c r="A1709" s="95" t="s">
        <v>270</v>
      </c>
      <c r="B1709" s="96" t="s">
        <v>2710</v>
      </c>
    </row>
    <row r="1710" ht="12.75" customHeight="1">
      <c r="A1710" s="95" t="s">
        <v>270</v>
      </c>
      <c r="B1710" s="96" t="s">
        <v>2711</v>
      </c>
    </row>
    <row r="1711" ht="12.75" customHeight="1">
      <c r="A1711" s="95" t="s">
        <v>270</v>
      </c>
      <c r="B1711" s="96" t="s">
        <v>2712</v>
      </c>
    </row>
    <row r="1712" ht="12.75" customHeight="1">
      <c r="A1712" s="95" t="s">
        <v>270</v>
      </c>
      <c r="B1712" s="96" t="s">
        <v>2713</v>
      </c>
    </row>
    <row r="1713" ht="12.75" customHeight="1">
      <c r="A1713" s="95" t="s">
        <v>270</v>
      </c>
      <c r="B1713" s="96" t="s">
        <v>2510</v>
      </c>
    </row>
    <row r="1714" ht="12.75" customHeight="1">
      <c r="A1714" s="95" t="s">
        <v>270</v>
      </c>
      <c r="B1714" s="96" t="s">
        <v>2714</v>
      </c>
    </row>
    <row r="1715" ht="12.75" customHeight="1">
      <c r="A1715" s="95" t="s">
        <v>270</v>
      </c>
      <c r="B1715" s="96" t="s">
        <v>2511</v>
      </c>
    </row>
    <row r="1716" ht="12.75" customHeight="1">
      <c r="A1716" s="95" t="s">
        <v>270</v>
      </c>
      <c r="B1716" s="96" t="s">
        <v>2715</v>
      </c>
    </row>
    <row r="1717" ht="12.75" customHeight="1">
      <c r="A1717" s="95" t="s">
        <v>270</v>
      </c>
      <c r="B1717" s="96" t="s">
        <v>2512</v>
      </c>
    </row>
    <row r="1718" ht="12.75" customHeight="1">
      <c r="A1718" s="95" t="s">
        <v>270</v>
      </c>
      <c r="B1718" s="96" t="s">
        <v>2716</v>
      </c>
    </row>
    <row r="1719" ht="12.75" customHeight="1">
      <c r="A1719" s="95" t="s">
        <v>270</v>
      </c>
      <c r="B1719" s="96" t="s">
        <v>2514</v>
      </c>
    </row>
    <row r="1720" ht="12.75" customHeight="1">
      <c r="A1720" s="95" t="s">
        <v>270</v>
      </c>
      <c r="B1720" s="96" t="s">
        <v>2765</v>
      </c>
    </row>
    <row r="1721" ht="12.75" customHeight="1">
      <c r="A1721" s="95" t="s">
        <v>270</v>
      </c>
      <c r="B1721" s="96" t="s">
        <v>2587</v>
      </c>
    </row>
    <row r="1722" ht="12.75" customHeight="1">
      <c r="A1722" s="95" t="s">
        <v>270</v>
      </c>
      <c r="B1722" s="96" t="s">
        <v>2766</v>
      </c>
    </row>
    <row r="1723" ht="12.75" customHeight="1">
      <c r="A1723" s="95" t="s">
        <v>270</v>
      </c>
      <c r="B1723" s="96" t="s">
        <v>2767</v>
      </c>
    </row>
    <row r="1724" ht="12.75" customHeight="1">
      <c r="A1724" s="95" t="s">
        <v>270</v>
      </c>
      <c r="B1724" s="96" t="s">
        <v>2768</v>
      </c>
    </row>
    <row r="1725" ht="12.75" customHeight="1">
      <c r="A1725" s="95" t="s">
        <v>270</v>
      </c>
      <c r="B1725" s="96" t="s">
        <v>2588</v>
      </c>
    </row>
    <row r="1726" ht="12.75" customHeight="1">
      <c r="A1726" s="95" t="s">
        <v>270</v>
      </c>
      <c r="B1726" s="96" t="s">
        <v>2769</v>
      </c>
    </row>
    <row r="1727" ht="12.75" customHeight="1">
      <c r="A1727" s="95" t="s">
        <v>270</v>
      </c>
      <c r="B1727" s="96" t="s">
        <v>2770</v>
      </c>
    </row>
    <row r="1728" ht="12.75" customHeight="1">
      <c r="A1728" s="95" t="s">
        <v>270</v>
      </c>
      <c r="B1728" s="96" t="s">
        <v>2771</v>
      </c>
    </row>
    <row r="1729" ht="12.75" customHeight="1">
      <c r="A1729" s="95" t="s">
        <v>270</v>
      </c>
      <c r="B1729" s="96" t="s">
        <v>2589</v>
      </c>
    </row>
    <row r="1730" ht="12.75" customHeight="1">
      <c r="A1730" s="95" t="s">
        <v>270</v>
      </c>
      <c r="B1730" s="96" t="s">
        <v>2772</v>
      </c>
    </row>
    <row r="1731" ht="12.75" customHeight="1">
      <c r="A1731" s="95" t="s">
        <v>270</v>
      </c>
      <c r="B1731" s="96" t="s">
        <v>2773</v>
      </c>
    </row>
    <row r="1732" ht="12.75" customHeight="1">
      <c r="A1732" s="95" t="s">
        <v>270</v>
      </c>
      <c r="B1732" s="96" t="s">
        <v>2774</v>
      </c>
    </row>
    <row r="1733" ht="12.75" customHeight="1">
      <c r="A1733" s="95" t="s">
        <v>270</v>
      </c>
      <c r="B1733" s="96" t="s">
        <v>2775</v>
      </c>
    </row>
    <row r="1734" ht="12.75" customHeight="1">
      <c r="A1734" s="95" t="s">
        <v>270</v>
      </c>
      <c r="B1734" s="96" t="s">
        <v>2776</v>
      </c>
    </row>
    <row r="1735" ht="12.75" customHeight="1">
      <c r="A1735" s="95" t="s">
        <v>270</v>
      </c>
      <c r="B1735" s="96" t="s">
        <v>2777</v>
      </c>
    </row>
    <row r="1736" ht="12.75" customHeight="1">
      <c r="A1736" s="95" t="s">
        <v>270</v>
      </c>
      <c r="B1736" s="96" t="s">
        <v>2778</v>
      </c>
    </row>
    <row r="1737" ht="12.75" customHeight="1">
      <c r="A1737" s="95" t="s">
        <v>270</v>
      </c>
      <c r="B1737" s="96" t="s">
        <v>2779</v>
      </c>
    </row>
    <row r="1738" ht="12.75" customHeight="1">
      <c r="A1738" s="95" t="s">
        <v>270</v>
      </c>
      <c r="B1738" s="96" t="s">
        <v>2780</v>
      </c>
    </row>
    <row r="1739" ht="12.75" customHeight="1">
      <c r="A1739" s="95" t="s">
        <v>270</v>
      </c>
      <c r="B1739" s="96" t="s">
        <v>2582</v>
      </c>
    </row>
    <row r="1740" ht="12.75" customHeight="1">
      <c r="A1740" s="95" t="s">
        <v>270</v>
      </c>
      <c r="B1740" s="96" t="s">
        <v>2781</v>
      </c>
    </row>
    <row r="1741" ht="12.75" customHeight="1">
      <c r="A1741" s="95" t="s">
        <v>270</v>
      </c>
      <c r="B1741" s="96" t="s">
        <v>2583</v>
      </c>
    </row>
    <row r="1742" ht="12.75" customHeight="1">
      <c r="A1742" s="95" t="s">
        <v>270</v>
      </c>
      <c r="B1742" s="96" t="s">
        <v>2782</v>
      </c>
    </row>
    <row r="1743" ht="12.75" customHeight="1">
      <c r="A1743" s="95" t="s">
        <v>270</v>
      </c>
      <c r="B1743" s="96" t="s">
        <v>2584</v>
      </c>
    </row>
    <row r="1744" ht="12.75" customHeight="1">
      <c r="A1744" s="95" t="s">
        <v>270</v>
      </c>
      <c r="B1744" s="96" t="s">
        <v>2783</v>
      </c>
    </row>
    <row r="1745" ht="12.75" customHeight="1">
      <c r="A1745" s="95" t="s">
        <v>270</v>
      </c>
      <c r="B1745" s="96" t="s">
        <v>2585</v>
      </c>
    </row>
    <row r="1746" ht="12.75" customHeight="1">
      <c r="A1746" s="95" t="s">
        <v>439</v>
      </c>
      <c r="B1746" s="96" t="s">
        <v>3169</v>
      </c>
    </row>
    <row r="1747" ht="12.75" customHeight="1">
      <c r="A1747" s="95" t="s">
        <v>439</v>
      </c>
      <c r="B1747" s="96" t="s">
        <v>2454</v>
      </c>
    </row>
    <row r="1748" ht="12.75" customHeight="1">
      <c r="A1748" s="95" t="s">
        <v>439</v>
      </c>
      <c r="B1748" s="96" t="s">
        <v>2455</v>
      </c>
    </row>
    <row r="1749" ht="12.75" customHeight="1">
      <c r="A1749" s="95" t="s">
        <v>439</v>
      </c>
      <c r="B1749" s="96" t="s">
        <v>2456</v>
      </c>
    </row>
    <row r="1750" ht="12.75" customHeight="1">
      <c r="A1750" s="95" t="s">
        <v>439</v>
      </c>
      <c r="B1750" s="96" t="s">
        <v>2457</v>
      </c>
    </row>
    <row r="1751" ht="12.75" customHeight="1">
      <c r="A1751" s="95" t="s">
        <v>439</v>
      </c>
      <c r="B1751" s="96" t="s">
        <v>2458</v>
      </c>
    </row>
    <row r="1752" ht="12.75" customHeight="1">
      <c r="A1752" s="95" t="s">
        <v>439</v>
      </c>
      <c r="B1752" s="96" t="s">
        <v>2459</v>
      </c>
    </row>
    <row r="1753" ht="12.75" customHeight="1">
      <c r="A1753" s="95" t="s">
        <v>439</v>
      </c>
      <c r="B1753" s="96" t="s">
        <v>2460</v>
      </c>
    </row>
    <row r="1754" ht="12.75" customHeight="1">
      <c r="A1754" s="95" t="s">
        <v>439</v>
      </c>
      <c r="B1754" s="96" t="s">
        <v>2461</v>
      </c>
    </row>
    <row r="1755" ht="12.75" customHeight="1">
      <c r="A1755" s="95" t="s">
        <v>439</v>
      </c>
      <c r="B1755" s="96" t="s">
        <v>2462</v>
      </c>
    </row>
    <row r="1756" ht="12.75" customHeight="1">
      <c r="A1756" s="95" t="s">
        <v>439</v>
      </c>
      <c r="B1756" s="96" t="s">
        <v>2463</v>
      </c>
    </row>
    <row r="1757" ht="12.75" customHeight="1">
      <c r="A1757" s="95" t="s">
        <v>439</v>
      </c>
      <c r="B1757" s="96" t="s">
        <v>2464</v>
      </c>
    </row>
    <row r="1758" ht="12.75" customHeight="1">
      <c r="A1758" s="95" t="s">
        <v>439</v>
      </c>
      <c r="B1758" s="96" t="s">
        <v>2465</v>
      </c>
    </row>
    <row r="1759" ht="12.75" customHeight="1">
      <c r="A1759" s="95" t="s">
        <v>439</v>
      </c>
      <c r="B1759" s="96" t="s">
        <v>2466</v>
      </c>
    </row>
    <row r="1760" ht="12.75" customHeight="1">
      <c r="A1760" s="95" t="s">
        <v>439</v>
      </c>
      <c r="B1760" s="96" t="s">
        <v>2506</v>
      </c>
    </row>
    <row r="1761" ht="12.75" customHeight="1">
      <c r="A1761" s="95" t="s">
        <v>439</v>
      </c>
      <c r="B1761" s="96" t="s">
        <v>2507</v>
      </c>
    </row>
    <row r="1762" ht="12.75" customHeight="1">
      <c r="A1762" s="95" t="s">
        <v>439</v>
      </c>
      <c r="B1762" s="96" t="s">
        <v>2508</v>
      </c>
    </row>
    <row r="1763" ht="12.75" customHeight="1">
      <c r="A1763" s="95" t="s">
        <v>439</v>
      </c>
      <c r="B1763" s="96" t="s">
        <v>2509</v>
      </c>
    </row>
    <row r="1764" ht="12.75" customHeight="1">
      <c r="A1764" s="95" t="s">
        <v>439</v>
      </c>
      <c r="B1764" s="96" t="s">
        <v>2510</v>
      </c>
    </row>
    <row r="1765" ht="12.75" customHeight="1">
      <c r="A1765" s="95" t="s">
        <v>439</v>
      </c>
      <c r="B1765" s="96" t="s">
        <v>2511</v>
      </c>
    </row>
    <row r="1766" ht="12.75" customHeight="1">
      <c r="A1766" s="95" t="s">
        <v>439</v>
      </c>
      <c r="B1766" s="96" t="s">
        <v>2512</v>
      </c>
    </row>
    <row r="1767" ht="12.75" customHeight="1">
      <c r="A1767" s="95" t="s">
        <v>439</v>
      </c>
      <c r="B1767" s="96" t="s">
        <v>2513</v>
      </c>
    </row>
    <row r="1768" ht="12.75" customHeight="1">
      <c r="A1768" s="95" t="s">
        <v>439</v>
      </c>
      <c r="B1768" s="96" t="s">
        <v>2514</v>
      </c>
    </row>
    <row r="1769" ht="12.75" customHeight="1">
      <c r="A1769" s="95" t="s">
        <v>439</v>
      </c>
      <c r="B1769" s="96" t="s">
        <v>2515</v>
      </c>
    </row>
    <row r="1770" ht="12.75" customHeight="1">
      <c r="A1770" s="95" t="s">
        <v>439</v>
      </c>
      <c r="B1770" s="96" t="s">
        <v>2516</v>
      </c>
    </row>
    <row r="1771" ht="12.75" customHeight="1">
      <c r="A1771" s="95" t="s">
        <v>439</v>
      </c>
      <c r="B1771" s="96" t="s">
        <v>2517</v>
      </c>
    </row>
    <row r="1772" ht="12.75" customHeight="1">
      <c r="A1772" s="95" t="s">
        <v>439</v>
      </c>
      <c r="B1772" s="96" t="s">
        <v>2518</v>
      </c>
    </row>
    <row r="1773" ht="12.75" customHeight="1">
      <c r="A1773" s="95" t="s">
        <v>439</v>
      </c>
      <c r="B1773" s="96" t="s">
        <v>2519</v>
      </c>
    </row>
    <row r="1774" ht="12.75" customHeight="1">
      <c r="A1774" s="95" t="s">
        <v>439</v>
      </c>
      <c r="B1774" s="96" t="s">
        <v>2520</v>
      </c>
    </row>
    <row r="1775" ht="12.75" customHeight="1">
      <c r="A1775" s="95" t="s">
        <v>439</v>
      </c>
      <c r="B1775" s="96" t="s">
        <v>2521</v>
      </c>
    </row>
    <row r="1776" ht="12.75" customHeight="1">
      <c r="A1776" s="95" t="s">
        <v>439</v>
      </c>
      <c r="B1776" s="96" t="s">
        <v>2522</v>
      </c>
    </row>
    <row r="1777" ht="12.75" customHeight="1">
      <c r="A1777" s="95" t="s">
        <v>439</v>
      </c>
      <c r="B1777" s="96" t="s">
        <v>2523</v>
      </c>
    </row>
    <row r="1778" ht="12.75" customHeight="1">
      <c r="A1778" s="95" t="s">
        <v>439</v>
      </c>
      <c r="B1778" s="96" t="s">
        <v>2524</v>
      </c>
    </row>
    <row r="1779" ht="12.75" customHeight="1">
      <c r="A1779" s="95" t="s">
        <v>439</v>
      </c>
      <c r="B1779" s="96" t="s">
        <v>2525</v>
      </c>
    </row>
    <row r="1780" ht="12.75" customHeight="1">
      <c r="A1780" s="95" t="s">
        <v>439</v>
      </c>
      <c r="B1780" s="96" t="s">
        <v>2578</v>
      </c>
    </row>
    <row r="1781" ht="12.75" customHeight="1">
      <c r="A1781" s="95" t="s">
        <v>439</v>
      </c>
      <c r="B1781" s="96" t="s">
        <v>2579</v>
      </c>
    </row>
    <row r="1782" ht="12.75" customHeight="1">
      <c r="A1782" s="95" t="s">
        <v>439</v>
      </c>
      <c r="B1782" s="96" t="s">
        <v>2580</v>
      </c>
    </row>
    <row r="1783" ht="12.75" customHeight="1">
      <c r="A1783" s="95" t="s">
        <v>439</v>
      </c>
      <c r="B1783" s="96" t="s">
        <v>2581</v>
      </c>
    </row>
    <row r="1784" ht="12.75" customHeight="1">
      <c r="A1784" s="95" t="s">
        <v>439</v>
      </c>
      <c r="B1784" s="96" t="s">
        <v>2582</v>
      </c>
    </row>
    <row r="1785" ht="12.75" customHeight="1">
      <c r="A1785" s="95" t="s">
        <v>439</v>
      </c>
      <c r="B1785" s="96" t="s">
        <v>2583</v>
      </c>
    </row>
    <row r="1786" ht="12.75" customHeight="1">
      <c r="A1786" s="95" t="s">
        <v>439</v>
      </c>
      <c r="B1786" s="96" t="s">
        <v>2584</v>
      </c>
    </row>
    <row r="1787" ht="12.75" customHeight="1">
      <c r="A1787" s="95" t="s">
        <v>439</v>
      </c>
      <c r="B1787" s="96" t="s">
        <v>2585</v>
      </c>
    </row>
    <row r="1788" ht="12.75" customHeight="1">
      <c r="A1788" s="95" t="s">
        <v>439</v>
      </c>
      <c r="B1788" s="96" t="s">
        <v>2586</v>
      </c>
    </row>
    <row r="1789" ht="12.75" customHeight="1">
      <c r="A1789" s="95" t="s">
        <v>439</v>
      </c>
      <c r="B1789" s="96" t="s">
        <v>2587</v>
      </c>
    </row>
    <row r="1790" ht="12.75" customHeight="1">
      <c r="A1790" s="95" t="s">
        <v>439</v>
      </c>
      <c r="B1790" s="96" t="s">
        <v>2588</v>
      </c>
    </row>
    <row r="1791" ht="12.75" customHeight="1">
      <c r="A1791" s="95" t="s">
        <v>439</v>
      </c>
      <c r="B1791" s="96" t="s">
        <v>2589</v>
      </c>
    </row>
    <row r="1792" ht="12.75" customHeight="1">
      <c r="A1792" s="95" t="s">
        <v>439</v>
      </c>
      <c r="B1792" s="96" t="s">
        <v>2590</v>
      </c>
    </row>
    <row r="1793" ht="12.75" customHeight="1">
      <c r="A1793" s="95" t="s">
        <v>439</v>
      </c>
      <c r="B1793" s="96" t="s">
        <v>2591</v>
      </c>
    </row>
    <row r="1794" ht="12.75" customHeight="1">
      <c r="A1794" s="95" t="s">
        <v>439</v>
      </c>
      <c r="B1794" s="96" t="s">
        <v>2592</v>
      </c>
    </row>
    <row r="1795" ht="12.75" customHeight="1">
      <c r="A1795" s="95" t="s">
        <v>439</v>
      </c>
      <c r="B1795" s="96" t="s">
        <v>2593</v>
      </c>
    </row>
    <row r="1796" ht="12.75" customHeight="1">
      <c r="A1796" s="95" t="s">
        <v>439</v>
      </c>
      <c r="B1796" s="96" t="s">
        <v>2594</v>
      </c>
    </row>
    <row r="1797" ht="12.75" customHeight="1">
      <c r="A1797" s="95" t="s">
        <v>439</v>
      </c>
      <c r="B1797" s="96" t="s">
        <v>2595</v>
      </c>
    </row>
    <row r="1798" ht="12.75" customHeight="1">
      <c r="A1798" s="95" t="s">
        <v>439</v>
      </c>
      <c r="B1798" s="96" t="s">
        <v>2596</v>
      </c>
    </row>
    <row r="1799" ht="12.75" customHeight="1">
      <c r="A1799" s="95" t="s">
        <v>439</v>
      </c>
      <c r="B1799" s="96" t="s">
        <v>2597</v>
      </c>
    </row>
    <row r="1800" ht="12.75" customHeight="1">
      <c r="A1800" s="95" t="s">
        <v>439</v>
      </c>
      <c r="B1800" s="96" t="s">
        <v>2598</v>
      </c>
    </row>
    <row r="1801" ht="12.75" customHeight="1">
      <c r="A1801" s="95" t="s">
        <v>439</v>
      </c>
      <c r="B1801" s="96" t="s">
        <v>2599</v>
      </c>
    </row>
    <row r="1802" ht="12.75" customHeight="1">
      <c r="A1802" s="95" t="s">
        <v>181</v>
      </c>
      <c r="B1802" s="96" t="s">
        <v>3169</v>
      </c>
    </row>
    <row r="1803" ht="12.75" customHeight="1">
      <c r="A1803" s="95" t="s">
        <v>181</v>
      </c>
      <c r="B1803" s="96" t="s">
        <v>2454</v>
      </c>
    </row>
    <row r="1804" ht="12.75" customHeight="1">
      <c r="A1804" s="95" t="s">
        <v>181</v>
      </c>
      <c r="B1804" s="96" t="s">
        <v>2455</v>
      </c>
    </row>
    <row r="1805" ht="12.75" customHeight="1">
      <c r="A1805" s="95" t="s">
        <v>181</v>
      </c>
      <c r="B1805" s="96" t="s">
        <v>2456</v>
      </c>
    </row>
    <row r="1806" ht="12.75" customHeight="1">
      <c r="A1806" s="95" t="s">
        <v>181</v>
      </c>
      <c r="B1806" s="96" t="s">
        <v>2457</v>
      </c>
    </row>
    <row r="1807" ht="12.75" customHeight="1">
      <c r="A1807" s="95" t="s">
        <v>181</v>
      </c>
      <c r="B1807" s="96" t="s">
        <v>2458</v>
      </c>
    </row>
    <row r="1808" ht="12.75" customHeight="1">
      <c r="A1808" s="95" t="s">
        <v>181</v>
      </c>
      <c r="B1808" s="96" t="s">
        <v>2459</v>
      </c>
    </row>
    <row r="1809" ht="12.75" customHeight="1">
      <c r="A1809" s="95" t="s">
        <v>181</v>
      </c>
      <c r="B1809" s="96" t="s">
        <v>2460</v>
      </c>
    </row>
    <row r="1810" ht="12.75" customHeight="1">
      <c r="A1810" s="95" t="s">
        <v>181</v>
      </c>
      <c r="B1810" s="96" t="s">
        <v>2461</v>
      </c>
    </row>
    <row r="1811" ht="12.75" customHeight="1">
      <c r="A1811" s="95" t="s">
        <v>181</v>
      </c>
      <c r="B1811" s="96" t="s">
        <v>2462</v>
      </c>
    </row>
    <row r="1812" ht="12.75" customHeight="1">
      <c r="A1812" s="95" t="s">
        <v>181</v>
      </c>
      <c r="B1812" s="96" t="s">
        <v>2463</v>
      </c>
    </row>
    <row r="1813" ht="12.75" customHeight="1">
      <c r="A1813" s="95" t="s">
        <v>181</v>
      </c>
      <c r="B1813" s="96" t="s">
        <v>2464</v>
      </c>
    </row>
    <row r="1814" ht="12.75" customHeight="1">
      <c r="A1814" s="95" t="s">
        <v>181</v>
      </c>
      <c r="B1814" s="96" t="s">
        <v>2465</v>
      </c>
    </row>
    <row r="1815" ht="12.75" customHeight="1">
      <c r="A1815" s="95" t="s">
        <v>181</v>
      </c>
      <c r="B1815" s="96" t="s">
        <v>2466</v>
      </c>
    </row>
    <row r="1816" ht="12.75" customHeight="1">
      <c r="A1816" s="95" t="s">
        <v>181</v>
      </c>
      <c r="B1816" s="96" t="s">
        <v>2506</v>
      </c>
    </row>
    <row r="1817" ht="12.75" customHeight="1">
      <c r="A1817" s="95" t="s">
        <v>181</v>
      </c>
      <c r="B1817" s="96" t="s">
        <v>2507</v>
      </c>
    </row>
    <row r="1818" ht="12.75" customHeight="1">
      <c r="A1818" s="95" t="s">
        <v>181</v>
      </c>
      <c r="B1818" s="96" t="s">
        <v>2508</v>
      </c>
    </row>
    <row r="1819" ht="12.75" customHeight="1">
      <c r="A1819" s="95" t="s">
        <v>181</v>
      </c>
      <c r="B1819" s="96" t="s">
        <v>2509</v>
      </c>
    </row>
    <row r="1820" ht="12.75" customHeight="1">
      <c r="A1820" s="95" t="s">
        <v>181</v>
      </c>
      <c r="B1820" s="96" t="s">
        <v>2510</v>
      </c>
    </row>
    <row r="1821" ht="12.75" customHeight="1">
      <c r="A1821" s="95" t="s">
        <v>181</v>
      </c>
      <c r="B1821" s="96" t="s">
        <v>2511</v>
      </c>
    </row>
    <row r="1822" ht="12.75" customHeight="1">
      <c r="A1822" s="95" t="s">
        <v>181</v>
      </c>
      <c r="B1822" s="96" t="s">
        <v>2512</v>
      </c>
    </row>
    <row r="1823" ht="12.75" customHeight="1">
      <c r="A1823" s="95" t="s">
        <v>181</v>
      </c>
      <c r="B1823" s="96" t="s">
        <v>2513</v>
      </c>
    </row>
    <row r="1824" ht="12.75" customHeight="1">
      <c r="A1824" s="95" t="s">
        <v>181</v>
      </c>
      <c r="B1824" s="96" t="s">
        <v>2514</v>
      </c>
    </row>
    <row r="1825" ht="12.75" customHeight="1">
      <c r="A1825" s="95" t="s">
        <v>181</v>
      </c>
      <c r="B1825" s="96" t="s">
        <v>2515</v>
      </c>
    </row>
    <row r="1826" ht="12.75" customHeight="1">
      <c r="A1826" s="95" t="s">
        <v>181</v>
      </c>
      <c r="B1826" s="96" t="s">
        <v>2516</v>
      </c>
    </row>
    <row r="1827" ht="12.75" customHeight="1">
      <c r="A1827" s="95" t="s">
        <v>181</v>
      </c>
      <c r="B1827" s="96" t="s">
        <v>2517</v>
      </c>
    </row>
    <row r="1828" ht="12.75" customHeight="1">
      <c r="A1828" s="95" t="s">
        <v>181</v>
      </c>
      <c r="B1828" s="96" t="s">
        <v>2518</v>
      </c>
    </row>
    <row r="1829" ht="12.75" customHeight="1">
      <c r="A1829" s="95" t="s">
        <v>181</v>
      </c>
      <c r="B1829" s="96" t="s">
        <v>2519</v>
      </c>
    </row>
    <row r="1830" ht="12.75" customHeight="1">
      <c r="A1830" s="95" t="s">
        <v>181</v>
      </c>
      <c r="B1830" s="96" t="s">
        <v>2520</v>
      </c>
    </row>
    <row r="1831" ht="12.75" customHeight="1">
      <c r="A1831" s="95" t="s">
        <v>181</v>
      </c>
      <c r="B1831" s="96" t="s">
        <v>2521</v>
      </c>
    </row>
    <row r="1832" ht="12.75" customHeight="1">
      <c r="A1832" s="95" t="s">
        <v>181</v>
      </c>
      <c r="B1832" s="96" t="s">
        <v>2522</v>
      </c>
    </row>
    <row r="1833" ht="12.75" customHeight="1">
      <c r="A1833" s="95" t="s">
        <v>181</v>
      </c>
      <c r="B1833" s="96" t="s">
        <v>2523</v>
      </c>
    </row>
    <row r="1834" ht="12.75" customHeight="1">
      <c r="A1834" s="95" t="s">
        <v>181</v>
      </c>
      <c r="B1834" s="96" t="s">
        <v>2524</v>
      </c>
    </row>
    <row r="1835" ht="12.75" customHeight="1">
      <c r="A1835" s="95" t="s">
        <v>181</v>
      </c>
      <c r="B1835" s="96" t="s">
        <v>2525</v>
      </c>
    </row>
    <row r="1836" ht="12.75" customHeight="1">
      <c r="A1836" s="95" t="s">
        <v>181</v>
      </c>
      <c r="B1836" s="96" t="s">
        <v>2578</v>
      </c>
    </row>
    <row r="1837" ht="12.75" customHeight="1">
      <c r="A1837" s="95" t="s">
        <v>181</v>
      </c>
      <c r="B1837" s="96" t="s">
        <v>2579</v>
      </c>
    </row>
    <row r="1838" ht="12.75" customHeight="1">
      <c r="A1838" s="95" t="s">
        <v>181</v>
      </c>
      <c r="B1838" s="96" t="s">
        <v>2580</v>
      </c>
    </row>
    <row r="1839" ht="12.75" customHeight="1">
      <c r="A1839" s="95" t="s">
        <v>181</v>
      </c>
      <c r="B1839" s="96" t="s">
        <v>2581</v>
      </c>
    </row>
    <row r="1840" ht="12.75" customHeight="1">
      <c r="A1840" s="95" t="s">
        <v>181</v>
      </c>
      <c r="B1840" s="96" t="s">
        <v>2582</v>
      </c>
    </row>
    <row r="1841" ht="12.75" customHeight="1">
      <c r="A1841" s="95" t="s">
        <v>181</v>
      </c>
      <c r="B1841" s="96" t="s">
        <v>2583</v>
      </c>
    </row>
    <row r="1842" ht="12.75" customHeight="1">
      <c r="A1842" s="95" t="s">
        <v>181</v>
      </c>
      <c r="B1842" s="96" t="s">
        <v>2584</v>
      </c>
    </row>
    <row r="1843" ht="12.75" customHeight="1">
      <c r="A1843" s="95" t="s">
        <v>181</v>
      </c>
      <c r="B1843" s="96" t="s">
        <v>2585</v>
      </c>
    </row>
    <row r="1844" ht="12.75" customHeight="1">
      <c r="A1844" s="95" t="s">
        <v>181</v>
      </c>
      <c r="B1844" s="96" t="s">
        <v>2586</v>
      </c>
    </row>
    <row r="1845" ht="12.75" customHeight="1">
      <c r="A1845" s="95" t="s">
        <v>181</v>
      </c>
      <c r="B1845" s="96" t="s">
        <v>2587</v>
      </c>
    </row>
    <row r="1846" ht="12.75" customHeight="1">
      <c r="A1846" s="95" t="s">
        <v>181</v>
      </c>
      <c r="B1846" s="96" t="s">
        <v>2588</v>
      </c>
    </row>
    <row r="1847" ht="12.75" customHeight="1">
      <c r="A1847" s="95" t="s">
        <v>181</v>
      </c>
      <c r="B1847" s="96" t="s">
        <v>2589</v>
      </c>
    </row>
    <row r="1848" ht="12.75" customHeight="1">
      <c r="A1848" s="95" t="s">
        <v>181</v>
      </c>
      <c r="B1848" s="96" t="s">
        <v>2590</v>
      </c>
    </row>
    <row r="1849" ht="12.75" customHeight="1">
      <c r="A1849" s="95" t="s">
        <v>181</v>
      </c>
      <c r="B1849" s="96" t="s">
        <v>2591</v>
      </c>
    </row>
    <row r="1850" ht="12.75" customHeight="1">
      <c r="A1850" s="95" t="s">
        <v>181</v>
      </c>
      <c r="B1850" s="96" t="s">
        <v>2592</v>
      </c>
    </row>
    <row r="1851" ht="12.75" customHeight="1">
      <c r="A1851" s="95" t="s">
        <v>181</v>
      </c>
      <c r="B1851" s="96" t="s">
        <v>2593</v>
      </c>
    </row>
    <row r="1852" ht="12.75" customHeight="1">
      <c r="A1852" s="95" t="s">
        <v>181</v>
      </c>
      <c r="B1852" s="96" t="s">
        <v>2594</v>
      </c>
    </row>
    <row r="1853" ht="12.75" customHeight="1">
      <c r="A1853" s="95" t="s">
        <v>181</v>
      </c>
      <c r="B1853" s="96" t="s">
        <v>2595</v>
      </c>
    </row>
    <row r="1854" ht="12.75" customHeight="1">
      <c r="A1854" s="95" t="s">
        <v>181</v>
      </c>
      <c r="B1854" s="96" t="s">
        <v>2596</v>
      </c>
    </row>
    <row r="1855" ht="12.75" customHeight="1">
      <c r="A1855" s="95" t="s">
        <v>181</v>
      </c>
      <c r="B1855" s="96" t="s">
        <v>2597</v>
      </c>
    </row>
    <row r="1856" ht="12.75" customHeight="1">
      <c r="A1856" s="95" t="s">
        <v>181</v>
      </c>
      <c r="B1856" s="96" t="s">
        <v>2598</v>
      </c>
    </row>
    <row r="1857" ht="12.75" customHeight="1">
      <c r="A1857" s="95" t="s">
        <v>181</v>
      </c>
      <c r="B1857" s="96" t="s">
        <v>2599</v>
      </c>
    </row>
    <row r="1858" ht="12.75" customHeight="1">
      <c r="A1858" s="95" t="s">
        <v>2834</v>
      </c>
      <c r="B1858" s="96" t="s">
        <v>3169</v>
      </c>
    </row>
    <row r="1859" ht="12.75" customHeight="1">
      <c r="A1859" s="95" t="s">
        <v>2834</v>
      </c>
      <c r="B1859" s="96" t="s">
        <v>2454</v>
      </c>
    </row>
    <row r="1860" ht="12.75" customHeight="1">
      <c r="A1860" s="95" t="s">
        <v>2834</v>
      </c>
      <c r="B1860" s="96" t="s">
        <v>2455</v>
      </c>
    </row>
    <row r="1861" ht="12.75" customHeight="1">
      <c r="A1861" s="95" t="s">
        <v>2834</v>
      </c>
      <c r="B1861" s="96" t="s">
        <v>2456</v>
      </c>
    </row>
    <row r="1862" ht="12.75" customHeight="1">
      <c r="A1862" s="95" t="s">
        <v>2834</v>
      </c>
      <c r="B1862" s="96" t="s">
        <v>2457</v>
      </c>
    </row>
    <row r="1863" ht="12.75" customHeight="1">
      <c r="A1863" s="95" t="s">
        <v>2834</v>
      </c>
      <c r="B1863" s="96" t="s">
        <v>2458</v>
      </c>
    </row>
    <row r="1864" ht="12.75" customHeight="1">
      <c r="A1864" s="95" t="s">
        <v>2834</v>
      </c>
      <c r="B1864" s="96" t="s">
        <v>2459</v>
      </c>
    </row>
    <row r="1865" ht="12.75" customHeight="1">
      <c r="A1865" s="95" t="s">
        <v>2834</v>
      </c>
      <c r="B1865" s="96" t="s">
        <v>2460</v>
      </c>
    </row>
    <row r="1866" ht="12.75" customHeight="1">
      <c r="A1866" s="95" t="s">
        <v>2834</v>
      </c>
      <c r="B1866" s="96" t="s">
        <v>2461</v>
      </c>
    </row>
    <row r="1867" ht="12.75" customHeight="1">
      <c r="A1867" s="95" t="s">
        <v>2834</v>
      </c>
      <c r="B1867" s="96" t="s">
        <v>2462</v>
      </c>
    </row>
    <row r="1868" ht="12.75" customHeight="1">
      <c r="A1868" s="95" t="s">
        <v>2834</v>
      </c>
      <c r="B1868" s="96" t="s">
        <v>2463</v>
      </c>
    </row>
    <row r="1869" ht="12.75" customHeight="1">
      <c r="A1869" s="95" t="s">
        <v>2834</v>
      </c>
      <c r="B1869" s="96" t="s">
        <v>2464</v>
      </c>
    </row>
    <row r="1870" ht="12.75" customHeight="1">
      <c r="A1870" s="95" t="s">
        <v>2834</v>
      </c>
      <c r="B1870" s="96" t="s">
        <v>2465</v>
      </c>
    </row>
    <row r="1871" ht="12.75" customHeight="1">
      <c r="A1871" s="95" t="s">
        <v>2834</v>
      </c>
      <c r="B1871" s="96" t="s">
        <v>2466</v>
      </c>
    </row>
    <row r="1872" ht="12.75" customHeight="1">
      <c r="A1872" s="95" t="s">
        <v>2834</v>
      </c>
      <c r="B1872" s="96" t="s">
        <v>2506</v>
      </c>
    </row>
    <row r="1873" ht="12.75" customHeight="1">
      <c r="A1873" s="95" t="s">
        <v>2834</v>
      </c>
      <c r="B1873" s="96" t="s">
        <v>2507</v>
      </c>
    </row>
    <row r="1874" ht="12.75" customHeight="1">
      <c r="A1874" s="95" t="s">
        <v>2834</v>
      </c>
      <c r="B1874" s="96" t="s">
        <v>2508</v>
      </c>
    </row>
    <row r="1875" ht="12.75" customHeight="1">
      <c r="A1875" s="95" t="s">
        <v>2834</v>
      </c>
      <c r="B1875" s="96" t="s">
        <v>2509</v>
      </c>
    </row>
    <row r="1876" ht="12.75" customHeight="1">
      <c r="A1876" s="95" t="s">
        <v>2834</v>
      </c>
      <c r="B1876" s="96" t="s">
        <v>2510</v>
      </c>
    </row>
    <row r="1877" ht="12.75" customHeight="1">
      <c r="A1877" s="95" t="s">
        <v>2834</v>
      </c>
      <c r="B1877" s="96" t="s">
        <v>2511</v>
      </c>
    </row>
    <row r="1878" ht="12.75" customHeight="1">
      <c r="A1878" s="95" t="s">
        <v>2834</v>
      </c>
      <c r="B1878" s="96" t="s">
        <v>2512</v>
      </c>
    </row>
    <row r="1879" ht="12.75" customHeight="1">
      <c r="A1879" s="95" t="s">
        <v>2834</v>
      </c>
      <c r="B1879" s="96" t="s">
        <v>2513</v>
      </c>
    </row>
    <row r="1880" ht="12.75" customHeight="1">
      <c r="A1880" s="95" t="s">
        <v>2834</v>
      </c>
      <c r="B1880" s="96" t="s">
        <v>2514</v>
      </c>
    </row>
    <row r="1881" ht="12.75" customHeight="1">
      <c r="A1881" s="95" t="s">
        <v>2834</v>
      </c>
      <c r="B1881" s="96" t="s">
        <v>2515</v>
      </c>
    </row>
    <row r="1882" ht="12.75" customHeight="1">
      <c r="A1882" s="95" t="s">
        <v>2834</v>
      </c>
      <c r="B1882" s="96" t="s">
        <v>2516</v>
      </c>
    </row>
    <row r="1883" ht="12.75" customHeight="1">
      <c r="A1883" s="95" t="s">
        <v>2834</v>
      </c>
      <c r="B1883" s="96" t="s">
        <v>2517</v>
      </c>
    </row>
    <row r="1884" ht="12.75" customHeight="1">
      <c r="A1884" s="95" t="s">
        <v>2834</v>
      </c>
      <c r="B1884" s="96" t="s">
        <v>2518</v>
      </c>
    </row>
    <row r="1885" ht="12.75" customHeight="1">
      <c r="A1885" s="95" t="s">
        <v>2834</v>
      </c>
      <c r="B1885" s="96" t="s">
        <v>2519</v>
      </c>
    </row>
    <row r="1886" ht="12.75" customHeight="1">
      <c r="A1886" s="95" t="s">
        <v>2834</v>
      </c>
      <c r="B1886" s="96" t="s">
        <v>2520</v>
      </c>
    </row>
    <row r="1887" ht="12.75" customHeight="1">
      <c r="A1887" s="95" t="s">
        <v>2834</v>
      </c>
      <c r="B1887" s="96" t="s">
        <v>2521</v>
      </c>
    </row>
    <row r="1888" ht="12.75" customHeight="1">
      <c r="A1888" s="95" t="s">
        <v>2834</v>
      </c>
      <c r="B1888" s="96" t="s">
        <v>2522</v>
      </c>
    </row>
    <row r="1889" ht="12.75" customHeight="1">
      <c r="A1889" s="95" t="s">
        <v>2834</v>
      </c>
      <c r="B1889" s="96" t="s">
        <v>2523</v>
      </c>
    </row>
    <row r="1890" ht="12.75" customHeight="1">
      <c r="A1890" s="95" t="s">
        <v>2834</v>
      </c>
      <c r="B1890" s="96" t="s">
        <v>2524</v>
      </c>
    </row>
    <row r="1891" ht="12.75" customHeight="1">
      <c r="A1891" s="95" t="s">
        <v>2834</v>
      </c>
      <c r="B1891" s="96" t="s">
        <v>2525</v>
      </c>
    </row>
    <row r="1892" ht="12.75" customHeight="1">
      <c r="A1892" s="95" t="s">
        <v>2834</v>
      </c>
      <c r="B1892" s="96" t="s">
        <v>2578</v>
      </c>
    </row>
    <row r="1893" ht="12.75" customHeight="1">
      <c r="A1893" s="95" t="s">
        <v>2834</v>
      </c>
      <c r="B1893" s="96" t="s">
        <v>2579</v>
      </c>
    </row>
    <row r="1894" ht="12.75" customHeight="1">
      <c r="A1894" s="95" t="s">
        <v>2834</v>
      </c>
      <c r="B1894" s="96" t="s">
        <v>2580</v>
      </c>
    </row>
    <row r="1895" ht="12.75" customHeight="1">
      <c r="A1895" s="95" t="s">
        <v>2834</v>
      </c>
      <c r="B1895" s="96" t="s">
        <v>2581</v>
      </c>
    </row>
    <row r="1896" ht="12.75" customHeight="1">
      <c r="A1896" s="95" t="s">
        <v>2834</v>
      </c>
      <c r="B1896" s="96" t="s">
        <v>2582</v>
      </c>
    </row>
    <row r="1897" ht="12.75" customHeight="1">
      <c r="A1897" s="95" t="s">
        <v>2834</v>
      </c>
      <c r="B1897" s="96" t="s">
        <v>2583</v>
      </c>
    </row>
    <row r="1898" ht="12.75" customHeight="1">
      <c r="A1898" s="95" t="s">
        <v>2834</v>
      </c>
      <c r="B1898" s="96" t="s">
        <v>2584</v>
      </c>
    </row>
    <row r="1899" ht="12.75" customHeight="1">
      <c r="A1899" s="95" t="s">
        <v>2834</v>
      </c>
      <c r="B1899" s="96" t="s">
        <v>2585</v>
      </c>
    </row>
    <row r="1900" ht="12.75" customHeight="1">
      <c r="A1900" s="95" t="s">
        <v>2834</v>
      </c>
      <c r="B1900" s="96" t="s">
        <v>2586</v>
      </c>
    </row>
    <row r="1901" ht="12.75" customHeight="1">
      <c r="A1901" s="95" t="s">
        <v>2834</v>
      </c>
      <c r="B1901" s="96" t="s">
        <v>2587</v>
      </c>
    </row>
    <row r="1902" ht="12.75" customHeight="1">
      <c r="A1902" s="95" t="s">
        <v>2834</v>
      </c>
      <c r="B1902" s="96" t="s">
        <v>2588</v>
      </c>
    </row>
    <row r="1903" ht="12.75" customHeight="1">
      <c r="A1903" s="95" t="s">
        <v>2834</v>
      </c>
      <c r="B1903" s="96" t="s">
        <v>2589</v>
      </c>
    </row>
    <row r="1904" ht="12.75" customHeight="1">
      <c r="A1904" s="95" t="s">
        <v>2834</v>
      </c>
      <c r="B1904" s="96" t="s">
        <v>2590</v>
      </c>
    </row>
    <row r="1905" ht="12.75" customHeight="1">
      <c r="A1905" s="95" t="s">
        <v>2834</v>
      </c>
      <c r="B1905" s="96" t="s">
        <v>2591</v>
      </c>
    </row>
    <row r="1906" ht="12.75" customHeight="1">
      <c r="A1906" s="95" t="s">
        <v>2834</v>
      </c>
      <c r="B1906" s="96" t="s">
        <v>2592</v>
      </c>
    </row>
    <row r="1907" ht="12.75" customHeight="1">
      <c r="A1907" s="95" t="s">
        <v>2834</v>
      </c>
      <c r="B1907" s="96" t="s">
        <v>2593</v>
      </c>
    </row>
    <row r="1908" ht="12.75" customHeight="1">
      <c r="A1908" s="95" t="s">
        <v>2834</v>
      </c>
      <c r="B1908" s="96" t="s">
        <v>2594</v>
      </c>
    </row>
    <row r="1909" ht="12.75" customHeight="1">
      <c r="A1909" s="95" t="s">
        <v>2834</v>
      </c>
      <c r="B1909" s="96" t="s">
        <v>2595</v>
      </c>
    </row>
    <row r="1910" ht="12.75" customHeight="1">
      <c r="A1910" s="95" t="s">
        <v>2834</v>
      </c>
      <c r="B1910" s="96" t="s">
        <v>2596</v>
      </c>
    </row>
    <row r="1911" ht="12.75" customHeight="1">
      <c r="A1911" s="95" t="s">
        <v>2834</v>
      </c>
      <c r="B1911" s="96" t="s">
        <v>2597</v>
      </c>
    </row>
    <row r="1912" ht="12.75" customHeight="1">
      <c r="A1912" s="95" t="s">
        <v>2834</v>
      </c>
      <c r="B1912" s="96" t="s">
        <v>2598</v>
      </c>
    </row>
    <row r="1913" ht="12.75" customHeight="1">
      <c r="A1913" s="95" t="s">
        <v>2834</v>
      </c>
      <c r="B1913" s="96" t="s">
        <v>2599</v>
      </c>
    </row>
    <row r="1914" ht="12.75" customHeight="1">
      <c r="A1914" s="95" t="s">
        <v>246</v>
      </c>
      <c r="B1914" s="96" t="s">
        <v>3169</v>
      </c>
    </row>
    <row r="1915" ht="12.75" customHeight="1">
      <c r="A1915" s="95" t="s">
        <v>246</v>
      </c>
      <c r="B1915" s="96" t="s">
        <v>2454</v>
      </c>
    </row>
    <row r="1916" ht="12.75" customHeight="1">
      <c r="A1916" s="95" t="s">
        <v>246</v>
      </c>
      <c r="B1916" s="96" t="s">
        <v>2455</v>
      </c>
    </row>
    <row r="1917" ht="12.75" customHeight="1">
      <c r="A1917" s="95" t="s">
        <v>246</v>
      </c>
      <c r="B1917" s="96" t="s">
        <v>2456</v>
      </c>
    </row>
    <row r="1918" ht="12.75" customHeight="1">
      <c r="A1918" s="95" t="s">
        <v>246</v>
      </c>
      <c r="B1918" s="96" t="s">
        <v>2457</v>
      </c>
    </row>
    <row r="1919" ht="12.75" customHeight="1">
      <c r="A1919" s="95" t="s">
        <v>246</v>
      </c>
      <c r="B1919" s="96" t="s">
        <v>2458</v>
      </c>
    </row>
    <row r="1920" ht="12.75" customHeight="1">
      <c r="A1920" s="95" t="s">
        <v>246</v>
      </c>
      <c r="B1920" s="96" t="s">
        <v>2459</v>
      </c>
    </row>
    <row r="1921" ht="12.75" customHeight="1">
      <c r="A1921" s="95" t="s">
        <v>246</v>
      </c>
      <c r="B1921" s="96" t="s">
        <v>2460</v>
      </c>
    </row>
    <row r="1922" ht="12.75" customHeight="1">
      <c r="A1922" s="95" t="s">
        <v>246</v>
      </c>
      <c r="B1922" s="96" t="s">
        <v>2461</v>
      </c>
    </row>
    <row r="1923" ht="12.75" customHeight="1">
      <c r="A1923" s="95" t="s">
        <v>246</v>
      </c>
      <c r="B1923" s="96" t="s">
        <v>2462</v>
      </c>
    </row>
    <row r="1924" ht="12.75" customHeight="1">
      <c r="A1924" s="95" t="s">
        <v>246</v>
      </c>
      <c r="B1924" s="96" t="s">
        <v>2463</v>
      </c>
    </row>
    <row r="1925" ht="12.75" customHeight="1">
      <c r="A1925" s="95" t="s">
        <v>246</v>
      </c>
      <c r="B1925" s="96" t="s">
        <v>2464</v>
      </c>
    </row>
    <row r="1926" ht="12.75" customHeight="1">
      <c r="A1926" s="95" t="s">
        <v>246</v>
      </c>
      <c r="B1926" s="96" t="s">
        <v>2465</v>
      </c>
    </row>
    <row r="1927" ht="12.75" customHeight="1">
      <c r="A1927" s="95" t="s">
        <v>246</v>
      </c>
      <c r="B1927" s="96" t="s">
        <v>2466</v>
      </c>
    </row>
    <row r="1928" ht="12.75" customHeight="1">
      <c r="A1928" s="95" t="s">
        <v>246</v>
      </c>
      <c r="B1928" s="96" t="s">
        <v>2506</v>
      </c>
    </row>
    <row r="1929" ht="12.75" customHeight="1">
      <c r="A1929" s="95" t="s">
        <v>246</v>
      </c>
      <c r="B1929" s="96" t="s">
        <v>2507</v>
      </c>
    </row>
    <row r="1930" ht="12.75" customHeight="1">
      <c r="A1930" s="95" t="s">
        <v>246</v>
      </c>
      <c r="B1930" s="96" t="s">
        <v>2508</v>
      </c>
    </row>
    <row r="1931" ht="12.75" customHeight="1">
      <c r="A1931" s="95" t="s">
        <v>246</v>
      </c>
      <c r="B1931" s="96" t="s">
        <v>2509</v>
      </c>
    </row>
    <row r="1932" ht="12.75" customHeight="1">
      <c r="A1932" s="95" t="s">
        <v>246</v>
      </c>
      <c r="B1932" s="96" t="s">
        <v>2510</v>
      </c>
    </row>
    <row r="1933" ht="12.75" customHeight="1">
      <c r="A1933" s="95" t="s">
        <v>246</v>
      </c>
      <c r="B1933" s="96" t="s">
        <v>2511</v>
      </c>
    </row>
    <row r="1934" ht="12.75" customHeight="1">
      <c r="A1934" s="95" t="s">
        <v>246</v>
      </c>
      <c r="B1934" s="96" t="s">
        <v>2512</v>
      </c>
    </row>
    <row r="1935" ht="12.75" customHeight="1">
      <c r="A1935" s="95" t="s">
        <v>246</v>
      </c>
      <c r="B1935" s="96" t="s">
        <v>2513</v>
      </c>
    </row>
    <row r="1936" ht="12.75" customHeight="1">
      <c r="A1936" s="95" t="s">
        <v>246</v>
      </c>
      <c r="B1936" s="96" t="s">
        <v>2514</v>
      </c>
    </row>
    <row r="1937" ht="12.75" customHeight="1">
      <c r="A1937" s="95" t="s">
        <v>246</v>
      </c>
      <c r="B1937" s="96" t="s">
        <v>2515</v>
      </c>
    </row>
    <row r="1938" ht="12.75" customHeight="1">
      <c r="A1938" s="95" t="s">
        <v>246</v>
      </c>
      <c r="B1938" s="96" t="s">
        <v>2516</v>
      </c>
    </row>
    <row r="1939" ht="12.75" customHeight="1">
      <c r="A1939" s="95" t="s">
        <v>246</v>
      </c>
      <c r="B1939" s="96" t="s">
        <v>2517</v>
      </c>
    </row>
    <row r="1940" ht="12.75" customHeight="1">
      <c r="A1940" s="95" t="s">
        <v>246</v>
      </c>
      <c r="B1940" s="96" t="s">
        <v>2518</v>
      </c>
    </row>
    <row r="1941" ht="12.75" customHeight="1">
      <c r="A1941" s="95" t="s">
        <v>246</v>
      </c>
      <c r="B1941" s="96" t="s">
        <v>2519</v>
      </c>
    </row>
    <row r="1942" ht="12.75" customHeight="1">
      <c r="A1942" s="95" t="s">
        <v>246</v>
      </c>
      <c r="B1942" s="96" t="s">
        <v>2520</v>
      </c>
    </row>
    <row r="1943" ht="12.75" customHeight="1">
      <c r="A1943" s="95" t="s">
        <v>246</v>
      </c>
      <c r="B1943" s="96" t="s">
        <v>2521</v>
      </c>
    </row>
    <row r="1944" ht="12.75" customHeight="1">
      <c r="A1944" s="95" t="s">
        <v>246</v>
      </c>
      <c r="B1944" s="96" t="s">
        <v>2522</v>
      </c>
    </row>
    <row r="1945" ht="12.75" customHeight="1">
      <c r="A1945" s="95" t="s">
        <v>246</v>
      </c>
      <c r="B1945" s="96" t="s">
        <v>2523</v>
      </c>
    </row>
    <row r="1946" ht="12.75" customHeight="1">
      <c r="A1946" s="95" t="s">
        <v>246</v>
      </c>
      <c r="B1946" s="96" t="s">
        <v>2524</v>
      </c>
    </row>
    <row r="1947" ht="12.75" customHeight="1">
      <c r="A1947" s="95" t="s">
        <v>246</v>
      </c>
      <c r="B1947" s="96" t="s">
        <v>2525</v>
      </c>
    </row>
    <row r="1948" ht="12.75" customHeight="1">
      <c r="A1948" s="95" t="s">
        <v>246</v>
      </c>
      <c r="B1948" s="96" t="s">
        <v>2578</v>
      </c>
    </row>
    <row r="1949" ht="12.75" customHeight="1">
      <c r="A1949" s="95" t="s">
        <v>246</v>
      </c>
      <c r="B1949" s="96" t="s">
        <v>2579</v>
      </c>
    </row>
    <row r="1950" ht="12.75" customHeight="1">
      <c r="A1950" s="95" t="s">
        <v>246</v>
      </c>
      <c r="B1950" s="96" t="s">
        <v>2580</v>
      </c>
    </row>
    <row r="1951" ht="12.75" customHeight="1">
      <c r="A1951" s="95" t="s">
        <v>246</v>
      </c>
      <c r="B1951" s="96" t="s">
        <v>2581</v>
      </c>
    </row>
    <row r="1952" ht="12.75" customHeight="1">
      <c r="A1952" s="95" t="s">
        <v>246</v>
      </c>
      <c r="B1952" s="96" t="s">
        <v>2582</v>
      </c>
    </row>
    <row r="1953" ht="12.75" customHeight="1">
      <c r="A1953" s="95" t="s">
        <v>246</v>
      </c>
      <c r="B1953" s="96" t="s">
        <v>2583</v>
      </c>
    </row>
    <row r="1954" ht="12.75" customHeight="1">
      <c r="A1954" s="95" t="s">
        <v>246</v>
      </c>
      <c r="B1954" s="96" t="s">
        <v>2584</v>
      </c>
    </row>
    <row r="1955" ht="12.75" customHeight="1">
      <c r="A1955" s="95" t="s">
        <v>246</v>
      </c>
      <c r="B1955" s="96" t="s">
        <v>2585</v>
      </c>
    </row>
    <row r="1956" ht="12.75" customHeight="1">
      <c r="A1956" s="95" t="s">
        <v>246</v>
      </c>
      <c r="B1956" s="96" t="s">
        <v>2586</v>
      </c>
    </row>
    <row r="1957" ht="12.75" customHeight="1">
      <c r="A1957" s="95" t="s">
        <v>246</v>
      </c>
      <c r="B1957" s="96" t="s">
        <v>2587</v>
      </c>
    </row>
    <row r="1958" ht="12.75" customHeight="1">
      <c r="A1958" s="95" t="s">
        <v>246</v>
      </c>
      <c r="B1958" s="96" t="s">
        <v>2588</v>
      </c>
    </row>
    <row r="1959" ht="12.75" customHeight="1">
      <c r="A1959" s="95" t="s">
        <v>246</v>
      </c>
      <c r="B1959" s="96" t="s">
        <v>2589</v>
      </c>
    </row>
    <row r="1960" ht="12.75" customHeight="1">
      <c r="A1960" s="95" t="s">
        <v>246</v>
      </c>
      <c r="B1960" s="96" t="s">
        <v>2590</v>
      </c>
    </row>
    <row r="1961" ht="12.75" customHeight="1">
      <c r="A1961" s="95" t="s">
        <v>246</v>
      </c>
      <c r="B1961" s="96" t="s">
        <v>2591</v>
      </c>
    </row>
    <row r="1962" ht="12.75" customHeight="1">
      <c r="A1962" s="95" t="s">
        <v>246</v>
      </c>
      <c r="B1962" s="96" t="s">
        <v>2592</v>
      </c>
    </row>
    <row r="1963" ht="12.75" customHeight="1">
      <c r="A1963" s="95" t="s">
        <v>246</v>
      </c>
      <c r="B1963" s="96" t="s">
        <v>2593</v>
      </c>
    </row>
    <row r="1964" ht="12.75" customHeight="1">
      <c r="A1964" s="95" t="s">
        <v>246</v>
      </c>
      <c r="B1964" s="96" t="s">
        <v>2594</v>
      </c>
    </row>
    <row r="1965" ht="12.75" customHeight="1">
      <c r="A1965" s="95" t="s">
        <v>246</v>
      </c>
      <c r="B1965" s="96" t="s">
        <v>2595</v>
      </c>
    </row>
    <row r="1966" ht="12.75" customHeight="1">
      <c r="A1966" s="95" t="s">
        <v>246</v>
      </c>
      <c r="B1966" s="96" t="s">
        <v>2596</v>
      </c>
    </row>
    <row r="1967" ht="12.75" customHeight="1">
      <c r="A1967" s="95" t="s">
        <v>246</v>
      </c>
      <c r="B1967" s="96" t="s">
        <v>2597</v>
      </c>
    </row>
    <row r="1968" ht="12.75" customHeight="1">
      <c r="A1968" s="95" t="s">
        <v>246</v>
      </c>
      <c r="B1968" s="96" t="s">
        <v>2598</v>
      </c>
    </row>
    <row r="1969" ht="12.75" customHeight="1">
      <c r="A1969" s="95" t="s">
        <v>246</v>
      </c>
      <c r="B1969" s="96" t="s">
        <v>2599</v>
      </c>
    </row>
    <row r="1970" ht="12.75" customHeight="1">
      <c r="A1970" s="95" t="s">
        <v>251</v>
      </c>
      <c r="B1970" s="96" t="s">
        <v>3169</v>
      </c>
    </row>
    <row r="1971" ht="12.75" customHeight="1">
      <c r="A1971" s="95" t="s">
        <v>251</v>
      </c>
      <c r="B1971" s="96" t="s">
        <v>2454</v>
      </c>
    </row>
    <row r="1972" ht="12.75" customHeight="1">
      <c r="A1972" s="95" t="s">
        <v>251</v>
      </c>
      <c r="B1972" s="96" t="s">
        <v>2455</v>
      </c>
    </row>
    <row r="1973" ht="12.75" customHeight="1">
      <c r="A1973" s="95" t="s">
        <v>251</v>
      </c>
      <c r="B1973" s="96" t="s">
        <v>2456</v>
      </c>
    </row>
    <row r="1974" ht="12.75" customHeight="1">
      <c r="A1974" s="95" t="s">
        <v>251</v>
      </c>
      <c r="B1974" s="96" t="s">
        <v>2457</v>
      </c>
    </row>
    <row r="1975" ht="12.75" customHeight="1">
      <c r="A1975" s="95" t="s">
        <v>251</v>
      </c>
      <c r="B1975" s="96" t="s">
        <v>2458</v>
      </c>
    </row>
    <row r="1976" ht="12.75" customHeight="1">
      <c r="A1976" s="95" t="s">
        <v>251</v>
      </c>
      <c r="B1976" s="96" t="s">
        <v>2459</v>
      </c>
    </row>
    <row r="1977" ht="12.75" customHeight="1">
      <c r="A1977" s="95" t="s">
        <v>251</v>
      </c>
      <c r="B1977" s="96" t="s">
        <v>2460</v>
      </c>
    </row>
    <row r="1978" ht="12.75" customHeight="1">
      <c r="A1978" s="95" t="s">
        <v>251</v>
      </c>
      <c r="B1978" s="96" t="s">
        <v>2461</v>
      </c>
    </row>
    <row r="1979" ht="12.75" customHeight="1">
      <c r="A1979" s="95" t="s">
        <v>251</v>
      </c>
      <c r="B1979" s="96" t="s">
        <v>2462</v>
      </c>
    </row>
    <row r="1980" ht="12.75" customHeight="1">
      <c r="A1980" s="95" t="s">
        <v>251</v>
      </c>
      <c r="B1980" s="96" t="s">
        <v>2463</v>
      </c>
    </row>
    <row r="1981" ht="12.75" customHeight="1">
      <c r="A1981" s="95" t="s">
        <v>251</v>
      </c>
      <c r="B1981" s="96" t="s">
        <v>2464</v>
      </c>
    </row>
    <row r="1982" ht="12.75" customHeight="1">
      <c r="A1982" s="95" t="s">
        <v>251</v>
      </c>
      <c r="B1982" s="96" t="s">
        <v>2465</v>
      </c>
    </row>
    <row r="1983" ht="12.75" customHeight="1">
      <c r="A1983" s="95" t="s">
        <v>251</v>
      </c>
      <c r="B1983" s="96" t="s">
        <v>2466</v>
      </c>
    </row>
    <row r="1984" ht="12.75" customHeight="1">
      <c r="A1984" s="95" t="s">
        <v>251</v>
      </c>
      <c r="B1984" s="96" t="s">
        <v>2506</v>
      </c>
    </row>
    <row r="1985" ht="12.75" customHeight="1">
      <c r="A1985" s="95" t="s">
        <v>251</v>
      </c>
      <c r="B1985" s="96" t="s">
        <v>2507</v>
      </c>
    </row>
    <row r="1986" ht="12.75" customHeight="1">
      <c r="A1986" s="95" t="s">
        <v>251</v>
      </c>
      <c r="B1986" s="96" t="s">
        <v>2508</v>
      </c>
    </row>
    <row r="1987" ht="12.75" customHeight="1">
      <c r="A1987" s="95" t="s">
        <v>251</v>
      </c>
      <c r="B1987" s="96" t="s">
        <v>2509</v>
      </c>
    </row>
    <row r="1988" ht="12.75" customHeight="1">
      <c r="A1988" s="95" t="s">
        <v>251</v>
      </c>
      <c r="B1988" s="96" t="s">
        <v>2510</v>
      </c>
    </row>
    <row r="1989" ht="12.75" customHeight="1">
      <c r="A1989" s="95" t="s">
        <v>251</v>
      </c>
      <c r="B1989" s="96" t="s">
        <v>2511</v>
      </c>
    </row>
    <row r="1990" ht="12.75" customHeight="1">
      <c r="A1990" s="95" t="s">
        <v>251</v>
      </c>
      <c r="B1990" s="96" t="s">
        <v>2512</v>
      </c>
    </row>
    <row r="1991" ht="12.75" customHeight="1">
      <c r="A1991" s="95" t="s">
        <v>251</v>
      </c>
      <c r="B1991" s="96" t="s">
        <v>2513</v>
      </c>
    </row>
    <row r="1992" ht="12.75" customHeight="1">
      <c r="A1992" s="95" t="s">
        <v>251</v>
      </c>
      <c r="B1992" s="96" t="s">
        <v>2514</v>
      </c>
    </row>
    <row r="1993" ht="12.75" customHeight="1">
      <c r="A1993" s="95" t="s">
        <v>251</v>
      </c>
      <c r="B1993" s="96" t="s">
        <v>2515</v>
      </c>
    </row>
    <row r="1994" ht="12.75" customHeight="1">
      <c r="A1994" s="95" t="s">
        <v>251</v>
      </c>
      <c r="B1994" s="96" t="s">
        <v>2516</v>
      </c>
    </row>
    <row r="1995" ht="12.75" customHeight="1">
      <c r="A1995" s="95" t="s">
        <v>251</v>
      </c>
      <c r="B1995" s="96" t="s">
        <v>2517</v>
      </c>
    </row>
    <row r="1996" ht="12.75" customHeight="1">
      <c r="A1996" s="95" t="s">
        <v>251</v>
      </c>
      <c r="B1996" s="96" t="s">
        <v>2518</v>
      </c>
    </row>
    <row r="1997" ht="12.75" customHeight="1">
      <c r="A1997" s="95" t="s">
        <v>251</v>
      </c>
      <c r="B1997" s="96" t="s">
        <v>2519</v>
      </c>
    </row>
    <row r="1998" ht="12.75" customHeight="1">
      <c r="A1998" s="95" t="s">
        <v>251</v>
      </c>
      <c r="B1998" s="96" t="s">
        <v>2520</v>
      </c>
    </row>
    <row r="1999" ht="12.75" customHeight="1">
      <c r="A1999" s="95" t="s">
        <v>251</v>
      </c>
      <c r="B1999" s="96" t="s">
        <v>2521</v>
      </c>
    </row>
    <row r="2000" ht="12.75" customHeight="1">
      <c r="A2000" s="95" t="s">
        <v>251</v>
      </c>
      <c r="B2000" s="96" t="s">
        <v>2522</v>
      </c>
    </row>
    <row r="2001" ht="12.75" customHeight="1">
      <c r="A2001" s="95" t="s">
        <v>251</v>
      </c>
      <c r="B2001" s="96" t="s">
        <v>2523</v>
      </c>
    </row>
    <row r="2002" ht="12.75" customHeight="1">
      <c r="A2002" s="95" t="s">
        <v>251</v>
      </c>
      <c r="B2002" s="96" t="s">
        <v>2524</v>
      </c>
    </row>
    <row r="2003" ht="12.75" customHeight="1">
      <c r="A2003" s="95" t="s">
        <v>251</v>
      </c>
      <c r="B2003" s="96" t="s">
        <v>2525</v>
      </c>
    </row>
    <row r="2004" ht="12.75" customHeight="1">
      <c r="A2004" s="95" t="s">
        <v>251</v>
      </c>
      <c r="B2004" s="96" t="s">
        <v>2578</v>
      </c>
    </row>
    <row r="2005" ht="12.75" customHeight="1">
      <c r="A2005" s="95" t="s">
        <v>251</v>
      </c>
      <c r="B2005" s="96" t="s">
        <v>2579</v>
      </c>
    </row>
    <row r="2006" ht="12.75" customHeight="1">
      <c r="A2006" s="95" t="s">
        <v>251</v>
      </c>
      <c r="B2006" s="96" t="s">
        <v>2580</v>
      </c>
    </row>
    <row r="2007" ht="12.75" customHeight="1">
      <c r="A2007" s="95" t="s">
        <v>251</v>
      </c>
      <c r="B2007" s="96" t="s">
        <v>2581</v>
      </c>
    </row>
    <row r="2008" ht="12.75" customHeight="1">
      <c r="A2008" s="95" t="s">
        <v>251</v>
      </c>
      <c r="B2008" s="96" t="s">
        <v>2582</v>
      </c>
    </row>
    <row r="2009" ht="12.75" customHeight="1">
      <c r="A2009" s="95" t="s">
        <v>251</v>
      </c>
      <c r="B2009" s="96" t="s">
        <v>2583</v>
      </c>
    </row>
    <row r="2010" ht="12.75" customHeight="1">
      <c r="A2010" s="95" t="s">
        <v>251</v>
      </c>
      <c r="B2010" s="96" t="s">
        <v>2584</v>
      </c>
    </row>
    <row r="2011" ht="12.75" customHeight="1">
      <c r="A2011" s="95" t="s">
        <v>251</v>
      </c>
      <c r="B2011" s="96" t="s">
        <v>2585</v>
      </c>
    </row>
    <row r="2012" ht="12.75" customHeight="1">
      <c r="A2012" s="95" t="s">
        <v>251</v>
      </c>
      <c r="B2012" s="96" t="s">
        <v>2586</v>
      </c>
    </row>
    <row r="2013" ht="12.75" customHeight="1">
      <c r="A2013" s="95" t="s">
        <v>251</v>
      </c>
      <c r="B2013" s="96" t="s">
        <v>2587</v>
      </c>
    </row>
    <row r="2014" ht="12.75" customHeight="1">
      <c r="A2014" s="95" t="s">
        <v>251</v>
      </c>
      <c r="B2014" s="96" t="s">
        <v>2588</v>
      </c>
    </row>
    <row r="2015" ht="12.75" customHeight="1">
      <c r="A2015" s="95" t="s">
        <v>251</v>
      </c>
      <c r="B2015" s="96" t="s">
        <v>2589</v>
      </c>
    </row>
    <row r="2016" ht="12.75" customHeight="1">
      <c r="A2016" s="95" t="s">
        <v>251</v>
      </c>
      <c r="B2016" s="96" t="s">
        <v>2590</v>
      </c>
    </row>
    <row r="2017" ht="12.75" customHeight="1">
      <c r="A2017" s="95" t="s">
        <v>251</v>
      </c>
      <c r="B2017" s="96" t="s">
        <v>2591</v>
      </c>
    </row>
    <row r="2018" ht="12.75" customHeight="1">
      <c r="A2018" s="95" t="s">
        <v>251</v>
      </c>
      <c r="B2018" s="96" t="s">
        <v>2592</v>
      </c>
    </row>
    <row r="2019" ht="12.75" customHeight="1">
      <c r="A2019" s="95" t="s">
        <v>251</v>
      </c>
      <c r="B2019" s="96" t="s">
        <v>2593</v>
      </c>
    </row>
    <row r="2020" ht="12.75" customHeight="1">
      <c r="A2020" s="95" t="s">
        <v>251</v>
      </c>
      <c r="B2020" s="96" t="s">
        <v>2594</v>
      </c>
    </row>
    <row r="2021" ht="12.75" customHeight="1">
      <c r="A2021" s="95" t="s">
        <v>251</v>
      </c>
      <c r="B2021" s="96" t="s">
        <v>2595</v>
      </c>
    </row>
    <row r="2022" ht="12.75" customHeight="1">
      <c r="A2022" s="95" t="s">
        <v>251</v>
      </c>
      <c r="B2022" s="96" t="s">
        <v>2596</v>
      </c>
    </row>
    <row r="2023" ht="12.75" customHeight="1">
      <c r="A2023" s="95" t="s">
        <v>251</v>
      </c>
      <c r="B2023" s="96" t="s">
        <v>2597</v>
      </c>
    </row>
    <row r="2024" ht="12.75" customHeight="1">
      <c r="A2024" s="95" t="s">
        <v>251</v>
      </c>
      <c r="B2024" s="96" t="s">
        <v>2598</v>
      </c>
    </row>
    <row r="2025" ht="12.75" customHeight="1">
      <c r="A2025" s="95" t="s">
        <v>251</v>
      </c>
      <c r="B2025" s="96" t="s">
        <v>2599</v>
      </c>
    </row>
    <row r="2026" ht="12.75" customHeight="1">
      <c r="A2026" s="95" t="s">
        <v>456</v>
      </c>
      <c r="B2026" s="96" t="s">
        <v>2452</v>
      </c>
    </row>
    <row r="2027" ht="12.75" customHeight="1">
      <c r="A2027" s="95" t="s">
        <v>456</v>
      </c>
      <c r="B2027" s="96" t="s">
        <v>2835</v>
      </c>
    </row>
    <row r="2028" ht="12.75" customHeight="1">
      <c r="A2028" s="95" t="s">
        <v>456</v>
      </c>
      <c r="B2028" s="96" t="s">
        <v>2839</v>
      </c>
    </row>
    <row r="2029" ht="12.75" customHeight="1">
      <c r="A2029" s="95" t="s">
        <v>294</v>
      </c>
      <c r="B2029" s="96" t="s">
        <v>2452</v>
      </c>
    </row>
    <row r="2030" ht="12.75" customHeight="1">
      <c r="A2030" s="95" t="s">
        <v>294</v>
      </c>
      <c r="B2030" s="96" t="s">
        <v>2835</v>
      </c>
    </row>
    <row r="2031" ht="12.75" customHeight="1">
      <c r="A2031" s="95" t="s">
        <v>294</v>
      </c>
      <c r="B2031" s="96" t="s">
        <v>2839</v>
      </c>
    </row>
    <row r="2032" ht="12.75" customHeight="1">
      <c r="A2032" s="95" t="s">
        <v>749</v>
      </c>
      <c r="B2032" s="96" t="s">
        <v>2452</v>
      </c>
    </row>
    <row r="2033" ht="12.75" customHeight="1">
      <c r="A2033" s="95" t="s">
        <v>749</v>
      </c>
      <c r="B2033" s="96" t="s">
        <v>2835</v>
      </c>
    </row>
    <row r="2034" ht="12.75" customHeight="1">
      <c r="A2034" s="95" t="s">
        <v>749</v>
      </c>
      <c r="B2034" s="96" t="s">
        <v>2839</v>
      </c>
    </row>
    <row r="2035" ht="12.75" customHeight="1">
      <c r="A2035" s="95" t="s">
        <v>462</v>
      </c>
      <c r="B2035" s="96" t="s">
        <v>2452</v>
      </c>
    </row>
    <row r="2036" ht="12.75" customHeight="1">
      <c r="A2036" s="95" t="s">
        <v>462</v>
      </c>
      <c r="B2036" s="96" t="s">
        <v>2835</v>
      </c>
    </row>
    <row r="2037" ht="12.75" customHeight="1">
      <c r="A2037" s="95" t="s">
        <v>462</v>
      </c>
      <c r="B2037" s="96" t="s">
        <v>2839</v>
      </c>
    </row>
    <row r="2038" ht="12.75" customHeight="1">
      <c r="A2038" s="95" t="s">
        <v>463</v>
      </c>
      <c r="B2038" s="96" t="s">
        <v>2452</v>
      </c>
    </row>
    <row r="2039" ht="12.75" customHeight="1">
      <c r="A2039" s="95" t="s">
        <v>463</v>
      </c>
      <c r="B2039" s="96" t="s">
        <v>2835</v>
      </c>
    </row>
    <row r="2040" ht="12.75" customHeight="1">
      <c r="A2040" s="95" t="s">
        <v>463</v>
      </c>
      <c r="B2040" s="96" t="s">
        <v>2839</v>
      </c>
    </row>
    <row r="2041" ht="12.75" customHeight="1">
      <c r="A2041" s="95" t="s">
        <v>473</v>
      </c>
      <c r="B2041" s="96" t="s">
        <v>745</v>
      </c>
    </row>
    <row r="2042" ht="12.75" customHeight="1">
      <c r="A2042" s="95" t="s">
        <v>486</v>
      </c>
      <c r="B2042" s="96" t="s">
        <v>745</v>
      </c>
    </row>
    <row r="2043" ht="12.75" customHeight="1">
      <c r="A2043" s="95" t="s">
        <v>497</v>
      </c>
      <c r="B2043" s="96" t="s">
        <v>745</v>
      </c>
    </row>
    <row r="2044" ht="12.75" customHeight="1">
      <c r="A2044" s="95" t="s">
        <v>508</v>
      </c>
      <c r="B2044" s="96" t="s">
        <v>745</v>
      </c>
    </row>
    <row r="2045" ht="12.75" customHeight="1">
      <c r="A2045" s="95" t="s">
        <v>508</v>
      </c>
      <c r="B2045" s="96" t="s">
        <v>2843</v>
      </c>
    </row>
    <row r="2046" ht="12.75" customHeight="1">
      <c r="A2046" s="95" t="s">
        <v>508</v>
      </c>
      <c r="B2046" s="96" t="s">
        <v>2844</v>
      </c>
    </row>
    <row r="2047" ht="12.75" customHeight="1">
      <c r="A2047" s="95" t="s">
        <v>508</v>
      </c>
      <c r="B2047" s="96" t="s">
        <v>2845</v>
      </c>
    </row>
    <row r="2048" ht="12.75" customHeight="1">
      <c r="A2048" s="95" t="s">
        <v>508</v>
      </c>
      <c r="B2048" s="96" t="s">
        <v>2846</v>
      </c>
    </row>
    <row r="2049" ht="12.75" customHeight="1">
      <c r="A2049" s="95" t="s">
        <v>508</v>
      </c>
      <c r="B2049" s="96" t="s">
        <v>2847</v>
      </c>
    </row>
    <row r="2050" ht="12.75" customHeight="1">
      <c r="A2050" s="95" t="s">
        <v>508</v>
      </c>
      <c r="B2050" s="96" t="s">
        <v>2848</v>
      </c>
    </row>
    <row r="2051" ht="12.75" customHeight="1">
      <c r="A2051" s="95" t="s">
        <v>516</v>
      </c>
      <c r="B2051" s="96" t="s">
        <v>745</v>
      </c>
    </row>
    <row r="2052" ht="12.75" customHeight="1">
      <c r="A2052" s="95" t="s">
        <v>523</v>
      </c>
      <c r="B2052" s="96" t="s">
        <v>745</v>
      </c>
    </row>
    <row r="2053" ht="12.75" customHeight="1">
      <c r="A2053" s="95" t="s">
        <v>533</v>
      </c>
      <c r="B2053" s="96" t="s">
        <v>745</v>
      </c>
    </row>
    <row r="2054" ht="12.75" customHeight="1">
      <c r="A2054" s="95" t="s">
        <v>538</v>
      </c>
      <c r="B2054" s="96" t="s">
        <v>745</v>
      </c>
    </row>
    <row r="2055" ht="12.75" customHeight="1">
      <c r="A2055" s="95" t="s">
        <v>546</v>
      </c>
      <c r="B2055" s="96" t="s">
        <v>745</v>
      </c>
    </row>
    <row r="2056" ht="12.75" customHeight="1">
      <c r="A2056" s="95" t="s">
        <v>557</v>
      </c>
      <c r="B2056" s="96" t="s">
        <v>745</v>
      </c>
    </row>
    <row r="2057" ht="12.75" customHeight="1">
      <c r="A2057" s="95" t="s">
        <v>566</v>
      </c>
      <c r="B2057" s="96" t="s">
        <v>745</v>
      </c>
    </row>
    <row r="2058" ht="12.75" customHeight="1">
      <c r="A2058" s="95" t="s">
        <v>575</v>
      </c>
      <c r="B2058" s="96" t="s">
        <v>745</v>
      </c>
    </row>
    <row r="2059" ht="12.75" customHeight="1">
      <c r="A2059" s="95" t="s">
        <v>582</v>
      </c>
      <c r="B2059" s="96" t="s">
        <v>745</v>
      </c>
    </row>
    <row r="2060" ht="12.75" customHeight="1">
      <c r="A2060" s="95" t="s">
        <v>749</v>
      </c>
      <c r="B2060" s="96" t="s">
        <v>745</v>
      </c>
    </row>
    <row r="2061" ht="12.75" customHeight="1">
      <c r="A2061" s="95" t="s">
        <v>591</v>
      </c>
      <c r="B2061" s="96" t="s">
        <v>745</v>
      </c>
    </row>
    <row r="2062" ht="12.75" customHeight="1">
      <c r="A2062" s="95" t="s">
        <v>598</v>
      </c>
      <c r="B2062" s="96" t="s">
        <v>745</v>
      </c>
    </row>
    <row r="2063" ht="12.75" customHeight="1">
      <c r="A2063" s="95" t="s">
        <v>602</v>
      </c>
      <c r="B2063" s="96" t="s">
        <v>745</v>
      </c>
    </row>
    <row r="2064" ht="12.75" customHeight="1">
      <c r="A2064" s="95" t="s">
        <v>606</v>
      </c>
      <c r="B2064" s="96" t="s">
        <v>745</v>
      </c>
    </row>
    <row r="2065" ht="12.75" customHeight="1">
      <c r="A2065" s="95" t="s">
        <v>610</v>
      </c>
      <c r="B2065" s="96" t="s">
        <v>745</v>
      </c>
    </row>
    <row r="2066" ht="12.75" customHeight="1">
      <c r="A2066" s="95" t="s">
        <v>614</v>
      </c>
      <c r="B2066" s="96" t="s">
        <v>745</v>
      </c>
    </row>
    <row r="2067" ht="12.75" customHeight="1">
      <c r="A2067" s="95" t="s">
        <v>749</v>
      </c>
      <c r="B2067" s="96" t="s">
        <v>745</v>
      </c>
    </row>
    <row r="2068" ht="12.75" customHeight="1">
      <c r="A2068" s="95" t="s">
        <v>2867</v>
      </c>
      <c r="B2068" s="96">
        <v>0.0</v>
      </c>
    </row>
    <row r="2069" ht="12.75" customHeight="1">
      <c r="A2069" s="95" t="s">
        <v>2867</v>
      </c>
      <c r="B2069" s="96">
        <v>0.0</v>
      </c>
    </row>
    <row r="2070" ht="12.75" customHeight="1">
      <c r="A2070" s="95" t="s">
        <v>2867</v>
      </c>
      <c r="B2070" s="96">
        <v>2.0</v>
      </c>
    </row>
    <row r="2071" ht="12.75" customHeight="1">
      <c r="A2071" s="95" t="s">
        <v>2867</v>
      </c>
      <c r="B2071" s="96">
        <v>4.0</v>
      </c>
    </row>
    <row r="2072" ht="12.75" customHeight="1">
      <c r="A2072" s="95" t="s">
        <v>2867</v>
      </c>
      <c r="B2072" s="96">
        <v>6.0</v>
      </c>
    </row>
    <row r="2073" ht="12.75" customHeight="1">
      <c r="A2073" s="95" t="s">
        <v>2867</v>
      </c>
      <c r="B2073" s="96">
        <v>8.0</v>
      </c>
    </row>
    <row r="2074" ht="12.75" customHeight="1">
      <c r="A2074" s="95" t="s">
        <v>2867</v>
      </c>
      <c r="B2074" s="96">
        <v>10.0</v>
      </c>
    </row>
    <row r="2075" ht="12.75" customHeight="1">
      <c r="A2075" s="95" t="s">
        <v>2867</v>
      </c>
      <c r="B2075" s="96">
        <v>12.0</v>
      </c>
    </row>
    <row r="2076" ht="12.75" customHeight="1">
      <c r="A2076" s="95" t="s">
        <v>2867</v>
      </c>
      <c r="B2076" s="96" t="s">
        <v>803</v>
      </c>
    </row>
    <row r="2077" ht="12.75" customHeight="1">
      <c r="A2077" s="95" t="s">
        <v>2867</v>
      </c>
      <c r="B2077" s="96" t="s">
        <v>804</v>
      </c>
    </row>
    <row r="2078" ht="12.75" customHeight="1">
      <c r="A2078" s="95" t="s">
        <v>2867</v>
      </c>
      <c r="B2078" s="96" t="s">
        <v>76</v>
      </c>
    </row>
    <row r="2079" ht="12.75" customHeight="1">
      <c r="A2079" s="95" t="s">
        <v>2867</v>
      </c>
      <c r="B2079" s="96" t="s">
        <v>80</v>
      </c>
    </row>
    <row r="2080" ht="12.75" customHeight="1">
      <c r="A2080" s="95" t="s">
        <v>2867</v>
      </c>
      <c r="B2080" s="96" t="s">
        <v>83</v>
      </c>
    </row>
    <row r="2081" ht="12.75" customHeight="1">
      <c r="A2081" s="95" t="s">
        <v>2867</v>
      </c>
      <c r="B2081" s="96" t="s">
        <v>85</v>
      </c>
    </row>
    <row r="2082" ht="12.75" customHeight="1">
      <c r="A2082" s="95" t="s">
        <v>2867</v>
      </c>
      <c r="B2082" s="96">
        <v>14.0</v>
      </c>
    </row>
    <row r="2083" ht="12.75" customHeight="1">
      <c r="A2083" s="95" t="s">
        <v>2867</v>
      </c>
      <c r="B2083" s="96" t="s">
        <v>835</v>
      </c>
    </row>
    <row r="2084" ht="12.75" customHeight="1">
      <c r="A2084" s="95" t="s">
        <v>2867</v>
      </c>
      <c r="B2084" s="96">
        <v>16.0</v>
      </c>
    </row>
    <row r="2085" ht="12.75" customHeight="1">
      <c r="A2085" s="95" t="s">
        <v>2867</v>
      </c>
      <c r="B2085" s="96" t="s">
        <v>836</v>
      </c>
    </row>
    <row r="2086" ht="12.75" customHeight="1">
      <c r="A2086" s="95" t="s">
        <v>2867</v>
      </c>
      <c r="B2086" s="96">
        <v>18.0</v>
      </c>
    </row>
    <row r="2087" ht="12.75" customHeight="1">
      <c r="A2087" s="95" t="s">
        <v>2867</v>
      </c>
      <c r="B2087" s="96" t="s">
        <v>837</v>
      </c>
    </row>
    <row r="2088" ht="12.75" customHeight="1">
      <c r="A2088" s="95" t="s">
        <v>2867</v>
      </c>
      <c r="B2088" s="96">
        <v>20.0</v>
      </c>
    </row>
    <row r="2089" ht="12.75" customHeight="1">
      <c r="A2089" s="95" t="s">
        <v>2867</v>
      </c>
      <c r="B2089" s="96" t="s">
        <v>838</v>
      </c>
    </row>
    <row r="2090" ht="12.75" customHeight="1">
      <c r="A2090" s="95" t="s">
        <v>2867</v>
      </c>
      <c r="B2090" s="96">
        <v>22.0</v>
      </c>
    </row>
    <row r="2091" ht="12.75" customHeight="1">
      <c r="A2091" s="95" t="s">
        <v>2867</v>
      </c>
      <c r="B2091" s="96" t="s">
        <v>839</v>
      </c>
    </row>
    <row r="2092" ht="12.75" customHeight="1">
      <c r="A2092" s="95" t="s">
        <v>2867</v>
      </c>
      <c r="B2092" s="96">
        <v>24.0</v>
      </c>
    </row>
    <row r="2093" ht="12.75" customHeight="1">
      <c r="A2093" s="95" t="s">
        <v>2867</v>
      </c>
      <c r="B2093" s="96" t="s">
        <v>840</v>
      </c>
    </row>
    <row r="2094" ht="12.75" customHeight="1">
      <c r="A2094" s="95" t="s">
        <v>2867</v>
      </c>
      <c r="B2094" s="96">
        <v>26.0</v>
      </c>
    </row>
    <row r="2095" ht="12.75" customHeight="1">
      <c r="A2095" s="95" t="s">
        <v>2867</v>
      </c>
      <c r="B2095" s="96" t="s">
        <v>841</v>
      </c>
    </row>
    <row r="2096" ht="12.75" customHeight="1">
      <c r="A2096" s="95" t="s">
        <v>2867</v>
      </c>
      <c r="B2096" s="96">
        <v>28.0</v>
      </c>
    </row>
    <row r="2097" ht="12.75" customHeight="1">
      <c r="A2097" s="95" t="s">
        <v>2867</v>
      </c>
      <c r="B2097" s="96" t="s">
        <v>842</v>
      </c>
    </row>
    <row r="2098" ht="12.75" customHeight="1">
      <c r="A2098" s="95" t="s">
        <v>2867</v>
      </c>
      <c r="B2098" s="96">
        <v>30.0</v>
      </c>
    </row>
    <row r="2099" ht="12.75" customHeight="1">
      <c r="A2099" s="95" t="s">
        <v>2867</v>
      </c>
      <c r="B2099" s="96" t="s">
        <v>843</v>
      </c>
    </row>
    <row r="2100" ht="12.75" customHeight="1">
      <c r="A2100" s="95" t="s">
        <v>2867</v>
      </c>
      <c r="B2100" s="96">
        <v>32.0</v>
      </c>
    </row>
    <row r="2101" ht="12.75" customHeight="1">
      <c r="A2101" s="95" t="s">
        <v>2867</v>
      </c>
      <c r="B2101" s="96" t="s">
        <v>844</v>
      </c>
    </row>
    <row r="2102" ht="12.75" customHeight="1">
      <c r="A2102" s="95" t="s">
        <v>2867</v>
      </c>
      <c r="B2102" s="96" t="s">
        <v>845</v>
      </c>
    </row>
    <row r="2103" ht="12.75" customHeight="1">
      <c r="A2103" s="95" t="s">
        <v>2867</v>
      </c>
      <c r="B2103" s="96" t="s">
        <v>846</v>
      </c>
    </row>
    <row r="2104" ht="12.75" customHeight="1">
      <c r="A2104" s="95" t="s">
        <v>2867</v>
      </c>
      <c r="B2104" s="96" t="s">
        <v>847</v>
      </c>
    </row>
    <row r="2105" ht="12.75" customHeight="1">
      <c r="A2105" s="95" t="s">
        <v>2867</v>
      </c>
      <c r="B2105" s="96" t="s">
        <v>848</v>
      </c>
    </row>
    <row r="2106" ht="12.75" customHeight="1">
      <c r="A2106" s="95" t="s">
        <v>2867</v>
      </c>
      <c r="B2106" s="96" t="s">
        <v>849</v>
      </c>
    </row>
    <row r="2107" ht="12.75" customHeight="1">
      <c r="A2107" s="95" t="s">
        <v>2867</v>
      </c>
      <c r="B2107" s="96" t="s">
        <v>850</v>
      </c>
    </row>
    <row r="2108" ht="12.75" customHeight="1">
      <c r="A2108" s="95" t="s">
        <v>2867</v>
      </c>
      <c r="B2108" s="96" t="s">
        <v>851</v>
      </c>
    </row>
    <row r="2109" ht="12.75" customHeight="1">
      <c r="A2109" s="95" t="s">
        <v>2867</v>
      </c>
      <c r="B2109" s="96" t="s">
        <v>852</v>
      </c>
    </row>
    <row r="2110" ht="12.75" customHeight="1">
      <c r="A2110" s="95" t="s">
        <v>2867</v>
      </c>
      <c r="B2110" s="96" t="s">
        <v>908</v>
      </c>
    </row>
    <row r="2111" ht="12.75" customHeight="1">
      <c r="A2111" s="95" t="s">
        <v>2867</v>
      </c>
      <c r="B2111" s="96" t="s">
        <v>909</v>
      </c>
    </row>
    <row r="2112" ht="12.75" customHeight="1">
      <c r="A2112" s="95" t="s">
        <v>2867</v>
      </c>
      <c r="B2112" s="96" t="s">
        <v>910</v>
      </c>
    </row>
    <row r="2113" ht="12.75" customHeight="1">
      <c r="A2113" s="95" t="s">
        <v>2867</v>
      </c>
      <c r="B2113" s="96" t="s">
        <v>911</v>
      </c>
    </row>
    <row r="2114" ht="12.75" customHeight="1">
      <c r="A2114" s="95" t="s">
        <v>2867</v>
      </c>
      <c r="B2114" s="96" t="s">
        <v>912</v>
      </c>
    </row>
    <row r="2115" ht="12.75" customHeight="1">
      <c r="A2115" s="95" t="s">
        <v>2867</v>
      </c>
      <c r="B2115" s="96" t="s">
        <v>913</v>
      </c>
    </row>
    <row r="2116" ht="12.75" customHeight="1">
      <c r="A2116" s="95" t="s">
        <v>2867</v>
      </c>
      <c r="B2116" s="96" t="s">
        <v>914</v>
      </c>
    </row>
    <row r="2117" ht="12.75" customHeight="1">
      <c r="A2117" s="95" t="s">
        <v>2867</v>
      </c>
      <c r="B2117" s="96" t="s">
        <v>915</v>
      </c>
    </row>
    <row r="2118" ht="12.75" customHeight="1">
      <c r="A2118" s="95" t="s">
        <v>2867</v>
      </c>
      <c r="B2118" s="96" t="s">
        <v>916</v>
      </c>
    </row>
    <row r="2119" ht="12.75" customHeight="1">
      <c r="A2119" s="95" t="s">
        <v>2867</v>
      </c>
      <c r="B2119" s="96" t="s">
        <v>917</v>
      </c>
    </row>
    <row r="2120" ht="12.75" customHeight="1">
      <c r="A2120" s="95" t="s">
        <v>2867</v>
      </c>
      <c r="B2120" s="96" t="s">
        <v>918</v>
      </c>
    </row>
    <row r="2121" ht="12.75" customHeight="1">
      <c r="A2121" s="95" t="s">
        <v>2867</v>
      </c>
      <c r="B2121" s="96" t="s">
        <v>919</v>
      </c>
    </row>
    <row r="2122" ht="12.75" customHeight="1">
      <c r="A2122" s="95" t="s">
        <v>2867</v>
      </c>
      <c r="B2122" s="96" t="s">
        <v>920</v>
      </c>
    </row>
    <row r="2123" ht="12.75" customHeight="1">
      <c r="A2123" s="95" t="s">
        <v>2867</v>
      </c>
      <c r="B2123" s="96" t="s">
        <v>921</v>
      </c>
    </row>
    <row r="2124" ht="12.75" customHeight="1">
      <c r="A2124" s="95" t="s">
        <v>2867</v>
      </c>
      <c r="B2124" s="96" t="s">
        <v>922</v>
      </c>
    </row>
    <row r="2125" ht="12.75" customHeight="1">
      <c r="A2125" s="95" t="s">
        <v>2867</v>
      </c>
      <c r="B2125" s="96" t="s">
        <v>923</v>
      </c>
    </row>
    <row r="2126" ht="12.75" customHeight="1">
      <c r="A2126" s="95" t="s">
        <v>2867</v>
      </c>
      <c r="B2126" s="96" t="s">
        <v>924</v>
      </c>
    </row>
    <row r="2127" ht="12.75" customHeight="1">
      <c r="A2127" s="95" t="s">
        <v>2867</v>
      </c>
      <c r="B2127" s="96" t="s">
        <v>925</v>
      </c>
    </row>
    <row r="2128" ht="12.75" customHeight="1">
      <c r="A2128" s="95" t="s">
        <v>2867</v>
      </c>
      <c r="B2128" s="96" t="s">
        <v>926</v>
      </c>
    </row>
    <row r="2129" ht="12.75" customHeight="1">
      <c r="A2129" s="95" t="s">
        <v>2867</v>
      </c>
      <c r="B2129" s="96" t="s">
        <v>984</v>
      </c>
    </row>
    <row r="2130" ht="12.75" customHeight="1">
      <c r="A2130" s="95" t="s">
        <v>2867</v>
      </c>
      <c r="B2130" s="96" t="s">
        <v>985</v>
      </c>
    </row>
    <row r="2131" ht="12.75" customHeight="1">
      <c r="A2131" s="95" t="s">
        <v>2867</v>
      </c>
      <c r="B2131" s="96" t="s">
        <v>986</v>
      </c>
    </row>
    <row r="2132" ht="12.75" customHeight="1">
      <c r="A2132" s="95" t="s">
        <v>2867</v>
      </c>
      <c r="B2132" s="96" t="s">
        <v>987</v>
      </c>
    </row>
    <row r="2133" ht="12.75" customHeight="1">
      <c r="A2133" s="95" t="s">
        <v>2867</v>
      </c>
      <c r="B2133" s="96" t="s">
        <v>988</v>
      </c>
    </row>
    <row r="2134" ht="12.75" customHeight="1">
      <c r="A2134" s="95" t="s">
        <v>2867</v>
      </c>
      <c r="B2134" s="96" t="s">
        <v>989</v>
      </c>
    </row>
    <row r="2135" ht="12.75" customHeight="1">
      <c r="A2135" s="95" t="s">
        <v>2867</v>
      </c>
      <c r="B2135" s="96" t="s">
        <v>990</v>
      </c>
    </row>
    <row r="2136" ht="12.75" customHeight="1">
      <c r="A2136" s="95" t="s">
        <v>2867</v>
      </c>
      <c r="B2136" s="96" t="s">
        <v>991</v>
      </c>
    </row>
    <row r="2137" ht="12.75" customHeight="1">
      <c r="A2137" s="95" t="s">
        <v>2867</v>
      </c>
      <c r="B2137" s="96" t="s">
        <v>992</v>
      </c>
    </row>
    <row r="2138" ht="12.75" customHeight="1">
      <c r="A2138" s="95" t="s">
        <v>2867</v>
      </c>
      <c r="B2138" s="96" t="s">
        <v>993</v>
      </c>
    </row>
    <row r="2139" ht="12.75" customHeight="1">
      <c r="A2139" s="95" t="s">
        <v>2867</v>
      </c>
      <c r="B2139" s="96" t="s">
        <v>994</v>
      </c>
    </row>
    <row r="2140" ht="12.75" customHeight="1">
      <c r="A2140" s="95" t="s">
        <v>2867</v>
      </c>
      <c r="B2140" s="96" t="s">
        <v>995</v>
      </c>
    </row>
    <row r="2141" ht="12.75" customHeight="1">
      <c r="A2141" s="95" t="s">
        <v>2867</v>
      </c>
      <c r="B2141" s="96" t="s">
        <v>996</v>
      </c>
    </row>
    <row r="2142" ht="12.75" customHeight="1">
      <c r="A2142" s="95" t="s">
        <v>2867</v>
      </c>
      <c r="B2142" s="96" t="s">
        <v>997</v>
      </c>
    </row>
    <row r="2143" ht="12.75" customHeight="1">
      <c r="A2143" s="95" t="s">
        <v>2867</v>
      </c>
      <c r="B2143" s="96" t="s">
        <v>998</v>
      </c>
    </row>
    <row r="2144" ht="12.75" customHeight="1">
      <c r="A2144" s="95" t="s">
        <v>2867</v>
      </c>
      <c r="B2144" s="96" t="s">
        <v>999</v>
      </c>
    </row>
    <row r="2145" ht="12.75" customHeight="1">
      <c r="A2145" s="95" t="s">
        <v>2867</v>
      </c>
      <c r="B2145" s="96" t="s">
        <v>1000</v>
      </c>
    </row>
    <row r="2146" ht="12.75" customHeight="1">
      <c r="A2146" s="95" t="s">
        <v>2867</v>
      </c>
      <c r="B2146" s="96" t="s">
        <v>1001</v>
      </c>
    </row>
    <row r="2147" ht="12.75" customHeight="1">
      <c r="A2147" s="95" t="s">
        <v>2867</v>
      </c>
      <c r="B2147" s="96" t="s">
        <v>1054</v>
      </c>
    </row>
    <row r="2148" ht="12.75" customHeight="1">
      <c r="A2148" s="95" t="s">
        <v>2867</v>
      </c>
      <c r="B2148" s="96" t="s">
        <v>1055</v>
      </c>
    </row>
    <row r="2149" ht="12.75" customHeight="1">
      <c r="A2149" s="95" t="s">
        <v>2867</v>
      </c>
      <c r="B2149" s="96" t="s">
        <v>1056</v>
      </c>
    </row>
    <row r="2150" ht="12.75" customHeight="1">
      <c r="A2150" s="95" t="s">
        <v>2867</v>
      </c>
      <c r="B2150" s="96" t="s">
        <v>1057</v>
      </c>
    </row>
    <row r="2151" ht="12.75" customHeight="1">
      <c r="A2151" s="95" t="s">
        <v>2867</v>
      </c>
      <c r="B2151" s="96" t="s">
        <v>1058</v>
      </c>
    </row>
    <row r="2152" ht="12.75" customHeight="1">
      <c r="A2152" s="95" t="s">
        <v>2867</v>
      </c>
      <c r="B2152" s="96" t="s">
        <v>1059</v>
      </c>
    </row>
    <row r="2153" ht="12.75" customHeight="1">
      <c r="A2153" s="95" t="s">
        <v>2867</v>
      </c>
      <c r="B2153" s="96" t="s">
        <v>1060</v>
      </c>
    </row>
    <row r="2154" ht="12.75" customHeight="1">
      <c r="A2154" s="95" t="s">
        <v>2867</v>
      </c>
      <c r="B2154" s="96" t="s">
        <v>1061</v>
      </c>
    </row>
    <row r="2155" ht="12.75" customHeight="1">
      <c r="A2155" s="95" t="s">
        <v>2867</v>
      </c>
      <c r="B2155" s="96" t="s">
        <v>1062</v>
      </c>
    </row>
    <row r="2156" ht="12.75" customHeight="1">
      <c r="A2156" s="95" t="s">
        <v>2867</v>
      </c>
      <c r="B2156" s="96" t="s">
        <v>1063</v>
      </c>
    </row>
    <row r="2157" ht="12.75" customHeight="1">
      <c r="A2157" s="95" t="s">
        <v>2867</v>
      </c>
      <c r="B2157" s="96" t="s">
        <v>1064</v>
      </c>
    </row>
    <row r="2158" ht="12.75" customHeight="1">
      <c r="A2158" s="95" t="s">
        <v>2867</v>
      </c>
      <c r="B2158" s="96" t="s">
        <v>1065</v>
      </c>
    </row>
    <row r="2159" ht="12.75" customHeight="1">
      <c r="A2159" s="95" t="s">
        <v>2867</v>
      </c>
      <c r="B2159" s="96" t="s">
        <v>1066</v>
      </c>
    </row>
    <row r="2160" ht="12.75" customHeight="1">
      <c r="A2160" s="95" t="s">
        <v>2867</v>
      </c>
      <c r="B2160" s="96" t="s">
        <v>1067</v>
      </c>
    </row>
    <row r="2161" ht="12.75" customHeight="1">
      <c r="A2161" s="95" t="s">
        <v>2867</v>
      </c>
      <c r="B2161" s="96" t="s">
        <v>1068</v>
      </c>
    </row>
    <row r="2162" ht="12.75" customHeight="1">
      <c r="A2162" s="95" t="s">
        <v>2867</v>
      </c>
      <c r="B2162" s="96" t="s">
        <v>1069</v>
      </c>
    </row>
    <row r="2163" ht="12.75" customHeight="1">
      <c r="A2163" s="95" t="s">
        <v>2867</v>
      </c>
      <c r="B2163" s="96" t="s">
        <v>1070</v>
      </c>
    </row>
    <row r="2164" ht="12.75" customHeight="1">
      <c r="A2164" s="95" t="s">
        <v>2867</v>
      </c>
      <c r="B2164" s="96" t="s">
        <v>1071</v>
      </c>
    </row>
    <row r="2165" ht="12.75" customHeight="1">
      <c r="A2165" s="95" t="s">
        <v>2867</v>
      </c>
      <c r="B2165" s="96" t="s">
        <v>1072</v>
      </c>
    </row>
    <row r="2166" ht="12.75" customHeight="1">
      <c r="A2166" s="95" t="s">
        <v>2867</v>
      </c>
      <c r="B2166" s="96" t="s">
        <v>1073</v>
      </c>
    </row>
    <row r="2167" ht="12.75" customHeight="1">
      <c r="A2167" s="95" t="s">
        <v>2867</v>
      </c>
      <c r="B2167" s="96" t="s">
        <v>1074</v>
      </c>
    </row>
    <row r="2168" ht="12.75" customHeight="1">
      <c r="A2168" s="95" t="s">
        <v>2867</v>
      </c>
      <c r="B2168" s="96" t="s">
        <v>1075</v>
      </c>
    </row>
    <row r="2169" ht="12.75" customHeight="1">
      <c r="A2169" s="95" t="s">
        <v>2867</v>
      </c>
      <c r="B2169" s="96" t="s">
        <v>1076</v>
      </c>
    </row>
    <row r="2170" ht="12.75" customHeight="1">
      <c r="A2170" s="95" t="s">
        <v>2867</v>
      </c>
      <c r="B2170" s="96" t="s">
        <v>1077</v>
      </c>
    </row>
    <row r="2171" ht="12.75" customHeight="1">
      <c r="A2171" s="95" t="s">
        <v>2867</v>
      </c>
      <c r="B2171" s="96" t="s">
        <v>1078</v>
      </c>
    </row>
    <row r="2172" ht="12.75" customHeight="1">
      <c r="A2172" s="95" t="s">
        <v>2867</v>
      </c>
      <c r="B2172" s="96" t="s">
        <v>1079</v>
      </c>
    </row>
    <row r="2173" ht="12.75" customHeight="1">
      <c r="A2173" s="95" t="s">
        <v>2867</v>
      </c>
      <c r="B2173" s="96" t="s">
        <v>1080</v>
      </c>
    </row>
    <row r="2174" ht="12.75" customHeight="1">
      <c r="A2174" s="95" t="s">
        <v>2867</v>
      </c>
      <c r="B2174" s="96" t="s">
        <v>1081</v>
      </c>
    </row>
    <row r="2175" ht="12.75" customHeight="1">
      <c r="A2175" s="95" t="s">
        <v>2867</v>
      </c>
      <c r="B2175" s="96" t="s">
        <v>1082</v>
      </c>
    </row>
    <row r="2176" ht="12.75" customHeight="1">
      <c r="A2176" s="95" t="s">
        <v>2867</v>
      </c>
      <c r="B2176" s="96" t="s">
        <v>1083</v>
      </c>
    </row>
    <row r="2177" ht="12.75" customHeight="1">
      <c r="A2177" s="95" t="s">
        <v>2867</v>
      </c>
      <c r="B2177" s="96" t="s">
        <v>1084</v>
      </c>
    </row>
    <row r="2178" ht="12.75" customHeight="1">
      <c r="A2178" s="95" t="s">
        <v>2867</v>
      </c>
      <c r="B2178" s="96" t="s">
        <v>1085</v>
      </c>
    </row>
    <row r="2179" ht="12.75" customHeight="1">
      <c r="A2179" s="95" t="s">
        <v>2867</v>
      </c>
      <c r="B2179" s="96" t="s">
        <v>1086</v>
      </c>
    </row>
    <row r="2180" ht="12.75" customHeight="1">
      <c r="A2180" s="95" t="s">
        <v>2867</v>
      </c>
      <c r="B2180" s="96" t="s">
        <v>1087</v>
      </c>
    </row>
    <row r="2181" ht="12.75" customHeight="1">
      <c r="A2181" s="95" t="s">
        <v>2867</v>
      </c>
      <c r="B2181" s="96" t="s">
        <v>1088</v>
      </c>
    </row>
    <row r="2182" ht="12.75" customHeight="1">
      <c r="A2182" s="95" t="s">
        <v>2867</v>
      </c>
      <c r="B2182" s="96" t="s">
        <v>1089</v>
      </c>
    </row>
    <row r="2183" ht="12.75" customHeight="1">
      <c r="A2183" s="95" t="s">
        <v>2867</v>
      </c>
      <c r="B2183" s="96" t="s">
        <v>1090</v>
      </c>
    </row>
    <row r="2184" ht="12.75" customHeight="1">
      <c r="A2184" s="95" t="s">
        <v>2867</v>
      </c>
      <c r="B2184" s="96" t="s">
        <v>1091</v>
      </c>
    </row>
    <row r="2185" ht="12.75" customHeight="1">
      <c r="A2185" s="95" t="s">
        <v>2867</v>
      </c>
      <c r="B2185" s="96" t="s">
        <v>1092</v>
      </c>
    </row>
    <row r="2186" ht="12.75" customHeight="1">
      <c r="A2186" s="95" t="s">
        <v>2867</v>
      </c>
      <c r="B2186" s="96" t="s">
        <v>1093</v>
      </c>
    </row>
    <row r="2187" ht="12.75" customHeight="1">
      <c r="A2187" s="95" t="s">
        <v>2867</v>
      </c>
      <c r="B2187" s="96" t="s">
        <v>1094</v>
      </c>
    </row>
    <row r="2188" ht="12.75" customHeight="1">
      <c r="A2188" s="95" t="s">
        <v>2867</v>
      </c>
      <c r="B2188" s="96" t="s">
        <v>1095</v>
      </c>
    </row>
    <row r="2189" ht="12.75" customHeight="1">
      <c r="A2189" s="95" t="s">
        <v>2868</v>
      </c>
      <c r="B2189" s="96">
        <v>0.0</v>
      </c>
    </row>
    <row r="2190" ht="12.75" customHeight="1">
      <c r="A2190" s="95" t="s">
        <v>2868</v>
      </c>
      <c r="B2190" s="96">
        <v>0.0</v>
      </c>
    </row>
    <row r="2191" ht="12.75" customHeight="1">
      <c r="A2191" s="95" t="s">
        <v>2868</v>
      </c>
      <c r="B2191" s="96">
        <v>2.0</v>
      </c>
    </row>
    <row r="2192" ht="12.75" customHeight="1">
      <c r="A2192" s="95" t="s">
        <v>2868</v>
      </c>
      <c r="B2192" s="96">
        <v>4.0</v>
      </c>
    </row>
    <row r="2193" ht="12.75" customHeight="1">
      <c r="A2193" s="95" t="s">
        <v>2868</v>
      </c>
      <c r="B2193" s="96">
        <v>6.0</v>
      </c>
    </row>
    <row r="2194" ht="12.75" customHeight="1">
      <c r="A2194" s="95" t="s">
        <v>2868</v>
      </c>
      <c r="B2194" s="96">
        <v>8.0</v>
      </c>
    </row>
    <row r="2195" ht="12.75" customHeight="1">
      <c r="A2195" s="95" t="s">
        <v>2868</v>
      </c>
      <c r="B2195" s="96">
        <v>10.0</v>
      </c>
    </row>
    <row r="2196" ht="12.75" customHeight="1">
      <c r="A2196" s="95" t="s">
        <v>2868</v>
      </c>
      <c r="B2196" s="96">
        <v>12.0</v>
      </c>
    </row>
    <row r="2197" ht="12.75" customHeight="1">
      <c r="A2197" s="95" t="s">
        <v>2868</v>
      </c>
      <c r="B2197" s="96" t="s">
        <v>803</v>
      </c>
    </row>
    <row r="2198" ht="12.75" customHeight="1">
      <c r="A2198" s="95" t="s">
        <v>2868</v>
      </c>
      <c r="B2198" s="96" t="s">
        <v>804</v>
      </c>
    </row>
    <row r="2199" ht="12.75" customHeight="1">
      <c r="A2199" s="95" t="s">
        <v>2868</v>
      </c>
      <c r="B2199" s="96" t="s">
        <v>76</v>
      </c>
    </row>
    <row r="2200" ht="12.75" customHeight="1">
      <c r="A2200" s="95" t="s">
        <v>2868</v>
      </c>
      <c r="B2200" s="96" t="s">
        <v>80</v>
      </c>
    </row>
    <row r="2201" ht="12.75" customHeight="1">
      <c r="A2201" s="95" t="s">
        <v>2868</v>
      </c>
      <c r="B2201" s="96" t="s">
        <v>83</v>
      </c>
    </row>
    <row r="2202" ht="12.75" customHeight="1">
      <c r="A2202" s="95" t="s">
        <v>2868</v>
      </c>
      <c r="B2202" s="96" t="s">
        <v>85</v>
      </c>
    </row>
    <row r="2203" ht="12.75" customHeight="1">
      <c r="A2203" s="95" t="s">
        <v>2868</v>
      </c>
      <c r="B2203" s="96">
        <v>14.0</v>
      </c>
    </row>
    <row r="2204" ht="12.75" customHeight="1">
      <c r="A2204" s="95" t="s">
        <v>2868</v>
      </c>
      <c r="B2204" s="96" t="s">
        <v>835</v>
      </c>
    </row>
    <row r="2205" ht="12.75" customHeight="1">
      <c r="A2205" s="95" t="s">
        <v>2868</v>
      </c>
      <c r="B2205" s="96">
        <v>16.0</v>
      </c>
    </row>
    <row r="2206" ht="12.75" customHeight="1">
      <c r="A2206" s="95" t="s">
        <v>2868</v>
      </c>
      <c r="B2206" s="96" t="s">
        <v>836</v>
      </c>
    </row>
    <row r="2207" ht="12.75" customHeight="1">
      <c r="A2207" s="95" t="s">
        <v>2868</v>
      </c>
      <c r="B2207" s="96">
        <v>18.0</v>
      </c>
    </row>
    <row r="2208" ht="12.75" customHeight="1">
      <c r="A2208" s="95" t="s">
        <v>2868</v>
      </c>
      <c r="B2208" s="96" t="s">
        <v>837</v>
      </c>
    </row>
    <row r="2209" ht="12.75" customHeight="1">
      <c r="A2209" s="95" t="s">
        <v>2868</v>
      </c>
      <c r="B2209" s="96">
        <v>20.0</v>
      </c>
    </row>
    <row r="2210" ht="12.75" customHeight="1">
      <c r="A2210" s="95" t="s">
        <v>2868</v>
      </c>
      <c r="B2210" s="96" t="s">
        <v>838</v>
      </c>
    </row>
    <row r="2211" ht="12.75" customHeight="1">
      <c r="A2211" s="95" t="s">
        <v>2868</v>
      </c>
      <c r="B2211" s="96">
        <v>22.0</v>
      </c>
    </row>
    <row r="2212" ht="12.75" customHeight="1">
      <c r="A2212" s="95" t="s">
        <v>2868</v>
      </c>
      <c r="B2212" s="96" t="s">
        <v>839</v>
      </c>
    </row>
    <row r="2213" ht="12.75" customHeight="1">
      <c r="A2213" s="95" t="s">
        <v>2868</v>
      </c>
      <c r="B2213" s="96">
        <v>24.0</v>
      </c>
    </row>
    <row r="2214" ht="12.75" customHeight="1">
      <c r="A2214" s="95" t="s">
        <v>2868</v>
      </c>
      <c r="B2214" s="96" t="s">
        <v>840</v>
      </c>
    </row>
    <row r="2215" ht="12.75" customHeight="1">
      <c r="A2215" s="95" t="s">
        <v>2868</v>
      </c>
      <c r="B2215" s="96">
        <v>26.0</v>
      </c>
    </row>
    <row r="2216" ht="12.75" customHeight="1">
      <c r="A2216" s="95" t="s">
        <v>2868</v>
      </c>
      <c r="B2216" s="96" t="s">
        <v>841</v>
      </c>
    </row>
    <row r="2217" ht="12.75" customHeight="1">
      <c r="A2217" s="95" t="s">
        <v>2868</v>
      </c>
      <c r="B2217" s="96">
        <v>28.0</v>
      </c>
    </row>
    <row r="2218" ht="12.75" customHeight="1">
      <c r="A2218" s="95" t="s">
        <v>2868</v>
      </c>
      <c r="B2218" s="96" t="s">
        <v>842</v>
      </c>
    </row>
    <row r="2219" ht="12.75" customHeight="1">
      <c r="A2219" s="95" t="s">
        <v>2868</v>
      </c>
      <c r="B2219" s="96">
        <v>30.0</v>
      </c>
    </row>
    <row r="2220" ht="12.75" customHeight="1">
      <c r="A2220" s="95" t="s">
        <v>2868</v>
      </c>
      <c r="B2220" s="96" t="s">
        <v>843</v>
      </c>
    </row>
    <row r="2221" ht="12.75" customHeight="1">
      <c r="A2221" s="95" t="s">
        <v>2868</v>
      </c>
      <c r="B2221" s="96">
        <v>32.0</v>
      </c>
    </row>
    <row r="2222" ht="12.75" customHeight="1">
      <c r="A2222" s="95" t="s">
        <v>2868</v>
      </c>
      <c r="B2222" s="96" t="s">
        <v>844</v>
      </c>
    </row>
    <row r="2223" ht="12.75" customHeight="1">
      <c r="A2223" s="95" t="s">
        <v>2868</v>
      </c>
      <c r="B2223" s="96" t="s">
        <v>845</v>
      </c>
    </row>
    <row r="2224" ht="12.75" customHeight="1">
      <c r="A2224" s="95" t="s">
        <v>2868</v>
      </c>
      <c r="B2224" s="96" t="s">
        <v>846</v>
      </c>
    </row>
    <row r="2225" ht="12.75" customHeight="1">
      <c r="A2225" s="95" t="s">
        <v>2868</v>
      </c>
      <c r="B2225" s="96" t="s">
        <v>847</v>
      </c>
    </row>
    <row r="2226" ht="12.75" customHeight="1">
      <c r="A2226" s="95" t="s">
        <v>2868</v>
      </c>
      <c r="B2226" s="96" t="s">
        <v>848</v>
      </c>
    </row>
    <row r="2227" ht="12.75" customHeight="1">
      <c r="A2227" s="95" t="s">
        <v>2868</v>
      </c>
      <c r="B2227" s="96" t="s">
        <v>849</v>
      </c>
    </row>
    <row r="2228" ht="12.75" customHeight="1">
      <c r="A2228" s="95" t="s">
        <v>2868</v>
      </c>
      <c r="B2228" s="96" t="s">
        <v>850</v>
      </c>
    </row>
    <row r="2229" ht="12.75" customHeight="1">
      <c r="A2229" s="95" t="s">
        <v>2868</v>
      </c>
      <c r="B2229" s="96" t="s">
        <v>851</v>
      </c>
    </row>
    <row r="2230" ht="12.75" customHeight="1">
      <c r="A2230" s="95" t="s">
        <v>2868</v>
      </c>
      <c r="B2230" s="96" t="s">
        <v>852</v>
      </c>
    </row>
    <row r="2231" ht="12.75" customHeight="1">
      <c r="A2231" s="95" t="s">
        <v>2868</v>
      </c>
      <c r="B2231" s="96" t="s">
        <v>908</v>
      </c>
    </row>
    <row r="2232" ht="12.75" customHeight="1">
      <c r="A2232" s="95" t="s">
        <v>2868</v>
      </c>
      <c r="B2232" s="96" t="s">
        <v>909</v>
      </c>
    </row>
    <row r="2233" ht="12.75" customHeight="1">
      <c r="A2233" s="95" t="s">
        <v>2868</v>
      </c>
      <c r="B2233" s="96" t="s">
        <v>910</v>
      </c>
    </row>
    <row r="2234" ht="12.75" customHeight="1">
      <c r="A2234" s="95" t="s">
        <v>2868</v>
      </c>
      <c r="B2234" s="96" t="s">
        <v>911</v>
      </c>
    </row>
    <row r="2235" ht="12.75" customHeight="1">
      <c r="A2235" s="95" t="s">
        <v>2868</v>
      </c>
      <c r="B2235" s="96" t="s">
        <v>912</v>
      </c>
    </row>
    <row r="2236" ht="12.75" customHeight="1">
      <c r="A2236" s="95" t="s">
        <v>2868</v>
      </c>
      <c r="B2236" s="96" t="s">
        <v>913</v>
      </c>
    </row>
    <row r="2237" ht="12.75" customHeight="1">
      <c r="A2237" s="95" t="s">
        <v>2868</v>
      </c>
      <c r="B2237" s="96" t="s">
        <v>914</v>
      </c>
    </row>
    <row r="2238" ht="12.75" customHeight="1">
      <c r="A2238" s="95" t="s">
        <v>2868</v>
      </c>
      <c r="B2238" s="96" t="s">
        <v>915</v>
      </c>
    </row>
    <row r="2239" ht="12.75" customHeight="1">
      <c r="A2239" s="95" t="s">
        <v>2868</v>
      </c>
      <c r="B2239" s="96" t="s">
        <v>916</v>
      </c>
    </row>
    <row r="2240" ht="12.75" customHeight="1">
      <c r="A2240" s="95" t="s">
        <v>2868</v>
      </c>
      <c r="B2240" s="96" t="s">
        <v>917</v>
      </c>
    </row>
    <row r="2241" ht="12.75" customHeight="1">
      <c r="A2241" s="95" t="s">
        <v>2868</v>
      </c>
      <c r="B2241" s="96" t="s">
        <v>918</v>
      </c>
    </row>
    <row r="2242" ht="12.75" customHeight="1">
      <c r="A2242" s="95" t="s">
        <v>2868</v>
      </c>
      <c r="B2242" s="96" t="s">
        <v>919</v>
      </c>
    </row>
    <row r="2243" ht="12.75" customHeight="1">
      <c r="A2243" s="95" t="s">
        <v>2868</v>
      </c>
      <c r="B2243" s="96" t="s">
        <v>920</v>
      </c>
    </row>
    <row r="2244" ht="12.75" customHeight="1">
      <c r="A2244" s="95" t="s">
        <v>2868</v>
      </c>
      <c r="B2244" s="96" t="s">
        <v>921</v>
      </c>
    </row>
    <row r="2245" ht="12.75" customHeight="1">
      <c r="A2245" s="95" t="s">
        <v>2868</v>
      </c>
      <c r="B2245" s="96" t="s">
        <v>922</v>
      </c>
    </row>
    <row r="2246" ht="12.75" customHeight="1">
      <c r="A2246" s="95" t="s">
        <v>2868</v>
      </c>
      <c r="B2246" s="96" t="s">
        <v>923</v>
      </c>
    </row>
    <row r="2247" ht="12.75" customHeight="1">
      <c r="A2247" s="95" t="s">
        <v>2868</v>
      </c>
      <c r="B2247" s="96" t="s">
        <v>924</v>
      </c>
    </row>
    <row r="2248" ht="12.75" customHeight="1">
      <c r="A2248" s="95" t="s">
        <v>2868</v>
      </c>
      <c r="B2248" s="96" t="s">
        <v>925</v>
      </c>
    </row>
    <row r="2249" ht="12.75" customHeight="1">
      <c r="A2249" s="95" t="s">
        <v>2868</v>
      </c>
      <c r="B2249" s="96" t="s">
        <v>926</v>
      </c>
    </row>
    <row r="2250" ht="12.75" customHeight="1">
      <c r="A2250" s="95" t="s">
        <v>2868</v>
      </c>
      <c r="B2250" s="96" t="s">
        <v>984</v>
      </c>
    </row>
    <row r="2251" ht="12.75" customHeight="1">
      <c r="A2251" s="95" t="s">
        <v>2868</v>
      </c>
      <c r="B2251" s="96" t="s">
        <v>985</v>
      </c>
    </row>
    <row r="2252" ht="12.75" customHeight="1">
      <c r="A2252" s="95" t="s">
        <v>2868</v>
      </c>
      <c r="B2252" s="96" t="s">
        <v>986</v>
      </c>
    </row>
    <row r="2253" ht="12.75" customHeight="1">
      <c r="A2253" s="95" t="s">
        <v>2868</v>
      </c>
      <c r="B2253" s="96" t="s">
        <v>987</v>
      </c>
    </row>
    <row r="2254" ht="12.75" customHeight="1">
      <c r="A2254" s="95" t="s">
        <v>2868</v>
      </c>
      <c r="B2254" s="96" t="s">
        <v>988</v>
      </c>
    </row>
    <row r="2255" ht="12.75" customHeight="1">
      <c r="A2255" s="95" t="s">
        <v>2868</v>
      </c>
      <c r="B2255" s="96" t="s">
        <v>989</v>
      </c>
    </row>
    <row r="2256" ht="12.75" customHeight="1">
      <c r="A2256" s="95" t="s">
        <v>2868</v>
      </c>
      <c r="B2256" s="96" t="s">
        <v>990</v>
      </c>
    </row>
    <row r="2257" ht="12.75" customHeight="1">
      <c r="A2257" s="95" t="s">
        <v>2868</v>
      </c>
      <c r="B2257" s="96" t="s">
        <v>991</v>
      </c>
    </row>
    <row r="2258" ht="12.75" customHeight="1">
      <c r="A2258" s="95" t="s">
        <v>2868</v>
      </c>
      <c r="B2258" s="96" t="s">
        <v>992</v>
      </c>
    </row>
    <row r="2259" ht="12.75" customHeight="1">
      <c r="A2259" s="95" t="s">
        <v>2868</v>
      </c>
      <c r="B2259" s="96" t="s">
        <v>993</v>
      </c>
    </row>
    <row r="2260" ht="12.75" customHeight="1">
      <c r="A2260" s="95" t="s">
        <v>2868</v>
      </c>
      <c r="B2260" s="96" t="s">
        <v>994</v>
      </c>
    </row>
    <row r="2261" ht="12.75" customHeight="1">
      <c r="A2261" s="95" t="s">
        <v>2868</v>
      </c>
      <c r="B2261" s="96" t="s">
        <v>995</v>
      </c>
    </row>
    <row r="2262" ht="12.75" customHeight="1">
      <c r="A2262" s="95" t="s">
        <v>2868</v>
      </c>
      <c r="B2262" s="96" t="s">
        <v>996</v>
      </c>
    </row>
    <row r="2263" ht="12.75" customHeight="1">
      <c r="A2263" s="95" t="s">
        <v>2868</v>
      </c>
      <c r="B2263" s="96" t="s">
        <v>997</v>
      </c>
    </row>
    <row r="2264" ht="12.75" customHeight="1">
      <c r="A2264" s="95" t="s">
        <v>2868</v>
      </c>
      <c r="B2264" s="96" t="s">
        <v>998</v>
      </c>
    </row>
    <row r="2265" ht="12.75" customHeight="1">
      <c r="A2265" s="95" t="s">
        <v>2868</v>
      </c>
      <c r="B2265" s="96" t="s">
        <v>999</v>
      </c>
    </row>
    <row r="2266" ht="12.75" customHeight="1">
      <c r="A2266" s="95" t="s">
        <v>2868</v>
      </c>
      <c r="B2266" s="96" t="s">
        <v>1000</v>
      </c>
    </row>
    <row r="2267" ht="12.75" customHeight="1">
      <c r="A2267" s="95" t="s">
        <v>2868</v>
      </c>
      <c r="B2267" s="96" t="s">
        <v>1001</v>
      </c>
    </row>
    <row r="2268" ht="12.75" customHeight="1">
      <c r="A2268" s="95" t="s">
        <v>2868</v>
      </c>
      <c r="B2268" s="96" t="s">
        <v>1054</v>
      </c>
    </row>
    <row r="2269" ht="12.75" customHeight="1">
      <c r="A2269" s="95" t="s">
        <v>2868</v>
      </c>
      <c r="B2269" s="96" t="s">
        <v>1055</v>
      </c>
    </row>
    <row r="2270" ht="12.75" customHeight="1">
      <c r="A2270" s="95" t="s">
        <v>2868</v>
      </c>
      <c r="B2270" s="96" t="s">
        <v>1056</v>
      </c>
    </row>
    <row r="2271" ht="12.75" customHeight="1">
      <c r="A2271" s="95" t="s">
        <v>2868</v>
      </c>
      <c r="B2271" s="96" t="s">
        <v>1057</v>
      </c>
    </row>
    <row r="2272" ht="12.75" customHeight="1">
      <c r="A2272" s="95" t="s">
        <v>2868</v>
      </c>
      <c r="B2272" s="96" t="s">
        <v>1058</v>
      </c>
    </row>
    <row r="2273" ht="12.75" customHeight="1">
      <c r="A2273" s="95" t="s">
        <v>2868</v>
      </c>
      <c r="B2273" s="96" t="s">
        <v>1059</v>
      </c>
    </row>
    <row r="2274" ht="12.75" customHeight="1">
      <c r="A2274" s="95" t="s">
        <v>2868</v>
      </c>
      <c r="B2274" s="96" t="s">
        <v>1060</v>
      </c>
    </row>
    <row r="2275" ht="12.75" customHeight="1">
      <c r="A2275" s="95" t="s">
        <v>2868</v>
      </c>
      <c r="B2275" s="96" t="s">
        <v>1061</v>
      </c>
    </row>
    <row r="2276" ht="12.75" customHeight="1">
      <c r="A2276" s="95" t="s">
        <v>2868</v>
      </c>
      <c r="B2276" s="96" t="s">
        <v>1062</v>
      </c>
    </row>
    <row r="2277" ht="12.75" customHeight="1">
      <c r="A2277" s="95" t="s">
        <v>2868</v>
      </c>
      <c r="B2277" s="96" t="s">
        <v>1063</v>
      </c>
    </row>
    <row r="2278" ht="12.75" customHeight="1">
      <c r="A2278" s="95" t="s">
        <v>2868</v>
      </c>
      <c r="B2278" s="96" t="s">
        <v>1064</v>
      </c>
    </row>
    <row r="2279" ht="12.75" customHeight="1">
      <c r="A2279" s="95" t="s">
        <v>2868</v>
      </c>
      <c r="B2279" s="96" t="s">
        <v>1065</v>
      </c>
    </row>
    <row r="2280" ht="12.75" customHeight="1">
      <c r="A2280" s="95" t="s">
        <v>2868</v>
      </c>
      <c r="B2280" s="96" t="s">
        <v>1066</v>
      </c>
    </row>
    <row r="2281" ht="12.75" customHeight="1">
      <c r="A2281" s="95" t="s">
        <v>2868</v>
      </c>
      <c r="B2281" s="96" t="s">
        <v>1067</v>
      </c>
    </row>
    <row r="2282" ht="12.75" customHeight="1">
      <c r="A2282" s="95" t="s">
        <v>2868</v>
      </c>
      <c r="B2282" s="96" t="s">
        <v>1068</v>
      </c>
    </row>
    <row r="2283" ht="12.75" customHeight="1">
      <c r="A2283" s="95" t="s">
        <v>2868</v>
      </c>
      <c r="B2283" s="96" t="s">
        <v>1069</v>
      </c>
    </row>
    <row r="2284" ht="12.75" customHeight="1">
      <c r="A2284" s="95" t="s">
        <v>2868</v>
      </c>
      <c r="B2284" s="96" t="s">
        <v>1070</v>
      </c>
    </row>
    <row r="2285" ht="12.75" customHeight="1">
      <c r="A2285" s="95" t="s">
        <v>2868</v>
      </c>
      <c r="B2285" s="96" t="s">
        <v>1071</v>
      </c>
    </row>
    <row r="2286" ht="12.75" customHeight="1">
      <c r="A2286" s="95" t="s">
        <v>2868</v>
      </c>
      <c r="B2286" s="96" t="s">
        <v>1072</v>
      </c>
    </row>
    <row r="2287" ht="12.75" customHeight="1">
      <c r="A2287" s="95" t="s">
        <v>2868</v>
      </c>
      <c r="B2287" s="96" t="s">
        <v>1073</v>
      </c>
    </row>
    <row r="2288" ht="12.75" customHeight="1">
      <c r="A2288" s="95" t="s">
        <v>2868</v>
      </c>
      <c r="B2288" s="96" t="s">
        <v>1074</v>
      </c>
    </row>
    <row r="2289" ht="12.75" customHeight="1">
      <c r="A2289" s="95" t="s">
        <v>2868</v>
      </c>
      <c r="B2289" s="96" t="s">
        <v>1075</v>
      </c>
    </row>
    <row r="2290" ht="12.75" customHeight="1">
      <c r="A2290" s="95" t="s">
        <v>2868</v>
      </c>
      <c r="B2290" s="96" t="s">
        <v>1076</v>
      </c>
    </row>
    <row r="2291" ht="12.75" customHeight="1">
      <c r="A2291" s="95" t="s">
        <v>2868</v>
      </c>
      <c r="B2291" s="96" t="s">
        <v>1077</v>
      </c>
    </row>
    <row r="2292" ht="12.75" customHeight="1">
      <c r="A2292" s="95" t="s">
        <v>2868</v>
      </c>
      <c r="B2292" s="96" t="s">
        <v>1078</v>
      </c>
    </row>
    <row r="2293" ht="12.75" customHeight="1">
      <c r="A2293" s="95" t="s">
        <v>2868</v>
      </c>
      <c r="B2293" s="96" t="s">
        <v>1079</v>
      </c>
    </row>
    <row r="2294" ht="12.75" customHeight="1">
      <c r="A2294" s="95" t="s">
        <v>2868</v>
      </c>
      <c r="B2294" s="96" t="s">
        <v>1080</v>
      </c>
    </row>
    <row r="2295" ht="12.75" customHeight="1">
      <c r="A2295" s="95" t="s">
        <v>2868</v>
      </c>
      <c r="B2295" s="96" t="s">
        <v>1081</v>
      </c>
    </row>
    <row r="2296" ht="12.75" customHeight="1">
      <c r="A2296" s="95" t="s">
        <v>2868</v>
      </c>
      <c r="B2296" s="96" t="s">
        <v>1082</v>
      </c>
    </row>
    <row r="2297" ht="12.75" customHeight="1">
      <c r="A2297" s="95" t="s">
        <v>2868</v>
      </c>
      <c r="B2297" s="96" t="s">
        <v>1083</v>
      </c>
    </row>
    <row r="2298" ht="12.75" customHeight="1">
      <c r="A2298" s="95" t="s">
        <v>2868</v>
      </c>
      <c r="B2298" s="96" t="s">
        <v>1084</v>
      </c>
    </row>
    <row r="2299" ht="12.75" customHeight="1">
      <c r="A2299" s="95" t="s">
        <v>2868</v>
      </c>
      <c r="B2299" s="96" t="s">
        <v>1085</v>
      </c>
    </row>
    <row r="2300" ht="12.75" customHeight="1">
      <c r="A2300" s="95" t="s">
        <v>2868</v>
      </c>
      <c r="B2300" s="96" t="s">
        <v>1086</v>
      </c>
    </row>
    <row r="2301" ht="12.75" customHeight="1">
      <c r="A2301" s="95" t="s">
        <v>2868</v>
      </c>
      <c r="B2301" s="96" t="s">
        <v>1087</v>
      </c>
    </row>
    <row r="2302" ht="12.75" customHeight="1">
      <c r="A2302" s="95" t="s">
        <v>2868</v>
      </c>
      <c r="B2302" s="96" t="s">
        <v>1088</v>
      </c>
    </row>
    <row r="2303" ht="12.75" customHeight="1">
      <c r="A2303" s="95" t="s">
        <v>2868</v>
      </c>
      <c r="B2303" s="96" t="s">
        <v>1089</v>
      </c>
    </row>
    <row r="2304" ht="12.75" customHeight="1">
      <c r="A2304" s="95" t="s">
        <v>2868</v>
      </c>
      <c r="B2304" s="96" t="s">
        <v>1090</v>
      </c>
    </row>
    <row r="2305" ht="12.75" customHeight="1">
      <c r="A2305" s="95" t="s">
        <v>2868</v>
      </c>
      <c r="B2305" s="96" t="s">
        <v>1091</v>
      </c>
    </row>
    <row r="2306" ht="12.75" customHeight="1">
      <c r="A2306" s="95" t="s">
        <v>2868</v>
      </c>
      <c r="B2306" s="96" t="s">
        <v>1092</v>
      </c>
    </row>
    <row r="2307" ht="12.75" customHeight="1">
      <c r="A2307" s="95" t="s">
        <v>2868</v>
      </c>
      <c r="B2307" s="96" t="s">
        <v>1093</v>
      </c>
    </row>
    <row r="2308" ht="12.75" customHeight="1">
      <c r="A2308" s="95" t="s">
        <v>2868</v>
      </c>
      <c r="B2308" s="96" t="s">
        <v>1094</v>
      </c>
    </row>
    <row r="2309" ht="12.75" customHeight="1">
      <c r="A2309" s="95" t="s">
        <v>2868</v>
      </c>
      <c r="B2309" s="96" t="s">
        <v>1095</v>
      </c>
    </row>
    <row r="2310" ht="12.75" customHeight="1">
      <c r="A2310" s="95" t="s">
        <v>2869</v>
      </c>
      <c r="B2310" s="96">
        <v>0.0</v>
      </c>
    </row>
    <row r="2311" ht="12.75" customHeight="1">
      <c r="A2311" s="95" t="s">
        <v>2869</v>
      </c>
      <c r="B2311" s="96">
        <v>0.0</v>
      </c>
    </row>
    <row r="2312" ht="12.75" customHeight="1">
      <c r="A2312" s="95" t="s">
        <v>2869</v>
      </c>
      <c r="B2312" s="96">
        <v>2.0</v>
      </c>
    </row>
    <row r="2313" ht="12.75" customHeight="1">
      <c r="A2313" s="95" t="s">
        <v>2869</v>
      </c>
      <c r="B2313" s="96">
        <v>4.0</v>
      </c>
    </row>
    <row r="2314" ht="12.75" customHeight="1">
      <c r="A2314" s="95" t="s">
        <v>2869</v>
      </c>
      <c r="B2314" s="96">
        <v>6.0</v>
      </c>
    </row>
    <row r="2315" ht="12.75" customHeight="1">
      <c r="A2315" s="95" t="s">
        <v>2869</v>
      </c>
      <c r="B2315" s="96">
        <v>8.0</v>
      </c>
    </row>
    <row r="2316" ht="12.75" customHeight="1">
      <c r="A2316" s="95" t="s">
        <v>2869</v>
      </c>
      <c r="B2316" s="96">
        <v>10.0</v>
      </c>
    </row>
    <row r="2317" ht="12.75" customHeight="1">
      <c r="A2317" s="95" t="s">
        <v>2869</v>
      </c>
      <c r="B2317" s="96">
        <v>12.0</v>
      </c>
    </row>
    <row r="2318" ht="12.75" customHeight="1">
      <c r="A2318" s="95" t="s">
        <v>2869</v>
      </c>
      <c r="B2318" s="96" t="s">
        <v>803</v>
      </c>
    </row>
    <row r="2319" ht="12.75" customHeight="1">
      <c r="A2319" s="95" t="s">
        <v>2869</v>
      </c>
      <c r="B2319" s="96" t="s">
        <v>804</v>
      </c>
    </row>
    <row r="2320" ht="12.75" customHeight="1">
      <c r="A2320" s="95" t="s">
        <v>2869</v>
      </c>
      <c r="B2320" s="96" t="s">
        <v>76</v>
      </c>
    </row>
    <row r="2321" ht="12.75" customHeight="1">
      <c r="A2321" s="95" t="s">
        <v>2869</v>
      </c>
      <c r="B2321" s="96" t="s">
        <v>80</v>
      </c>
    </row>
    <row r="2322" ht="12.75" customHeight="1">
      <c r="A2322" s="95" t="s">
        <v>2869</v>
      </c>
      <c r="B2322" s="96" t="s">
        <v>83</v>
      </c>
    </row>
    <row r="2323" ht="12.75" customHeight="1">
      <c r="A2323" s="95" t="s">
        <v>2869</v>
      </c>
      <c r="B2323" s="96" t="s">
        <v>85</v>
      </c>
    </row>
    <row r="2324" ht="12.75" customHeight="1">
      <c r="A2324" s="95" t="s">
        <v>2869</v>
      </c>
      <c r="B2324" s="96">
        <v>14.0</v>
      </c>
    </row>
    <row r="2325" ht="12.75" customHeight="1">
      <c r="A2325" s="95" t="s">
        <v>2869</v>
      </c>
      <c r="B2325" s="96" t="s">
        <v>835</v>
      </c>
    </row>
    <row r="2326" ht="12.75" customHeight="1">
      <c r="A2326" s="95" t="s">
        <v>2869</v>
      </c>
      <c r="B2326" s="96">
        <v>16.0</v>
      </c>
    </row>
    <row r="2327" ht="12.75" customHeight="1">
      <c r="A2327" s="95" t="s">
        <v>2869</v>
      </c>
      <c r="B2327" s="96" t="s">
        <v>836</v>
      </c>
    </row>
    <row r="2328" ht="12.75" customHeight="1">
      <c r="A2328" s="95" t="s">
        <v>2869</v>
      </c>
      <c r="B2328" s="96">
        <v>18.0</v>
      </c>
    </row>
    <row r="2329" ht="12.75" customHeight="1">
      <c r="A2329" s="95" t="s">
        <v>2869</v>
      </c>
      <c r="B2329" s="96" t="s">
        <v>837</v>
      </c>
    </row>
    <row r="2330" ht="12.75" customHeight="1">
      <c r="A2330" s="95" t="s">
        <v>2869</v>
      </c>
      <c r="B2330" s="96">
        <v>20.0</v>
      </c>
    </row>
    <row r="2331" ht="12.75" customHeight="1">
      <c r="A2331" s="95" t="s">
        <v>2869</v>
      </c>
      <c r="B2331" s="96" t="s">
        <v>838</v>
      </c>
    </row>
    <row r="2332" ht="12.75" customHeight="1">
      <c r="A2332" s="95" t="s">
        <v>2869</v>
      </c>
      <c r="B2332" s="96">
        <v>22.0</v>
      </c>
    </row>
    <row r="2333" ht="12.75" customHeight="1">
      <c r="A2333" s="95" t="s">
        <v>2869</v>
      </c>
      <c r="B2333" s="96" t="s">
        <v>839</v>
      </c>
    </row>
    <row r="2334" ht="12.75" customHeight="1">
      <c r="A2334" s="95" t="s">
        <v>2869</v>
      </c>
      <c r="B2334" s="96">
        <v>24.0</v>
      </c>
    </row>
    <row r="2335" ht="12.75" customHeight="1">
      <c r="A2335" s="95" t="s">
        <v>2869</v>
      </c>
      <c r="B2335" s="96" t="s">
        <v>840</v>
      </c>
    </row>
    <row r="2336" ht="12.75" customHeight="1">
      <c r="A2336" s="95" t="s">
        <v>2869</v>
      </c>
      <c r="B2336" s="96">
        <v>26.0</v>
      </c>
    </row>
    <row r="2337" ht="12.75" customHeight="1">
      <c r="A2337" s="95" t="s">
        <v>2869</v>
      </c>
      <c r="B2337" s="96" t="s">
        <v>841</v>
      </c>
    </row>
    <row r="2338" ht="12.75" customHeight="1">
      <c r="A2338" s="95" t="s">
        <v>2869</v>
      </c>
      <c r="B2338" s="96">
        <v>28.0</v>
      </c>
    </row>
    <row r="2339" ht="12.75" customHeight="1">
      <c r="A2339" s="95" t="s">
        <v>2869</v>
      </c>
      <c r="B2339" s="96" t="s">
        <v>842</v>
      </c>
    </row>
    <row r="2340" ht="12.75" customHeight="1">
      <c r="A2340" s="95" t="s">
        <v>2869</v>
      </c>
      <c r="B2340" s="96">
        <v>30.0</v>
      </c>
    </row>
    <row r="2341" ht="12.75" customHeight="1">
      <c r="A2341" s="95" t="s">
        <v>2869</v>
      </c>
      <c r="B2341" s="96" t="s">
        <v>843</v>
      </c>
    </row>
    <row r="2342" ht="12.75" customHeight="1">
      <c r="A2342" s="95" t="s">
        <v>2869</v>
      </c>
      <c r="B2342" s="96">
        <v>32.0</v>
      </c>
    </row>
    <row r="2343" ht="12.75" customHeight="1">
      <c r="A2343" s="95" t="s">
        <v>2869</v>
      </c>
      <c r="B2343" s="96" t="s">
        <v>844</v>
      </c>
    </row>
    <row r="2344" ht="12.75" customHeight="1">
      <c r="A2344" s="95" t="s">
        <v>2869</v>
      </c>
      <c r="B2344" s="96" t="s">
        <v>845</v>
      </c>
    </row>
    <row r="2345" ht="12.75" customHeight="1">
      <c r="A2345" s="95" t="s">
        <v>2869</v>
      </c>
      <c r="B2345" s="96" t="s">
        <v>846</v>
      </c>
    </row>
    <row r="2346" ht="12.75" customHeight="1">
      <c r="A2346" s="95" t="s">
        <v>2869</v>
      </c>
      <c r="B2346" s="96" t="s">
        <v>847</v>
      </c>
    </row>
    <row r="2347" ht="12.75" customHeight="1">
      <c r="A2347" s="95" t="s">
        <v>2869</v>
      </c>
      <c r="B2347" s="96" t="s">
        <v>848</v>
      </c>
    </row>
    <row r="2348" ht="12.75" customHeight="1">
      <c r="A2348" s="95" t="s">
        <v>2869</v>
      </c>
      <c r="B2348" s="96" t="s">
        <v>849</v>
      </c>
    </row>
    <row r="2349" ht="12.75" customHeight="1">
      <c r="A2349" s="95" t="s">
        <v>2869</v>
      </c>
      <c r="B2349" s="96" t="s">
        <v>850</v>
      </c>
    </row>
    <row r="2350" ht="12.75" customHeight="1">
      <c r="A2350" s="95" t="s">
        <v>2869</v>
      </c>
      <c r="B2350" s="96" t="s">
        <v>851</v>
      </c>
    </row>
    <row r="2351" ht="12.75" customHeight="1">
      <c r="A2351" s="95" t="s">
        <v>2869</v>
      </c>
      <c r="B2351" s="96" t="s">
        <v>852</v>
      </c>
    </row>
    <row r="2352" ht="12.75" customHeight="1">
      <c r="A2352" s="95" t="s">
        <v>2869</v>
      </c>
      <c r="B2352" s="96" t="s">
        <v>908</v>
      </c>
    </row>
    <row r="2353" ht="12.75" customHeight="1">
      <c r="A2353" s="95" t="s">
        <v>2869</v>
      </c>
      <c r="B2353" s="96" t="s">
        <v>909</v>
      </c>
    </row>
    <row r="2354" ht="12.75" customHeight="1">
      <c r="A2354" s="95" t="s">
        <v>2869</v>
      </c>
      <c r="B2354" s="96" t="s">
        <v>910</v>
      </c>
    </row>
    <row r="2355" ht="12.75" customHeight="1">
      <c r="A2355" s="95" t="s">
        <v>2869</v>
      </c>
      <c r="B2355" s="96" t="s">
        <v>911</v>
      </c>
    </row>
    <row r="2356" ht="12.75" customHeight="1">
      <c r="A2356" s="95" t="s">
        <v>2869</v>
      </c>
      <c r="B2356" s="96" t="s">
        <v>912</v>
      </c>
    </row>
    <row r="2357" ht="12.75" customHeight="1">
      <c r="A2357" s="95" t="s">
        <v>2869</v>
      </c>
      <c r="B2357" s="96" t="s">
        <v>913</v>
      </c>
    </row>
    <row r="2358" ht="12.75" customHeight="1">
      <c r="A2358" s="95" t="s">
        <v>2869</v>
      </c>
      <c r="B2358" s="96" t="s">
        <v>914</v>
      </c>
    </row>
    <row r="2359" ht="12.75" customHeight="1">
      <c r="A2359" s="95" t="s">
        <v>2869</v>
      </c>
      <c r="B2359" s="96" t="s">
        <v>915</v>
      </c>
    </row>
    <row r="2360" ht="12.75" customHeight="1">
      <c r="A2360" s="95" t="s">
        <v>2869</v>
      </c>
      <c r="B2360" s="96" t="s">
        <v>916</v>
      </c>
    </row>
    <row r="2361" ht="12.75" customHeight="1">
      <c r="A2361" s="95" t="s">
        <v>2869</v>
      </c>
      <c r="B2361" s="96" t="s">
        <v>917</v>
      </c>
    </row>
    <row r="2362" ht="12.75" customHeight="1">
      <c r="A2362" s="95" t="s">
        <v>2869</v>
      </c>
      <c r="B2362" s="96" t="s">
        <v>918</v>
      </c>
    </row>
    <row r="2363" ht="12.75" customHeight="1">
      <c r="A2363" s="95" t="s">
        <v>2869</v>
      </c>
      <c r="B2363" s="96" t="s">
        <v>919</v>
      </c>
    </row>
    <row r="2364" ht="12.75" customHeight="1">
      <c r="A2364" s="95" t="s">
        <v>2869</v>
      </c>
      <c r="B2364" s="96" t="s">
        <v>920</v>
      </c>
    </row>
    <row r="2365" ht="12.75" customHeight="1">
      <c r="A2365" s="95" t="s">
        <v>2869</v>
      </c>
      <c r="B2365" s="96" t="s">
        <v>921</v>
      </c>
    </row>
    <row r="2366" ht="12.75" customHeight="1">
      <c r="A2366" s="95" t="s">
        <v>2869</v>
      </c>
      <c r="B2366" s="96" t="s">
        <v>922</v>
      </c>
    </row>
    <row r="2367" ht="12.75" customHeight="1">
      <c r="A2367" s="95" t="s">
        <v>2869</v>
      </c>
      <c r="B2367" s="96" t="s">
        <v>923</v>
      </c>
    </row>
    <row r="2368" ht="12.75" customHeight="1">
      <c r="A2368" s="95" t="s">
        <v>2869</v>
      </c>
      <c r="B2368" s="96" t="s">
        <v>924</v>
      </c>
    </row>
    <row r="2369" ht="12.75" customHeight="1">
      <c r="A2369" s="95" t="s">
        <v>2869</v>
      </c>
      <c r="B2369" s="96" t="s">
        <v>925</v>
      </c>
    </row>
    <row r="2370" ht="12.75" customHeight="1">
      <c r="A2370" s="95" t="s">
        <v>2869</v>
      </c>
      <c r="B2370" s="96" t="s">
        <v>926</v>
      </c>
    </row>
    <row r="2371" ht="12.75" customHeight="1">
      <c r="A2371" s="95" t="s">
        <v>2869</v>
      </c>
      <c r="B2371" s="96" t="s">
        <v>984</v>
      </c>
    </row>
    <row r="2372" ht="12.75" customHeight="1">
      <c r="A2372" s="95" t="s">
        <v>2869</v>
      </c>
      <c r="B2372" s="96" t="s">
        <v>985</v>
      </c>
    </row>
    <row r="2373" ht="12.75" customHeight="1">
      <c r="A2373" s="95" t="s">
        <v>2869</v>
      </c>
      <c r="B2373" s="96" t="s">
        <v>986</v>
      </c>
    </row>
    <row r="2374" ht="12.75" customHeight="1">
      <c r="A2374" s="95" t="s">
        <v>2869</v>
      </c>
      <c r="B2374" s="96" t="s">
        <v>987</v>
      </c>
    </row>
    <row r="2375" ht="12.75" customHeight="1">
      <c r="A2375" s="95" t="s">
        <v>2869</v>
      </c>
      <c r="B2375" s="96" t="s">
        <v>988</v>
      </c>
    </row>
    <row r="2376" ht="12.75" customHeight="1">
      <c r="A2376" s="95" t="s">
        <v>2869</v>
      </c>
      <c r="B2376" s="96" t="s">
        <v>989</v>
      </c>
    </row>
    <row r="2377" ht="12.75" customHeight="1">
      <c r="A2377" s="95" t="s">
        <v>2869</v>
      </c>
      <c r="B2377" s="96" t="s">
        <v>990</v>
      </c>
    </row>
    <row r="2378" ht="12.75" customHeight="1">
      <c r="A2378" s="95" t="s">
        <v>2869</v>
      </c>
      <c r="B2378" s="96" t="s">
        <v>991</v>
      </c>
    </row>
    <row r="2379" ht="12.75" customHeight="1">
      <c r="A2379" s="95" t="s">
        <v>2869</v>
      </c>
      <c r="B2379" s="96" t="s">
        <v>992</v>
      </c>
    </row>
    <row r="2380" ht="12.75" customHeight="1">
      <c r="A2380" s="95" t="s">
        <v>2869</v>
      </c>
      <c r="B2380" s="96" t="s">
        <v>993</v>
      </c>
    </row>
    <row r="2381" ht="12.75" customHeight="1">
      <c r="A2381" s="95" t="s">
        <v>2869</v>
      </c>
      <c r="B2381" s="96" t="s">
        <v>994</v>
      </c>
    </row>
    <row r="2382" ht="12.75" customHeight="1">
      <c r="A2382" s="95" t="s">
        <v>2869</v>
      </c>
      <c r="B2382" s="96" t="s">
        <v>995</v>
      </c>
    </row>
    <row r="2383" ht="12.75" customHeight="1">
      <c r="A2383" s="95" t="s">
        <v>2869</v>
      </c>
      <c r="B2383" s="96" t="s">
        <v>996</v>
      </c>
    </row>
    <row r="2384" ht="12.75" customHeight="1">
      <c r="A2384" s="95" t="s">
        <v>2869</v>
      </c>
      <c r="B2384" s="96" t="s">
        <v>997</v>
      </c>
    </row>
    <row r="2385" ht="12.75" customHeight="1">
      <c r="A2385" s="95" t="s">
        <v>2869</v>
      </c>
      <c r="B2385" s="96" t="s">
        <v>998</v>
      </c>
    </row>
    <row r="2386" ht="12.75" customHeight="1">
      <c r="A2386" s="95" t="s">
        <v>2869</v>
      </c>
      <c r="B2386" s="96" t="s">
        <v>999</v>
      </c>
    </row>
    <row r="2387" ht="12.75" customHeight="1">
      <c r="A2387" s="95" t="s">
        <v>2869</v>
      </c>
      <c r="B2387" s="96" t="s">
        <v>1000</v>
      </c>
    </row>
    <row r="2388" ht="12.75" customHeight="1">
      <c r="A2388" s="95" t="s">
        <v>2869</v>
      </c>
      <c r="B2388" s="96" t="s">
        <v>1001</v>
      </c>
    </row>
    <row r="2389" ht="12.75" customHeight="1">
      <c r="A2389" s="95" t="s">
        <v>2869</v>
      </c>
      <c r="B2389" s="96" t="s">
        <v>1054</v>
      </c>
    </row>
    <row r="2390" ht="12.75" customHeight="1">
      <c r="A2390" s="95" t="s">
        <v>2869</v>
      </c>
      <c r="B2390" s="96" t="s">
        <v>1055</v>
      </c>
    </row>
    <row r="2391" ht="12.75" customHeight="1">
      <c r="A2391" s="95" t="s">
        <v>2869</v>
      </c>
      <c r="B2391" s="96" t="s">
        <v>1056</v>
      </c>
    </row>
    <row r="2392" ht="12.75" customHeight="1">
      <c r="A2392" s="95" t="s">
        <v>2869</v>
      </c>
      <c r="B2392" s="96" t="s">
        <v>1057</v>
      </c>
    </row>
    <row r="2393" ht="12.75" customHeight="1">
      <c r="A2393" s="95" t="s">
        <v>2869</v>
      </c>
      <c r="B2393" s="96" t="s">
        <v>1058</v>
      </c>
    </row>
    <row r="2394" ht="12.75" customHeight="1">
      <c r="A2394" s="95" t="s">
        <v>2869</v>
      </c>
      <c r="B2394" s="96" t="s">
        <v>1059</v>
      </c>
    </row>
    <row r="2395" ht="12.75" customHeight="1">
      <c r="A2395" s="95" t="s">
        <v>2869</v>
      </c>
      <c r="B2395" s="96" t="s">
        <v>1060</v>
      </c>
    </row>
    <row r="2396" ht="12.75" customHeight="1">
      <c r="A2396" s="95" t="s">
        <v>2869</v>
      </c>
      <c r="B2396" s="96" t="s">
        <v>1061</v>
      </c>
    </row>
    <row r="2397" ht="12.75" customHeight="1">
      <c r="A2397" s="95" t="s">
        <v>2869</v>
      </c>
      <c r="B2397" s="96" t="s">
        <v>1062</v>
      </c>
    </row>
    <row r="2398" ht="12.75" customHeight="1">
      <c r="A2398" s="95" t="s">
        <v>2869</v>
      </c>
      <c r="B2398" s="96" t="s">
        <v>1063</v>
      </c>
    </row>
    <row r="2399" ht="12.75" customHeight="1">
      <c r="A2399" s="95" t="s">
        <v>2869</v>
      </c>
      <c r="B2399" s="96" t="s">
        <v>1064</v>
      </c>
    </row>
    <row r="2400" ht="12.75" customHeight="1">
      <c r="A2400" s="95" t="s">
        <v>2869</v>
      </c>
      <c r="B2400" s="96" t="s">
        <v>1065</v>
      </c>
    </row>
    <row r="2401" ht="12.75" customHeight="1">
      <c r="A2401" s="95" t="s">
        <v>2869</v>
      </c>
      <c r="B2401" s="96" t="s">
        <v>1066</v>
      </c>
    </row>
    <row r="2402" ht="12.75" customHeight="1">
      <c r="A2402" s="95" t="s">
        <v>2869</v>
      </c>
      <c r="B2402" s="96" t="s">
        <v>1067</v>
      </c>
    </row>
    <row r="2403" ht="12.75" customHeight="1">
      <c r="A2403" s="95" t="s">
        <v>2869</v>
      </c>
      <c r="B2403" s="96" t="s">
        <v>1068</v>
      </c>
    </row>
    <row r="2404" ht="12.75" customHeight="1">
      <c r="A2404" s="95" t="s">
        <v>2869</v>
      </c>
      <c r="B2404" s="96" t="s">
        <v>1069</v>
      </c>
    </row>
    <row r="2405" ht="12.75" customHeight="1">
      <c r="A2405" s="95" t="s">
        <v>2869</v>
      </c>
      <c r="B2405" s="96" t="s">
        <v>1070</v>
      </c>
    </row>
    <row r="2406" ht="12.75" customHeight="1">
      <c r="A2406" s="95" t="s">
        <v>2869</v>
      </c>
      <c r="B2406" s="96" t="s">
        <v>1071</v>
      </c>
    </row>
    <row r="2407" ht="12.75" customHeight="1">
      <c r="A2407" s="95" t="s">
        <v>2869</v>
      </c>
      <c r="B2407" s="96" t="s">
        <v>1072</v>
      </c>
    </row>
    <row r="2408" ht="12.75" customHeight="1">
      <c r="A2408" s="95" t="s">
        <v>2869</v>
      </c>
      <c r="B2408" s="96" t="s">
        <v>1073</v>
      </c>
    </row>
    <row r="2409" ht="12.75" customHeight="1">
      <c r="A2409" s="95" t="s">
        <v>2869</v>
      </c>
      <c r="B2409" s="96" t="s">
        <v>1074</v>
      </c>
    </row>
    <row r="2410" ht="12.75" customHeight="1">
      <c r="A2410" s="95" t="s">
        <v>2869</v>
      </c>
      <c r="B2410" s="96" t="s">
        <v>1075</v>
      </c>
    </row>
    <row r="2411" ht="12.75" customHeight="1">
      <c r="A2411" s="95" t="s">
        <v>2869</v>
      </c>
      <c r="B2411" s="96" t="s">
        <v>1076</v>
      </c>
    </row>
    <row r="2412" ht="12.75" customHeight="1">
      <c r="A2412" s="95" t="s">
        <v>2869</v>
      </c>
      <c r="B2412" s="96" t="s">
        <v>1077</v>
      </c>
    </row>
    <row r="2413" ht="12.75" customHeight="1">
      <c r="A2413" s="95" t="s">
        <v>2869</v>
      </c>
      <c r="B2413" s="96" t="s">
        <v>1078</v>
      </c>
    </row>
    <row r="2414" ht="12.75" customHeight="1">
      <c r="A2414" s="95" t="s">
        <v>2869</v>
      </c>
      <c r="B2414" s="96" t="s">
        <v>1079</v>
      </c>
    </row>
    <row r="2415" ht="12.75" customHeight="1">
      <c r="A2415" s="95" t="s">
        <v>2869</v>
      </c>
      <c r="B2415" s="96" t="s">
        <v>1080</v>
      </c>
    </row>
    <row r="2416" ht="12.75" customHeight="1">
      <c r="A2416" s="95" t="s">
        <v>2869</v>
      </c>
      <c r="B2416" s="96" t="s">
        <v>1081</v>
      </c>
    </row>
    <row r="2417" ht="12.75" customHeight="1">
      <c r="A2417" s="95" t="s">
        <v>2869</v>
      </c>
      <c r="B2417" s="96" t="s">
        <v>1082</v>
      </c>
    </row>
    <row r="2418" ht="12.75" customHeight="1">
      <c r="A2418" s="95" t="s">
        <v>2869</v>
      </c>
      <c r="B2418" s="96" t="s">
        <v>1083</v>
      </c>
    </row>
    <row r="2419" ht="12.75" customHeight="1">
      <c r="A2419" s="95" t="s">
        <v>2869</v>
      </c>
      <c r="B2419" s="96" t="s">
        <v>1084</v>
      </c>
    </row>
    <row r="2420" ht="12.75" customHeight="1">
      <c r="A2420" s="95" t="s">
        <v>2869</v>
      </c>
      <c r="B2420" s="96" t="s">
        <v>1085</v>
      </c>
    </row>
    <row r="2421" ht="12.75" customHeight="1">
      <c r="A2421" s="95" t="s">
        <v>2869</v>
      </c>
      <c r="B2421" s="96" t="s">
        <v>1086</v>
      </c>
    </row>
    <row r="2422" ht="12.75" customHeight="1">
      <c r="A2422" s="95" t="s">
        <v>2869</v>
      </c>
      <c r="B2422" s="96" t="s">
        <v>1087</v>
      </c>
    </row>
    <row r="2423" ht="12.75" customHeight="1">
      <c r="A2423" s="95" t="s">
        <v>2869</v>
      </c>
      <c r="B2423" s="96" t="s">
        <v>1088</v>
      </c>
    </row>
    <row r="2424" ht="12.75" customHeight="1">
      <c r="A2424" s="95" t="s">
        <v>2869</v>
      </c>
      <c r="B2424" s="96" t="s">
        <v>1089</v>
      </c>
    </row>
    <row r="2425" ht="12.75" customHeight="1">
      <c r="A2425" s="95" t="s">
        <v>2869</v>
      </c>
      <c r="B2425" s="96" t="s">
        <v>1090</v>
      </c>
    </row>
    <row r="2426" ht="12.75" customHeight="1">
      <c r="A2426" s="95" t="s">
        <v>2869</v>
      </c>
      <c r="B2426" s="96" t="s">
        <v>1091</v>
      </c>
    </row>
    <row r="2427" ht="12.75" customHeight="1">
      <c r="A2427" s="95" t="s">
        <v>2869</v>
      </c>
      <c r="B2427" s="96" t="s">
        <v>1092</v>
      </c>
    </row>
    <row r="2428" ht="12.75" customHeight="1">
      <c r="A2428" s="95" t="s">
        <v>2869</v>
      </c>
      <c r="B2428" s="96" t="s">
        <v>1093</v>
      </c>
    </row>
    <row r="2429" ht="12.75" customHeight="1">
      <c r="A2429" s="95" t="s">
        <v>2869</v>
      </c>
      <c r="B2429" s="96" t="s">
        <v>1094</v>
      </c>
    </row>
    <row r="2430" ht="12.75" customHeight="1">
      <c r="A2430" s="95" t="s">
        <v>2869</v>
      </c>
      <c r="B2430" s="96" t="s">
        <v>1095</v>
      </c>
    </row>
    <row r="2431" ht="12.75" customHeight="1">
      <c r="A2431" s="95" t="s">
        <v>2870</v>
      </c>
      <c r="B2431" s="96">
        <v>0.0</v>
      </c>
    </row>
    <row r="2432" ht="12.75" customHeight="1">
      <c r="A2432" s="95" t="s">
        <v>2870</v>
      </c>
      <c r="B2432" s="96">
        <v>0.0</v>
      </c>
    </row>
    <row r="2433" ht="12.75" customHeight="1">
      <c r="A2433" s="95" t="s">
        <v>2870</v>
      </c>
      <c r="B2433" s="96">
        <v>2.0</v>
      </c>
    </row>
    <row r="2434" ht="12.75" customHeight="1">
      <c r="A2434" s="95" t="s">
        <v>2870</v>
      </c>
      <c r="B2434" s="96">
        <v>4.0</v>
      </c>
    </row>
    <row r="2435" ht="12.75" customHeight="1">
      <c r="A2435" s="95" t="s">
        <v>2870</v>
      </c>
      <c r="B2435" s="96">
        <v>6.0</v>
      </c>
    </row>
    <row r="2436" ht="12.75" customHeight="1">
      <c r="A2436" s="95" t="s">
        <v>2870</v>
      </c>
      <c r="B2436" s="96">
        <v>8.0</v>
      </c>
    </row>
    <row r="2437" ht="12.75" customHeight="1">
      <c r="A2437" s="95" t="s">
        <v>2870</v>
      </c>
      <c r="B2437" s="96">
        <v>10.0</v>
      </c>
    </row>
    <row r="2438" ht="12.75" customHeight="1">
      <c r="A2438" s="95" t="s">
        <v>2870</v>
      </c>
      <c r="B2438" s="96">
        <v>12.0</v>
      </c>
    </row>
    <row r="2439" ht="12.75" customHeight="1">
      <c r="A2439" s="95" t="s">
        <v>2870</v>
      </c>
      <c r="B2439" s="96" t="s">
        <v>803</v>
      </c>
    </row>
    <row r="2440" ht="12.75" customHeight="1">
      <c r="A2440" s="95" t="s">
        <v>2870</v>
      </c>
      <c r="B2440" s="96" t="s">
        <v>804</v>
      </c>
    </row>
    <row r="2441" ht="12.75" customHeight="1">
      <c r="A2441" s="95" t="s">
        <v>2870</v>
      </c>
      <c r="B2441" s="96" t="s">
        <v>76</v>
      </c>
    </row>
    <row r="2442" ht="12.75" customHeight="1">
      <c r="A2442" s="95" t="s">
        <v>2870</v>
      </c>
      <c r="B2442" s="96" t="s">
        <v>80</v>
      </c>
    </row>
    <row r="2443" ht="12.75" customHeight="1">
      <c r="A2443" s="95" t="s">
        <v>2870</v>
      </c>
      <c r="B2443" s="96" t="s">
        <v>83</v>
      </c>
    </row>
    <row r="2444" ht="12.75" customHeight="1">
      <c r="A2444" s="95" t="s">
        <v>2870</v>
      </c>
      <c r="B2444" s="96" t="s">
        <v>85</v>
      </c>
    </row>
    <row r="2445" ht="12.75" customHeight="1">
      <c r="A2445" s="95" t="s">
        <v>2870</v>
      </c>
      <c r="B2445" s="96">
        <v>14.0</v>
      </c>
    </row>
    <row r="2446" ht="12.75" customHeight="1">
      <c r="A2446" s="95" t="s">
        <v>2870</v>
      </c>
      <c r="B2446" s="96" t="s">
        <v>835</v>
      </c>
    </row>
    <row r="2447" ht="12.75" customHeight="1">
      <c r="A2447" s="95" t="s">
        <v>2870</v>
      </c>
      <c r="B2447" s="96">
        <v>16.0</v>
      </c>
    </row>
    <row r="2448" ht="12.75" customHeight="1">
      <c r="A2448" s="95" t="s">
        <v>2870</v>
      </c>
      <c r="B2448" s="96" t="s">
        <v>836</v>
      </c>
    </row>
    <row r="2449" ht="12.75" customHeight="1">
      <c r="A2449" s="95" t="s">
        <v>2870</v>
      </c>
      <c r="B2449" s="96">
        <v>18.0</v>
      </c>
    </row>
    <row r="2450" ht="12.75" customHeight="1">
      <c r="A2450" s="95" t="s">
        <v>2870</v>
      </c>
      <c r="B2450" s="96" t="s">
        <v>837</v>
      </c>
    </row>
    <row r="2451" ht="12.75" customHeight="1">
      <c r="A2451" s="95" t="s">
        <v>2870</v>
      </c>
      <c r="B2451" s="96">
        <v>20.0</v>
      </c>
    </row>
    <row r="2452" ht="12.75" customHeight="1">
      <c r="A2452" s="95" t="s">
        <v>2870</v>
      </c>
      <c r="B2452" s="96" t="s">
        <v>838</v>
      </c>
    </row>
    <row r="2453" ht="12.75" customHeight="1">
      <c r="A2453" s="95" t="s">
        <v>2870</v>
      </c>
      <c r="B2453" s="96">
        <v>22.0</v>
      </c>
    </row>
    <row r="2454" ht="12.75" customHeight="1">
      <c r="A2454" s="95" t="s">
        <v>2870</v>
      </c>
      <c r="B2454" s="96" t="s">
        <v>839</v>
      </c>
    </row>
    <row r="2455" ht="12.75" customHeight="1">
      <c r="A2455" s="95" t="s">
        <v>2870</v>
      </c>
      <c r="B2455" s="96">
        <v>24.0</v>
      </c>
    </row>
    <row r="2456" ht="12.75" customHeight="1">
      <c r="A2456" s="95" t="s">
        <v>2870</v>
      </c>
      <c r="B2456" s="96" t="s">
        <v>840</v>
      </c>
    </row>
    <row r="2457" ht="12.75" customHeight="1">
      <c r="A2457" s="95" t="s">
        <v>2870</v>
      </c>
      <c r="B2457" s="96">
        <v>26.0</v>
      </c>
    </row>
    <row r="2458" ht="12.75" customHeight="1">
      <c r="A2458" s="95" t="s">
        <v>2870</v>
      </c>
      <c r="B2458" s="96" t="s">
        <v>841</v>
      </c>
    </row>
    <row r="2459" ht="12.75" customHeight="1">
      <c r="A2459" s="95" t="s">
        <v>2870</v>
      </c>
      <c r="B2459" s="96">
        <v>28.0</v>
      </c>
    </row>
    <row r="2460" ht="12.75" customHeight="1">
      <c r="A2460" s="95" t="s">
        <v>2870</v>
      </c>
      <c r="B2460" s="96" t="s">
        <v>842</v>
      </c>
    </row>
    <row r="2461" ht="12.75" customHeight="1">
      <c r="A2461" s="95" t="s">
        <v>2870</v>
      </c>
      <c r="B2461" s="96">
        <v>30.0</v>
      </c>
    </row>
    <row r="2462" ht="12.75" customHeight="1">
      <c r="A2462" s="95" t="s">
        <v>2870</v>
      </c>
      <c r="B2462" s="96" t="s">
        <v>843</v>
      </c>
    </row>
    <row r="2463" ht="12.75" customHeight="1">
      <c r="A2463" s="95" t="s">
        <v>2870</v>
      </c>
      <c r="B2463" s="96">
        <v>32.0</v>
      </c>
    </row>
    <row r="2464" ht="12.75" customHeight="1">
      <c r="A2464" s="95" t="s">
        <v>2870</v>
      </c>
      <c r="B2464" s="96" t="s">
        <v>844</v>
      </c>
    </row>
    <row r="2465" ht="12.75" customHeight="1">
      <c r="A2465" s="95" t="s">
        <v>2870</v>
      </c>
      <c r="B2465" s="96" t="s">
        <v>845</v>
      </c>
    </row>
    <row r="2466" ht="12.75" customHeight="1">
      <c r="A2466" s="95" t="s">
        <v>2870</v>
      </c>
      <c r="B2466" s="96" t="s">
        <v>846</v>
      </c>
    </row>
    <row r="2467" ht="12.75" customHeight="1">
      <c r="A2467" s="95" t="s">
        <v>2870</v>
      </c>
      <c r="B2467" s="96" t="s">
        <v>847</v>
      </c>
    </row>
    <row r="2468" ht="12.75" customHeight="1">
      <c r="A2468" s="95" t="s">
        <v>2870</v>
      </c>
      <c r="B2468" s="96" t="s">
        <v>848</v>
      </c>
    </row>
    <row r="2469" ht="12.75" customHeight="1">
      <c r="A2469" s="95" t="s">
        <v>2870</v>
      </c>
      <c r="B2469" s="96" t="s">
        <v>849</v>
      </c>
    </row>
    <row r="2470" ht="12.75" customHeight="1">
      <c r="A2470" s="95" t="s">
        <v>2870</v>
      </c>
      <c r="B2470" s="96" t="s">
        <v>850</v>
      </c>
    </row>
    <row r="2471" ht="12.75" customHeight="1">
      <c r="A2471" s="95" t="s">
        <v>2870</v>
      </c>
      <c r="B2471" s="96" t="s">
        <v>851</v>
      </c>
    </row>
    <row r="2472" ht="12.75" customHeight="1">
      <c r="A2472" s="95" t="s">
        <v>2870</v>
      </c>
      <c r="B2472" s="96" t="s">
        <v>852</v>
      </c>
    </row>
    <row r="2473" ht="12.75" customHeight="1">
      <c r="A2473" s="95" t="s">
        <v>2870</v>
      </c>
      <c r="B2473" s="96" t="s">
        <v>908</v>
      </c>
    </row>
    <row r="2474" ht="12.75" customHeight="1">
      <c r="A2474" s="95" t="s">
        <v>2870</v>
      </c>
      <c r="B2474" s="96" t="s">
        <v>909</v>
      </c>
    </row>
    <row r="2475" ht="12.75" customHeight="1">
      <c r="A2475" s="95" t="s">
        <v>2870</v>
      </c>
      <c r="B2475" s="96" t="s">
        <v>910</v>
      </c>
    </row>
    <row r="2476" ht="12.75" customHeight="1">
      <c r="A2476" s="95" t="s">
        <v>2870</v>
      </c>
      <c r="B2476" s="96" t="s">
        <v>911</v>
      </c>
    </row>
    <row r="2477" ht="12.75" customHeight="1">
      <c r="A2477" s="95" t="s">
        <v>2870</v>
      </c>
      <c r="B2477" s="96" t="s">
        <v>912</v>
      </c>
    </row>
    <row r="2478" ht="12.75" customHeight="1">
      <c r="A2478" s="95" t="s">
        <v>2870</v>
      </c>
      <c r="B2478" s="96" t="s">
        <v>913</v>
      </c>
    </row>
    <row r="2479" ht="12.75" customHeight="1">
      <c r="A2479" s="95" t="s">
        <v>2870</v>
      </c>
      <c r="B2479" s="96" t="s">
        <v>914</v>
      </c>
    </row>
    <row r="2480" ht="12.75" customHeight="1">
      <c r="A2480" s="95" t="s">
        <v>2870</v>
      </c>
      <c r="B2480" s="96" t="s">
        <v>915</v>
      </c>
    </row>
    <row r="2481" ht="12.75" customHeight="1">
      <c r="A2481" s="95" t="s">
        <v>2870</v>
      </c>
      <c r="B2481" s="96" t="s">
        <v>916</v>
      </c>
    </row>
    <row r="2482" ht="12.75" customHeight="1">
      <c r="A2482" s="95" t="s">
        <v>2870</v>
      </c>
      <c r="B2482" s="96" t="s">
        <v>917</v>
      </c>
    </row>
    <row r="2483" ht="12.75" customHeight="1">
      <c r="A2483" s="95" t="s">
        <v>2870</v>
      </c>
      <c r="B2483" s="96" t="s">
        <v>918</v>
      </c>
    </row>
    <row r="2484" ht="12.75" customHeight="1">
      <c r="A2484" s="95" t="s">
        <v>2870</v>
      </c>
      <c r="B2484" s="96" t="s">
        <v>919</v>
      </c>
    </row>
    <row r="2485" ht="12.75" customHeight="1">
      <c r="A2485" s="95" t="s">
        <v>2870</v>
      </c>
      <c r="B2485" s="96" t="s">
        <v>920</v>
      </c>
    </row>
    <row r="2486" ht="12.75" customHeight="1">
      <c r="A2486" s="95" t="s">
        <v>2870</v>
      </c>
      <c r="B2486" s="96" t="s">
        <v>921</v>
      </c>
    </row>
    <row r="2487" ht="12.75" customHeight="1">
      <c r="A2487" s="95" t="s">
        <v>2870</v>
      </c>
      <c r="B2487" s="96" t="s">
        <v>922</v>
      </c>
    </row>
    <row r="2488" ht="12.75" customHeight="1">
      <c r="A2488" s="95" t="s">
        <v>2870</v>
      </c>
      <c r="B2488" s="96" t="s">
        <v>923</v>
      </c>
    </row>
    <row r="2489" ht="12.75" customHeight="1">
      <c r="A2489" s="95" t="s">
        <v>2870</v>
      </c>
      <c r="B2489" s="96" t="s">
        <v>924</v>
      </c>
    </row>
    <row r="2490" ht="12.75" customHeight="1">
      <c r="A2490" s="95" t="s">
        <v>2870</v>
      </c>
      <c r="B2490" s="96" t="s">
        <v>925</v>
      </c>
    </row>
    <row r="2491" ht="12.75" customHeight="1">
      <c r="A2491" s="95" t="s">
        <v>2870</v>
      </c>
      <c r="B2491" s="96" t="s">
        <v>926</v>
      </c>
    </row>
    <row r="2492" ht="12.75" customHeight="1">
      <c r="A2492" s="95" t="s">
        <v>2870</v>
      </c>
      <c r="B2492" s="96" t="s">
        <v>984</v>
      </c>
    </row>
    <row r="2493" ht="12.75" customHeight="1">
      <c r="A2493" s="95" t="s">
        <v>2870</v>
      </c>
      <c r="B2493" s="96" t="s">
        <v>985</v>
      </c>
    </row>
    <row r="2494" ht="12.75" customHeight="1">
      <c r="A2494" s="95" t="s">
        <v>2870</v>
      </c>
      <c r="B2494" s="96" t="s">
        <v>986</v>
      </c>
    </row>
    <row r="2495" ht="12.75" customHeight="1">
      <c r="A2495" s="95" t="s">
        <v>2870</v>
      </c>
      <c r="B2495" s="96" t="s">
        <v>987</v>
      </c>
    </row>
    <row r="2496" ht="12.75" customHeight="1">
      <c r="A2496" s="95" t="s">
        <v>2870</v>
      </c>
      <c r="B2496" s="96" t="s">
        <v>988</v>
      </c>
    </row>
    <row r="2497" ht="12.75" customHeight="1">
      <c r="A2497" s="95" t="s">
        <v>2870</v>
      </c>
      <c r="B2497" s="96" t="s">
        <v>989</v>
      </c>
    </row>
    <row r="2498" ht="12.75" customHeight="1">
      <c r="A2498" s="95" t="s">
        <v>2870</v>
      </c>
      <c r="B2498" s="96" t="s">
        <v>990</v>
      </c>
    </row>
    <row r="2499" ht="12.75" customHeight="1">
      <c r="A2499" s="95" t="s">
        <v>2870</v>
      </c>
      <c r="B2499" s="96" t="s">
        <v>991</v>
      </c>
    </row>
    <row r="2500" ht="12.75" customHeight="1">
      <c r="A2500" s="95" t="s">
        <v>2870</v>
      </c>
      <c r="B2500" s="96" t="s">
        <v>992</v>
      </c>
    </row>
    <row r="2501" ht="12.75" customHeight="1">
      <c r="A2501" s="95" t="s">
        <v>2870</v>
      </c>
      <c r="B2501" s="96" t="s">
        <v>993</v>
      </c>
    </row>
    <row r="2502" ht="12.75" customHeight="1">
      <c r="A2502" s="95" t="s">
        <v>2870</v>
      </c>
      <c r="B2502" s="96" t="s">
        <v>994</v>
      </c>
    </row>
    <row r="2503" ht="12.75" customHeight="1">
      <c r="A2503" s="95" t="s">
        <v>2870</v>
      </c>
      <c r="B2503" s="96" t="s">
        <v>995</v>
      </c>
    </row>
    <row r="2504" ht="12.75" customHeight="1">
      <c r="A2504" s="95" t="s">
        <v>2870</v>
      </c>
      <c r="B2504" s="96" t="s">
        <v>996</v>
      </c>
    </row>
    <row r="2505" ht="12.75" customHeight="1">
      <c r="A2505" s="95" t="s">
        <v>2870</v>
      </c>
      <c r="B2505" s="96" t="s">
        <v>997</v>
      </c>
    </row>
    <row r="2506" ht="12.75" customHeight="1">
      <c r="A2506" s="95" t="s">
        <v>2870</v>
      </c>
      <c r="B2506" s="96" t="s">
        <v>998</v>
      </c>
    </row>
    <row r="2507" ht="12.75" customHeight="1">
      <c r="A2507" s="95" t="s">
        <v>2870</v>
      </c>
      <c r="B2507" s="96" t="s">
        <v>999</v>
      </c>
    </row>
    <row r="2508" ht="12.75" customHeight="1">
      <c r="A2508" s="95" t="s">
        <v>2870</v>
      </c>
      <c r="B2508" s="96" t="s">
        <v>1000</v>
      </c>
    </row>
    <row r="2509" ht="12.75" customHeight="1">
      <c r="A2509" s="95" t="s">
        <v>2870</v>
      </c>
      <c r="B2509" s="96" t="s">
        <v>1001</v>
      </c>
    </row>
    <row r="2510" ht="12.75" customHeight="1">
      <c r="A2510" s="95" t="s">
        <v>2870</v>
      </c>
      <c r="B2510" s="96" t="s">
        <v>1054</v>
      </c>
    </row>
    <row r="2511" ht="12.75" customHeight="1">
      <c r="A2511" s="95" t="s">
        <v>2870</v>
      </c>
      <c r="B2511" s="96" t="s">
        <v>1055</v>
      </c>
    </row>
    <row r="2512" ht="12.75" customHeight="1">
      <c r="A2512" s="95" t="s">
        <v>2870</v>
      </c>
      <c r="B2512" s="96" t="s">
        <v>1056</v>
      </c>
    </row>
    <row r="2513" ht="12.75" customHeight="1">
      <c r="A2513" s="95" t="s">
        <v>2870</v>
      </c>
      <c r="B2513" s="96" t="s">
        <v>1057</v>
      </c>
    </row>
    <row r="2514" ht="12.75" customHeight="1">
      <c r="A2514" s="95" t="s">
        <v>2870</v>
      </c>
      <c r="B2514" s="96" t="s">
        <v>1058</v>
      </c>
    </row>
    <row r="2515" ht="12.75" customHeight="1">
      <c r="A2515" s="95" t="s">
        <v>2870</v>
      </c>
      <c r="B2515" s="96" t="s">
        <v>1059</v>
      </c>
    </row>
    <row r="2516" ht="12.75" customHeight="1">
      <c r="A2516" s="95" t="s">
        <v>2870</v>
      </c>
      <c r="B2516" s="96" t="s">
        <v>1060</v>
      </c>
    </row>
    <row r="2517" ht="12.75" customHeight="1">
      <c r="A2517" s="95" t="s">
        <v>2870</v>
      </c>
      <c r="B2517" s="96" t="s">
        <v>1061</v>
      </c>
    </row>
    <row r="2518" ht="12.75" customHeight="1">
      <c r="A2518" s="95" t="s">
        <v>2870</v>
      </c>
      <c r="B2518" s="96" t="s">
        <v>1062</v>
      </c>
    </row>
    <row r="2519" ht="12.75" customHeight="1">
      <c r="A2519" s="95" t="s">
        <v>2870</v>
      </c>
      <c r="B2519" s="96" t="s">
        <v>1063</v>
      </c>
    </row>
    <row r="2520" ht="12.75" customHeight="1">
      <c r="A2520" s="95" t="s">
        <v>2870</v>
      </c>
      <c r="B2520" s="96" t="s">
        <v>1064</v>
      </c>
    </row>
    <row r="2521" ht="12.75" customHeight="1">
      <c r="A2521" s="95" t="s">
        <v>2870</v>
      </c>
      <c r="B2521" s="96" t="s">
        <v>1065</v>
      </c>
    </row>
    <row r="2522" ht="12.75" customHeight="1">
      <c r="A2522" s="95" t="s">
        <v>2870</v>
      </c>
      <c r="B2522" s="96" t="s">
        <v>1066</v>
      </c>
    </row>
    <row r="2523" ht="12.75" customHeight="1">
      <c r="A2523" s="95" t="s">
        <v>2870</v>
      </c>
      <c r="B2523" s="96" t="s">
        <v>1067</v>
      </c>
    </row>
    <row r="2524" ht="12.75" customHeight="1">
      <c r="A2524" s="95" t="s">
        <v>2870</v>
      </c>
      <c r="B2524" s="96" t="s">
        <v>1068</v>
      </c>
    </row>
    <row r="2525" ht="12.75" customHeight="1">
      <c r="A2525" s="95" t="s">
        <v>2870</v>
      </c>
      <c r="B2525" s="96" t="s">
        <v>1069</v>
      </c>
    </row>
    <row r="2526" ht="12.75" customHeight="1">
      <c r="A2526" s="95" t="s">
        <v>2870</v>
      </c>
      <c r="B2526" s="96" t="s">
        <v>1070</v>
      </c>
    </row>
    <row r="2527" ht="12.75" customHeight="1">
      <c r="A2527" s="95" t="s">
        <v>2870</v>
      </c>
      <c r="B2527" s="96" t="s">
        <v>1071</v>
      </c>
    </row>
    <row r="2528" ht="12.75" customHeight="1">
      <c r="A2528" s="95" t="s">
        <v>2870</v>
      </c>
      <c r="B2528" s="96" t="s">
        <v>1072</v>
      </c>
    </row>
    <row r="2529" ht="12.75" customHeight="1">
      <c r="A2529" s="95" t="s">
        <v>2870</v>
      </c>
      <c r="B2529" s="96" t="s">
        <v>1073</v>
      </c>
    </row>
    <row r="2530" ht="12.75" customHeight="1">
      <c r="A2530" s="95" t="s">
        <v>2870</v>
      </c>
      <c r="B2530" s="96" t="s">
        <v>1074</v>
      </c>
    </row>
    <row r="2531" ht="12.75" customHeight="1">
      <c r="A2531" s="95" t="s">
        <v>2870</v>
      </c>
      <c r="B2531" s="96" t="s">
        <v>1075</v>
      </c>
    </row>
    <row r="2532" ht="12.75" customHeight="1">
      <c r="A2532" s="95" t="s">
        <v>2870</v>
      </c>
      <c r="B2532" s="96" t="s">
        <v>1076</v>
      </c>
    </row>
    <row r="2533" ht="12.75" customHeight="1">
      <c r="A2533" s="95" t="s">
        <v>2870</v>
      </c>
      <c r="B2533" s="96" t="s">
        <v>1077</v>
      </c>
    </row>
    <row r="2534" ht="12.75" customHeight="1">
      <c r="A2534" s="95" t="s">
        <v>2870</v>
      </c>
      <c r="B2534" s="96" t="s">
        <v>1078</v>
      </c>
    </row>
    <row r="2535" ht="12.75" customHeight="1">
      <c r="A2535" s="95" t="s">
        <v>2870</v>
      </c>
      <c r="B2535" s="96" t="s">
        <v>1079</v>
      </c>
    </row>
    <row r="2536" ht="12.75" customHeight="1">
      <c r="A2536" s="95" t="s">
        <v>2870</v>
      </c>
      <c r="B2536" s="96" t="s">
        <v>1080</v>
      </c>
    </row>
    <row r="2537" ht="12.75" customHeight="1">
      <c r="A2537" s="95" t="s">
        <v>2870</v>
      </c>
      <c r="B2537" s="96" t="s">
        <v>1081</v>
      </c>
    </row>
    <row r="2538" ht="12.75" customHeight="1">
      <c r="A2538" s="95" t="s">
        <v>2870</v>
      </c>
      <c r="B2538" s="96" t="s">
        <v>1082</v>
      </c>
    </row>
    <row r="2539" ht="12.75" customHeight="1">
      <c r="A2539" s="95" t="s">
        <v>2870</v>
      </c>
      <c r="B2539" s="96" t="s">
        <v>1083</v>
      </c>
    </row>
    <row r="2540" ht="12.75" customHeight="1">
      <c r="A2540" s="95" t="s">
        <v>2870</v>
      </c>
      <c r="B2540" s="96" t="s">
        <v>1084</v>
      </c>
    </row>
    <row r="2541" ht="12.75" customHeight="1">
      <c r="A2541" s="95" t="s">
        <v>2870</v>
      </c>
      <c r="B2541" s="96" t="s">
        <v>1085</v>
      </c>
    </row>
    <row r="2542" ht="12.75" customHeight="1">
      <c r="A2542" s="95" t="s">
        <v>2870</v>
      </c>
      <c r="B2542" s="96" t="s">
        <v>1086</v>
      </c>
    </row>
    <row r="2543" ht="12.75" customHeight="1">
      <c r="A2543" s="95" t="s">
        <v>2870</v>
      </c>
      <c r="B2543" s="96" t="s">
        <v>1087</v>
      </c>
    </row>
    <row r="2544" ht="12.75" customHeight="1">
      <c r="A2544" s="95" t="s">
        <v>2870</v>
      </c>
      <c r="B2544" s="96" t="s">
        <v>1088</v>
      </c>
    </row>
    <row r="2545" ht="12.75" customHeight="1">
      <c r="A2545" s="95" t="s">
        <v>2870</v>
      </c>
      <c r="B2545" s="96" t="s">
        <v>1089</v>
      </c>
    </row>
    <row r="2546" ht="12.75" customHeight="1">
      <c r="A2546" s="95" t="s">
        <v>2870</v>
      </c>
      <c r="B2546" s="96" t="s">
        <v>1090</v>
      </c>
    </row>
    <row r="2547" ht="12.75" customHeight="1">
      <c r="A2547" s="95" t="s">
        <v>2870</v>
      </c>
      <c r="B2547" s="96" t="s">
        <v>1091</v>
      </c>
    </row>
    <row r="2548" ht="12.75" customHeight="1">
      <c r="A2548" s="95" t="s">
        <v>2870</v>
      </c>
      <c r="B2548" s="96" t="s">
        <v>1092</v>
      </c>
    </row>
    <row r="2549" ht="12.75" customHeight="1">
      <c r="A2549" s="95" t="s">
        <v>2870</v>
      </c>
      <c r="B2549" s="96" t="s">
        <v>1093</v>
      </c>
    </row>
    <row r="2550" ht="12.75" customHeight="1">
      <c r="A2550" s="95" t="s">
        <v>2870</v>
      </c>
      <c r="B2550" s="96" t="s">
        <v>1094</v>
      </c>
    </row>
    <row r="2551" ht="12.75" customHeight="1">
      <c r="A2551" s="95" t="s">
        <v>2870</v>
      </c>
      <c r="B2551" s="96" t="s">
        <v>1095</v>
      </c>
    </row>
    <row r="2552" ht="12.75" customHeight="1">
      <c r="A2552" s="95" t="s">
        <v>2871</v>
      </c>
      <c r="B2552" s="96">
        <v>0.0</v>
      </c>
    </row>
    <row r="2553" ht="12.75" customHeight="1">
      <c r="A2553" s="95" t="s">
        <v>2871</v>
      </c>
      <c r="B2553" s="96">
        <v>0.0</v>
      </c>
    </row>
    <row r="2554" ht="12.75" customHeight="1">
      <c r="A2554" s="95" t="s">
        <v>2871</v>
      </c>
      <c r="B2554" s="96">
        <v>2.0</v>
      </c>
    </row>
    <row r="2555" ht="12.75" customHeight="1">
      <c r="A2555" s="95" t="s">
        <v>2871</v>
      </c>
      <c r="B2555" s="96">
        <v>4.0</v>
      </c>
    </row>
    <row r="2556" ht="12.75" customHeight="1">
      <c r="A2556" s="95" t="s">
        <v>2871</v>
      </c>
      <c r="B2556" s="96">
        <v>6.0</v>
      </c>
    </row>
    <row r="2557" ht="12.75" customHeight="1">
      <c r="A2557" s="95" t="s">
        <v>2871</v>
      </c>
      <c r="B2557" s="96">
        <v>8.0</v>
      </c>
    </row>
    <row r="2558" ht="12.75" customHeight="1">
      <c r="A2558" s="95" t="s">
        <v>2871</v>
      </c>
      <c r="B2558" s="96">
        <v>10.0</v>
      </c>
    </row>
    <row r="2559" ht="12.75" customHeight="1">
      <c r="A2559" s="95" t="s">
        <v>2871</v>
      </c>
      <c r="B2559" s="96">
        <v>12.0</v>
      </c>
    </row>
    <row r="2560" ht="12.75" customHeight="1">
      <c r="A2560" s="95" t="s">
        <v>2871</v>
      </c>
      <c r="B2560" s="96" t="s">
        <v>803</v>
      </c>
    </row>
    <row r="2561" ht="12.75" customHeight="1">
      <c r="A2561" s="95" t="s">
        <v>2871</v>
      </c>
      <c r="B2561" s="96" t="s">
        <v>804</v>
      </c>
    </row>
    <row r="2562" ht="12.75" customHeight="1">
      <c r="A2562" s="95" t="s">
        <v>2871</v>
      </c>
      <c r="B2562" s="96" t="s">
        <v>76</v>
      </c>
    </row>
    <row r="2563" ht="12.75" customHeight="1">
      <c r="A2563" s="95" t="s">
        <v>2871</v>
      </c>
      <c r="B2563" s="96" t="s">
        <v>80</v>
      </c>
    </row>
    <row r="2564" ht="12.75" customHeight="1">
      <c r="A2564" s="95" t="s">
        <v>2871</v>
      </c>
      <c r="B2564" s="96" t="s">
        <v>83</v>
      </c>
    </row>
    <row r="2565" ht="12.75" customHeight="1">
      <c r="A2565" s="95" t="s">
        <v>2871</v>
      </c>
      <c r="B2565" s="96" t="s">
        <v>85</v>
      </c>
    </row>
    <row r="2566" ht="12.75" customHeight="1">
      <c r="A2566" s="95" t="s">
        <v>2871</v>
      </c>
      <c r="B2566" s="96">
        <v>14.0</v>
      </c>
    </row>
    <row r="2567" ht="12.75" customHeight="1">
      <c r="A2567" s="95" t="s">
        <v>2871</v>
      </c>
      <c r="B2567" s="96" t="s">
        <v>835</v>
      </c>
    </row>
    <row r="2568" ht="12.75" customHeight="1">
      <c r="A2568" s="95" t="s">
        <v>2871</v>
      </c>
      <c r="B2568" s="96">
        <v>16.0</v>
      </c>
    </row>
    <row r="2569" ht="12.75" customHeight="1">
      <c r="A2569" s="95" t="s">
        <v>2871</v>
      </c>
      <c r="B2569" s="96" t="s">
        <v>836</v>
      </c>
    </row>
    <row r="2570" ht="12.75" customHeight="1">
      <c r="A2570" s="95" t="s">
        <v>2871</v>
      </c>
      <c r="B2570" s="96">
        <v>18.0</v>
      </c>
    </row>
    <row r="2571" ht="12.75" customHeight="1">
      <c r="A2571" s="95" t="s">
        <v>2871</v>
      </c>
      <c r="B2571" s="96" t="s">
        <v>837</v>
      </c>
    </row>
    <row r="2572" ht="12.75" customHeight="1">
      <c r="A2572" s="95" t="s">
        <v>2871</v>
      </c>
      <c r="B2572" s="96">
        <v>20.0</v>
      </c>
    </row>
    <row r="2573" ht="12.75" customHeight="1">
      <c r="A2573" s="95" t="s">
        <v>2871</v>
      </c>
      <c r="B2573" s="96" t="s">
        <v>838</v>
      </c>
    </row>
    <row r="2574" ht="12.75" customHeight="1">
      <c r="A2574" s="95" t="s">
        <v>2871</v>
      </c>
      <c r="B2574" s="96">
        <v>22.0</v>
      </c>
    </row>
    <row r="2575" ht="12.75" customHeight="1">
      <c r="A2575" s="95" t="s">
        <v>2871</v>
      </c>
      <c r="B2575" s="96" t="s">
        <v>839</v>
      </c>
    </row>
    <row r="2576" ht="12.75" customHeight="1">
      <c r="A2576" s="95" t="s">
        <v>2871</v>
      </c>
      <c r="B2576" s="96">
        <v>24.0</v>
      </c>
    </row>
    <row r="2577" ht="12.75" customHeight="1">
      <c r="A2577" s="95" t="s">
        <v>2871</v>
      </c>
      <c r="B2577" s="96" t="s">
        <v>840</v>
      </c>
    </row>
    <row r="2578" ht="12.75" customHeight="1">
      <c r="A2578" s="95" t="s">
        <v>2871</v>
      </c>
      <c r="B2578" s="96">
        <v>26.0</v>
      </c>
    </row>
    <row r="2579" ht="12.75" customHeight="1">
      <c r="A2579" s="95" t="s">
        <v>2871</v>
      </c>
      <c r="B2579" s="96" t="s">
        <v>841</v>
      </c>
    </row>
    <row r="2580" ht="12.75" customHeight="1">
      <c r="A2580" s="95" t="s">
        <v>2871</v>
      </c>
      <c r="B2580" s="96">
        <v>28.0</v>
      </c>
    </row>
    <row r="2581" ht="12.75" customHeight="1">
      <c r="A2581" s="95" t="s">
        <v>2871</v>
      </c>
      <c r="B2581" s="96" t="s">
        <v>842</v>
      </c>
    </row>
    <row r="2582" ht="12.75" customHeight="1">
      <c r="A2582" s="95" t="s">
        <v>2871</v>
      </c>
      <c r="B2582" s="96">
        <v>30.0</v>
      </c>
    </row>
    <row r="2583" ht="12.75" customHeight="1">
      <c r="A2583" s="95" t="s">
        <v>2871</v>
      </c>
      <c r="B2583" s="96" t="s">
        <v>843</v>
      </c>
    </row>
    <row r="2584" ht="12.75" customHeight="1">
      <c r="A2584" s="95" t="s">
        <v>2871</v>
      </c>
      <c r="B2584" s="96">
        <v>32.0</v>
      </c>
    </row>
    <row r="2585" ht="12.75" customHeight="1">
      <c r="A2585" s="95" t="s">
        <v>2871</v>
      </c>
      <c r="B2585" s="96" t="s">
        <v>844</v>
      </c>
    </row>
    <row r="2586" ht="12.75" customHeight="1">
      <c r="A2586" s="95" t="s">
        <v>2871</v>
      </c>
      <c r="B2586" s="96" t="s">
        <v>845</v>
      </c>
    </row>
    <row r="2587" ht="12.75" customHeight="1">
      <c r="A2587" s="95" t="s">
        <v>2871</v>
      </c>
      <c r="B2587" s="96" t="s">
        <v>846</v>
      </c>
    </row>
    <row r="2588" ht="12.75" customHeight="1">
      <c r="A2588" s="95" t="s">
        <v>2871</v>
      </c>
      <c r="B2588" s="96" t="s">
        <v>847</v>
      </c>
    </row>
    <row r="2589" ht="12.75" customHeight="1">
      <c r="A2589" s="95" t="s">
        <v>2871</v>
      </c>
      <c r="B2589" s="96" t="s">
        <v>848</v>
      </c>
    </row>
    <row r="2590" ht="12.75" customHeight="1">
      <c r="A2590" s="95" t="s">
        <v>2871</v>
      </c>
      <c r="B2590" s="96" t="s">
        <v>849</v>
      </c>
    </row>
    <row r="2591" ht="12.75" customHeight="1">
      <c r="A2591" s="95" t="s">
        <v>2871</v>
      </c>
      <c r="B2591" s="96" t="s">
        <v>850</v>
      </c>
    </row>
    <row r="2592" ht="12.75" customHeight="1">
      <c r="A2592" s="95" t="s">
        <v>2871</v>
      </c>
      <c r="B2592" s="96" t="s">
        <v>851</v>
      </c>
    </row>
    <row r="2593" ht="12.75" customHeight="1">
      <c r="A2593" s="95" t="s">
        <v>2871</v>
      </c>
      <c r="B2593" s="96" t="s">
        <v>852</v>
      </c>
    </row>
    <row r="2594" ht="12.75" customHeight="1">
      <c r="A2594" s="95" t="s">
        <v>2871</v>
      </c>
      <c r="B2594" s="96" t="s">
        <v>908</v>
      </c>
    </row>
    <row r="2595" ht="12.75" customHeight="1">
      <c r="A2595" s="95" t="s">
        <v>2871</v>
      </c>
      <c r="B2595" s="96" t="s">
        <v>909</v>
      </c>
    </row>
    <row r="2596" ht="12.75" customHeight="1">
      <c r="A2596" s="95" t="s">
        <v>2871</v>
      </c>
      <c r="B2596" s="96" t="s">
        <v>910</v>
      </c>
    </row>
    <row r="2597" ht="12.75" customHeight="1">
      <c r="A2597" s="95" t="s">
        <v>2871</v>
      </c>
      <c r="B2597" s="96" t="s">
        <v>911</v>
      </c>
    </row>
    <row r="2598" ht="12.75" customHeight="1">
      <c r="A2598" s="95" t="s">
        <v>2871</v>
      </c>
      <c r="B2598" s="96" t="s">
        <v>912</v>
      </c>
    </row>
    <row r="2599" ht="12.75" customHeight="1">
      <c r="A2599" s="95" t="s">
        <v>2871</v>
      </c>
      <c r="B2599" s="96" t="s">
        <v>913</v>
      </c>
    </row>
    <row r="2600" ht="12.75" customHeight="1">
      <c r="A2600" s="95" t="s">
        <v>2871</v>
      </c>
      <c r="B2600" s="96" t="s">
        <v>914</v>
      </c>
    </row>
    <row r="2601" ht="12.75" customHeight="1">
      <c r="A2601" s="95" t="s">
        <v>2871</v>
      </c>
      <c r="B2601" s="96" t="s">
        <v>915</v>
      </c>
    </row>
    <row r="2602" ht="12.75" customHeight="1">
      <c r="A2602" s="95" t="s">
        <v>2871</v>
      </c>
      <c r="B2602" s="96" t="s">
        <v>916</v>
      </c>
    </row>
    <row r="2603" ht="12.75" customHeight="1">
      <c r="A2603" s="95" t="s">
        <v>2871</v>
      </c>
      <c r="B2603" s="96" t="s">
        <v>917</v>
      </c>
    </row>
    <row r="2604" ht="12.75" customHeight="1">
      <c r="A2604" s="95" t="s">
        <v>2871</v>
      </c>
      <c r="B2604" s="96" t="s">
        <v>918</v>
      </c>
    </row>
    <row r="2605" ht="12.75" customHeight="1">
      <c r="A2605" s="95" t="s">
        <v>2871</v>
      </c>
      <c r="B2605" s="96" t="s">
        <v>919</v>
      </c>
    </row>
    <row r="2606" ht="12.75" customHeight="1">
      <c r="A2606" s="95" t="s">
        <v>2871</v>
      </c>
      <c r="B2606" s="96" t="s">
        <v>920</v>
      </c>
    </row>
    <row r="2607" ht="12.75" customHeight="1">
      <c r="A2607" s="95" t="s">
        <v>2871</v>
      </c>
      <c r="B2607" s="96" t="s">
        <v>921</v>
      </c>
    </row>
    <row r="2608" ht="12.75" customHeight="1">
      <c r="A2608" s="95" t="s">
        <v>2871</v>
      </c>
      <c r="B2608" s="96" t="s">
        <v>922</v>
      </c>
    </row>
    <row r="2609" ht="12.75" customHeight="1">
      <c r="A2609" s="95" t="s">
        <v>2871</v>
      </c>
      <c r="B2609" s="96" t="s">
        <v>923</v>
      </c>
    </row>
    <row r="2610" ht="12.75" customHeight="1">
      <c r="A2610" s="95" t="s">
        <v>2871</v>
      </c>
      <c r="B2610" s="96" t="s">
        <v>924</v>
      </c>
    </row>
    <row r="2611" ht="12.75" customHeight="1">
      <c r="A2611" s="95" t="s">
        <v>2871</v>
      </c>
      <c r="B2611" s="96" t="s">
        <v>925</v>
      </c>
    </row>
    <row r="2612" ht="12.75" customHeight="1">
      <c r="A2612" s="95" t="s">
        <v>2871</v>
      </c>
      <c r="B2612" s="96" t="s">
        <v>926</v>
      </c>
    </row>
    <row r="2613" ht="12.75" customHeight="1">
      <c r="A2613" s="95" t="s">
        <v>2871</v>
      </c>
      <c r="B2613" s="96" t="s">
        <v>984</v>
      </c>
    </row>
    <row r="2614" ht="12.75" customHeight="1">
      <c r="A2614" s="95" t="s">
        <v>2871</v>
      </c>
      <c r="B2614" s="96" t="s">
        <v>985</v>
      </c>
    </row>
    <row r="2615" ht="12.75" customHeight="1">
      <c r="A2615" s="95" t="s">
        <v>2871</v>
      </c>
      <c r="B2615" s="96" t="s">
        <v>986</v>
      </c>
    </row>
    <row r="2616" ht="12.75" customHeight="1">
      <c r="A2616" s="95" t="s">
        <v>2871</v>
      </c>
      <c r="B2616" s="96" t="s">
        <v>987</v>
      </c>
    </row>
    <row r="2617" ht="12.75" customHeight="1">
      <c r="A2617" s="95" t="s">
        <v>2871</v>
      </c>
      <c r="B2617" s="96" t="s">
        <v>988</v>
      </c>
    </row>
    <row r="2618" ht="12.75" customHeight="1">
      <c r="A2618" s="95" t="s">
        <v>2871</v>
      </c>
      <c r="B2618" s="96" t="s">
        <v>989</v>
      </c>
    </row>
    <row r="2619" ht="12.75" customHeight="1">
      <c r="A2619" s="95" t="s">
        <v>2871</v>
      </c>
      <c r="B2619" s="96" t="s">
        <v>990</v>
      </c>
    </row>
    <row r="2620" ht="12.75" customHeight="1">
      <c r="A2620" s="95" t="s">
        <v>2871</v>
      </c>
      <c r="B2620" s="96" t="s">
        <v>991</v>
      </c>
    </row>
    <row r="2621" ht="12.75" customHeight="1">
      <c r="A2621" s="95" t="s">
        <v>2871</v>
      </c>
      <c r="B2621" s="96" t="s">
        <v>992</v>
      </c>
    </row>
    <row r="2622" ht="12.75" customHeight="1">
      <c r="A2622" s="95" t="s">
        <v>2871</v>
      </c>
      <c r="B2622" s="96" t="s">
        <v>993</v>
      </c>
    </row>
    <row r="2623" ht="12.75" customHeight="1">
      <c r="A2623" s="95" t="s">
        <v>2871</v>
      </c>
      <c r="B2623" s="96" t="s">
        <v>994</v>
      </c>
    </row>
    <row r="2624" ht="12.75" customHeight="1">
      <c r="A2624" s="95" t="s">
        <v>2871</v>
      </c>
      <c r="B2624" s="96" t="s">
        <v>995</v>
      </c>
    </row>
    <row r="2625" ht="12.75" customHeight="1">
      <c r="A2625" s="95" t="s">
        <v>2871</v>
      </c>
      <c r="B2625" s="96" t="s">
        <v>996</v>
      </c>
    </row>
    <row r="2626" ht="12.75" customHeight="1">
      <c r="A2626" s="95" t="s">
        <v>2871</v>
      </c>
      <c r="B2626" s="96" t="s">
        <v>997</v>
      </c>
    </row>
    <row r="2627" ht="12.75" customHeight="1">
      <c r="A2627" s="95" t="s">
        <v>2871</v>
      </c>
      <c r="B2627" s="96" t="s">
        <v>998</v>
      </c>
    </row>
    <row r="2628" ht="12.75" customHeight="1">
      <c r="A2628" s="95" t="s">
        <v>2871</v>
      </c>
      <c r="B2628" s="96" t="s">
        <v>999</v>
      </c>
    </row>
    <row r="2629" ht="12.75" customHeight="1">
      <c r="A2629" s="95" t="s">
        <v>2871</v>
      </c>
      <c r="B2629" s="96" t="s">
        <v>1000</v>
      </c>
    </row>
    <row r="2630" ht="12.75" customHeight="1">
      <c r="A2630" s="95" t="s">
        <v>2871</v>
      </c>
      <c r="B2630" s="96" t="s">
        <v>1001</v>
      </c>
    </row>
    <row r="2631" ht="12.75" customHeight="1">
      <c r="A2631" s="95" t="s">
        <v>2871</v>
      </c>
      <c r="B2631" s="96" t="s">
        <v>1054</v>
      </c>
    </row>
    <row r="2632" ht="12.75" customHeight="1">
      <c r="A2632" s="95" t="s">
        <v>2871</v>
      </c>
      <c r="B2632" s="96" t="s">
        <v>1055</v>
      </c>
    </row>
    <row r="2633" ht="12.75" customHeight="1">
      <c r="A2633" s="95" t="s">
        <v>2871</v>
      </c>
      <c r="B2633" s="96" t="s">
        <v>1056</v>
      </c>
    </row>
    <row r="2634" ht="12.75" customHeight="1">
      <c r="A2634" s="95" t="s">
        <v>2871</v>
      </c>
      <c r="B2634" s="96" t="s">
        <v>1057</v>
      </c>
    </row>
    <row r="2635" ht="12.75" customHeight="1">
      <c r="A2635" s="95" t="s">
        <v>2871</v>
      </c>
      <c r="B2635" s="96" t="s">
        <v>1058</v>
      </c>
    </row>
    <row r="2636" ht="12.75" customHeight="1">
      <c r="A2636" s="95" t="s">
        <v>2871</v>
      </c>
      <c r="B2636" s="96" t="s">
        <v>1059</v>
      </c>
    </row>
    <row r="2637" ht="12.75" customHeight="1">
      <c r="A2637" s="95" t="s">
        <v>2871</v>
      </c>
      <c r="B2637" s="96" t="s">
        <v>1060</v>
      </c>
    </row>
    <row r="2638" ht="12.75" customHeight="1">
      <c r="A2638" s="95" t="s">
        <v>2871</v>
      </c>
      <c r="B2638" s="96" t="s">
        <v>1061</v>
      </c>
    </row>
    <row r="2639" ht="12.75" customHeight="1">
      <c r="A2639" s="95" t="s">
        <v>2871</v>
      </c>
      <c r="B2639" s="96" t="s">
        <v>1062</v>
      </c>
    </row>
    <row r="2640" ht="12.75" customHeight="1">
      <c r="A2640" s="95" t="s">
        <v>2871</v>
      </c>
      <c r="B2640" s="96" t="s">
        <v>1063</v>
      </c>
    </row>
    <row r="2641" ht="12.75" customHeight="1">
      <c r="A2641" s="95" t="s">
        <v>2871</v>
      </c>
      <c r="B2641" s="96" t="s">
        <v>1064</v>
      </c>
    </row>
    <row r="2642" ht="12.75" customHeight="1">
      <c r="A2642" s="95" t="s">
        <v>2871</v>
      </c>
      <c r="B2642" s="96" t="s">
        <v>1065</v>
      </c>
    </row>
    <row r="2643" ht="12.75" customHeight="1">
      <c r="A2643" s="95" t="s">
        <v>2871</v>
      </c>
      <c r="B2643" s="96" t="s">
        <v>1066</v>
      </c>
    </row>
    <row r="2644" ht="12.75" customHeight="1">
      <c r="A2644" s="95" t="s">
        <v>2871</v>
      </c>
      <c r="B2644" s="96" t="s">
        <v>1067</v>
      </c>
    </row>
    <row r="2645" ht="12.75" customHeight="1">
      <c r="A2645" s="95" t="s">
        <v>2871</v>
      </c>
      <c r="B2645" s="96" t="s">
        <v>1068</v>
      </c>
    </row>
    <row r="2646" ht="12.75" customHeight="1">
      <c r="A2646" s="95" t="s">
        <v>2871</v>
      </c>
      <c r="B2646" s="96" t="s">
        <v>1069</v>
      </c>
    </row>
    <row r="2647" ht="12.75" customHeight="1">
      <c r="A2647" s="95" t="s">
        <v>2871</v>
      </c>
      <c r="B2647" s="96" t="s">
        <v>1070</v>
      </c>
    </row>
    <row r="2648" ht="12.75" customHeight="1">
      <c r="A2648" s="95" t="s">
        <v>2871</v>
      </c>
      <c r="B2648" s="96" t="s">
        <v>1071</v>
      </c>
    </row>
    <row r="2649" ht="12.75" customHeight="1">
      <c r="A2649" s="95" t="s">
        <v>2871</v>
      </c>
      <c r="B2649" s="96" t="s">
        <v>1072</v>
      </c>
    </row>
    <row r="2650" ht="12.75" customHeight="1">
      <c r="A2650" s="95" t="s">
        <v>2871</v>
      </c>
      <c r="B2650" s="96" t="s">
        <v>1073</v>
      </c>
    </row>
    <row r="2651" ht="12.75" customHeight="1">
      <c r="A2651" s="95" t="s">
        <v>2871</v>
      </c>
      <c r="B2651" s="96" t="s">
        <v>1074</v>
      </c>
    </row>
    <row r="2652" ht="12.75" customHeight="1">
      <c r="A2652" s="95" t="s">
        <v>2871</v>
      </c>
      <c r="B2652" s="96" t="s">
        <v>1075</v>
      </c>
    </row>
    <row r="2653" ht="12.75" customHeight="1">
      <c r="A2653" s="95" t="s">
        <v>2871</v>
      </c>
      <c r="B2653" s="96" t="s">
        <v>1076</v>
      </c>
    </row>
    <row r="2654" ht="12.75" customHeight="1">
      <c r="A2654" s="95" t="s">
        <v>2871</v>
      </c>
      <c r="B2654" s="96" t="s">
        <v>1077</v>
      </c>
    </row>
    <row r="2655" ht="12.75" customHeight="1">
      <c r="A2655" s="95" t="s">
        <v>2871</v>
      </c>
      <c r="B2655" s="96" t="s">
        <v>1078</v>
      </c>
    </row>
    <row r="2656" ht="12.75" customHeight="1">
      <c r="A2656" s="95" t="s">
        <v>2871</v>
      </c>
      <c r="B2656" s="96" t="s">
        <v>1079</v>
      </c>
    </row>
    <row r="2657" ht="12.75" customHeight="1">
      <c r="A2657" s="95" t="s">
        <v>2871</v>
      </c>
      <c r="B2657" s="96" t="s">
        <v>1080</v>
      </c>
    </row>
    <row r="2658" ht="12.75" customHeight="1">
      <c r="A2658" s="95" t="s">
        <v>2871</v>
      </c>
      <c r="B2658" s="96" t="s">
        <v>1081</v>
      </c>
    </row>
    <row r="2659" ht="12.75" customHeight="1">
      <c r="A2659" s="95" t="s">
        <v>2871</v>
      </c>
      <c r="B2659" s="96" t="s">
        <v>1082</v>
      </c>
    </row>
    <row r="2660" ht="12.75" customHeight="1">
      <c r="A2660" s="95" t="s">
        <v>2871</v>
      </c>
      <c r="B2660" s="96" t="s">
        <v>1083</v>
      </c>
    </row>
    <row r="2661" ht="12.75" customHeight="1">
      <c r="A2661" s="95" t="s">
        <v>2871</v>
      </c>
      <c r="B2661" s="96" t="s">
        <v>1084</v>
      </c>
    </row>
    <row r="2662" ht="12.75" customHeight="1">
      <c r="A2662" s="95" t="s">
        <v>2871</v>
      </c>
      <c r="B2662" s="96" t="s">
        <v>1085</v>
      </c>
    </row>
    <row r="2663" ht="12.75" customHeight="1">
      <c r="A2663" s="95" t="s">
        <v>2871</v>
      </c>
      <c r="B2663" s="96" t="s">
        <v>1086</v>
      </c>
    </row>
    <row r="2664" ht="12.75" customHeight="1">
      <c r="A2664" s="95" t="s">
        <v>2871</v>
      </c>
      <c r="B2664" s="96" t="s">
        <v>1087</v>
      </c>
    </row>
    <row r="2665" ht="12.75" customHeight="1">
      <c r="A2665" s="95" t="s">
        <v>2871</v>
      </c>
      <c r="B2665" s="96" t="s">
        <v>1088</v>
      </c>
    </row>
    <row r="2666" ht="12.75" customHeight="1">
      <c r="A2666" s="95" t="s">
        <v>2871</v>
      </c>
      <c r="B2666" s="96" t="s">
        <v>1089</v>
      </c>
    </row>
    <row r="2667" ht="12.75" customHeight="1">
      <c r="A2667" s="95" t="s">
        <v>2871</v>
      </c>
      <c r="B2667" s="96" t="s">
        <v>1090</v>
      </c>
    </row>
    <row r="2668" ht="12.75" customHeight="1">
      <c r="A2668" s="95" t="s">
        <v>2871</v>
      </c>
      <c r="B2668" s="96" t="s">
        <v>1091</v>
      </c>
    </row>
    <row r="2669" ht="12.75" customHeight="1">
      <c r="A2669" s="95" t="s">
        <v>2871</v>
      </c>
      <c r="B2669" s="96" t="s">
        <v>1092</v>
      </c>
    </row>
    <row r="2670" ht="12.75" customHeight="1">
      <c r="A2670" s="95" t="s">
        <v>2871</v>
      </c>
      <c r="B2670" s="96" t="s">
        <v>1093</v>
      </c>
    </row>
    <row r="2671" ht="12.75" customHeight="1">
      <c r="A2671" s="95" t="s">
        <v>2871</v>
      </c>
      <c r="B2671" s="96" t="s">
        <v>1094</v>
      </c>
    </row>
    <row r="2672" ht="12.75" customHeight="1">
      <c r="A2672" s="95" t="s">
        <v>2871</v>
      </c>
      <c r="B2672" s="96" t="s">
        <v>1095</v>
      </c>
    </row>
    <row r="2673" ht="12.75" customHeight="1">
      <c r="A2673" s="95" t="s">
        <v>2872</v>
      </c>
      <c r="B2673" s="96">
        <v>0.0</v>
      </c>
    </row>
    <row r="2674" ht="12.75" customHeight="1">
      <c r="A2674" s="95" t="s">
        <v>2872</v>
      </c>
      <c r="B2674" s="96">
        <v>0.0</v>
      </c>
    </row>
    <row r="2675" ht="12.75" customHeight="1">
      <c r="A2675" s="95" t="s">
        <v>2872</v>
      </c>
      <c r="B2675" s="96">
        <v>2.0</v>
      </c>
    </row>
    <row r="2676" ht="12.75" customHeight="1">
      <c r="A2676" s="95" t="s">
        <v>2872</v>
      </c>
      <c r="B2676" s="96">
        <v>4.0</v>
      </c>
    </row>
    <row r="2677" ht="12.75" customHeight="1">
      <c r="A2677" s="95" t="s">
        <v>2872</v>
      </c>
      <c r="B2677" s="96">
        <v>6.0</v>
      </c>
    </row>
    <row r="2678" ht="12.75" customHeight="1">
      <c r="A2678" s="95" t="s">
        <v>2872</v>
      </c>
      <c r="B2678" s="96">
        <v>8.0</v>
      </c>
    </row>
    <row r="2679" ht="12.75" customHeight="1">
      <c r="A2679" s="95" t="s">
        <v>2872</v>
      </c>
      <c r="B2679" s="96">
        <v>10.0</v>
      </c>
    </row>
    <row r="2680" ht="12.75" customHeight="1">
      <c r="A2680" s="95" t="s">
        <v>2872</v>
      </c>
      <c r="B2680" s="96">
        <v>12.0</v>
      </c>
    </row>
    <row r="2681" ht="12.75" customHeight="1">
      <c r="A2681" s="95" t="s">
        <v>2872</v>
      </c>
      <c r="B2681" s="96" t="s">
        <v>803</v>
      </c>
    </row>
    <row r="2682" ht="12.75" customHeight="1">
      <c r="A2682" s="95" t="s">
        <v>2872</v>
      </c>
      <c r="B2682" s="96" t="s">
        <v>804</v>
      </c>
    </row>
    <row r="2683" ht="12.75" customHeight="1">
      <c r="A2683" s="95" t="s">
        <v>2872</v>
      </c>
      <c r="B2683" s="96" t="s">
        <v>76</v>
      </c>
    </row>
    <row r="2684" ht="12.75" customHeight="1">
      <c r="A2684" s="95" t="s">
        <v>2872</v>
      </c>
      <c r="B2684" s="96" t="s">
        <v>80</v>
      </c>
    </row>
    <row r="2685" ht="12.75" customHeight="1">
      <c r="A2685" s="95" t="s">
        <v>2872</v>
      </c>
      <c r="B2685" s="96" t="s">
        <v>83</v>
      </c>
    </row>
    <row r="2686" ht="12.75" customHeight="1">
      <c r="A2686" s="95" t="s">
        <v>2872</v>
      </c>
      <c r="B2686" s="96" t="s">
        <v>85</v>
      </c>
    </row>
    <row r="2687" ht="12.75" customHeight="1">
      <c r="A2687" s="95" t="s">
        <v>2872</v>
      </c>
      <c r="B2687" s="96">
        <v>14.0</v>
      </c>
    </row>
    <row r="2688" ht="12.75" customHeight="1">
      <c r="A2688" s="95" t="s">
        <v>2872</v>
      </c>
      <c r="B2688" s="96" t="s">
        <v>835</v>
      </c>
    </row>
    <row r="2689" ht="12.75" customHeight="1">
      <c r="A2689" s="95" t="s">
        <v>2872</v>
      </c>
      <c r="B2689" s="96">
        <v>16.0</v>
      </c>
    </row>
    <row r="2690" ht="12.75" customHeight="1">
      <c r="A2690" s="95" t="s">
        <v>2872</v>
      </c>
      <c r="B2690" s="96" t="s">
        <v>836</v>
      </c>
    </row>
    <row r="2691" ht="12.75" customHeight="1">
      <c r="A2691" s="95" t="s">
        <v>2872</v>
      </c>
      <c r="B2691" s="96">
        <v>18.0</v>
      </c>
    </row>
    <row r="2692" ht="12.75" customHeight="1">
      <c r="A2692" s="95" t="s">
        <v>2872</v>
      </c>
      <c r="B2692" s="96" t="s">
        <v>837</v>
      </c>
    </row>
    <row r="2693" ht="12.75" customHeight="1">
      <c r="A2693" s="95" t="s">
        <v>2872</v>
      </c>
      <c r="B2693" s="96">
        <v>20.0</v>
      </c>
    </row>
    <row r="2694" ht="12.75" customHeight="1">
      <c r="A2694" s="95" t="s">
        <v>2872</v>
      </c>
      <c r="B2694" s="96" t="s">
        <v>838</v>
      </c>
    </row>
    <row r="2695" ht="12.75" customHeight="1">
      <c r="A2695" s="95" t="s">
        <v>2872</v>
      </c>
      <c r="B2695" s="96">
        <v>22.0</v>
      </c>
    </row>
    <row r="2696" ht="12.75" customHeight="1">
      <c r="A2696" s="95" t="s">
        <v>2872</v>
      </c>
      <c r="B2696" s="96" t="s">
        <v>839</v>
      </c>
    </row>
    <row r="2697" ht="12.75" customHeight="1">
      <c r="A2697" s="95" t="s">
        <v>2872</v>
      </c>
      <c r="B2697" s="96">
        <v>24.0</v>
      </c>
    </row>
    <row r="2698" ht="12.75" customHeight="1">
      <c r="A2698" s="95" t="s">
        <v>2872</v>
      </c>
      <c r="B2698" s="96" t="s">
        <v>840</v>
      </c>
    </row>
    <row r="2699" ht="12.75" customHeight="1">
      <c r="A2699" s="95" t="s">
        <v>2872</v>
      </c>
      <c r="B2699" s="96">
        <v>26.0</v>
      </c>
    </row>
    <row r="2700" ht="12.75" customHeight="1">
      <c r="A2700" s="95" t="s">
        <v>2872</v>
      </c>
      <c r="B2700" s="96" t="s">
        <v>841</v>
      </c>
    </row>
    <row r="2701" ht="12.75" customHeight="1">
      <c r="A2701" s="95" t="s">
        <v>2872</v>
      </c>
      <c r="B2701" s="96">
        <v>28.0</v>
      </c>
    </row>
    <row r="2702" ht="12.75" customHeight="1">
      <c r="A2702" s="95" t="s">
        <v>2872</v>
      </c>
      <c r="B2702" s="96" t="s">
        <v>842</v>
      </c>
    </row>
    <row r="2703" ht="12.75" customHeight="1">
      <c r="A2703" s="95" t="s">
        <v>2872</v>
      </c>
      <c r="B2703" s="96">
        <v>30.0</v>
      </c>
    </row>
    <row r="2704" ht="12.75" customHeight="1">
      <c r="A2704" s="95" t="s">
        <v>2872</v>
      </c>
      <c r="B2704" s="96" t="s">
        <v>843</v>
      </c>
    </row>
    <row r="2705" ht="12.75" customHeight="1">
      <c r="A2705" s="95" t="s">
        <v>2872</v>
      </c>
      <c r="B2705" s="96">
        <v>32.0</v>
      </c>
    </row>
    <row r="2706" ht="12.75" customHeight="1">
      <c r="A2706" s="95" t="s">
        <v>2872</v>
      </c>
      <c r="B2706" s="96" t="s">
        <v>844</v>
      </c>
    </row>
    <row r="2707" ht="12.75" customHeight="1">
      <c r="A2707" s="95" t="s">
        <v>2872</v>
      </c>
      <c r="B2707" s="96" t="s">
        <v>845</v>
      </c>
    </row>
    <row r="2708" ht="12.75" customHeight="1">
      <c r="A2708" s="95" t="s">
        <v>2872</v>
      </c>
      <c r="B2708" s="96" t="s">
        <v>846</v>
      </c>
    </row>
    <row r="2709" ht="12.75" customHeight="1">
      <c r="A2709" s="95" t="s">
        <v>2872</v>
      </c>
      <c r="B2709" s="96" t="s">
        <v>847</v>
      </c>
    </row>
    <row r="2710" ht="12.75" customHeight="1">
      <c r="A2710" s="95" t="s">
        <v>2872</v>
      </c>
      <c r="B2710" s="96" t="s">
        <v>848</v>
      </c>
    </row>
    <row r="2711" ht="12.75" customHeight="1">
      <c r="A2711" s="95" t="s">
        <v>2872</v>
      </c>
      <c r="B2711" s="96" t="s">
        <v>849</v>
      </c>
    </row>
    <row r="2712" ht="12.75" customHeight="1">
      <c r="A2712" s="95" t="s">
        <v>2872</v>
      </c>
      <c r="B2712" s="96" t="s">
        <v>850</v>
      </c>
    </row>
    <row r="2713" ht="12.75" customHeight="1">
      <c r="A2713" s="95" t="s">
        <v>2872</v>
      </c>
      <c r="B2713" s="96" t="s">
        <v>851</v>
      </c>
    </row>
    <row r="2714" ht="12.75" customHeight="1">
      <c r="A2714" s="95" t="s">
        <v>2872</v>
      </c>
      <c r="B2714" s="96" t="s">
        <v>852</v>
      </c>
    </row>
    <row r="2715" ht="12.75" customHeight="1">
      <c r="A2715" s="95" t="s">
        <v>2872</v>
      </c>
      <c r="B2715" s="96" t="s">
        <v>908</v>
      </c>
    </row>
    <row r="2716" ht="12.75" customHeight="1">
      <c r="A2716" s="95" t="s">
        <v>2872</v>
      </c>
      <c r="B2716" s="96" t="s">
        <v>909</v>
      </c>
    </row>
    <row r="2717" ht="12.75" customHeight="1">
      <c r="A2717" s="95" t="s">
        <v>2872</v>
      </c>
      <c r="B2717" s="96" t="s">
        <v>910</v>
      </c>
    </row>
    <row r="2718" ht="12.75" customHeight="1">
      <c r="A2718" s="95" t="s">
        <v>2872</v>
      </c>
      <c r="B2718" s="96" t="s">
        <v>911</v>
      </c>
    </row>
    <row r="2719" ht="12.75" customHeight="1">
      <c r="A2719" s="95" t="s">
        <v>2872</v>
      </c>
      <c r="B2719" s="96" t="s">
        <v>912</v>
      </c>
    </row>
    <row r="2720" ht="12.75" customHeight="1">
      <c r="A2720" s="95" t="s">
        <v>2872</v>
      </c>
      <c r="B2720" s="96" t="s">
        <v>913</v>
      </c>
    </row>
    <row r="2721" ht="12.75" customHeight="1">
      <c r="A2721" s="95" t="s">
        <v>2872</v>
      </c>
      <c r="B2721" s="96" t="s">
        <v>914</v>
      </c>
    </row>
    <row r="2722" ht="12.75" customHeight="1">
      <c r="A2722" s="95" t="s">
        <v>2872</v>
      </c>
      <c r="B2722" s="96" t="s">
        <v>915</v>
      </c>
    </row>
    <row r="2723" ht="12.75" customHeight="1">
      <c r="A2723" s="95" t="s">
        <v>2872</v>
      </c>
      <c r="B2723" s="96" t="s">
        <v>916</v>
      </c>
    </row>
    <row r="2724" ht="12.75" customHeight="1">
      <c r="A2724" s="95" t="s">
        <v>2872</v>
      </c>
      <c r="B2724" s="96" t="s">
        <v>917</v>
      </c>
    </row>
    <row r="2725" ht="12.75" customHeight="1">
      <c r="A2725" s="95" t="s">
        <v>2872</v>
      </c>
      <c r="B2725" s="96" t="s">
        <v>918</v>
      </c>
    </row>
    <row r="2726" ht="12.75" customHeight="1">
      <c r="A2726" s="95" t="s">
        <v>2872</v>
      </c>
      <c r="B2726" s="96" t="s">
        <v>919</v>
      </c>
    </row>
    <row r="2727" ht="12.75" customHeight="1">
      <c r="A2727" s="95" t="s">
        <v>2872</v>
      </c>
      <c r="B2727" s="96" t="s">
        <v>920</v>
      </c>
    </row>
    <row r="2728" ht="12.75" customHeight="1">
      <c r="A2728" s="95" t="s">
        <v>2872</v>
      </c>
      <c r="B2728" s="96" t="s">
        <v>921</v>
      </c>
    </row>
    <row r="2729" ht="12.75" customHeight="1">
      <c r="A2729" s="95" t="s">
        <v>2872</v>
      </c>
      <c r="B2729" s="96" t="s">
        <v>922</v>
      </c>
    </row>
    <row r="2730" ht="12.75" customHeight="1">
      <c r="A2730" s="95" t="s">
        <v>2872</v>
      </c>
      <c r="B2730" s="96" t="s">
        <v>923</v>
      </c>
    </row>
    <row r="2731" ht="12.75" customHeight="1">
      <c r="A2731" s="95" t="s">
        <v>2872</v>
      </c>
      <c r="B2731" s="96" t="s">
        <v>924</v>
      </c>
    </row>
    <row r="2732" ht="12.75" customHeight="1">
      <c r="A2732" s="95" t="s">
        <v>2872</v>
      </c>
      <c r="B2732" s="96" t="s">
        <v>925</v>
      </c>
    </row>
    <row r="2733" ht="12.75" customHeight="1">
      <c r="A2733" s="95" t="s">
        <v>2872</v>
      </c>
      <c r="B2733" s="96" t="s">
        <v>926</v>
      </c>
    </row>
    <row r="2734" ht="12.75" customHeight="1">
      <c r="A2734" s="95" t="s">
        <v>2872</v>
      </c>
      <c r="B2734" s="96" t="s">
        <v>984</v>
      </c>
    </row>
    <row r="2735" ht="12.75" customHeight="1">
      <c r="A2735" s="95" t="s">
        <v>2872</v>
      </c>
      <c r="B2735" s="96" t="s">
        <v>985</v>
      </c>
    </row>
    <row r="2736" ht="12.75" customHeight="1">
      <c r="A2736" s="95" t="s">
        <v>2872</v>
      </c>
      <c r="B2736" s="96" t="s">
        <v>986</v>
      </c>
    </row>
    <row r="2737" ht="12.75" customHeight="1">
      <c r="A2737" s="95" t="s">
        <v>2872</v>
      </c>
      <c r="B2737" s="96" t="s">
        <v>987</v>
      </c>
    </row>
    <row r="2738" ht="12.75" customHeight="1">
      <c r="A2738" s="95" t="s">
        <v>2872</v>
      </c>
      <c r="B2738" s="96" t="s">
        <v>988</v>
      </c>
    </row>
    <row r="2739" ht="12.75" customHeight="1">
      <c r="A2739" s="95" t="s">
        <v>2872</v>
      </c>
      <c r="B2739" s="96" t="s">
        <v>989</v>
      </c>
    </row>
    <row r="2740" ht="12.75" customHeight="1">
      <c r="A2740" s="95" t="s">
        <v>2872</v>
      </c>
      <c r="B2740" s="96" t="s">
        <v>990</v>
      </c>
    </row>
    <row r="2741" ht="12.75" customHeight="1">
      <c r="A2741" s="95" t="s">
        <v>2872</v>
      </c>
      <c r="B2741" s="96" t="s">
        <v>991</v>
      </c>
    </row>
    <row r="2742" ht="12.75" customHeight="1">
      <c r="A2742" s="95" t="s">
        <v>2872</v>
      </c>
      <c r="B2742" s="96" t="s">
        <v>992</v>
      </c>
    </row>
    <row r="2743" ht="12.75" customHeight="1">
      <c r="A2743" s="95" t="s">
        <v>2872</v>
      </c>
      <c r="B2743" s="96" t="s">
        <v>993</v>
      </c>
    </row>
    <row r="2744" ht="12.75" customHeight="1">
      <c r="A2744" s="95" t="s">
        <v>2872</v>
      </c>
      <c r="B2744" s="96" t="s">
        <v>994</v>
      </c>
    </row>
    <row r="2745" ht="12.75" customHeight="1">
      <c r="A2745" s="95" t="s">
        <v>2872</v>
      </c>
      <c r="B2745" s="96" t="s">
        <v>995</v>
      </c>
    </row>
    <row r="2746" ht="12.75" customHeight="1">
      <c r="A2746" s="95" t="s">
        <v>2872</v>
      </c>
      <c r="B2746" s="96" t="s">
        <v>996</v>
      </c>
    </row>
    <row r="2747" ht="12.75" customHeight="1">
      <c r="A2747" s="95" t="s">
        <v>2872</v>
      </c>
      <c r="B2747" s="96" t="s">
        <v>997</v>
      </c>
    </row>
    <row r="2748" ht="12.75" customHeight="1">
      <c r="A2748" s="95" t="s">
        <v>2872</v>
      </c>
      <c r="B2748" s="96" t="s">
        <v>998</v>
      </c>
    </row>
    <row r="2749" ht="12.75" customHeight="1">
      <c r="A2749" s="95" t="s">
        <v>2872</v>
      </c>
      <c r="B2749" s="96" t="s">
        <v>999</v>
      </c>
    </row>
    <row r="2750" ht="12.75" customHeight="1">
      <c r="A2750" s="95" t="s">
        <v>2872</v>
      </c>
      <c r="B2750" s="96" t="s">
        <v>1000</v>
      </c>
    </row>
    <row r="2751" ht="12.75" customHeight="1">
      <c r="A2751" s="95" t="s">
        <v>2872</v>
      </c>
      <c r="B2751" s="96" t="s">
        <v>1001</v>
      </c>
    </row>
    <row r="2752" ht="12.75" customHeight="1">
      <c r="A2752" s="95" t="s">
        <v>2872</v>
      </c>
      <c r="B2752" s="96" t="s">
        <v>1054</v>
      </c>
    </row>
    <row r="2753" ht="12.75" customHeight="1">
      <c r="A2753" s="95" t="s">
        <v>2872</v>
      </c>
      <c r="B2753" s="96" t="s">
        <v>1055</v>
      </c>
    </row>
    <row r="2754" ht="12.75" customHeight="1">
      <c r="A2754" s="95" t="s">
        <v>2872</v>
      </c>
      <c r="B2754" s="96" t="s">
        <v>1056</v>
      </c>
    </row>
    <row r="2755" ht="12.75" customHeight="1">
      <c r="A2755" s="95" t="s">
        <v>2872</v>
      </c>
      <c r="B2755" s="96" t="s">
        <v>1057</v>
      </c>
    </row>
    <row r="2756" ht="12.75" customHeight="1">
      <c r="A2756" s="95" t="s">
        <v>2872</v>
      </c>
      <c r="B2756" s="96" t="s">
        <v>1058</v>
      </c>
    </row>
    <row r="2757" ht="12.75" customHeight="1">
      <c r="A2757" s="95" t="s">
        <v>2872</v>
      </c>
      <c r="B2757" s="96" t="s">
        <v>1059</v>
      </c>
    </row>
    <row r="2758" ht="12.75" customHeight="1">
      <c r="A2758" s="95" t="s">
        <v>2872</v>
      </c>
      <c r="B2758" s="96" t="s">
        <v>1060</v>
      </c>
    </row>
    <row r="2759" ht="12.75" customHeight="1">
      <c r="A2759" s="95" t="s">
        <v>2872</v>
      </c>
      <c r="B2759" s="96" t="s">
        <v>1061</v>
      </c>
    </row>
    <row r="2760" ht="12.75" customHeight="1">
      <c r="A2760" s="95" t="s">
        <v>2872</v>
      </c>
      <c r="B2760" s="96" t="s">
        <v>1062</v>
      </c>
    </row>
    <row r="2761" ht="12.75" customHeight="1">
      <c r="A2761" s="95" t="s">
        <v>2872</v>
      </c>
      <c r="B2761" s="96" t="s">
        <v>1063</v>
      </c>
    </row>
    <row r="2762" ht="12.75" customHeight="1">
      <c r="A2762" s="95" t="s">
        <v>2872</v>
      </c>
      <c r="B2762" s="96" t="s">
        <v>1064</v>
      </c>
    </row>
    <row r="2763" ht="12.75" customHeight="1">
      <c r="A2763" s="95" t="s">
        <v>2872</v>
      </c>
      <c r="B2763" s="96" t="s">
        <v>1065</v>
      </c>
    </row>
    <row r="2764" ht="12.75" customHeight="1">
      <c r="A2764" s="95" t="s">
        <v>2872</v>
      </c>
      <c r="B2764" s="96" t="s">
        <v>1066</v>
      </c>
    </row>
    <row r="2765" ht="12.75" customHeight="1">
      <c r="A2765" s="95" t="s">
        <v>2872</v>
      </c>
      <c r="B2765" s="96" t="s">
        <v>1067</v>
      </c>
    </row>
    <row r="2766" ht="12.75" customHeight="1">
      <c r="A2766" s="95" t="s">
        <v>2872</v>
      </c>
      <c r="B2766" s="96" t="s">
        <v>1068</v>
      </c>
    </row>
    <row r="2767" ht="12.75" customHeight="1">
      <c r="A2767" s="95" t="s">
        <v>2872</v>
      </c>
      <c r="B2767" s="96" t="s">
        <v>1069</v>
      </c>
    </row>
    <row r="2768" ht="12.75" customHeight="1">
      <c r="A2768" s="95" t="s">
        <v>2872</v>
      </c>
      <c r="B2768" s="96" t="s">
        <v>1070</v>
      </c>
    </row>
    <row r="2769" ht="12.75" customHeight="1">
      <c r="A2769" s="95" t="s">
        <v>2872</v>
      </c>
      <c r="B2769" s="96" t="s">
        <v>1071</v>
      </c>
    </row>
    <row r="2770" ht="12.75" customHeight="1">
      <c r="A2770" s="95" t="s">
        <v>2872</v>
      </c>
      <c r="B2770" s="96" t="s">
        <v>1072</v>
      </c>
    </row>
    <row r="2771" ht="12.75" customHeight="1">
      <c r="A2771" s="95" t="s">
        <v>2872</v>
      </c>
      <c r="B2771" s="96" t="s">
        <v>1073</v>
      </c>
    </row>
    <row r="2772" ht="12.75" customHeight="1">
      <c r="A2772" s="95" t="s">
        <v>2872</v>
      </c>
      <c r="B2772" s="96" t="s">
        <v>1074</v>
      </c>
    </row>
    <row r="2773" ht="12.75" customHeight="1">
      <c r="A2773" s="95" t="s">
        <v>2872</v>
      </c>
      <c r="B2773" s="96" t="s">
        <v>1075</v>
      </c>
    </row>
    <row r="2774" ht="12.75" customHeight="1">
      <c r="A2774" s="95" t="s">
        <v>2872</v>
      </c>
      <c r="B2774" s="96" t="s">
        <v>1076</v>
      </c>
    </row>
    <row r="2775" ht="12.75" customHeight="1">
      <c r="A2775" s="95" t="s">
        <v>2872</v>
      </c>
      <c r="B2775" s="96" t="s">
        <v>1077</v>
      </c>
    </row>
    <row r="2776" ht="12.75" customHeight="1">
      <c r="A2776" s="95" t="s">
        <v>2872</v>
      </c>
      <c r="B2776" s="96" t="s">
        <v>1078</v>
      </c>
    </row>
    <row r="2777" ht="12.75" customHeight="1">
      <c r="A2777" s="95" t="s">
        <v>2872</v>
      </c>
      <c r="B2777" s="96" t="s">
        <v>1079</v>
      </c>
    </row>
    <row r="2778" ht="12.75" customHeight="1">
      <c r="A2778" s="95" t="s">
        <v>2872</v>
      </c>
      <c r="B2778" s="96" t="s">
        <v>1080</v>
      </c>
    </row>
    <row r="2779" ht="12.75" customHeight="1">
      <c r="A2779" s="95" t="s">
        <v>2872</v>
      </c>
      <c r="B2779" s="96" t="s">
        <v>1081</v>
      </c>
    </row>
    <row r="2780" ht="12.75" customHeight="1">
      <c r="A2780" s="95" t="s">
        <v>2872</v>
      </c>
      <c r="B2780" s="96" t="s">
        <v>1082</v>
      </c>
    </row>
    <row r="2781" ht="12.75" customHeight="1">
      <c r="A2781" s="95" t="s">
        <v>2872</v>
      </c>
      <c r="B2781" s="96" t="s">
        <v>1083</v>
      </c>
    </row>
    <row r="2782" ht="12.75" customHeight="1">
      <c r="A2782" s="95" t="s">
        <v>2872</v>
      </c>
      <c r="B2782" s="96" t="s">
        <v>1084</v>
      </c>
    </row>
    <row r="2783" ht="12.75" customHeight="1">
      <c r="A2783" s="95" t="s">
        <v>2872</v>
      </c>
      <c r="B2783" s="96" t="s">
        <v>1085</v>
      </c>
    </row>
    <row r="2784" ht="12.75" customHeight="1">
      <c r="A2784" s="95" t="s">
        <v>2872</v>
      </c>
      <c r="B2784" s="96" t="s">
        <v>1086</v>
      </c>
    </row>
    <row r="2785" ht="12.75" customHeight="1">
      <c r="A2785" s="95" t="s">
        <v>2872</v>
      </c>
      <c r="B2785" s="96" t="s">
        <v>1087</v>
      </c>
    </row>
    <row r="2786" ht="12.75" customHeight="1">
      <c r="A2786" s="95" t="s">
        <v>2872</v>
      </c>
      <c r="B2786" s="96" t="s">
        <v>1088</v>
      </c>
    </row>
    <row r="2787" ht="12.75" customHeight="1">
      <c r="A2787" s="95" t="s">
        <v>2872</v>
      </c>
      <c r="B2787" s="96" t="s">
        <v>1089</v>
      </c>
    </row>
    <row r="2788" ht="12.75" customHeight="1">
      <c r="A2788" s="95" t="s">
        <v>2872</v>
      </c>
      <c r="B2788" s="96" t="s">
        <v>1090</v>
      </c>
    </row>
    <row r="2789" ht="12.75" customHeight="1">
      <c r="A2789" s="95" t="s">
        <v>2872</v>
      </c>
      <c r="B2789" s="96" t="s">
        <v>1091</v>
      </c>
    </row>
    <row r="2790" ht="12.75" customHeight="1">
      <c r="A2790" s="95" t="s">
        <v>2872</v>
      </c>
      <c r="B2790" s="96" t="s">
        <v>1092</v>
      </c>
    </row>
    <row r="2791" ht="12.75" customHeight="1">
      <c r="A2791" s="95" t="s">
        <v>2872</v>
      </c>
      <c r="B2791" s="96" t="s">
        <v>1093</v>
      </c>
    </row>
    <row r="2792" ht="12.75" customHeight="1">
      <c r="A2792" s="95" t="s">
        <v>2872</v>
      </c>
      <c r="B2792" s="96" t="s">
        <v>1094</v>
      </c>
    </row>
    <row r="2793" ht="12.75" customHeight="1">
      <c r="A2793" s="95" t="s">
        <v>2872</v>
      </c>
      <c r="B2793" s="96" t="s">
        <v>1095</v>
      </c>
    </row>
    <row r="2794" ht="12.75" customHeight="1">
      <c r="A2794" s="95" t="s">
        <v>2873</v>
      </c>
      <c r="B2794" s="96">
        <v>0.0</v>
      </c>
    </row>
    <row r="2795" ht="12.75" customHeight="1">
      <c r="A2795" s="95" t="s">
        <v>2873</v>
      </c>
      <c r="B2795" s="96">
        <v>0.0</v>
      </c>
    </row>
    <row r="2796" ht="12.75" customHeight="1">
      <c r="A2796" s="95" t="s">
        <v>2873</v>
      </c>
      <c r="B2796" s="96">
        <v>2.0</v>
      </c>
    </row>
    <row r="2797" ht="12.75" customHeight="1">
      <c r="A2797" s="95" t="s">
        <v>2873</v>
      </c>
      <c r="B2797" s="96">
        <v>4.0</v>
      </c>
    </row>
    <row r="2798" ht="12.75" customHeight="1">
      <c r="A2798" s="95" t="s">
        <v>2873</v>
      </c>
      <c r="B2798" s="96">
        <v>6.0</v>
      </c>
    </row>
    <row r="2799" ht="12.75" customHeight="1">
      <c r="A2799" s="95" t="s">
        <v>2873</v>
      </c>
      <c r="B2799" s="96">
        <v>8.0</v>
      </c>
    </row>
    <row r="2800" ht="12.75" customHeight="1">
      <c r="A2800" s="95" t="s">
        <v>2873</v>
      </c>
      <c r="B2800" s="96">
        <v>10.0</v>
      </c>
    </row>
    <row r="2801" ht="12.75" customHeight="1">
      <c r="A2801" s="95" t="s">
        <v>2873</v>
      </c>
      <c r="B2801" s="96">
        <v>12.0</v>
      </c>
    </row>
    <row r="2802" ht="12.75" customHeight="1">
      <c r="A2802" s="95" t="s">
        <v>2873</v>
      </c>
      <c r="B2802" s="96" t="s">
        <v>803</v>
      </c>
    </row>
    <row r="2803" ht="12.75" customHeight="1">
      <c r="A2803" s="95" t="s">
        <v>2873</v>
      </c>
      <c r="B2803" s="96" t="s">
        <v>804</v>
      </c>
    </row>
    <row r="2804" ht="12.75" customHeight="1">
      <c r="A2804" s="95" t="s">
        <v>2873</v>
      </c>
      <c r="B2804" s="96" t="s">
        <v>76</v>
      </c>
    </row>
    <row r="2805" ht="12.75" customHeight="1">
      <c r="A2805" s="95" t="s">
        <v>2873</v>
      </c>
      <c r="B2805" s="96" t="s">
        <v>80</v>
      </c>
    </row>
    <row r="2806" ht="12.75" customHeight="1">
      <c r="A2806" s="95" t="s">
        <v>2873</v>
      </c>
      <c r="B2806" s="96" t="s">
        <v>83</v>
      </c>
    </row>
    <row r="2807" ht="12.75" customHeight="1">
      <c r="A2807" s="95" t="s">
        <v>2873</v>
      </c>
      <c r="B2807" s="96" t="s">
        <v>85</v>
      </c>
    </row>
    <row r="2808" ht="12.75" customHeight="1">
      <c r="A2808" s="95" t="s">
        <v>2873</v>
      </c>
      <c r="B2808" s="96">
        <v>14.0</v>
      </c>
    </row>
    <row r="2809" ht="12.75" customHeight="1">
      <c r="A2809" s="95" t="s">
        <v>2873</v>
      </c>
      <c r="B2809" s="96" t="s">
        <v>835</v>
      </c>
    </row>
    <row r="2810" ht="12.75" customHeight="1">
      <c r="A2810" s="95" t="s">
        <v>2873</v>
      </c>
      <c r="B2810" s="96">
        <v>16.0</v>
      </c>
    </row>
    <row r="2811" ht="12.75" customHeight="1">
      <c r="A2811" s="95" t="s">
        <v>2873</v>
      </c>
      <c r="B2811" s="96" t="s">
        <v>836</v>
      </c>
    </row>
    <row r="2812" ht="12.75" customHeight="1">
      <c r="A2812" s="95" t="s">
        <v>2873</v>
      </c>
      <c r="B2812" s="96">
        <v>18.0</v>
      </c>
    </row>
    <row r="2813" ht="12.75" customHeight="1">
      <c r="A2813" s="95" t="s">
        <v>2873</v>
      </c>
      <c r="B2813" s="96" t="s">
        <v>837</v>
      </c>
    </row>
    <row r="2814" ht="12.75" customHeight="1">
      <c r="A2814" s="95" t="s">
        <v>2873</v>
      </c>
      <c r="B2814" s="96">
        <v>20.0</v>
      </c>
    </row>
    <row r="2815" ht="12.75" customHeight="1">
      <c r="A2815" s="95" t="s">
        <v>2873</v>
      </c>
      <c r="B2815" s="96" t="s">
        <v>838</v>
      </c>
    </row>
    <row r="2816" ht="12.75" customHeight="1">
      <c r="A2816" s="95" t="s">
        <v>2873</v>
      </c>
      <c r="B2816" s="96">
        <v>22.0</v>
      </c>
    </row>
    <row r="2817" ht="12.75" customHeight="1">
      <c r="A2817" s="95" t="s">
        <v>2873</v>
      </c>
      <c r="B2817" s="96" t="s">
        <v>839</v>
      </c>
    </row>
    <row r="2818" ht="12.75" customHeight="1">
      <c r="A2818" s="95" t="s">
        <v>2873</v>
      </c>
      <c r="B2818" s="96">
        <v>24.0</v>
      </c>
    </row>
    <row r="2819" ht="12.75" customHeight="1">
      <c r="A2819" s="95" t="s">
        <v>2873</v>
      </c>
      <c r="B2819" s="96" t="s">
        <v>840</v>
      </c>
    </row>
    <row r="2820" ht="12.75" customHeight="1">
      <c r="A2820" s="95" t="s">
        <v>2873</v>
      </c>
      <c r="B2820" s="96">
        <v>26.0</v>
      </c>
    </row>
    <row r="2821" ht="12.75" customHeight="1">
      <c r="A2821" s="95" t="s">
        <v>2873</v>
      </c>
      <c r="B2821" s="96" t="s">
        <v>841</v>
      </c>
    </row>
    <row r="2822" ht="12.75" customHeight="1">
      <c r="A2822" s="95" t="s">
        <v>2873</v>
      </c>
      <c r="B2822" s="96">
        <v>28.0</v>
      </c>
    </row>
    <row r="2823" ht="12.75" customHeight="1">
      <c r="A2823" s="95" t="s">
        <v>2873</v>
      </c>
      <c r="B2823" s="96" t="s">
        <v>842</v>
      </c>
    </row>
    <row r="2824" ht="12.75" customHeight="1">
      <c r="A2824" s="95" t="s">
        <v>2873</v>
      </c>
      <c r="B2824" s="96">
        <v>30.0</v>
      </c>
    </row>
    <row r="2825" ht="12.75" customHeight="1">
      <c r="A2825" s="95" t="s">
        <v>2873</v>
      </c>
      <c r="B2825" s="96" t="s">
        <v>843</v>
      </c>
    </row>
    <row r="2826" ht="12.75" customHeight="1">
      <c r="A2826" s="95" t="s">
        <v>2873</v>
      </c>
      <c r="B2826" s="96">
        <v>32.0</v>
      </c>
    </row>
    <row r="2827" ht="12.75" customHeight="1">
      <c r="A2827" s="95" t="s">
        <v>2873</v>
      </c>
      <c r="B2827" s="96" t="s">
        <v>844</v>
      </c>
    </row>
    <row r="2828" ht="12.75" customHeight="1">
      <c r="A2828" s="95" t="s">
        <v>2873</v>
      </c>
      <c r="B2828" s="96" t="s">
        <v>845</v>
      </c>
    </row>
    <row r="2829" ht="12.75" customHeight="1">
      <c r="A2829" s="95" t="s">
        <v>2873</v>
      </c>
      <c r="B2829" s="96" t="s">
        <v>846</v>
      </c>
    </row>
    <row r="2830" ht="12.75" customHeight="1">
      <c r="A2830" s="95" t="s">
        <v>2873</v>
      </c>
      <c r="B2830" s="96" t="s">
        <v>847</v>
      </c>
    </row>
    <row r="2831" ht="12.75" customHeight="1">
      <c r="A2831" s="95" t="s">
        <v>2873</v>
      </c>
      <c r="B2831" s="96" t="s">
        <v>848</v>
      </c>
    </row>
    <row r="2832" ht="12.75" customHeight="1">
      <c r="A2832" s="95" t="s">
        <v>2873</v>
      </c>
      <c r="B2832" s="96" t="s">
        <v>849</v>
      </c>
    </row>
    <row r="2833" ht="12.75" customHeight="1">
      <c r="A2833" s="95" t="s">
        <v>2873</v>
      </c>
      <c r="B2833" s="96" t="s">
        <v>850</v>
      </c>
    </row>
    <row r="2834" ht="12.75" customHeight="1">
      <c r="A2834" s="95" t="s">
        <v>2873</v>
      </c>
      <c r="B2834" s="96" t="s">
        <v>851</v>
      </c>
    </row>
    <row r="2835" ht="12.75" customHeight="1">
      <c r="A2835" s="95" t="s">
        <v>2873</v>
      </c>
      <c r="B2835" s="96" t="s">
        <v>852</v>
      </c>
    </row>
    <row r="2836" ht="12.75" customHeight="1">
      <c r="A2836" s="95" t="s">
        <v>2873</v>
      </c>
      <c r="B2836" s="96" t="s">
        <v>908</v>
      </c>
    </row>
    <row r="2837" ht="12.75" customHeight="1">
      <c r="A2837" s="95" t="s">
        <v>2873</v>
      </c>
      <c r="B2837" s="96" t="s">
        <v>909</v>
      </c>
    </row>
    <row r="2838" ht="12.75" customHeight="1">
      <c r="A2838" s="95" t="s">
        <v>2873</v>
      </c>
      <c r="B2838" s="96" t="s">
        <v>910</v>
      </c>
    </row>
    <row r="2839" ht="12.75" customHeight="1">
      <c r="A2839" s="95" t="s">
        <v>2873</v>
      </c>
      <c r="B2839" s="96" t="s">
        <v>911</v>
      </c>
    </row>
    <row r="2840" ht="12.75" customHeight="1">
      <c r="A2840" s="95" t="s">
        <v>2873</v>
      </c>
      <c r="B2840" s="96" t="s">
        <v>912</v>
      </c>
    </row>
    <row r="2841" ht="12.75" customHeight="1">
      <c r="A2841" s="95" t="s">
        <v>2873</v>
      </c>
      <c r="B2841" s="96" t="s">
        <v>913</v>
      </c>
    </row>
    <row r="2842" ht="12.75" customHeight="1">
      <c r="A2842" s="95" t="s">
        <v>2873</v>
      </c>
      <c r="B2842" s="96" t="s">
        <v>914</v>
      </c>
    </row>
    <row r="2843" ht="12.75" customHeight="1">
      <c r="A2843" s="95" t="s">
        <v>2873</v>
      </c>
      <c r="B2843" s="96" t="s">
        <v>915</v>
      </c>
    </row>
    <row r="2844" ht="12.75" customHeight="1">
      <c r="A2844" s="95" t="s">
        <v>2873</v>
      </c>
      <c r="B2844" s="96" t="s">
        <v>916</v>
      </c>
    </row>
    <row r="2845" ht="12.75" customHeight="1">
      <c r="A2845" s="95" t="s">
        <v>2873</v>
      </c>
      <c r="B2845" s="96" t="s">
        <v>917</v>
      </c>
    </row>
    <row r="2846" ht="12.75" customHeight="1">
      <c r="A2846" s="95" t="s">
        <v>2873</v>
      </c>
      <c r="B2846" s="96" t="s">
        <v>918</v>
      </c>
    </row>
    <row r="2847" ht="12.75" customHeight="1">
      <c r="A2847" s="95" t="s">
        <v>2873</v>
      </c>
      <c r="B2847" s="96" t="s">
        <v>919</v>
      </c>
    </row>
    <row r="2848" ht="12.75" customHeight="1">
      <c r="A2848" s="95" t="s">
        <v>2873</v>
      </c>
      <c r="B2848" s="96" t="s">
        <v>920</v>
      </c>
    </row>
    <row r="2849" ht="12.75" customHeight="1">
      <c r="A2849" s="95" t="s">
        <v>2873</v>
      </c>
      <c r="B2849" s="96" t="s">
        <v>921</v>
      </c>
    </row>
    <row r="2850" ht="12.75" customHeight="1">
      <c r="A2850" s="95" t="s">
        <v>2873</v>
      </c>
      <c r="B2850" s="96" t="s">
        <v>922</v>
      </c>
    </row>
    <row r="2851" ht="12.75" customHeight="1">
      <c r="A2851" s="95" t="s">
        <v>2873</v>
      </c>
      <c r="B2851" s="96" t="s">
        <v>923</v>
      </c>
    </row>
    <row r="2852" ht="12.75" customHeight="1">
      <c r="A2852" s="95" t="s">
        <v>2873</v>
      </c>
      <c r="B2852" s="96" t="s">
        <v>924</v>
      </c>
    </row>
    <row r="2853" ht="12.75" customHeight="1">
      <c r="A2853" s="95" t="s">
        <v>2873</v>
      </c>
      <c r="B2853" s="96" t="s">
        <v>925</v>
      </c>
    </row>
    <row r="2854" ht="12.75" customHeight="1">
      <c r="A2854" s="95" t="s">
        <v>2873</v>
      </c>
      <c r="B2854" s="96" t="s">
        <v>926</v>
      </c>
    </row>
    <row r="2855" ht="12.75" customHeight="1">
      <c r="A2855" s="95" t="s">
        <v>2873</v>
      </c>
      <c r="B2855" s="96" t="s">
        <v>984</v>
      </c>
    </row>
    <row r="2856" ht="12.75" customHeight="1">
      <c r="A2856" s="95" t="s">
        <v>2873</v>
      </c>
      <c r="B2856" s="96" t="s">
        <v>985</v>
      </c>
    </row>
    <row r="2857" ht="12.75" customHeight="1">
      <c r="A2857" s="95" t="s">
        <v>2873</v>
      </c>
      <c r="B2857" s="96" t="s">
        <v>986</v>
      </c>
    </row>
    <row r="2858" ht="12.75" customHeight="1">
      <c r="A2858" s="95" t="s">
        <v>2873</v>
      </c>
      <c r="B2858" s="96" t="s">
        <v>987</v>
      </c>
    </row>
    <row r="2859" ht="12.75" customHeight="1">
      <c r="A2859" s="95" t="s">
        <v>2873</v>
      </c>
      <c r="B2859" s="96" t="s">
        <v>988</v>
      </c>
    </row>
    <row r="2860" ht="12.75" customHeight="1">
      <c r="A2860" s="95" t="s">
        <v>2873</v>
      </c>
      <c r="B2860" s="96" t="s">
        <v>989</v>
      </c>
    </row>
    <row r="2861" ht="12.75" customHeight="1">
      <c r="A2861" s="95" t="s">
        <v>2873</v>
      </c>
      <c r="B2861" s="96" t="s">
        <v>990</v>
      </c>
    </row>
    <row r="2862" ht="12.75" customHeight="1">
      <c r="A2862" s="95" t="s">
        <v>2873</v>
      </c>
      <c r="B2862" s="96" t="s">
        <v>991</v>
      </c>
    </row>
    <row r="2863" ht="12.75" customHeight="1">
      <c r="A2863" s="95" t="s">
        <v>2873</v>
      </c>
      <c r="B2863" s="96" t="s">
        <v>992</v>
      </c>
    </row>
    <row r="2864" ht="12.75" customHeight="1">
      <c r="A2864" s="95" t="s">
        <v>2873</v>
      </c>
      <c r="B2864" s="96" t="s">
        <v>993</v>
      </c>
    </row>
    <row r="2865" ht="12.75" customHeight="1">
      <c r="A2865" s="95" t="s">
        <v>2873</v>
      </c>
      <c r="B2865" s="96" t="s">
        <v>994</v>
      </c>
    </row>
    <row r="2866" ht="12.75" customHeight="1">
      <c r="A2866" s="95" t="s">
        <v>2873</v>
      </c>
      <c r="B2866" s="96" t="s">
        <v>995</v>
      </c>
    </row>
    <row r="2867" ht="12.75" customHeight="1">
      <c r="A2867" s="95" t="s">
        <v>2873</v>
      </c>
      <c r="B2867" s="96" t="s">
        <v>996</v>
      </c>
    </row>
    <row r="2868" ht="12.75" customHeight="1">
      <c r="A2868" s="95" t="s">
        <v>2873</v>
      </c>
      <c r="B2868" s="96" t="s">
        <v>997</v>
      </c>
    </row>
    <row r="2869" ht="12.75" customHeight="1">
      <c r="A2869" s="95" t="s">
        <v>2873</v>
      </c>
      <c r="B2869" s="96" t="s">
        <v>998</v>
      </c>
    </row>
    <row r="2870" ht="12.75" customHeight="1">
      <c r="A2870" s="95" t="s">
        <v>2873</v>
      </c>
      <c r="B2870" s="96" t="s">
        <v>999</v>
      </c>
    </row>
    <row r="2871" ht="12.75" customHeight="1">
      <c r="A2871" s="95" t="s">
        <v>2873</v>
      </c>
      <c r="B2871" s="96" t="s">
        <v>1000</v>
      </c>
    </row>
    <row r="2872" ht="12.75" customHeight="1">
      <c r="A2872" s="95" t="s">
        <v>2873</v>
      </c>
      <c r="B2872" s="96" t="s">
        <v>1001</v>
      </c>
    </row>
    <row r="2873" ht="12.75" customHeight="1">
      <c r="A2873" s="95" t="s">
        <v>2873</v>
      </c>
      <c r="B2873" s="96" t="s">
        <v>1054</v>
      </c>
    </row>
    <row r="2874" ht="12.75" customHeight="1">
      <c r="A2874" s="95" t="s">
        <v>2873</v>
      </c>
      <c r="B2874" s="96" t="s">
        <v>1055</v>
      </c>
    </row>
    <row r="2875" ht="12.75" customHeight="1">
      <c r="A2875" s="95" t="s">
        <v>2873</v>
      </c>
      <c r="B2875" s="96" t="s">
        <v>1056</v>
      </c>
    </row>
    <row r="2876" ht="12.75" customHeight="1">
      <c r="A2876" s="95" t="s">
        <v>2873</v>
      </c>
      <c r="B2876" s="96" t="s">
        <v>1057</v>
      </c>
    </row>
    <row r="2877" ht="12.75" customHeight="1">
      <c r="A2877" s="95" t="s">
        <v>2873</v>
      </c>
      <c r="B2877" s="96" t="s">
        <v>1058</v>
      </c>
    </row>
    <row r="2878" ht="12.75" customHeight="1">
      <c r="A2878" s="95" t="s">
        <v>2873</v>
      </c>
      <c r="B2878" s="96" t="s">
        <v>1059</v>
      </c>
    </row>
    <row r="2879" ht="12.75" customHeight="1">
      <c r="A2879" s="95" t="s">
        <v>2873</v>
      </c>
      <c r="B2879" s="96" t="s">
        <v>1060</v>
      </c>
    </row>
    <row r="2880" ht="12.75" customHeight="1">
      <c r="A2880" s="95" t="s">
        <v>2873</v>
      </c>
      <c r="B2880" s="96" t="s">
        <v>1061</v>
      </c>
    </row>
    <row r="2881" ht="12.75" customHeight="1">
      <c r="A2881" s="95" t="s">
        <v>2873</v>
      </c>
      <c r="B2881" s="96" t="s">
        <v>1062</v>
      </c>
    </row>
    <row r="2882" ht="12.75" customHeight="1">
      <c r="A2882" s="95" t="s">
        <v>2873</v>
      </c>
      <c r="B2882" s="96" t="s">
        <v>1063</v>
      </c>
    </row>
    <row r="2883" ht="12.75" customHeight="1">
      <c r="A2883" s="95" t="s">
        <v>2873</v>
      </c>
      <c r="B2883" s="96" t="s">
        <v>1064</v>
      </c>
    </row>
    <row r="2884" ht="12.75" customHeight="1">
      <c r="A2884" s="95" t="s">
        <v>2873</v>
      </c>
      <c r="B2884" s="96" t="s">
        <v>1065</v>
      </c>
    </row>
    <row r="2885" ht="12.75" customHeight="1">
      <c r="A2885" s="95" t="s">
        <v>2873</v>
      </c>
      <c r="B2885" s="96" t="s">
        <v>1066</v>
      </c>
    </row>
    <row r="2886" ht="12.75" customHeight="1">
      <c r="A2886" s="95" t="s">
        <v>2873</v>
      </c>
      <c r="B2886" s="96" t="s">
        <v>1067</v>
      </c>
    </row>
    <row r="2887" ht="12.75" customHeight="1">
      <c r="A2887" s="95" t="s">
        <v>2873</v>
      </c>
      <c r="B2887" s="96" t="s">
        <v>1068</v>
      </c>
    </row>
    <row r="2888" ht="12.75" customHeight="1">
      <c r="A2888" s="95" t="s">
        <v>2873</v>
      </c>
      <c r="B2888" s="96" t="s">
        <v>1069</v>
      </c>
    </row>
    <row r="2889" ht="12.75" customHeight="1">
      <c r="A2889" s="95" t="s">
        <v>2873</v>
      </c>
      <c r="B2889" s="96" t="s">
        <v>1070</v>
      </c>
    </row>
    <row r="2890" ht="12.75" customHeight="1">
      <c r="A2890" s="95" t="s">
        <v>2873</v>
      </c>
      <c r="B2890" s="96" t="s">
        <v>1071</v>
      </c>
    </row>
    <row r="2891" ht="12.75" customHeight="1">
      <c r="A2891" s="95" t="s">
        <v>2873</v>
      </c>
      <c r="B2891" s="96" t="s">
        <v>1072</v>
      </c>
    </row>
    <row r="2892" ht="12.75" customHeight="1">
      <c r="A2892" s="95" t="s">
        <v>2873</v>
      </c>
      <c r="B2892" s="96" t="s">
        <v>1073</v>
      </c>
    </row>
    <row r="2893" ht="12.75" customHeight="1">
      <c r="A2893" s="95" t="s">
        <v>2873</v>
      </c>
      <c r="B2893" s="96" t="s">
        <v>1074</v>
      </c>
    </row>
    <row r="2894" ht="12.75" customHeight="1">
      <c r="A2894" s="95" t="s">
        <v>2873</v>
      </c>
      <c r="B2894" s="96" t="s">
        <v>1075</v>
      </c>
    </row>
    <row r="2895" ht="12.75" customHeight="1">
      <c r="A2895" s="95" t="s">
        <v>2873</v>
      </c>
      <c r="B2895" s="96" t="s">
        <v>1076</v>
      </c>
    </row>
    <row r="2896" ht="12.75" customHeight="1">
      <c r="A2896" s="95" t="s">
        <v>2873</v>
      </c>
      <c r="B2896" s="96" t="s">
        <v>1077</v>
      </c>
    </row>
    <row r="2897" ht="12.75" customHeight="1">
      <c r="A2897" s="95" t="s">
        <v>2873</v>
      </c>
      <c r="B2897" s="96" t="s">
        <v>1078</v>
      </c>
    </row>
    <row r="2898" ht="12.75" customHeight="1">
      <c r="A2898" s="95" t="s">
        <v>2873</v>
      </c>
      <c r="B2898" s="96" t="s">
        <v>1079</v>
      </c>
    </row>
    <row r="2899" ht="12.75" customHeight="1">
      <c r="A2899" s="95" t="s">
        <v>2873</v>
      </c>
      <c r="B2899" s="96" t="s">
        <v>1080</v>
      </c>
    </row>
    <row r="2900" ht="12.75" customHeight="1">
      <c r="A2900" s="95" t="s">
        <v>2873</v>
      </c>
      <c r="B2900" s="96" t="s">
        <v>1081</v>
      </c>
    </row>
    <row r="2901" ht="12.75" customHeight="1">
      <c r="A2901" s="95" t="s">
        <v>2873</v>
      </c>
      <c r="B2901" s="96" t="s">
        <v>1082</v>
      </c>
    </row>
    <row r="2902" ht="12.75" customHeight="1">
      <c r="A2902" s="95" t="s">
        <v>2873</v>
      </c>
      <c r="B2902" s="96" t="s">
        <v>1083</v>
      </c>
    </row>
    <row r="2903" ht="12.75" customHeight="1">
      <c r="A2903" s="95" t="s">
        <v>2873</v>
      </c>
      <c r="B2903" s="96" t="s">
        <v>1084</v>
      </c>
    </row>
    <row r="2904" ht="12.75" customHeight="1">
      <c r="A2904" s="95" t="s">
        <v>2873</v>
      </c>
      <c r="B2904" s="96" t="s">
        <v>1085</v>
      </c>
    </row>
    <row r="2905" ht="12.75" customHeight="1">
      <c r="A2905" s="95" t="s">
        <v>2873</v>
      </c>
      <c r="B2905" s="96" t="s">
        <v>1086</v>
      </c>
    </row>
    <row r="2906" ht="12.75" customHeight="1">
      <c r="A2906" s="95" t="s">
        <v>2873</v>
      </c>
      <c r="B2906" s="96" t="s">
        <v>1087</v>
      </c>
    </row>
    <row r="2907" ht="12.75" customHeight="1">
      <c r="A2907" s="95" t="s">
        <v>2873</v>
      </c>
      <c r="B2907" s="96" t="s">
        <v>1088</v>
      </c>
    </row>
    <row r="2908" ht="12.75" customHeight="1">
      <c r="A2908" s="95" t="s">
        <v>2873</v>
      </c>
      <c r="B2908" s="96" t="s">
        <v>1089</v>
      </c>
    </row>
    <row r="2909" ht="12.75" customHeight="1">
      <c r="A2909" s="95" t="s">
        <v>2873</v>
      </c>
      <c r="B2909" s="96" t="s">
        <v>1090</v>
      </c>
    </row>
    <row r="2910" ht="12.75" customHeight="1">
      <c r="A2910" s="95" t="s">
        <v>2873</v>
      </c>
      <c r="B2910" s="96" t="s">
        <v>1091</v>
      </c>
    </row>
    <row r="2911" ht="12.75" customHeight="1">
      <c r="A2911" s="95" t="s">
        <v>2873</v>
      </c>
      <c r="B2911" s="96" t="s">
        <v>1092</v>
      </c>
    </row>
    <row r="2912" ht="12.75" customHeight="1">
      <c r="A2912" s="95" t="s">
        <v>2873</v>
      </c>
      <c r="B2912" s="96" t="s">
        <v>1093</v>
      </c>
    </row>
    <row r="2913" ht="12.75" customHeight="1">
      <c r="A2913" s="95" t="s">
        <v>2873</v>
      </c>
      <c r="B2913" s="96" t="s">
        <v>1094</v>
      </c>
    </row>
    <row r="2914" ht="12.75" customHeight="1">
      <c r="A2914" s="95" t="s">
        <v>2873</v>
      </c>
      <c r="B2914" s="96" t="s">
        <v>1095</v>
      </c>
    </row>
    <row r="2915" ht="12.75" customHeight="1">
      <c r="A2915" s="95" t="s">
        <v>2874</v>
      </c>
      <c r="B2915" s="96">
        <v>0.0</v>
      </c>
    </row>
    <row r="2916" ht="12.75" customHeight="1">
      <c r="A2916" s="95" t="s">
        <v>2874</v>
      </c>
      <c r="B2916" s="96">
        <v>0.0</v>
      </c>
    </row>
    <row r="2917" ht="12.75" customHeight="1">
      <c r="A2917" s="95" t="s">
        <v>2874</v>
      </c>
      <c r="B2917" s="96">
        <v>2.0</v>
      </c>
    </row>
    <row r="2918" ht="12.75" customHeight="1">
      <c r="A2918" s="95" t="s">
        <v>2874</v>
      </c>
      <c r="B2918" s="96">
        <v>4.0</v>
      </c>
    </row>
    <row r="2919" ht="12.75" customHeight="1">
      <c r="A2919" s="95" t="s">
        <v>2874</v>
      </c>
      <c r="B2919" s="96">
        <v>6.0</v>
      </c>
    </row>
    <row r="2920" ht="12.75" customHeight="1">
      <c r="A2920" s="95" t="s">
        <v>2874</v>
      </c>
      <c r="B2920" s="96">
        <v>8.0</v>
      </c>
    </row>
    <row r="2921" ht="12.75" customHeight="1">
      <c r="A2921" s="95" t="s">
        <v>2874</v>
      </c>
      <c r="B2921" s="96">
        <v>10.0</v>
      </c>
    </row>
    <row r="2922" ht="12.75" customHeight="1">
      <c r="A2922" s="95" t="s">
        <v>2874</v>
      </c>
      <c r="B2922" s="96">
        <v>12.0</v>
      </c>
    </row>
    <row r="2923" ht="12.75" customHeight="1">
      <c r="A2923" s="95" t="s">
        <v>2874</v>
      </c>
      <c r="B2923" s="96" t="s">
        <v>803</v>
      </c>
    </row>
    <row r="2924" ht="12.75" customHeight="1">
      <c r="A2924" s="95" t="s">
        <v>2874</v>
      </c>
      <c r="B2924" s="96" t="s">
        <v>804</v>
      </c>
    </row>
    <row r="2925" ht="12.75" customHeight="1">
      <c r="A2925" s="95" t="s">
        <v>2874</v>
      </c>
      <c r="B2925" s="96" t="s">
        <v>76</v>
      </c>
    </row>
    <row r="2926" ht="12.75" customHeight="1">
      <c r="A2926" s="95" t="s">
        <v>2874</v>
      </c>
      <c r="B2926" s="96" t="s">
        <v>80</v>
      </c>
    </row>
    <row r="2927" ht="12.75" customHeight="1">
      <c r="A2927" s="95" t="s">
        <v>2874</v>
      </c>
      <c r="B2927" s="96" t="s">
        <v>83</v>
      </c>
    </row>
    <row r="2928" ht="12.75" customHeight="1">
      <c r="A2928" s="95" t="s">
        <v>2874</v>
      </c>
      <c r="B2928" s="96" t="s">
        <v>85</v>
      </c>
    </row>
    <row r="2929" ht="12.75" customHeight="1">
      <c r="A2929" s="95" t="s">
        <v>2874</v>
      </c>
      <c r="B2929" s="96">
        <v>14.0</v>
      </c>
    </row>
    <row r="2930" ht="12.75" customHeight="1">
      <c r="A2930" s="95" t="s">
        <v>2874</v>
      </c>
      <c r="B2930" s="96" t="s">
        <v>835</v>
      </c>
    </row>
    <row r="2931" ht="12.75" customHeight="1">
      <c r="A2931" s="95" t="s">
        <v>2874</v>
      </c>
      <c r="B2931" s="96">
        <v>16.0</v>
      </c>
    </row>
    <row r="2932" ht="12.75" customHeight="1">
      <c r="A2932" s="95" t="s">
        <v>2874</v>
      </c>
      <c r="B2932" s="96" t="s">
        <v>836</v>
      </c>
    </row>
    <row r="2933" ht="12.75" customHeight="1">
      <c r="A2933" s="95" t="s">
        <v>2874</v>
      </c>
      <c r="B2933" s="96">
        <v>18.0</v>
      </c>
    </row>
    <row r="2934" ht="12.75" customHeight="1">
      <c r="A2934" s="95" t="s">
        <v>2874</v>
      </c>
      <c r="B2934" s="96" t="s">
        <v>837</v>
      </c>
    </row>
    <row r="2935" ht="12.75" customHeight="1">
      <c r="A2935" s="95" t="s">
        <v>2874</v>
      </c>
      <c r="B2935" s="96">
        <v>20.0</v>
      </c>
    </row>
    <row r="2936" ht="12.75" customHeight="1">
      <c r="A2936" s="95" t="s">
        <v>2874</v>
      </c>
      <c r="B2936" s="96" t="s">
        <v>838</v>
      </c>
    </row>
    <row r="2937" ht="12.75" customHeight="1">
      <c r="A2937" s="95" t="s">
        <v>2874</v>
      </c>
      <c r="B2937" s="96">
        <v>22.0</v>
      </c>
    </row>
    <row r="2938" ht="12.75" customHeight="1">
      <c r="A2938" s="95" t="s">
        <v>2874</v>
      </c>
      <c r="B2938" s="96" t="s">
        <v>839</v>
      </c>
    </row>
    <row r="2939" ht="12.75" customHeight="1">
      <c r="A2939" s="95" t="s">
        <v>2874</v>
      </c>
      <c r="B2939" s="96">
        <v>24.0</v>
      </c>
    </row>
    <row r="2940" ht="12.75" customHeight="1">
      <c r="A2940" s="95" t="s">
        <v>2874</v>
      </c>
      <c r="B2940" s="96" t="s">
        <v>840</v>
      </c>
    </row>
    <row r="2941" ht="12.75" customHeight="1">
      <c r="A2941" s="95" t="s">
        <v>2874</v>
      </c>
      <c r="B2941" s="96">
        <v>26.0</v>
      </c>
    </row>
    <row r="2942" ht="12.75" customHeight="1">
      <c r="A2942" s="95" t="s">
        <v>2874</v>
      </c>
      <c r="B2942" s="96" t="s">
        <v>841</v>
      </c>
    </row>
    <row r="2943" ht="12.75" customHeight="1">
      <c r="A2943" s="95" t="s">
        <v>2874</v>
      </c>
      <c r="B2943" s="96">
        <v>28.0</v>
      </c>
    </row>
    <row r="2944" ht="12.75" customHeight="1">
      <c r="A2944" s="95" t="s">
        <v>2874</v>
      </c>
      <c r="B2944" s="96" t="s">
        <v>842</v>
      </c>
    </row>
    <row r="2945" ht="12.75" customHeight="1">
      <c r="A2945" s="95" t="s">
        <v>2874</v>
      </c>
      <c r="B2945" s="96">
        <v>30.0</v>
      </c>
    </row>
    <row r="2946" ht="12.75" customHeight="1">
      <c r="A2946" s="95" t="s">
        <v>2874</v>
      </c>
      <c r="B2946" s="96" t="s">
        <v>843</v>
      </c>
    </row>
    <row r="2947" ht="12.75" customHeight="1">
      <c r="A2947" s="95" t="s">
        <v>2874</v>
      </c>
      <c r="B2947" s="96">
        <v>32.0</v>
      </c>
    </row>
    <row r="2948" ht="12.75" customHeight="1">
      <c r="A2948" s="95" t="s">
        <v>2874</v>
      </c>
      <c r="B2948" s="96" t="s">
        <v>844</v>
      </c>
    </row>
    <row r="2949" ht="12.75" customHeight="1">
      <c r="A2949" s="95" t="s">
        <v>2874</v>
      </c>
      <c r="B2949" s="96" t="s">
        <v>845</v>
      </c>
    </row>
    <row r="2950" ht="12.75" customHeight="1">
      <c r="A2950" s="95" t="s">
        <v>2874</v>
      </c>
      <c r="B2950" s="96" t="s">
        <v>846</v>
      </c>
    </row>
    <row r="2951" ht="12.75" customHeight="1">
      <c r="A2951" s="95" t="s">
        <v>2874</v>
      </c>
      <c r="B2951" s="96" t="s">
        <v>847</v>
      </c>
    </row>
    <row r="2952" ht="12.75" customHeight="1">
      <c r="A2952" s="95" t="s">
        <v>2874</v>
      </c>
      <c r="B2952" s="96" t="s">
        <v>848</v>
      </c>
    </row>
    <row r="2953" ht="12.75" customHeight="1">
      <c r="A2953" s="95" t="s">
        <v>2874</v>
      </c>
      <c r="B2953" s="96" t="s">
        <v>849</v>
      </c>
    </row>
    <row r="2954" ht="12.75" customHeight="1">
      <c r="A2954" s="95" t="s">
        <v>2874</v>
      </c>
      <c r="B2954" s="96" t="s">
        <v>850</v>
      </c>
    </row>
    <row r="2955" ht="12.75" customHeight="1">
      <c r="A2955" s="95" t="s">
        <v>2874</v>
      </c>
      <c r="B2955" s="96" t="s">
        <v>851</v>
      </c>
    </row>
    <row r="2956" ht="12.75" customHeight="1">
      <c r="A2956" s="95" t="s">
        <v>2874</v>
      </c>
      <c r="B2956" s="96" t="s">
        <v>852</v>
      </c>
    </row>
    <row r="2957" ht="12.75" customHeight="1">
      <c r="A2957" s="95" t="s">
        <v>2874</v>
      </c>
      <c r="B2957" s="96" t="s">
        <v>908</v>
      </c>
    </row>
    <row r="2958" ht="12.75" customHeight="1">
      <c r="A2958" s="95" t="s">
        <v>2874</v>
      </c>
      <c r="B2958" s="96" t="s">
        <v>909</v>
      </c>
    </row>
    <row r="2959" ht="12.75" customHeight="1">
      <c r="A2959" s="95" t="s">
        <v>2874</v>
      </c>
      <c r="B2959" s="96" t="s">
        <v>910</v>
      </c>
    </row>
    <row r="2960" ht="12.75" customHeight="1">
      <c r="A2960" s="95" t="s">
        <v>2874</v>
      </c>
      <c r="B2960" s="96" t="s">
        <v>911</v>
      </c>
    </row>
    <row r="2961" ht="12.75" customHeight="1">
      <c r="A2961" s="95" t="s">
        <v>2874</v>
      </c>
      <c r="B2961" s="96" t="s">
        <v>912</v>
      </c>
    </row>
    <row r="2962" ht="12.75" customHeight="1">
      <c r="A2962" s="95" t="s">
        <v>2874</v>
      </c>
      <c r="B2962" s="96" t="s">
        <v>913</v>
      </c>
    </row>
    <row r="2963" ht="12.75" customHeight="1">
      <c r="A2963" s="95" t="s">
        <v>2874</v>
      </c>
      <c r="B2963" s="96" t="s">
        <v>914</v>
      </c>
    </row>
    <row r="2964" ht="12.75" customHeight="1">
      <c r="A2964" s="95" t="s">
        <v>2874</v>
      </c>
      <c r="B2964" s="96" t="s">
        <v>915</v>
      </c>
    </row>
    <row r="2965" ht="12.75" customHeight="1">
      <c r="A2965" s="95" t="s">
        <v>2874</v>
      </c>
      <c r="B2965" s="96" t="s">
        <v>916</v>
      </c>
    </row>
    <row r="2966" ht="12.75" customHeight="1">
      <c r="A2966" s="95" t="s">
        <v>2874</v>
      </c>
      <c r="B2966" s="96" t="s">
        <v>917</v>
      </c>
    </row>
    <row r="2967" ht="12.75" customHeight="1">
      <c r="A2967" s="95" t="s">
        <v>2874</v>
      </c>
      <c r="B2967" s="96" t="s">
        <v>918</v>
      </c>
    </row>
    <row r="2968" ht="12.75" customHeight="1">
      <c r="A2968" s="95" t="s">
        <v>2874</v>
      </c>
      <c r="B2968" s="96" t="s">
        <v>919</v>
      </c>
    </row>
    <row r="2969" ht="12.75" customHeight="1">
      <c r="A2969" s="95" t="s">
        <v>2874</v>
      </c>
      <c r="B2969" s="96" t="s">
        <v>920</v>
      </c>
    </row>
    <row r="2970" ht="12.75" customHeight="1">
      <c r="A2970" s="95" t="s">
        <v>2874</v>
      </c>
      <c r="B2970" s="96" t="s">
        <v>921</v>
      </c>
    </row>
    <row r="2971" ht="12.75" customHeight="1">
      <c r="A2971" s="95" t="s">
        <v>2874</v>
      </c>
      <c r="B2971" s="96" t="s">
        <v>922</v>
      </c>
    </row>
    <row r="2972" ht="12.75" customHeight="1">
      <c r="A2972" s="95" t="s">
        <v>2874</v>
      </c>
      <c r="B2972" s="96" t="s">
        <v>923</v>
      </c>
    </row>
    <row r="2973" ht="12.75" customHeight="1">
      <c r="A2973" s="95" t="s">
        <v>2874</v>
      </c>
      <c r="B2973" s="96" t="s">
        <v>924</v>
      </c>
    </row>
    <row r="2974" ht="12.75" customHeight="1">
      <c r="A2974" s="95" t="s">
        <v>2874</v>
      </c>
      <c r="B2974" s="96" t="s">
        <v>925</v>
      </c>
    </row>
    <row r="2975" ht="12.75" customHeight="1">
      <c r="A2975" s="95" t="s">
        <v>2874</v>
      </c>
      <c r="B2975" s="96" t="s">
        <v>926</v>
      </c>
    </row>
    <row r="2976" ht="12.75" customHeight="1">
      <c r="A2976" s="95" t="s">
        <v>2874</v>
      </c>
      <c r="B2976" s="96" t="s">
        <v>984</v>
      </c>
    </row>
    <row r="2977" ht="12.75" customHeight="1">
      <c r="A2977" s="95" t="s">
        <v>2874</v>
      </c>
      <c r="B2977" s="96" t="s">
        <v>985</v>
      </c>
    </row>
    <row r="2978" ht="12.75" customHeight="1">
      <c r="A2978" s="95" t="s">
        <v>2874</v>
      </c>
      <c r="B2978" s="96" t="s">
        <v>986</v>
      </c>
    </row>
    <row r="2979" ht="12.75" customHeight="1">
      <c r="A2979" s="95" t="s">
        <v>2874</v>
      </c>
      <c r="B2979" s="96" t="s">
        <v>987</v>
      </c>
    </row>
    <row r="2980" ht="12.75" customHeight="1">
      <c r="A2980" s="95" t="s">
        <v>2874</v>
      </c>
      <c r="B2980" s="96" t="s">
        <v>988</v>
      </c>
    </row>
    <row r="2981" ht="12.75" customHeight="1">
      <c r="A2981" s="95" t="s">
        <v>2874</v>
      </c>
      <c r="B2981" s="96" t="s">
        <v>989</v>
      </c>
    </row>
    <row r="2982" ht="12.75" customHeight="1">
      <c r="A2982" s="95" t="s">
        <v>2874</v>
      </c>
      <c r="B2982" s="96" t="s">
        <v>990</v>
      </c>
    </row>
    <row r="2983" ht="12.75" customHeight="1">
      <c r="A2983" s="95" t="s">
        <v>2874</v>
      </c>
      <c r="B2983" s="96" t="s">
        <v>991</v>
      </c>
    </row>
    <row r="2984" ht="12.75" customHeight="1">
      <c r="A2984" s="95" t="s">
        <v>2874</v>
      </c>
      <c r="B2984" s="96" t="s">
        <v>992</v>
      </c>
    </row>
    <row r="2985" ht="12.75" customHeight="1">
      <c r="A2985" s="95" t="s">
        <v>2874</v>
      </c>
      <c r="B2985" s="96" t="s">
        <v>993</v>
      </c>
    </row>
    <row r="2986" ht="12.75" customHeight="1">
      <c r="A2986" s="95" t="s">
        <v>2874</v>
      </c>
      <c r="B2986" s="96" t="s">
        <v>994</v>
      </c>
    </row>
    <row r="2987" ht="12.75" customHeight="1">
      <c r="A2987" s="95" t="s">
        <v>2874</v>
      </c>
      <c r="B2987" s="96" t="s">
        <v>995</v>
      </c>
    </row>
    <row r="2988" ht="12.75" customHeight="1">
      <c r="A2988" s="95" t="s">
        <v>2874</v>
      </c>
      <c r="B2988" s="96" t="s">
        <v>996</v>
      </c>
    </row>
    <row r="2989" ht="12.75" customHeight="1">
      <c r="A2989" s="95" t="s">
        <v>2874</v>
      </c>
      <c r="B2989" s="96" t="s">
        <v>997</v>
      </c>
    </row>
    <row r="2990" ht="12.75" customHeight="1">
      <c r="A2990" s="95" t="s">
        <v>2874</v>
      </c>
      <c r="B2990" s="96" t="s">
        <v>998</v>
      </c>
    </row>
    <row r="2991" ht="12.75" customHeight="1">
      <c r="A2991" s="95" t="s">
        <v>2874</v>
      </c>
      <c r="B2991" s="96" t="s">
        <v>999</v>
      </c>
    </row>
    <row r="2992" ht="12.75" customHeight="1">
      <c r="A2992" s="95" t="s">
        <v>2874</v>
      </c>
      <c r="B2992" s="96" t="s">
        <v>1000</v>
      </c>
    </row>
    <row r="2993" ht="12.75" customHeight="1">
      <c r="A2993" s="95" t="s">
        <v>2874</v>
      </c>
      <c r="B2993" s="96" t="s">
        <v>1001</v>
      </c>
    </row>
    <row r="2994" ht="12.75" customHeight="1">
      <c r="A2994" s="95" t="s">
        <v>2874</v>
      </c>
      <c r="B2994" s="96" t="s">
        <v>1054</v>
      </c>
    </row>
    <row r="2995" ht="12.75" customHeight="1">
      <c r="A2995" s="95" t="s">
        <v>2874</v>
      </c>
      <c r="B2995" s="96" t="s">
        <v>1055</v>
      </c>
    </row>
    <row r="2996" ht="12.75" customHeight="1">
      <c r="A2996" s="95" t="s">
        <v>2874</v>
      </c>
      <c r="B2996" s="96" t="s">
        <v>1056</v>
      </c>
    </row>
    <row r="2997" ht="12.75" customHeight="1">
      <c r="A2997" s="95" t="s">
        <v>2874</v>
      </c>
      <c r="B2997" s="96" t="s">
        <v>1057</v>
      </c>
    </row>
    <row r="2998" ht="12.75" customHeight="1">
      <c r="A2998" s="95" t="s">
        <v>2874</v>
      </c>
      <c r="B2998" s="96" t="s">
        <v>1058</v>
      </c>
    </row>
    <row r="2999" ht="12.75" customHeight="1">
      <c r="A2999" s="95" t="s">
        <v>2874</v>
      </c>
      <c r="B2999" s="96" t="s">
        <v>1059</v>
      </c>
    </row>
    <row r="3000" ht="12.75" customHeight="1">
      <c r="A3000" s="95" t="s">
        <v>2874</v>
      </c>
      <c r="B3000" s="96" t="s">
        <v>1060</v>
      </c>
    </row>
    <row r="3001" ht="12.75" customHeight="1">
      <c r="A3001" s="95" t="s">
        <v>2874</v>
      </c>
      <c r="B3001" s="96" t="s">
        <v>1061</v>
      </c>
    </row>
    <row r="3002" ht="12.75" customHeight="1">
      <c r="A3002" s="95" t="s">
        <v>2874</v>
      </c>
      <c r="B3002" s="96" t="s">
        <v>1062</v>
      </c>
    </row>
    <row r="3003" ht="12.75" customHeight="1">
      <c r="A3003" s="95" t="s">
        <v>2874</v>
      </c>
      <c r="B3003" s="96" t="s">
        <v>1063</v>
      </c>
    </row>
    <row r="3004" ht="12.75" customHeight="1">
      <c r="A3004" s="95" t="s">
        <v>2874</v>
      </c>
      <c r="B3004" s="96" t="s">
        <v>1064</v>
      </c>
    </row>
    <row r="3005" ht="12.75" customHeight="1">
      <c r="A3005" s="95" t="s">
        <v>2874</v>
      </c>
      <c r="B3005" s="96" t="s">
        <v>1065</v>
      </c>
    </row>
    <row r="3006" ht="12.75" customHeight="1">
      <c r="A3006" s="95" t="s">
        <v>2874</v>
      </c>
      <c r="B3006" s="96" t="s">
        <v>1066</v>
      </c>
    </row>
    <row r="3007" ht="12.75" customHeight="1">
      <c r="A3007" s="95" t="s">
        <v>2874</v>
      </c>
      <c r="B3007" s="96" t="s">
        <v>1067</v>
      </c>
    </row>
    <row r="3008" ht="12.75" customHeight="1">
      <c r="A3008" s="95" t="s">
        <v>2874</v>
      </c>
      <c r="B3008" s="96" t="s">
        <v>1068</v>
      </c>
    </row>
    <row r="3009" ht="12.75" customHeight="1">
      <c r="A3009" s="95" t="s">
        <v>2874</v>
      </c>
      <c r="B3009" s="96" t="s">
        <v>1069</v>
      </c>
    </row>
    <row r="3010" ht="12.75" customHeight="1">
      <c r="A3010" s="95" t="s">
        <v>2874</v>
      </c>
      <c r="B3010" s="96" t="s">
        <v>1070</v>
      </c>
    </row>
    <row r="3011" ht="12.75" customHeight="1">
      <c r="A3011" s="95" t="s">
        <v>2874</v>
      </c>
      <c r="B3011" s="96" t="s">
        <v>1071</v>
      </c>
    </row>
    <row r="3012" ht="12.75" customHeight="1">
      <c r="A3012" s="95" t="s">
        <v>2874</v>
      </c>
      <c r="B3012" s="96" t="s">
        <v>1072</v>
      </c>
    </row>
    <row r="3013" ht="12.75" customHeight="1">
      <c r="A3013" s="95" t="s">
        <v>2874</v>
      </c>
      <c r="B3013" s="96" t="s">
        <v>1073</v>
      </c>
    </row>
    <row r="3014" ht="12.75" customHeight="1">
      <c r="A3014" s="95" t="s">
        <v>2874</v>
      </c>
      <c r="B3014" s="96" t="s">
        <v>1074</v>
      </c>
    </row>
    <row r="3015" ht="12.75" customHeight="1">
      <c r="A3015" s="95" t="s">
        <v>2874</v>
      </c>
      <c r="B3015" s="96" t="s">
        <v>1075</v>
      </c>
    </row>
    <row r="3016" ht="12.75" customHeight="1">
      <c r="A3016" s="95" t="s">
        <v>2874</v>
      </c>
      <c r="B3016" s="96" t="s">
        <v>1076</v>
      </c>
    </row>
    <row r="3017" ht="12.75" customHeight="1">
      <c r="A3017" s="95" t="s">
        <v>2874</v>
      </c>
      <c r="B3017" s="96" t="s">
        <v>1077</v>
      </c>
    </row>
    <row r="3018" ht="12.75" customHeight="1">
      <c r="A3018" s="95" t="s">
        <v>2874</v>
      </c>
      <c r="B3018" s="96" t="s">
        <v>1078</v>
      </c>
    </row>
    <row r="3019" ht="12.75" customHeight="1">
      <c r="A3019" s="95" t="s">
        <v>2874</v>
      </c>
      <c r="B3019" s="96" t="s">
        <v>1079</v>
      </c>
    </row>
    <row r="3020" ht="12.75" customHeight="1">
      <c r="A3020" s="95" t="s">
        <v>2874</v>
      </c>
      <c r="B3020" s="96" t="s">
        <v>1080</v>
      </c>
    </row>
    <row r="3021" ht="12.75" customHeight="1">
      <c r="A3021" s="95" t="s">
        <v>2874</v>
      </c>
      <c r="B3021" s="96" t="s">
        <v>1081</v>
      </c>
    </row>
    <row r="3022" ht="12.75" customHeight="1">
      <c r="A3022" s="95" t="s">
        <v>2874</v>
      </c>
      <c r="B3022" s="96" t="s">
        <v>1082</v>
      </c>
    </row>
    <row r="3023" ht="12.75" customHeight="1">
      <c r="A3023" s="95" t="s">
        <v>2874</v>
      </c>
      <c r="B3023" s="96" t="s">
        <v>1083</v>
      </c>
    </row>
    <row r="3024" ht="12.75" customHeight="1">
      <c r="A3024" s="95" t="s">
        <v>2874</v>
      </c>
      <c r="B3024" s="96" t="s">
        <v>1084</v>
      </c>
    </row>
    <row r="3025" ht="12.75" customHeight="1">
      <c r="A3025" s="95" t="s">
        <v>2874</v>
      </c>
      <c r="B3025" s="96" t="s">
        <v>1085</v>
      </c>
    </row>
    <row r="3026" ht="12.75" customHeight="1">
      <c r="A3026" s="95" t="s">
        <v>2874</v>
      </c>
      <c r="B3026" s="96" t="s">
        <v>1086</v>
      </c>
    </row>
    <row r="3027" ht="12.75" customHeight="1">
      <c r="A3027" s="95" t="s">
        <v>2874</v>
      </c>
      <c r="B3027" s="96" t="s">
        <v>1087</v>
      </c>
    </row>
    <row r="3028" ht="12.75" customHeight="1">
      <c r="A3028" s="95" t="s">
        <v>2874</v>
      </c>
      <c r="B3028" s="96" t="s">
        <v>1088</v>
      </c>
    </row>
    <row r="3029" ht="12.75" customHeight="1">
      <c r="A3029" s="95" t="s">
        <v>2874</v>
      </c>
      <c r="B3029" s="96" t="s">
        <v>1089</v>
      </c>
    </row>
    <row r="3030" ht="12.75" customHeight="1">
      <c r="A3030" s="95" t="s">
        <v>2874</v>
      </c>
      <c r="B3030" s="96" t="s">
        <v>1090</v>
      </c>
    </row>
    <row r="3031" ht="12.75" customHeight="1">
      <c r="A3031" s="95" t="s">
        <v>2874</v>
      </c>
      <c r="B3031" s="96" t="s">
        <v>1091</v>
      </c>
    </row>
    <row r="3032" ht="12.75" customHeight="1">
      <c r="A3032" s="95" t="s">
        <v>2874</v>
      </c>
      <c r="B3032" s="96" t="s">
        <v>1092</v>
      </c>
    </row>
    <row r="3033" ht="12.75" customHeight="1">
      <c r="A3033" s="95" t="s">
        <v>2874</v>
      </c>
      <c r="B3033" s="96" t="s">
        <v>1093</v>
      </c>
    </row>
    <row r="3034" ht="12.75" customHeight="1">
      <c r="A3034" s="95" t="s">
        <v>2874</v>
      </c>
      <c r="B3034" s="96" t="s">
        <v>1094</v>
      </c>
    </row>
    <row r="3035" ht="12.75" customHeight="1">
      <c r="A3035" s="95" t="s">
        <v>2874</v>
      </c>
      <c r="B3035" s="96" t="s">
        <v>1095</v>
      </c>
    </row>
    <row r="3036" ht="12.75" customHeight="1">
      <c r="A3036" s="95" t="s">
        <v>2875</v>
      </c>
      <c r="B3036" s="96">
        <v>0.0</v>
      </c>
    </row>
    <row r="3037" ht="12.75" customHeight="1">
      <c r="A3037" s="95" t="s">
        <v>2875</v>
      </c>
      <c r="B3037" s="96">
        <v>0.0</v>
      </c>
    </row>
    <row r="3038" ht="12.75" customHeight="1">
      <c r="A3038" s="95" t="s">
        <v>2875</v>
      </c>
      <c r="B3038" s="96">
        <v>2.0</v>
      </c>
    </row>
    <row r="3039" ht="12.75" customHeight="1">
      <c r="A3039" s="95" t="s">
        <v>2875</v>
      </c>
      <c r="B3039" s="96">
        <v>4.0</v>
      </c>
    </row>
    <row r="3040" ht="12.75" customHeight="1">
      <c r="A3040" s="95" t="s">
        <v>2875</v>
      </c>
      <c r="B3040" s="96">
        <v>6.0</v>
      </c>
    </row>
    <row r="3041" ht="12.75" customHeight="1">
      <c r="A3041" s="95" t="s">
        <v>2875</v>
      </c>
      <c r="B3041" s="96">
        <v>8.0</v>
      </c>
    </row>
    <row r="3042" ht="12.75" customHeight="1">
      <c r="A3042" s="95" t="s">
        <v>2875</v>
      </c>
      <c r="B3042" s="96">
        <v>10.0</v>
      </c>
    </row>
    <row r="3043" ht="12.75" customHeight="1">
      <c r="A3043" s="95" t="s">
        <v>2875</v>
      </c>
      <c r="B3043" s="96">
        <v>12.0</v>
      </c>
    </row>
    <row r="3044" ht="12.75" customHeight="1">
      <c r="A3044" s="95" t="s">
        <v>2875</v>
      </c>
      <c r="B3044" s="96" t="s">
        <v>803</v>
      </c>
    </row>
    <row r="3045" ht="12.75" customHeight="1">
      <c r="A3045" s="95" t="s">
        <v>2875</v>
      </c>
      <c r="B3045" s="96" t="s">
        <v>804</v>
      </c>
    </row>
    <row r="3046" ht="12.75" customHeight="1">
      <c r="A3046" s="95" t="s">
        <v>2875</v>
      </c>
      <c r="B3046" s="96" t="s">
        <v>76</v>
      </c>
    </row>
    <row r="3047" ht="12.75" customHeight="1">
      <c r="A3047" s="95" t="s">
        <v>2875</v>
      </c>
      <c r="B3047" s="96" t="s">
        <v>80</v>
      </c>
    </row>
    <row r="3048" ht="12.75" customHeight="1">
      <c r="A3048" s="95" t="s">
        <v>2875</v>
      </c>
      <c r="B3048" s="96" t="s">
        <v>83</v>
      </c>
    </row>
    <row r="3049" ht="12.75" customHeight="1">
      <c r="A3049" s="95" t="s">
        <v>2875</v>
      </c>
      <c r="B3049" s="96" t="s">
        <v>85</v>
      </c>
    </row>
    <row r="3050" ht="12.75" customHeight="1">
      <c r="A3050" s="95" t="s">
        <v>2875</v>
      </c>
      <c r="B3050" s="96">
        <v>14.0</v>
      </c>
    </row>
    <row r="3051" ht="12.75" customHeight="1">
      <c r="A3051" s="95" t="s">
        <v>2875</v>
      </c>
      <c r="B3051" s="96" t="s">
        <v>835</v>
      </c>
    </row>
    <row r="3052" ht="12.75" customHeight="1">
      <c r="A3052" s="95" t="s">
        <v>2875</v>
      </c>
      <c r="B3052" s="96">
        <v>16.0</v>
      </c>
    </row>
    <row r="3053" ht="12.75" customHeight="1">
      <c r="A3053" s="95" t="s">
        <v>2875</v>
      </c>
      <c r="B3053" s="96" t="s">
        <v>836</v>
      </c>
    </row>
    <row r="3054" ht="12.75" customHeight="1">
      <c r="A3054" s="95" t="s">
        <v>2875</v>
      </c>
      <c r="B3054" s="96">
        <v>18.0</v>
      </c>
    </row>
    <row r="3055" ht="12.75" customHeight="1">
      <c r="A3055" s="95" t="s">
        <v>2875</v>
      </c>
      <c r="B3055" s="96" t="s">
        <v>837</v>
      </c>
    </row>
    <row r="3056" ht="12.75" customHeight="1">
      <c r="A3056" s="95" t="s">
        <v>2875</v>
      </c>
      <c r="B3056" s="96">
        <v>20.0</v>
      </c>
    </row>
    <row r="3057" ht="12.75" customHeight="1">
      <c r="A3057" s="95" t="s">
        <v>2875</v>
      </c>
      <c r="B3057" s="96" t="s">
        <v>838</v>
      </c>
    </row>
    <row r="3058" ht="12.75" customHeight="1">
      <c r="A3058" s="95" t="s">
        <v>2875</v>
      </c>
      <c r="B3058" s="96">
        <v>22.0</v>
      </c>
    </row>
    <row r="3059" ht="12.75" customHeight="1">
      <c r="A3059" s="95" t="s">
        <v>2875</v>
      </c>
      <c r="B3059" s="96" t="s">
        <v>839</v>
      </c>
    </row>
    <row r="3060" ht="12.75" customHeight="1">
      <c r="A3060" s="95" t="s">
        <v>2875</v>
      </c>
      <c r="B3060" s="96">
        <v>24.0</v>
      </c>
    </row>
    <row r="3061" ht="12.75" customHeight="1">
      <c r="A3061" s="95" t="s">
        <v>2875</v>
      </c>
      <c r="B3061" s="96" t="s">
        <v>840</v>
      </c>
    </row>
    <row r="3062" ht="12.75" customHeight="1">
      <c r="A3062" s="95" t="s">
        <v>2875</v>
      </c>
      <c r="B3062" s="96">
        <v>26.0</v>
      </c>
    </row>
    <row r="3063" ht="12.75" customHeight="1">
      <c r="A3063" s="95" t="s">
        <v>2875</v>
      </c>
      <c r="B3063" s="96" t="s">
        <v>841</v>
      </c>
    </row>
    <row r="3064" ht="12.75" customHeight="1">
      <c r="A3064" s="95" t="s">
        <v>2875</v>
      </c>
      <c r="B3064" s="96">
        <v>28.0</v>
      </c>
    </row>
    <row r="3065" ht="12.75" customHeight="1">
      <c r="A3065" s="95" t="s">
        <v>2875</v>
      </c>
      <c r="B3065" s="96" t="s">
        <v>842</v>
      </c>
    </row>
    <row r="3066" ht="12.75" customHeight="1">
      <c r="A3066" s="95" t="s">
        <v>2875</v>
      </c>
      <c r="B3066" s="96">
        <v>30.0</v>
      </c>
    </row>
    <row r="3067" ht="12.75" customHeight="1">
      <c r="A3067" s="95" t="s">
        <v>2875</v>
      </c>
      <c r="B3067" s="96" t="s">
        <v>843</v>
      </c>
    </row>
    <row r="3068" ht="12.75" customHeight="1">
      <c r="A3068" s="95" t="s">
        <v>2875</v>
      </c>
      <c r="B3068" s="96">
        <v>32.0</v>
      </c>
    </row>
    <row r="3069" ht="12.75" customHeight="1">
      <c r="A3069" s="95" t="s">
        <v>2875</v>
      </c>
      <c r="B3069" s="96" t="s">
        <v>844</v>
      </c>
    </row>
    <row r="3070" ht="12.75" customHeight="1">
      <c r="A3070" s="95" t="s">
        <v>2875</v>
      </c>
      <c r="B3070" s="96" t="s">
        <v>845</v>
      </c>
    </row>
    <row r="3071" ht="12.75" customHeight="1">
      <c r="A3071" s="95" t="s">
        <v>2875</v>
      </c>
      <c r="B3071" s="96" t="s">
        <v>846</v>
      </c>
    </row>
    <row r="3072" ht="12.75" customHeight="1">
      <c r="A3072" s="95" t="s">
        <v>2875</v>
      </c>
      <c r="B3072" s="96" t="s">
        <v>847</v>
      </c>
    </row>
    <row r="3073" ht="12.75" customHeight="1">
      <c r="A3073" s="95" t="s">
        <v>2875</v>
      </c>
      <c r="B3073" s="96" t="s">
        <v>848</v>
      </c>
    </row>
    <row r="3074" ht="12.75" customHeight="1">
      <c r="A3074" s="95" t="s">
        <v>2875</v>
      </c>
      <c r="B3074" s="96" t="s">
        <v>849</v>
      </c>
    </row>
    <row r="3075" ht="12.75" customHeight="1">
      <c r="A3075" s="95" t="s">
        <v>2875</v>
      </c>
      <c r="B3075" s="96" t="s">
        <v>850</v>
      </c>
    </row>
    <row r="3076" ht="12.75" customHeight="1">
      <c r="A3076" s="95" t="s">
        <v>2875</v>
      </c>
      <c r="B3076" s="96" t="s">
        <v>851</v>
      </c>
    </row>
    <row r="3077" ht="12.75" customHeight="1">
      <c r="A3077" s="95" t="s">
        <v>2875</v>
      </c>
      <c r="B3077" s="96" t="s">
        <v>852</v>
      </c>
    </row>
    <row r="3078" ht="12.75" customHeight="1">
      <c r="A3078" s="95" t="s">
        <v>2875</v>
      </c>
      <c r="B3078" s="96" t="s">
        <v>908</v>
      </c>
    </row>
    <row r="3079" ht="12.75" customHeight="1">
      <c r="A3079" s="95" t="s">
        <v>2875</v>
      </c>
      <c r="B3079" s="96" t="s">
        <v>909</v>
      </c>
    </row>
    <row r="3080" ht="12.75" customHeight="1">
      <c r="A3080" s="95" t="s">
        <v>2875</v>
      </c>
      <c r="B3080" s="96" t="s">
        <v>910</v>
      </c>
    </row>
    <row r="3081" ht="12.75" customHeight="1">
      <c r="A3081" s="95" t="s">
        <v>2875</v>
      </c>
      <c r="B3081" s="96" t="s">
        <v>911</v>
      </c>
    </row>
    <row r="3082" ht="12.75" customHeight="1">
      <c r="A3082" s="95" t="s">
        <v>2875</v>
      </c>
      <c r="B3082" s="96" t="s">
        <v>912</v>
      </c>
    </row>
    <row r="3083" ht="12.75" customHeight="1">
      <c r="A3083" s="95" t="s">
        <v>2875</v>
      </c>
      <c r="B3083" s="96" t="s">
        <v>913</v>
      </c>
    </row>
    <row r="3084" ht="12.75" customHeight="1">
      <c r="A3084" s="95" t="s">
        <v>2875</v>
      </c>
      <c r="B3084" s="96" t="s">
        <v>914</v>
      </c>
    </row>
    <row r="3085" ht="12.75" customHeight="1">
      <c r="A3085" s="95" t="s">
        <v>2875</v>
      </c>
      <c r="B3085" s="96" t="s">
        <v>915</v>
      </c>
    </row>
    <row r="3086" ht="12.75" customHeight="1">
      <c r="A3086" s="95" t="s">
        <v>2875</v>
      </c>
      <c r="B3086" s="96" t="s">
        <v>916</v>
      </c>
    </row>
    <row r="3087" ht="12.75" customHeight="1">
      <c r="A3087" s="95" t="s">
        <v>2875</v>
      </c>
      <c r="B3087" s="96" t="s">
        <v>917</v>
      </c>
    </row>
    <row r="3088" ht="12.75" customHeight="1">
      <c r="A3088" s="95" t="s">
        <v>2875</v>
      </c>
      <c r="B3088" s="96" t="s">
        <v>918</v>
      </c>
    </row>
    <row r="3089" ht="12.75" customHeight="1">
      <c r="A3089" s="95" t="s">
        <v>2875</v>
      </c>
      <c r="B3089" s="96" t="s">
        <v>919</v>
      </c>
    </row>
    <row r="3090" ht="12.75" customHeight="1">
      <c r="A3090" s="95" t="s">
        <v>2875</v>
      </c>
      <c r="B3090" s="96" t="s">
        <v>920</v>
      </c>
    </row>
    <row r="3091" ht="12.75" customHeight="1">
      <c r="A3091" s="95" t="s">
        <v>2875</v>
      </c>
      <c r="B3091" s="96" t="s">
        <v>921</v>
      </c>
    </row>
    <row r="3092" ht="12.75" customHeight="1">
      <c r="A3092" s="95" t="s">
        <v>2875</v>
      </c>
      <c r="B3092" s="96" t="s">
        <v>922</v>
      </c>
    </row>
    <row r="3093" ht="12.75" customHeight="1">
      <c r="A3093" s="95" t="s">
        <v>2875</v>
      </c>
      <c r="B3093" s="96" t="s">
        <v>923</v>
      </c>
    </row>
    <row r="3094" ht="12.75" customHeight="1">
      <c r="A3094" s="95" t="s">
        <v>2875</v>
      </c>
      <c r="B3094" s="96" t="s">
        <v>924</v>
      </c>
    </row>
    <row r="3095" ht="12.75" customHeight="1">
      <c r="A3095" s="95" t="s">
        <v>2875</v>
      </c>
      <c r="B3095" s="96" t="s">
        <v>925</v>
      </c>
    </row>
    <row r="3096" ht="12.75" customHeight="1">
      <c r="A3096" s="95" t="s">
        <v>2875</v>
      </c>
      <c r="B3096" s="96" t="s">
        <v>926</v>
      </c>
    </row>
    <row r="3097" ht="12.75" customHeight="1">
      <c r="A3097" s="95" t="s">
        <v>2875</v>
      </c>
      <c r="B3097" s="96" t="s">
        <v>984</v>
      </c>
    </row>
    <row r="3098" ht="12.75" customHeight="1">
      <c r="A3098" s="95" t="s">
        <v>2875</v>
      </c>
      <c r="B3098" s="96" t="s">
        <v>985</v>
      </c>
    </row>
    <row r="3099" ht="12.75" customHeight="1">
      <c r="A3099" s="95" t="s">
        <v>2875</v>
      </c>
      <c r="B3099" s="96" t="s">
        <v>986</v>
      </c>
    </row>
    <row r="3100" ht="12.75" customHeight="1">
      <c r="A3100" s="95" t="s">
        <v>2875</v>
      </c>
      <c r="B3100" s="96" t="s">
        <v>987</v>
      </c>
    </row>
    <row r="3101" ht="12.75" customHeight="1">
      <c r="A3101" s="95" t="s">
        <v>2875</v>
      </c>
      <c r="B3101" s="96" t="s">
        <v>988</v>
      </c>
    </row>
    <row r="3102" ht="12.75" customHeight="1">
      <c r="A3102" s="95" t="s">
        <v>2875</v>
      </c>
      <c r="B3102" s="96" t="s">
        <v>989</v>
      </c>
    </row>
    <row r="3103" ht="12.75" customHeight="1">
      <c r="A3103" s="95" t="s">
        <v>2875</v>
      </c>
      <c r="B3103" s="96" t="s">
        <v>990</v>
      </c>
    </row>
    <row r="3104" ht="12.75" customHeight="1">
      <c r="A3104" s="95" t="s">
        <v>2875</v>
      </c>
      <c r="B3104" s="96" t="s">
        <v>991</v>
      </c>
    </row>
    <row r="3105" ht="12.75" customHeight="1">
      <c r="A3105" s="95" t="s">
        <v>2875</v>
      </c>
      <c r="B3105" s="96" t="s">
        <v>992</v>
      </c>
    </row>
    <row r="3106" ht="12.75" customHeight="1">
      <c r="A3106" s="95" t="s">
        <v>2875</v>
      </c>
      <c r="B3106" s="96" t="s">
        <v>993</v>
      </c>
    </row>
    <row r="3107" ht="12.75" customHeight="1">
      <c r="A3107" s="95" t="s">
        <v>2875</v>
      </c>
      <c r="B3107" s="96" t="s">
        <v>994</v>
      </c>
    </row>
    <row r="3108" ht="12.75" customHeight="1">
      <c r="A3108" s="95" t="s">
        <v>2875</v>
      </c>
      <c r="B3108" s="96" t="s">
        <v>995</v>
      </c>
    </row>
    <row r="3109" ht="12.75" customHeight="1">
      <c r="A3109" s="95" t="s">
        <v>2875</v>
      </c>
      <c r="B3109" s="96" t="s">
        <v>996</v>
      </c>
    </row>
    <row r="3110" ht="12.75" customHeight="1">
      <c r="A3110" s="95" t="s">
        <v>2875</v>
      </c>
      <c r="B3110" s="96" t="s">
        <v>997</v>
      </c>
    </row>
    <row r="3111" ht="12.75" customHeight="1">
      <c r="A3111" s="95" t="s">
        <v>2875</v>
      </c>
      <c r="B3111" s="96" t="s">
        <v>998</v>
      </c>
    </row>
    <row r="3112" ht="12.75" customHeight="1">
      <c r="A3112" s="95" t="s">
        <v>2875</v>
      </c>
      <c r="B3112" s="96" t="s">
        <v>999</v>
      </c>
    </row>
    <row r="3113" ht="12.75" customHeight="1">
      <c r="A3113" s="95" t="s">
        <v>2875</v>
      </c>
      <c r="B3113" s="96" t="s">
        <v>1000</v>
      </c>
    </row>
    <row r="3114" ht="12.75" customHeight="1">
      <c r="A3114" s="95" t="s">
        <v>2875</v>
      </c>
      <c r="B3114" s="96" t="s">
        <v>1001</v>
      </c>
    </row>
    <row r="3115" ht="12.75" customHeight="1">
      <c r="A3115" s="95" t="s">
        <v>2875</v>
      </c>
      <c r="B3115" s="96" t="s">
        <v>1054</v>
      </c>
    </row>
    <row r="3116" ht="12.75" customHeight="1">
      <c r="A3116" s="95" t="s">
        <v>2875</v>
      </c>
      <c r="B3116" s="96" t="s">
        <v>1055</v>
      </c>
    </row>
    <row r="3117" ht="12.75" customHeight="1">
      <c r="A3117" s="95" t="s">
        <v>2875</v>
      </c>
      <c r="B3117" s="96" t="s">
        <v>1056</v>
      </c>
    </row>
    <row r="3118" ht="12.75" customHeight="1">
      <c r="A3118" s="95" t="s">
        <v>2875</v>
      </c>
      <c r="B3118" s="96" t="s">
        <v>1057</v>
      </c>
    </row>
    <row r="3119" ht="12.75" customHeight="1">
      <c r="A3119" s="95" t="s">
        <v>2875</v>
      </c>
      <c r="B3119" s="96" t="s">
        <v>1058</v>
      </c>
    </row>
    <row r="3120" ht="12.75" customHeight="1">
      <c r="A3120" s="95" t="s">
        <v>2875</v>
      </c>
      <c r="B3120" s="96" t="s">
        <v>1059</v>
      </c>
    </row>
    <row r="3121" ht="12.75" customHeight="1">
      <c r="A3121" s="95" t="s">
        <v>2875</v>
      </c>
      <c r="B3121" s="96" t="s">
        <v>1060</v>
      </c>
    </row>
    <row r="3122" ht="12.75" customHeight="1">
      <c r="A3122" s="95" t="s">
        <v>2875</v>
      </c>
      <c r="B3122" s="96" t="s">
        <v>1061</v>
      </c>
    </row>
    <row r="3123" ht="12.75" customHeight="1">
      <c r="A3123" s="95" t="s">
        <v>2875</v>
      </c>
      <c r="B3123" s="96" t="s">
        <v>1062</v>
      </c>
    </row>
    <row r="3124" ht="12.75" customHeight="1">
      <c r="A3124" s="95" t="s">
        <v>2875</v>
      </c>
      <c r="B3124" s="96" t="s">
        <v>1063</v>
      </c>
    </row>
    <row r="3125" ht="12.75" customHeight="1">
      <c r="A3125" s="95" t="s">
        <v>2875</v>
      </c>
      <c r="B3125" s="96" t="s">
        <v>1064</v>
      </c>
    </row>
    <row r="3126" ht="12.75" customHeight="1">
      <c r="A3126" s="95" t="s">
        <v>2875</v>
      </c>
      <c r="B3126" s="96" t="s">
        <v>1065</v>
      </c>
    </row>
    <row r="3127" ht="12.75" customHeight="1">
      <c r="A3127" s="95" t="s">
        <v>2875</v>
      </c>
      <c r="B3127" s="96" t="s">
        <v>1066</v>
      </c>
    </row>
    <row r="3128" ht="12.75" customHeight="1">
      <c r="A3128" s="95" t="s">
        <v>2875</v>
      </c>
      <c r="B3128" s="96" t="s">
        <v>1067</v>
      </c>
    </row>
    <row r="3129" ht="12.75" customHeight="1">
      <c r="A3129" s="95" t="s">
        <v>2875</v>
      </c>
      <c r="B3129" s="96" t="s">
        <v>1068</v>
      </c>
    </row>
    <row r="3130" ht="12.75" customHeight="1">
      <c r="A3130" s="95" t="s">
        <v>2875</v>
      </c>
      <c r="B3130" s="96" t="s">
        <v>1069</v>
      </c>
    </row>
    <row r="3131" ht="12.75" customHeight="1">
      <c r="A3131" s="95" t="s">
        <v>2875</v>
      </c>
      <c r="B3131" s="96" t="s">
        <v>1070</v>
      </c>
    </row>
    <row r="3132" ht="12.75" customHeight="1">
      <c r="A3132" s="95" t="s">
        <v>2875</v>
      </c>
      <c r="B3132" s="96" t="s">
        <v>1071</v>
      </c>
    </row>
    <row r="3133" ht="12.75" customHeight="1">
      <c r="A3133" s="95" t="s">
        <v>2875</v>
      </c>
      <c r="B3133" s="96" t="s">
        <v>1072</v>
      </c>
    </row>
    <row r="3134" ht="12.75" customHeight="1">
      <c r="A3134" s="95" t="s">
        <v>2875</v>
      </c>
      <c r="B3134" s="96" t="s">
        <v>1073</v>
      </c>
    </row>
    <row r="3135" ht="12.75" customHeight="1">
      <c r="A3135" s="95" t="s">
        <v>2875</v>
      </c>
      <c r="B3135" s="96" t="s">
        <v>1074</v>
      </c>
    </row>
    <row r="3136" ht="12.75" customHeight="1">
      <c r="A3136" s="95" t="s">
        <v>2875</v>
      </c>
      <c r="B3136" s="96" t="s">
        <v>1075</v>
      </c>
    </row>
    <row r="3137" ht="12.75" customHeight="1">
      <c r="A3137" s="95" t="s">
        <v>2875</v>
      </c>
      <c r="B3137" s="96" t="s">
        <v>1076</v>
      </c>
    </row>
    <row r="3138" ht="12.75" customHeight="1">
      <c r="A3138" s="95" t="s">
        <v>2875</v>
      </c>
      <c r="B3138" s="96" t="s">
        <v>1077</v>
      </c>
    </row>
    <row r="3139" ht="12.75" customHeight="1">
      <c r="A3139" s="95" t="s">
        <v>2875</v>
      </c>
      <c r="B3139" s="96" t="s">
        <v>1078</v>
      </c>
    </row>
    <row r="3140" ht="12.75" customHeight="1">
      <c r="A3140" s="95" t="s">
        <v>2875</v>
      </c>
      <c r="B3140" s="96" t="s">
        <v>1079</v>
      </c>
    </row>
    <row r="3141" ht="12.75" customHeight="1">
      <c r="A3141" s="95" t="s">
        <v>2875</v>
      </c>
      <c r="B3141" s="96" t="s">
        <v>1080</v>
      </c>
    </row>
    <row r="3142" ht="12.75" customHeight="1">
      <c r="A3142" s="95" t="s">
        <v>2875</v>
      </c>
      <c r="B3142" s="96" t="s">
        <v>1081</v>
      </c>
    </row>
    <row r="3143" ht="12.75" customHeight="1">
      <c r="A3143" s="95" t="s">
        <v>2875</v>
      </c>
      <c r="B3143" s="96" t="s">
        <v>1082</v>
      </c>
    </row>
    <row r="3144" ht="12.75" customHeight="1">
      <c r="A3144" s="95" t="s">
        <v>2875</v>
      </c>
      <c r="B3144" s="96" t="s">
        <v>1083</v>
      </c>
    </row>
    <row r="3145" ht="12.75" customHeight="1">
      <c r="A3145" s="95" t="s">
        <v>2875</v>
      </c>
      <c r="B3145" s="96" t="s">
        <v>1084</v>
      </c>
    </row>
    <row r="3146" ht="12.75" customHeight="1">
      <c r="A3146" s="95" t="s">
        <v>2875</v>
      </c>
      <c r="B3146" s="96" t="s">
        <v>1085</v>
      </c>
    </row>
    <row r="3147" ht="12.75" customHeight="1">
      <c r="A3147" s="95" t="s">
        <v>2875</v>
      </c>
      <c r="B3147" s="96" t="s">
        <v>1086</v>
      </c>
    </row>
    <row r="3148" ht="12.75" customHeight="1">
      <c r="A3148" s="95" t="s">
        <v>2875</v>
      </c>
      <c r="B3148" s="96" t="s">
        <v>1087</v>
      </c>
    </row>
    <row r="3149" ht="12.75" customHeight="1">
      <c r="A3149" s="95" t="s">
        <v>2875</v>
      </c>
      <c r="B3149" s="96" t="s">
        <v>1088</v>
      </c>
    </row>
    <row r="3150" ht="12.75" customHeight="1">
      <c r="A3150" s="95" t="s">
        <v>2875</v>
      </c>
      <c r="B3150" s="96" t="s">
        <v>1089</v>
      </c>
    </row>
    <row r="3151" ht="12.75" customHeight="1">
      <c r="A3151" s="95" t="s">
        <v>2875</v>
      </c>
      <c r="B3151" s="96" t="s">
        <v>1090</v>
      </c>
    </row>
    <row r="3152" ht="12.75" customHeight="1">
      <c r="A3152" s="95" t="s">
        <v>2875</v>
      </c>
      <c r="B3152" s="96" t="s">
        <v>1091</v>
      </c>
    </row>
    <row r="3153" ht="12.75" customHeight="1">
      <c r="A3153" s="95" t="s">
        <v>2875</v>
      </c>
      <c r="B3153" s="96" t="s">
        <v>1092</v>
      </c>
    </row>
    <row r="3154" ht="12.75" customHeight="1">
      <c r="A3154" s="95" t="s">
        <v>2875</v>
      </c>
      <c r="B3154" s="96" t="s">
        <v>1093</v>
      </c>
    </row>
    <row r="3155" ht="12.75" customHeight="1">
      <c r="A3155" s="95" t="s">
        <v>2875</v>
      </c>
      <c r="B3155" s="96" t="s">
        <v>1094</v>
      </c>
    </row>
    <row r="3156" ht="12.75" customHeight="1">
      <c r="A3156" s="95" t="s">
        <v>2875</v>
      </c>
      <c r="B3156" s="96" t="s">
        <v>1095</v>
      </c>
    </row>
    <row r="3157" ht="12.75" customHeight="1">
      <c r="A3157" s="95" t="s">
        <v>2876</v>
      </c>
      <c r="B3157" s="96">
        <v>0.0</v>
      </c>
    </row>
    <row r="3158" ht="12.75" customHeight="1">
      <c r="A3158" s="95" t="s">
        <v>2876</v>
      </c>
      <c r="B3158" s="96">
        <v>0.0</v>
      </c>
    </row>
    <row r="3159" ht="12.75" customHeight="1">
      <c r="A3159" s="95" t="s">
        <v>2876</v>
      </c>
      <c r="B3159" s="96">
        <v>2.0</v>
      </c>
    </row>
    <row r="3160" ht="12.75" customHeight="1">
      <c r="A3160" s="95" t="s">
        <v>2876</v>
      </c>
      <c r="B3160" s="96">
        <v>4.0</v>
      </c>
    </row>
    <row r="3161" ht="12.75" customHeight="1">
      <c r="A3161" s="95" t="s">
        <v>2876</v>
      </c>
      <c r="B3161" s="96">
        <v>6.0</v>
      </c>
    </row>
    <row r="3162" ht="12.75" customHeight="1">
      <c r="A3162" s="95" t="s">
        <v>2876</v>
      </c>
      <c r="B3162" s="96">
        <v>8.0</v>
      </c>
    </row>
    <row r="3163" ht="12.75" customHeight="1">
      <c r="A3163" s="95" t="s">
        <v>2876</v>
      </c>
      <c r="B3163" s="96">
        <v>10.0</v>
      </c>
    </row>
    <row r="3164" ht="12.75" customHeight="1">
      <c r="A3164" s="95" t="s">
        <v>2876</v>
      </c>
      <c r="B3164" s="96">
        <v>12.0</v>
      </c>
    </row>
    <row r="3165" ht="12.75" customHeight="1">
      <c r="A3165" s="95" t="s">
        <v>2876</v>
      </c>
      <c r="B3165" s="96" t="s">
        <v>803</v>
      </c>
    </row>
    <row r="3166" ht="12.75" customHeight="1">
      <c r="A3166" s="95" t="s">
        <v>2876</v>
      </c>
      <c r="B3166" s="96" t="s">
        <v>804</v>
      </c>
    </row>
    <row r="3167" ht="12.75" customHeight="1">
      <c r="A3167" s="95" t="s">
        <v>2876</v>
      </c>
      <c r="B3167" s="96" t="s">
        <v>76</v>
      </c>
    </row>
    <row r="3168" ht="12.75" customHeight="1">
      <c r="A3168" s="95" t="s">
        <v>2876</v>
      </c>
      <c r="B3168" s="96" t="s">
        <v>80</v>
      </c>
    </row>
    <row r="3169" ht="12.75" customHeight="1">
      <c r="A3169" s="95" t="s">
        <v>2876</v>
      </c>
      <c r="B3169" s="96" t="s">
        <v>83</v>
      </c>
    </row>
    <row r="3170" ht="12.75" customHeight="1">
      <c r="A3170" s="95" t="s">
        <v>2876</v>
      </c>
      <c r="B3170" s="96" t="s">
        <v>85</v>
      </c>
    </row>
    <row r="3171" ht="12.75" customHeight="1">
      <c r="A3171" s="95" t="s">
        <v>2876</v>
      </c>
      <c r="B3171" s="96">
        <v>14.0</v>
      </c>
    </row>
    <row r="3172" ht="12.75" customHeight="1">
      <c r="A3172" s="95" t="s">
        <v>2876</v>
      </c>
      <c r="B3172" s="96" t="s">
        <v>835</v>
      </c>
    </row>
    <row r="3173" ht="12.75" customHeight="1">
      <c r="A3173" s="95" t="s">
        <v>2876</v>
      </c>
      <c r="B3173" s="96">
        <v>16.0</v>
      </c>
    </row>
    <row r="3174" ht="12.75" customHeight="1">
      <c r="A3174" s="95" t="s">
        <v>2876</v>
      </c>
      <c r="B3174" s="96" t="s">
        <v>836</v>
      </c>
    </row>
    <row r="3175" ht="12.75" customHeight="1">
      <c r="A3175" s="95" t="s">
        <v>2876</v>
      </c>
      <c r="B3175" s="96">
        <v>18.0</v>
      </c>
    </row>
    <row r="3176" ht="12.75" customHeight="1">
      <c r="A3176" s="95" t="s">
        <v>2876</v>
      </c>
      <c r="B3176" s="96" t="s">
        <v>837</v>
      </c>
    </row>
    <row r="3177" ht="12.75" customHeight="1">
      <c r="A3177" s="95" t="s">
        <v>2876</v>
      </c>
      <c r="B3177" s="96">
        <v>20.0</v>
      </c>
    </row>
    <row r="3178" ht="12.75" customHeight="1">
      <c r="A3178" s="95" t="s">
        <v>2876</v>
      </c>
      <c r="B3178" s="96" t="s">
        <v>838</v>
      </c>
    </row>
    <row r="3179" ht="12.75" customHeight="1">
      <c r="A3179" s="95" t="s">
        <v>2876</v>
      </c>
      <c r="B3179" s="96">
        <v>22.0</v>
      </c>
    </row>
    <row r="3180" ht="12.75" customHeight="1">
      <c r="A3180" s="95" t="s">
        <v>2876</v>
      </c>
      <c r="B3180" s="96" t="s">
        <v>839</v>
      </c>
    </row>
    <row r="3181" ht="12.75" customHeight="1">
      <c r="A3181" s="95" t="s">
        <v>2876</v>
      </c>
      <c r="B3181" s="96">
        <v>24.0</v>
      </c>
    </row>
    <row r="3182" ht="12.75" customHeight="1">
      <c r="A3182" s="95" t="s">
        <v>2876</v>
      </c>
      <c r="B3182" s="96" t="s">
        <v>840</v>
      </c>
    </row>
    <row r="3183" ht="12.75" customHeight="1">
      <c r="A3183" s="95" t="s">
        <v>2876</v>
      </c>
      <c r="B3183" s="96">
        <v>26.0</v>
      </c>
    </row>
    <row r="3184" ht="12.75" customHeight="1">
      <c r="A3184" s="95" t="s">
        <v>2876</v>
      </c>
      <c r="B3184" s="96" t="s">
        <v>841</v>
      </c>
    </row>
    <row r="3185" ht="12.75" customHeight="1">
      <c r="A3185" s="95" t="s">
        <v>2876</v>
      </c>
      <c r="B3185" s="96">
        <v>28.0</v>
      </c>
    </row>
    <row r="3186" ht="12.75" customHeight="1">
      <c r="A3186" s="95" t="s">
        <v>2876</v>
      </c>
      <c r="B3186" s="96" t="s">
        <v>842</v>
      </c>
    </row>
    <row r="3187" ht="12.75" customHeight="1">
      <c r="A3187" s="95" t="s">
        <v>2876</v>
      </c>
      <c r="B3187" s="96">
        <v>30.0</v>
      </c>
    </row>
    <row r="3188" ht="12.75" customHeight="1">
      <c r="A3188" s="95" t="s">
        <v>2876</v>
      </c>
      <c r="B3188" s="96" t="s">
        <v>843</v>
      </c>
    </row>
    <row r="3189" ht="12.75" customHeight="1">
      <c r="A3189" s="95" t="s">
        <v>2876</v>
      </c>
      <c r="B3189" s="96">
        <v>32.0</v>
      </c>
    </row>
    <row r="3190" ht="12.75" customHeight="1">
      <c r="A3190" s="95" t="s">
        <v>2876</v>
      </c>
      <c r="B3190" s="96" t="s">
        <v>844</v>
      </c>
    </row>
    <row r="3191" ht="12.75" customHeight="1">
      <c r="A3191" s="95" t="s">
        <v>2876</v>
      </c>
      <c r="B3191" s="96" t="s">
        <v>845</v>
      </c>
    </row>
    <row r="3192" ht="12.75" customHeight="1">
      <c r="A3192" s="95" t="s">
        <v>2876</v>
      </c>
      <c r="B3192" s="96" t="s">
        <v>846</v>
      </c>
    </row>
    <row r="3193" ht="12.75" customHeight="1">
      <c r="A3193" s="95" t="s">
        <v>2876</v>
      </c>
      <c r="B3193" s="96" t="s">
        <v>847</v>
      </c>
    </row>
    <row r="3194" ht="12.75" customHeight="1">
      <c r="A3194" s="95" t="s">
        <v>2876</v>
      </c>
      <c r="B3194" s="96" t="s">
        <v>848</v>
      </c>
    </row>
    <row r="3195" ht="12.75" customHeight="1">
      <c r="A3195" s="95" t="s">
        <v>2876</v>
      </c>
      <c r="B3195" s="96" t="s">
        <v>849</v>
      </c>
    </row>
    <row r="3196" ht="12.75" customHeight="1">
      <c r="A3196" s="95" t="s">
        <v>2876</v>
      </c>
      <c r="B3196" s="96" t="s">
        <v>850</v>
      </c>
    </row>
    <row r="3197" ht="12.75" customHeight="1">
      <c r="A3197" s="95" t="s">
        <v>2876</v>
      </c>
      <c r="B3197" s="96" t="s">
        <v>851</v>
      </c>
    </row>
    <row r="3198" ht="12.75" customHeight="1">
      <c r="A3198" s="95" t="s">
        <v>2876</v>
      </c>
      <c r="B3198" s="96" t="s">
        <v>852</v>
      </c>
    </row>
    <row r="3199" ht="12.75" customHeight="1">
      <c r="A3199" s="95" t="s">
        <v>2876</v>
      </c>
      <c r="B3199" s="96" t="s">
        <v>908</v>
      </c>
    </row>
    <row r="3200" ht="12.75" customHeight="1">
      <c r="A3200" s="95" t="s">
        <v>2876</v>
      </c>
      <c r="B3200" s="96" t="s">
        <v>909</v>
      </c>
    </row>
    <row r="3201" ht="12.75" customHeight="1">
      <c r="A3201" s="95" t="s">
        <v>2876</v>
      </c>
      <c r="B3201" s="96" t="s">
        <v>910</v>
      </c>
    </row>
    <row r="3202" ht="12.75" customHeight="1">
      <c r="A3202" s="95" t="s">
        <v>2876</v>
      </c>
      <c r="B3202" s="96" t="s">
        <v>911</v>
      </c>
    </row>
    <row r="3203" ht="12.75" customHeight="1">
      <c r="A3203" s="95" t="s">
        <v>2876</v>
      </c>
      <c r="B3203" s="96" t="s">
        <v>912</v>
      </c>
    </row>
    <row r="3204" ht="12.75" customHeight="1">
      <c r="A3204" s="95" t="s">
        <v>2876</v>
      </c>
      <c r="B3204" s="96" t="s">
        <v>913</v>
      </c>
    </row>
    <row r="3205" ht="12.75" customHeight="1">
      <c r="A3205" s="95" t="s">
        <v>2876</v>
      </c>
      <c r="B3205" s="96" t="s">
        <v>914</v>
      </c>
    </row>
    <row r="3206" ht="12.75" customHeight="1">
      <c r="A3206" s="95" t="s">
        <v>2876</v>
      </c>
      <c r="B3206" s="96" t="s">
        <v>915</v>
      </c>
    </row>
    <row r="3207" ht="12.75" customHeight="1">
      <c r="A3207" s="95" t="s">
        <v>2876</v>
      </c>
      <c r="B3207" s="96" t="s">
        <v>916</v>
      </c>
    </row>
    <row r="3208" ht="12.75" customHeight="1">
      <c r="A3208" s="95" t="s">
        <v>2876</v>
      </c>
      <c r="B3208" s="96" t="s">
        <v>917</v>
      </c>
    </row>
    <row r="3209" ht="12.75" customHeight="1">
      <c r="A3209" s="95" t="s">
        <v>2876</v>
      </c>
      <c r="B3209" s="96" t="s">
        <v>918</v>
      </c>
    </row>
    <row r="3210" ht="12.75" customHeight="1">
      <c r="A3210" s="95" t="s">
        <v>2876</v>
      </c>
      <c r="B3210" s="96" t="s">
        <v>919</v>
      </c>
    </row>
    <row r="3211" ht="12.75" customHeight="1">
      <c r="A3211" s="95" t="s">
        <v>2876</v>
      </c>
      <c r="B3211" s="96" t="s">
        <v>920</v>
      </c>
    </row>
    <row r="3212" ht="12.75" customHeight="1">
      <c r="A3212" s="95" t="s">
        <v>2876</v>
      </c>
      <c r="B3212" s="96" t="s">
        <v>921</v>
      </c>
    </row>
    <row r="3213" ht="12.75" customHeight="1">
      <c r="A3213" s="95" t="s">
        <v>2876</v>
      </c>
      <c r="B3213" s="96" t="s">
        <v>922</v>
      </c>
    </row>
    <row r="3214" ht="12.75" customHeight="1">
      <c r="A3214" s="95" t="s">
        <v>2876</v>
      </c>
      <c r="B3214" s="96" t="s">
        <v>923</v>
      </c>
    </row>
    <row r="3215" ht="12.75" customHeight="1">
      <c r="A3215" s="95" t="s">
        <v>2876</v>
      </c>
      <c r="B3215" s="96" t="s">
        <v>924</v>
      </c>
    </row>
    <row r="3216" ht="12.75" customHeight="1">
      <c r="A3216" s="95" t="s">
        <v>2876</v>
      </c>
      <c r="B3216" s="96" t="s">
        <v>925</v>
      </c>
    </row>
    <row r="3217" ht="12.75" customHeight="1">
      <c r="A3217" s="95" t="s">
        <v>2876</v>
      </c>
      <c r="B3217" s="96" t="s">
        <v>926</v>
      </c>
    </row>
    <row r="3218" ht="12.75" customHeight="1">
      <c r="A3218" s="95" t="s">
        <v>2876</v>
      </c>
      <c r="B3218" s="96" t="s">
        <v>984</v>
      </c>
    </row>
    <row r="3219" ht="12.75" customHeight="1">
      <c r="A3219" s="95" t="s">
        <v>2876</v>
      </c>
      <c r="B3219" s="96" t="s">
        <v>985</v>
      </c>
    </row>
    <row r="3220" ht="12.75" customHeight="1">
      <c r="A3220" s="95" t="s">
        <v>2876</v>
      </c>
      <c r="B3220" s="96" t="s">
        <v>986</v>
      </c>
    </row>
    <row r="3221" ht="12.75" customHeight="1">
      <c r="A3221" s="95" t="s">
        <v>2876</v>
      </c>
      <c r="B3221" s="96" t="s">
        <v>987</v>
      </c>
    </row>
    <row r="3222" ht="12.75" customHeight="1">
      <c r="A3222" s="95" t="s">
        <v>2876</v>
      </c>
      <c r="B3222" s="96" t="s">
        <v>988</v>
      </c>
    </row>
    <row r="3223" ht="12.75" customHeight="1">
      <c r="A3223" s="95" t="s">
        <v>2876</v>
      </c>
      <c r="B3223" s="96" t="s">
        <v>989</v>
      </c>
    </row>
    <row r="3224" ht="12.75" customHeight="1">
      <c r="A3224" s="95" t="s">
        <v>2876</v>
      </c>
      <c r="B3224" s="96" t="s">
        <v>990</v>
      </c>
    </row>
    <row r="3225" ht="12.75" customHeight="1">
      <c r="A3225" s="95" t="s">
        <v>2876</v>
      </c>
      <c r="B3225" s="96" t="s">
        <v>991</v>
      </c>
    </row>
    <row r="3226" ht="12.75" customHeight="1">
      <c r="A3226" s="95" t="s">
        <v>2876</v>
      </c>
      <c r="B3226" s="96" t="s">
        <v>992</v>
      </c>
    </row>
    <row r="3227" ht="12.75" customHeight="1">
      <c r="A3227" s="95" t="s">
        <v>2876</v>
      </c>
      <c r="B3227" s="96" t="s">
        <v>993</v>
      </c>
    </row>
    <row r="3228" ht="12.75" customHeight="1">
      <c r="A3228" s="95" t="s">
        <v>2876</v>
      </c>
      <c r="B3228" s="96" t="s">
        <v>994</v>
      </c>
    </row>
    <row r="3229" ht="12.75" customHeight="1">
      <c r="A3229" s="95" t="s">
        <v>2876</v>
      </c>
      <c r="B3229" s="96" t="s">
        <v>995</v>
      </c>
    </row>
    <row r="3230" ht="12.75" customHeight="1">
      <c r="A3230" s="95" t="s">
        <v>2876</v>
      </c>
      <c r="B3230" s="96" t="s">
        <v>996</v>
      </c>
    </row>
    <row r="3231" ht="12.75" customHeight="1">
      <c r="A3231" s="95" t="s">
        <v>2876</v>
      </c>
      <c r="B3231" s="96" t="s">
        <v>997</v>
      </c>
    </row>
    <row r="3232" ht="12.75" customHeight="1">
      <c r="A3232" s="95" t="s">
        <v>2876</v>
      </c>
      <c r="B3232" s="96" t="s">
        <v>998</v>
      </c>
    </row>
    <row r="3233" ht="12.75" customHeight="1">
      <c r="A3233" s="95" t="s">
        <v>2876</v>
      </c>
      <c r="B3233" s="96" t="s">
        <v>999</v>
      </c>
    </row>
    <row r="3234" ht="12.75" customHeight="1">
      <c r="A3234" s="95" t="s">
        <v>2876</v>
      </c>
      <c r="B3234" s="96" t="s">
        <v>1000</v>
      </c>
    </row>
    <row r="3235" ht="12.75" customHeight="1">
      <c r="A3235" s="95" t="s">
        <v>2876</v>
      </c>
      <c r="B3235" s="96" t="s">
        <v>1001</v>
      </c>
    </row>
    <row r="3236" ht="12.75" customHeight="1">
      <c r="A3236" s="95" t="s">
        <v>2876</v>
      </c>
      <c r="B3236" s="96" t="s">
        <v>1054</v>
      </c>
    </row>
    <row r="3237" ht="12.75" customHeight="1">
      <c r="A3237" s="95" t="s">
        <v>2876</v>
      </c>
      <c r="B3237" s="96" t="s">
        <v>1055</v>
      </c>
    </row>
    <row r="3238" ht="12.75" customHeight="1">
      <c r="A3238" s="95" t="s">
        <v>2876</v>
      </c>
      <c r="B3238" s="96" t="s">
        <v>1056</v>
      </c>
    </row>
    <row r="3239" ht="12.75" customHeight="1">
      <c r="A3239" s="95" t="s">
        <v>2876</v>
      </c>
      <c r="B3239" s="96" t="s">
        <v>1057</v>
      </c>
    </row>
    <row r="3240" ht="12.75" customHeight="1">
      <c r="A3240" s="95" t="s">
        <v>2876</v>
      </c>
      <c r="B3240" s="96" t="s">
        <v>1058</v>
      </c>
    </row>
    <row r="3241" ht="12.75" customHeight="1">
      <c r="A3241" s="95" t="s">
        <v>2876</v>
      </c>
      <c r="B3241" s="96" t="s">
        <v>1059</v>
      </c>
    </row>
    <row r="3242" ht="12.75" customHeight="1">
      <c r="A3242" s="95" t="s">
        <v>2876</v>
      </c>
      <c r="B3242" s="96" t="s">
        <v>1060</v>
      </c>
    </row>
    <row r="3243" ht="12.75" customHeight="1">
      <c r="A3243" s="95" t="s">
        <v>2876</v>
      </c>
      <c r="B3243" s="96" t="s">
        <v>1061</v>
      </c>
    </row>
    <row r="3244" ht="12.75" customHeight="1">
      <c r="A3244" s="95" t="s">
        <v>2876</v>
      </c>
      <c r="B3244" s="96" t="s">
        <v>1062</v>
      </c>
    </row>
    <row r="3245" ht="12.75" customHeight="1">
      <c r="A3245" s="95" t="s">
        <v>2876</v>
      </c>
      <c r="B3245" s="96" t="s">
        <v>1063</v>
      </c>
    </row>
    <row r="3246" ht="12.75" customHeight="1">
      <c r="A3246" s="95" t="s">
        <v>2876</v>
      </c>
      <c r="B3246" s="96" t="s">
        <v>1064</v>
      </c>
    </row>
    <row r="3247" ht="12.75" customHeight="1">
      <c r="A3247" s="95" t="s">
        <v>2876</v>
      </c>
      <c r="B3247" s="96" t="s">
        <v>1065</v>
      </c>
    </row>
    <row r="3248" ht="12.75" customHeight="1">
      <c r="A3248" s="95" t="s">
        <v>2876</v>
      </c>
      <c r="B3248" s="96" t="s">
        <v>1066</v>
      </c>
    </row>
    <row r="3249" ht="12.75" customHeight="1">
      <c r="A3249" s="95" t="s">
        <v>2876</v>
      </c>
      <c r="B3249" s="96" t="s">
        <v>1067</v>
      </c>
    </row>
    <row r="3250" ht="12.75" customHeight="1">
      <c r="A3250" s="95" t="s">
        <v>2876</v>
      </c>
      <c r="B3250" s="96" t="s">
        <v>1068</v>
      </c>
    </row>
    <row r="3251" ht="12.75" customHeight="1">
      <c r="A3251" s="95" t="s">
        <v>2876</v>
      </c>
      <c r="B3251" s="96" t="s">
        <v>1069</v>
      </c>
    </row>
    <row r="3252" ht="12.75" customHeight="1">
      <c r="A3252" s="95" t="s">
        <v>2876</v>
      </c>
      <c r="B3252" s="96" t="s">
        <v>1070</v>
      </c>
    </row>
    <row r="3253" ht="12.75" customHeight="1">
      <c r="A3253" s="95" t="s">
        <v>2876</v>
      </c>
      <c r="B3253" s="96" t="s">
        <v>1071</v>
      </c>
    </row>
    <row r="3254" ht="12.75" customHeight="1">
      <c r="A3254" s="95" t="s">
        <v>2876</v>
      </c>
      <c r="B3254" s="96" t="s">
        <v>1072</v>
      </c>
    </row>
    <row r="3255" ht="12.75" customHeight="1">
      <c r="A3255" s="95" t="s">
        <v>2876</v>
      </c>
      <c r="B3255" s="96" t="s">
        <v>1073</v>
      </c>
    </row>
    <row r="3256" ht="12.75" customHeight="1">
      <c r="A3256" s="95" t="s">
        <v>2876</v>
      </c>
      <c r="B3256" s="96" t="s">
        <v>1074</v>
      </c>
    </row>
    <row r="3257" ht="12.75" customHeight="1">
      <c r="A3257" s="95" t="s">
        <v>2876</v>
      </c>
      <c r="B3257" s="96" t="s">
        <v>1075</v>
      </c>
    </row>
    <row r="3258" ht="12.75" customHeight="1">
      <c r="A3258" s="95" t="s">
        <v>2876</v>
      </c>
      <c r="B3258" s="96" t="s">
        <v>1076</v>
      </c>
    </row>
    <row r="3259" ht="12.75" customHeight="1">
      <c r="A3259" s="95" t="s">
        <v>2876</v>
      </c>
      <c r="B3259" s="96" t="s">
        <v>1077</v>
      </c>
    </row>
    <row r="3260" ht="12.75" customHeight="1">
      <c r="A3260" s="95" t="s">
        <v>2876</v>
      </c>
      <c r="B3260" s="96" t="s">
        <v>1078</v>
      </c>
    </row>
    <row r="3261" ht="12.75" customHeight="1">
      <c r="A3261" s="95" t="s">
        <v>2876</v>
      </c>
      <c r="B3261" s="96" t="s">
        <v>1079</v>
      </c>
    </row>
    <row r="3262" ht="12.75" customHeight="1">
      <c r="A3262" s="95" t="s">
        <v>2876</v>
      </c>
      <c r="B3262" s="96" t="s">
        <v>1080</v>
      </c>
    </row>
    <row r="3263" ht="12.75" customHeight="1">
      <c r="A3263" s="95" t="s">
        <v>2876</v>
      </c>
      <c r="B3263" s="96" t="s">
        <v>1081</v>
      </c>
    </row>
    <row r="3264" ht="12.75" customHeight="1">
      <c r="A3264" s="95" t="s">
        <v>2876</v>
      </c>
      <c r="B3264" s="96" t="s">
        <v>1082</v>
      </c>
    </row>
    <row r="3265" ht="12.75" customHeight="1">
      <c r="A3265" s="95" t="s">
        <v>2876</v>
      </c>
      <c r="B3265" s="96" t="s">
        <v>1083</v>
      </c>
    </row>
    <row r="3266" ht="12.75" customHeight="1">
      <c r="A3266" s="95" t="s">
        <v>2876</v>
      </c>
      <c r="B3266" s="96" t="s">
        <v>1084</v>
      </c>
    </row>
    <row r="3267" ht="12.75" customHeight="1">
      <c r="A3267" s="95" t="s">
        <v>2876</v>
      </c>
      <c r="B3267" s="96" t="s">
        <v>1085</v>
      </c>
    </row>
    <row r="3268" ht="12.75" customHeight="1">
      <c r="A3268" s="95" t="s">
        <v>2876</v>
      </c>
      <c r="B3268" s="96" t="s">
        <v>1086</v>
      </c>
    </row>
    <row r="3269" ht="12.75" customHeight="1">
      <c r="A3269" s="95" t="s">
        <v>2876</v>
      </c>
      <c r="B3269" s="96" t="s">
        <v>1087</v>
      </c>
    </row>
    <row r="3270" ht="12.75" customHeight="1">
      <c r="A3270" s="95" t="s">
        <v>2876</v>
      </c>
      <c r="B3270" s="96" t="s">
        <v>1088</v>
      </c>
    </row>
    <row r="3271" ht="12.75" customHeight="1">
      <c r="A3271" s="95" t="s">
        <v>2876</v>
      </c>
      <c r="B3271" s="96" t="s">
        <v>1089</v>
      </c>
    </row>
    <row r="3272" ht="12.75" customHeight="1">
      <c r="A3272" s="95" t="s">
        <v>2876</v>
      </c>
      <c r="B3272" s="96" t="s">
        <v>1090</v>
      </c>
    </row>
    <row r="3273" ht="12.75" customHeight="1">
      <c r="A3273" s="95" t="s">
        <v>2876</v>
      </c>
      <c r="B3273" s="96" t="s">
        <v>1091</v>
      </c>
    </row>
    <row r="3274" ht="12.75" customHeight="1">
      <c r="A3274" s="95" t="s">
        <v>2876</v>
      </c>
      <c r="B3274" s="96" t="s">
        <v>1092</v>
      </c>
    </row>
    <row r="3275" ht="12.75" customHeight="1">
      <c r="A3275" s="95" t="s">
        <v>2876</v>
      </c>
      <c r="B3275" s="96" t="s">
        <v>1093</v>
      </c>
    </row>
    <row r="3276" ht="12.75" customHeight="1">
      <c r="A3276" s="95" t="s">
        <v>2876</v>
      </c>
      <c r="B3276" s="96" t="s">
        <v>1094</v>
      </c>
    </row>
    <row r="3277" ht="12.75" customHeight="1">
      <c r="A3277" s="95" t="s">
        <v>2876</v>
      </c>
      <c r="B3277" s="96" t="s">
        <v>1095</v>
      </c>
    </row>
    <row r="3278" ht="12.75" customHeight="1">
      <c r="A3278" s="95" t="s">
        <v>2877</v>
      </c>
      <c r="B3278" s="96">
        <v>0.0</v>
      </c>
    </row>
    <row r="3279" ht="12.75" customHeight="1">
      <c r="A3279" s="95" t="s">
        <v>2877</v>
      </c>
      <c r="B3279" s="96">
        <v>0.0</v>
      </c>
    </row>
    <row r="3280" ht="12.75" customHeight="1">
      <c r="A3280" s="95" t="s">
        <v>2877</v>
      </c>
      <c r="B3280" s="96">
        <v>2.0</v>
      </c>
    </row>
    <row r="3281" ht="12.75" customHeight="1">
      <c r="A3281" s="95" t="s">
        <v>2877</v>
      </c>
      <c r="B3281" s="96">
        <v>4.0</v>
      </c>
    </row>
    <row r="3282" ht="12.75" customHeight="1">
      <c r="A3282" s="95" t="s">
        <v>2877</v>
      </c>
      <c r="B3282" s="96">
        <v>6.0</v>
      </c>
    </row>
    <row r="3283" ht="12.75" customHeight="1">
      <c r="A3283" s="95" t="s">
        <v>2877</v>
      </c>
      <c r="B3283" s="96">
        <v>8.0</v>
      </c>
    </row>
    <row r="3284" ht="12.75" customHeight="1">
      <c r="A3284" s="95" t="s">
        <v>2877</v>
      </c>
      <c r="B3284" s="96">
        <v>10.0</v>
      </c>
    </row>
    <row r="3285" ht="12.75" customHeight="1">
      <c r="A3285" s="95" t="s">
        <v>2877</v>
      </c>
      <c r="B3285" s="96">
        <v>12.0</v>
      </c>
    </row>
    <row r="3286" ht="12.75" customHeight="1">
      <c r="A3286" s="95" t="s">
        <v>2877</v>
      </c>
      <c r="B3286" s="96" t="s">
        <v>803</v>
      </c>
    </row>
    <row r="3287" ht="12.75" customHeight="1">
      <c r="A3287" s="95" t="s">
        <v>2877</v>
      </c>
      <c r="B3287" s="96" t="s">
        <v>804</v>
      </c>
    </row>
    <row r="3288" ht="12.75" customHeight="1">
      <c r="A3288" s="95" t="s">
        <v>2877</v>
      </c>
      <c r="B3288" s="96" t="s">
        <v>76</v>
      </c>
    </row>
    <row r="3289" ht="12.75" customHeight="1">
      <c r="A3289" s="95" t="s">
        <v>2877</v>
      </c>
      <c r="B3289" s="96" t="s">
        <v>80</v>
      </c>
    </row>
    <row r="3290" ht="12.75" customHeight="1">
      <c r="A3290" s="95" t="s">
        <v>2877</v>
      </c>
      <c r="B3290" s="96" t="s">
        <v>83</v>
      </c>
    </row>
    <row r="3291" ht="12.75" customHeight="1">
      <c r="A3291" s="95" t="s">
        <v>2877</v>
      </c>
      <c r="B3291" s="96" t="s">
        <v>85</v>
      </c>
    </row>
    <row r="3292" ht="12.75" customHeight="1">
      <c r="A3292" s="95" t="s">
        <v>2877</v>
      </c>
      <c r="B3292" s="96">
        <v>14.0</v>
      </c>
    </row>
    <row r="3293" ht="12.75" customHeight="1">
      <c r="A3293" s="95" t="s">
        <v>2877</v>
      </c>
      <c r="B3293" s="96" t="s">
        <v>835</v>
      </c>
    </row>
    <row r="3294" ht="12.75" customHeight="1">
      <c r="A3294" s="95" t="s">
        <v>2877</v>
      </c>
      <c r="B3294" s="96">
        <v>16.0</v>
      </c>
    </row>
    <row r="3295" ht="12.75" customHeight="1">
      <c r="A3295" s="95" t="s">
        <v>2877</v>
      </c>
      <c r="B3295" s="96" t="s">
        <v>836</v>
      </c>
    </row>
    <row r="3296" ht="12.75" customHeight="1">
      <c r="A3296" s="95" t="s">
        <v>2877</v>
      </c>
      <c r="B3296" s="96">
        <v>18.0</v>
      </c>
    </row>
    <row r="3297" ht="12.75" customHeight="1">
      <c r="A3297" s="95" t="s">
        <v>2877</v>
      </c>
      <c r="B3297" s="96" t="s">
        <v>837</v>
      </c>
    </row>
    <row r="3298" ht="12.75" customHeight="1">
      <c r="A3298" s="95" t="s">
        <v>2877</v>
      </c>
      <c r="B3298" s="96">
        <v>20.0</v>
      </c>
    </row>
    <row r="3299" ht="12.75" customHeight="1">
      <c r="A3299" s="95" t="s">
        <v>2877</v>
      </c>
      <c r="B3299" s="96" t="s">
        <v>838</v>
      </c>
    </row>
    <row r="3300" ht="12.75" customHeight="1">
      <c r="A3300" s="95" t="s">
        <v>2877</v>
      </c>
      <c r="B3300" s="96">
        <v>22.0</v>
      </c>
    </row>
    <row r="3301" ht="12.75" customHeight="1">
      <c r="A3301" s="95" t="s">
        <v>2877</v>
      </c>
      <c r="B3301" s="96" t="s">
        <v>839</v>
      </c>
    </row>
    <row r="3302" ht="12.75" customHeight="1">
      <c r="A3302" s="95" t="s">
        <v>2877</v>
      </c>
      <c r="B3302" s="96">
        <v>24.0</v>
      </c>
    </row>
    <row r="3303" ht="12.75" customHeight="1">
      <c r="A3303" s="95" t="s">
        <v>2877</v>
      </c>
      <c r="B3303" s="96" t="s">
        <v>840</v>
      </c>
    </row>
    <row r="3304" ht="12.75" customHeight="1">
      <c r="A3304" s="95" t="s">
        <v>2877</v>
      </c>
      <c r="B3304" s="96">
        <v>26.0</v>
      </c>
    </row>
    <row r="3305" ht="12.75" customHeight="1">
      <c r="A3305" s="95" t="s">
        <v>2877</v>
      </c>
      <c r="B3305" s="96" t="s">
        <v>841</v>
      </c>
    </row>
    <row r="3306" ht="12.75" customHeight="1">
      <c r="A3306" s="95" t="s">
        <v>2877</v>
      </c>
      <c r="B3306" s="96">
        <v>28.0</v>
      </c>
    </row>
    <row r="3307" ht="12.75" customHeight="1">
      <c r="A3307" s="95" t="s">
        <v>2877</v>
      </c>
      <c r="B3307" s="96" t="s">
        <v>842</v>
      </c>
    </row>
    <row r="3308" ht="12.75" customHeight="1">
      <c r="A3308" s="95" t="s">
        <v>2877</v>
      </c>
      <c r="B3308" s="96">
        <v>30.0</v>
      </c>
    </row>
    <row r="3309" ht="12.75" customHeight="1">
      <c r="A3309" s="95" t="s">
        <v>2877</v>
      </c>
      <c r="B3309" s="96" t="s">
        <v>843</v>
      </c>
    </row>
    <row r="3310" ht="12.75" customHeight="1">
      <c r="A3310" s="95" t="s">
        <v>2877</v>
      </c>
      <c r="B3310" s="96">
        <v>32.0</v>
      </c>
    </row>
    <row r="3311" ht="12.75" customHeight="1">
      <c r="A3311" s="95" t="s">
        <v>2877</v>
      </c>
      <c r="B3311" s="96" t="s">
        <v>844</v>
      </c>
    </row>
    <row r="3312" ht="12.75" customHeight="1">
      <c r="A3312" s="95" t="s">
        <v>2877</v>
      </c>
      <c r="B3312" s="96" t="s">
        <v>845</v>
      </c>
    </row>
    <row r="3313" ht="12.75" customHeight="1">
      <c r="A3313" s="95" t="s">
        <v>2877</v>
      </c>
      <c r="B3313" s="96" t="s">
        <v>846</v>
      </c>
    </row>
    <row r="3314" ht="12.75" customHeight="1">
      <c r="A3314" s="95" t="s">
        <v>2877</v>
      </c>
      <c r="B3314" s="96" t="s">
        <v>847</v>
      </c>
    </row>
    <row r="3315" ht="12.75" customHeight="1">
      <c r="A3315" s="95" t="s">
        <v>2877</v>
      </c>
      <c r="B3315" s="96" t="s">
        <v>848</v>
      </c>
    </row>
    <row r="3316" ht="12.75" customHeight="1">
      <c r="A3316" s="95" t="s">
        <v>2877</v>
      </c>
      <c r="B3316" s="96" t="s">
        <v>849</v>
      </c>
    </row>
    <row r="3317" ht="12.75" customHeight="1">
      <c r="A3317" s="95" t="s">
        <v>2877</v>
      </c>
      <c r="B3317" s="96" t="s">
        <v>850</v>
      </c>
    </row>
    <row r="3318" ht="12.75" customHeight="1">
      <c r="A3318" s="95" t="s">
        <v>2877</v>
      </c>
      <c r="B3318" s="96" t="s">
        <v>851</v>
      </c>
    </row>
    <row r="3319" ht="12.75" customHeight="1">
      <c r="A3319" s="95" t="s">
        <v>2877</v>
      </c>
      <c r="B3319" s="96" t="s">
        <v>852</v>
      </c>
    </row>
    <row r="3320" ht="12.75" customHeight="1">
      <c r="A3320" s="95" t="s">
        <v>2877</v>
      </c>
      <c r="B3320" s="96" t="s">
        <v>908</v>
      </c>
    </row>
    <row r="3321" ht="12.75" customHeight="1">
      <c r="A3321" s="95" t="s">
        <v>2877</v>
      </c>
      <c r="B3321" s="96" t="s">
        <v>909</v>
      </c>
    </row>
    <row r="3322" ht="12.75" customHeight="1">
      <c r="A3322" s="95" t="s">
        <v>2877</v>
      </c>
      <c r="B3322" s="96" t="s">
        <v>910</v>
      </c>
    </row>
    <row r="3323" ht="12.75" customHeight="1">
      <c r="A3323" s="95" t="s">
        <v>2877</v>
      </c>
      <c r="B3323" s="96" t="s">
        <v>911</v>
      </c>
    </row>
    <row r="3324" ht="12.75" customHeight="1">
      <c r="A3324" s="95" t="s">
        <v>2877</v>
      </c>
      <c r="B3324" s="96" t="s">
        <v>912</v>
      </c>
    </row>
    <row r="3325" ht="12.75" customHeight="1">
      <c r="A3325" s="95" t="s">
        <v>2877</v>
      </c>
      <c r="B3325" s="96" t="s">
        <v>913</v>
      </c>
    </row>
    <row r="3326" ht="12.75" customHeight="1">
      <c r="A3326" s="95" t="s">
        <v>2877</v>
      </c>
      <c r="B3326" s="96" t="s">
        <v>914</v>
      </c>
    </row>
    <row r="3327" ht="12.75" customHeight="1">
      <c r="A3327" s="95" t="s">
        <v>2877</v>
      </c>
      <c r="B3327" s="96" t="s">
        <v>915</v>
      </c>
    </row>
    <row r="3328" ht="12.75" customHeight="1">
      <c r="A3328" s="95" t="s">
        <v>2877</v>
      </c>
      <c r="B3328" s="96" t="s">
        <v>916</v>
      </c>
    </row>
    <row r="3329" ht="12.75" customHeight="1">
      <c r="A3329" s="95" t="s">
        <v>2877</v>
      </c>
      <c r="B3329" s="96" t="s">
        <v>917</v>
      </c>
    </row>
    <row r="3330" ht="12.75" customHeight="1">
      <c r="A3330" s="95" t="s">
        <v>2877</v>
      </c>
      <c r="B3330" s="96" t="s">
        <v>918</v>
      </c>
    </row>
    <row r="3331" ht="12.75" customHeight="1">
      <c r="A3331" s="95" t="s">
        <v>2877</v>
      </c>
      <c r="B3331" s="96" t="s">
        <v>919</v>
      </c>
    </row>
    <row r="3332" ht="12.75" customHeight="1">
      <c r="A3332" s="95" t="s">
        <v>2877</v>
      </c>
      <c r="B3332" s="96" t="s">
        <v>920</v>
      </c>
    </row>
    <row r="3333" ht="12.75" customHeight="1">
      <c r="A3333" s="95" t="s">
        <v>2877</v>
      </c>
      <c r="B3333" s="96" t="s">
        <v>921</v>
      </c>
    </row>
    <row r="3334" ht="12.75" customHeight="1">
      <c r="A3334" s="95" t="s">
        <v>2877</v>
      </c>
      <c r="B3334" s="96" t="s">
        <v>922</v>
      </c>
    </row>
    <row r="3335" ht="12.75" customHeight="1">
      <c r="A3335" s="95" t="s">
        <v>2877</v>
      </c>
      <c r="B3335" s="96" t="s">
        <v>923</v>
      </c>
    </row>
    <row r="3336" ht="12.75" customHeight="1">
      <c r="A3336" s="95" t="s">
        <v>2877</v>
      </c>
      <c r="B3336" s="96" t="s">
        <v>924</v>
      </c>
    </row>
    <row r="3337" ht="12.75" customHeight="1">
      <c r="A3337" s="95" t="s">
        <v>2877</v>
      </c>
      <c r="B3337" s="96" t="s">
        <v>925</v>
      </c>
    </row>
    <row r="3338" ht="12.75" customHeight="1">
      <c r="A3338" s="95" t="s">
        <v>2877</v>
      </c>
      <c r="B3338" s="96" t="s">
        <v>926</v>
      </c>
    </row>
    <row r="3339" ht="12.75" customHeight="1">
      <c r="A3339" s="95" t="s">
        <v>2877</v>
      </c>
      <c r="B3339" s="96" t="s">
        <v>984</v>
      </c>
    </row>
    <row r="3340" ht="12.75" customHeight="1">
      <c r="A3340" s="95" t="s">
        <v>2877</v>
      </c>
      <c r="B3340" s="96" t="s">
        <v>985</v>
      </c>
    </row>
    <row r="3341" ht="12.75" customHeight="1">
      <c r="A3341" s="95" t="s">
        <v>2877</v>
      </c>
      <c r="B3341" s="96" t="s">
        <v>986</v>
      </c>
    </row>
    <row r="3342" ht="12.75" customHeight="1">
      <c r="A3342" s="95" t="s">
        <v>2877</v>
      </c>
      <c r="B3342" s="96" t="s">
        <v>987</v>
      </c>
    </row>
    <row r="3343" ht="12.75" customHeight="1">
      <c r="A3343" s="95" t="s">
        <v>2877</v>
      </c>
      <c r="B3343" s="96" t="s">
        <v>988</v>
      </c>
    </row>
    <row r="3344" ht="12.75" customHeight="1">
      <c r="A3344" s="95" t="s">
        <v>2877</v>
      </c>
      <c r="B3344" s="96" t="s">
        <v>989</v>
      </c>
    </row>
    <row r="3345" ht="12.75" customHeight="1">
      <c r="A3345" s="95" t="s">
        <v>2877</v>
      </c>
      <c r="B3345" s="96" t="s">
        <v>990</v>
      </c>
    </row>
    <row r="3346" ht="12.75" customHeight="1">
      <c r="A3346" s="95" t="s">
        <v>2877</v>
      </c>
      <c r="B3346" s="96" t="s">
        <v>991</v>
      </c>
    </row>
    <row r="3347" ht="12.75" customHeight="1">
      <c r="A3347" s="95" t="s">
        <v>2877</v>
      </c>
      <c r="B3347" s="96" t="s">
        <v>992</v>
      </c>
    </row>
    <row r="3348" ht="12.75" customHeight="1">
      <c r="A3348" s="95" t="s">
        <v>2877</v>
      </c>
      <c r="B3348" s="96" t="s">
        <v>993</v>
      </c>
    </row>
    <row r="3349" ht="12.75" customHeight="1">
      <c r="A3349" s="95" t="s">
        <v>2877</v>
      </c>
      <c r="B3349" s="96" t="s">
        <v>994</v>
      </c>
    </row>
    <row r="3350" ht="12.75" customHeight="1">
      <c r="A3350" s="95" t="s">
        <v>2877</v>
      </c>
      <c r="B3350" s="96" t="s">
        <v>995</v>
      </c>
    </row>
    <row r="3351" ht="12.75" customHeight="1">
      <c r="A3351" s="95" t="s">
        <v>2877</v>
      </c>
      <c r="B3351" s="96" t="s">
        <v>996</v>
      </c>
    </row>
    <row r="3352" ht="12.75" customHeight="1">
      <c r="A3352" s="95" t="s">
        <v>2877</v>
      </c>
      <c r="B3352" s="96" t="s">
        <v>997</v>
      </c>
    </row>
    <row r="3353" ht="12.75" customHeight="1">
      <c r="A3353" s="95" t="s">
        <v>2877</v>
      </c>
      <c r="B3353" s="96" t="s">
        <v>998</v>
      </c>
    </row>
    <row r="3354" ht="12.75" customHeight="1">
      <c r="A3354" s="95" t="s">
        <v>2877</v>
      </c>
      <c r="B3354" s="96" t="s">
        <v>999</v>
      </c>
    </row>
    <row r="3355" ht="12.75" customHeight="1">
      <c r="A3355" s="95" t="s">
        <v>2877</v>
      </c>
      <c r="B3355" s="96" t="s">
        <v>1000</v>
      </c>
    </row>
    <row r="3356" ht="12.75" customHeight="1">
      <c r="A3356" s="95" t="s">
        <v>2877</v>
      </c>
      <c r="B3356" s="96" t="s">
        <v>1001</v>
      </c>
    </row>
    <row r="3357" ht="12.75" customHeight="1">
      <c r="A3357" s="95" t="s">
        <v>2877</v>
      </c>
      <c r="B3357" s="96" t="s">
        <v>1054</v>
      </c>
    </row>
    <row r="3358" ht="12.75" customHeight="1">
      <c r="A3358" s="95" t="s">
        <v>2877</v>
      </c>
      <c r="B3358" s="96" t="s">
        <v>1055</v>
      </c>
    </row>
    <row r="3359" ht="12.75" customHeight="1">
      <c r="A3359" s="95" t="s">
        <v>2877</v>
      </c>
      <c r="B3359" s="96" t="s">
        <v>1056</v>
      </c>
    </row>
    <row r="3360" ht="12.75" customHeight="1">
      <c r="A3360" s="95" t="s">
        <v>2877</v>
      </c>
      <c r="B3360" s="96" t="s">
        <v>1057</v>
      </c>
    </row>
    <row r="3361" ht="12.75" customHeight="1">
      <c r="A3361" s="95" t="s">
        <v>2877</v>
      </c>
      <c r="B3361" s="96" t="s">
        <v>1058</v>
      </c>
    </row>
    <row r="3362" ht="12.75" customHeight="1">
      <c r="A3362" s="95" t="s">
        <v>2877</v>
      </c>
      <c r="B3362" s="96" t="s">
        <v>1059</v>
      </c>
    </row>
    <row r="3363" ht="12.75" customHeight="1">
      <c r="A3363" s="95" t="s">
        <v>2877</v>
      </c>
      <c r="B3363" s="96" t="s">
        <v>1060</v>
      </c>
    </row>
    <row r="3364" ht="12.75" customHeight="1">
      <c r="A3364" s="95" t="s">
        <v>2877</v>
      </c>
      <c r="B3364" s="96" t="s">
        <v>1061</v>
      </c>
    </row>
    <row r="3365" ht="12.75" customHeight="1">
      <c r="A3365" s="95" t="s">
        <v>2877</v>
      </c>
      <c r="B3365" s="96" t="s">
        <v>1062</v>
      </c>
    </row>
    <row r="3366" ht="12.75" customHeight="1">
      <c r="A3366" s="95" t="s">
        <v>2877</v>
      </c>
      <c r="B3366" s="96" t="s">
        <v>1063</v>
      </c>
    </row>
    <row r="3367" ht="12.75" customHeight="1">
      <c r="A3367" s="95" t="s">
        <v>2877</v>
      </c>
      <c r="B3367" s="96" t="s">
        <v>1064</v>
      </c>
    </row>
    <row r="3368" ht="12.75" customHeight="1">
      <c r="A3368" s="95" t="s">
        <v>2877</v>
      </c>
      <c r="B3368" s="96" t="s">
        <v>1065</v>
      </c>
    </row>
    <row r="3369" ht="12.75" customHeight="1">
      <c r="A3369" s="95" t="s">
        <v>2877</v>
      </c>
      <c r="B3369" s="96" t="s">
        <v>1066</v>
      </c>
    </row>
    <row r="3370" ht="12.75" customHeight="1">
      <c r="A3370" s="95" t="s">
        <v>2877</v>
      </c>
      <c r="B3370" s="96" t="s">
        <v>1067</v>
      </c>
    </row>
    <row r="3371" ht="12.75" customHeight="1">
      <c r="A3371" s="95" t="s">
        <v>2877</v>
      </c>
      <c r="B3371" s="96" t="s">
        <v>1068</v>
      </c>
    </row>
    <row r="3372" ht="12.75" customHeight="1">
      <c r="A3372" s="95" t="s">
        <v>2877</v>
      </c>
      <c r="B3372" s="96" t="s">
        <v>1069</v>
      </c>
    </row>
    <row r="3373" ht="12.75" customHeight="1">
      <c r="A3373" s="95" t="s">
        <v>2877</v>
      </c>
      <c r="B3373" s="96" t="s">
        <v>1070</v>
      </c>
    </row>
    <row r="3374" ht="12.75" customHeight="1">
      <c r="A3374" s="95" t="s">
        <v>2877</v>
      </c>
      <c r="B3374" s="96" t="s">
        <v>1071</v>
      </c>
    </row>
    <row r="3375" ht="12.75" customHeight="1">
      <c r="A3375" s="95" t="s">
        <v>2877</v>
      </c>
      <c r="B3375" s="96" t="s">
        <v>1072</v>
      </c>
    </row>
    <row r="3376" ht="12.75" customHeight="1">
      <c r="A3376" s="95" t="s">
        <v>2877</v>
      </c>
      <c r="B3376" s="96" t="s">
        <v>1073</v>
      </c>
    </row>
    <row r="3377" ht="12.75" customHeight="1">
      <c r="A3377" s="95" t="s">
        <v>2877</v>
      </c>
      <c r="B3377" s="96" t="s">
        <v>1074</v>
      </c>
    </row>
    <row r="3378" ht="12.75" customHeight="1">
      <c r="A3378" s="95" t="s">
        <v>2877</v>
      </c>
      <c r="B3378" s="96" t="s">
        <v>1075</v>
      </c>
    </row>
    <row r="3379" ht="12.75" customHeight="1">
      <c r="A3379" s="95" t="s">
        <v>2877</v>
      </c>
      <c r="B3379" s="96" t="s">
        <v>1076</v>
      </c>
    </row>
    <row r="3380" ht="12.75" customHeight="1">
      <c r="A3380" s="95" t="s">
        <v>2877</v>
      </c>
      <c r="B3380" s="96" t="s">
        <v>1077</v>
      </c>
    </row>
    <row r="3381" ht="12.75" customHeight="1">
      <c r="A3381" s="95" t="s">
        <v>2877</v>
      </c>
      <c r="B3381" s="96" t="s">
        <v>1078</v>
      </c>
    </row>
    <row r="3382" ht="12.75" customHeight="1">
      <c r="A3382" s="95" t="s">
        <v>2877</v>
      </c>
      <c r="B3382" s="96" t="s">
        <v>1079</v>
      </c>
    </row>
    <row r="3383" ht="12.75" customHeight="1">
      <c r="A3383" s="95" t="s">
        <v>2877</v>
      </c>
      <c r="B3383" s="96" t="s">
        <v>1080</v>
      </c>
    </row>
    <row r="3384" ht="12.75" customHeight="1">
      <c r="A3384" s="95" t="s">
        <v>2877</v>
      </c>
      <c r="B3384" s="96" t="s">
        <v>1081</v>
      </c>
    </row>
    <row r="3385" ht="12.75" customHeight="1">
      <c r="A3385" s="95" t="s">
        <v>2877</v>
      </c>
      <c r="B3385" s="96" t="s">
        <v>1082</v>
      </c>
    </row>
    <row r="3386" ht="12.75" customHeight="1">
      <c r="A3386" s="95" t="s">
        <v>2877</v>
      </c>
      <c r="B3386" s="96" t="s">
        <v>1083</v>
      </c>
    </row>
    <row r="3387" ht="12.75" customHeight="1">
      <c r="A3387" s="95" t="s">
        <v>2877</v>
      </c>
      <c r="B3387" s="96" t="s">
        <v>1084</v>
      </c>
    </row>
    <row r="3388" ht="12.75" customHeight="1">
      <c r="A3388" s="95" t="s">
        <v>2877</v>
      </c>
      <c r="B3388" s="96" t="s">
        <v>1085</v>
      </c>
    </row>
    <row r="3389" ht="12.75" customHeight="1">
      <c r="A3389" s="95" t="s">
        <v>2877</v>
      </c>
      <c r="B3389" s="96" t="s">
        <v>1086</v>
      </c>
    </row>
    <row r="3390" ht="12.75" customHeight="1">
      <c r="A3390" s="95" t="s">
        <v>2877</v>
      </c>
      <c r="B3390" s="96" t="s">
        <v>1087</v>
      </c>
    </row>
    <row r="3391" ht="12.75" customHeight="1">
      <c r="A3391" s="95" t="s">
        <v>2877</v>
      </c>
      <c r="B3391" s="96" t="s">
        <v>1088</v>
      </c>
    </row>
    <row r="3392" ht="12.75" customHeight="1">
      <c r="A3392" s="95" t="s">
        <v>2877</v>
      </c>
      <c r="B3392" s="96" t="s">
        <v>1089</v>
      </c>
    </row>
    <row r="3393" ht="12.75" customHeight="1">
      <c r="A3393" s="95" t="s">
        <v>2877</v>
      </c>
      <c r="B3393" s="96" t="s">
        <v>1090</v>
      </c>
    </row>
    <row r="3394" ht="12.75" customHeight="1">
      <c r="A3394" s="95" t="s">
        <v>2877</v>
      </c>
      <c r="B3394" s="96" t="s">
        <v>1091</v>
      </c>
    </row>
    <row r="3395" ht="12.75" customHeight="1">
      <c r="A3395" s="95" t="s">
        <v>2877</v>
      </c>
      <c r="B3395" s="96" t="s">
        <v>1092</v>
      </c>
    </row>
    <row r="3396" ht="12.75" customHeight="1">
      <c r="A3396" s="95" t="s">
        <v>2877</v>
      </c>
      <c r="B3396" s="96" t="s">
        <v>1093</v>
      </c>
    </row>
    <row r="3397" ht="12.75" customHeight="1">
      <c r="A3397" s="95" t="s">
        <v>2877</v>
      </c>
      <c r="B3397" s="96" t="s">
        <v>1094</v>
      </c>
    </row>
    <row r="3398" ht="12.75" customHeight="1">
      <c r="A3398" s="95" t="s">
        <v>2877</v>
      </c>
      <c r="B3398" s="96" t="s">
        <v>1095</v>
      </c>
    </row>
    <row r="3399" ht="12.75" customHeight="1">
      <c r="A3399" s="95" t="s">
        <v>2878</v>
      </c>
      <c r="B3399" s="96">
        <v>0.0</v>
      </c>
    </row>
    <row r="3400" ht="12.75" customHeight="1">
      <c r="A3400" s="95" t="s">
        <v>2878</v>
      </c>
      <c r="B3400" s="96">
        <v>0.0</v>
      </c>
    </row>
    <row r="3401" ht="12.75" customHeight="1">
      <c r="A3401" s="95" t="s">
        <v>2878</v>
      </c>
      <c r="B3401" s="96">
        <v>2.0</v>
      </c>
    </row>
    <row r="3402" ht="12.75" customHeight="1">
      <c r="A3402" s="95" t="s">
        <v>2878</v>
      </c>
      <c r="B3402" s="96">
        <v>4.0</v>
      </c>
    </row>
    <row r="3403" ht="12.75" customHeight="1">
      <c r="A3403" s="95" t="s">
        <v>2878</v>
      </c>
      <c r="B3403" s="96">
        <v>6.0</v>
      </c>
    </row>
    <row r="3404" ht="12.75" customHeight="1">
      <c r="A3404" s="95" t="s">
        <v>2878</v>
      </c>
      <c r="B3404" s="96">
        <v>8.0</v>
      </c>
    </row>
    <row r="3405" ht="12.75" customHeight="1">
      <c r="A3405" s="95" t="s">
        <v>2878</v>
      </c>
      <c r="B3405" s="96">
        <v>10.0</v>
      </c>
    </row>
    <row r="3406" ht="12.75" customHeight="1">
      <c r="A3406" s="95" t="s">
        <v>2878</v>
      </c>
      <c r="B3406" s="96">
        <v>12.0</v>
      </c>
    </row>
    <row r="3407" ht="12.75" customHeight="1">
      <c r="A3407" s="95" t="s">
        <v>2878</v>
      </c>
      <c r="B3407" s="96" t="s">
        <v>803</v>
      </c>
    </row>
    <row r="3408" ht="12.75" customHeight="1">
      <c r="A3408" s="95" t="s">
        <v>2878</v>
      </c>
      <c r="B3408" s="96" t="s">
        <v>804</v>
      </c>
    </row>
    <row r="3409" ht="12.75" customHeight="1">
      <c r="A3409" s="95" t="s">
        <v>2878</v>
      </c>
      <c r="B3409" s="96" t="s">
        <v>76</v>
      </c>
    </row>
    <row r="3410" ht="12.75" customHeight="1">
      <c r="A3410" s="95" t="s">
        <v>2878</v>
      </c>
      <c r="B3410" s="96" t="s">
        <v>80</v>
      </c>
    </row>
    <row r="3411" ht="12.75" customHeight="1">
      <c r="A3411" s="95" t="s">
        <v>2878</v>
      </c>
      <c r="B3411" s="96" t="s">
        <v>83</v>
      </c>
    </row>
    <row r="3412" ht="12.75" customHeight="1">
      <c r="A3412" s="95" t="s">
        <v>2878</v>
      </c>
      <c r="B3412" s="96" t="s">
        <v>85</v>
      </c>
    </row>
    <row r="3413" ht="12.75" customHeight="1">
      <c r="A3413" s="95" t="s">
        <v>2878</v>
      </c>
      <c r="B3413" s="96">
        <v>14.0</v>
      </c>
    </row>
    <row r="3414" ht="12.75" customHeight="1">
      <c r="A3414" s="95" t="s">
        <v>2878</v>
      </c>
      <c r="B3414" s="96" t="s">
        <v>835</v>
      </c>
    </row>
    <row r="3415" ht="12.75" customHeight="1">
      <c r="A3415" s="95" t="s">
        <v>2878</v>
      </c>
      <c r="B3415" s="96">
        <v>16.0</v>
      </c>
    </row>
    <row r="3416" ht="12.75" customHeight="1">
      <c r="A3416" s="95" t="s">
        <v>2878</v>
      </c>
      <c r="B3416" s="96" t="s">
        <v>836</v>
      </c>
    </row>
    <row r="3417" ht="12.75" customHeight="1">
      <c r="A3417" s="95" t="s">
        <v>2878</v>
      </c>
      <c r="B3417" s="96">
        <v>18.0</v>
      </c>
    </row>
    <row r="3418" ht="12.75" customHeight="1">
      <c r="A3418" s="95" t="s">
        <v>2878</v>
      </c>
      <c r="B3418" s="96" t="s">
        <v>837</v>
      </c>
    </row>
    <row r="3419" ht="12.75" customHeight="1">
      <c r="A3419" s="95" t="s">
        <v>2878</v>
      </c>
      <c r="B3419" s="96">
        <v>20.0</v>
      </c>
    </row>
    <row r="3420" ht="12.75" customHeight="1">
      <c r="A3420" s="95" t="s">
        <v>2878</v>
      </c>
      <c r="B3420" s="96" t="s">
        <v>838</v>
      </c>
    </row>
    <row r="3421" ht="12.75" customHeight="1">
      <c r="A3421" s="95" t="s">
        <v>2878</v>
      </c>
      <c r="B3421" s="96">
        <v>22.0</v>
      </c>
    </row>
    <row r="3422" ht="12.75" customHeight="1">
      <c r="A3422" s="95" t="s">
        <v>2878</v>
      </c>
      <c r="B3422" s="96" t="s">
        <v>839</v>
      </c>
    </row>
    <row r="3423" ht="12.75" customHeight="1">
      <c r="A3423" s="95" t="s">
        <v>2878</v>
      </c>
      <c r="B3423" s="96">
        <v>24.0</v>
      </c>
    </row>
    <row r="3424" ht="12.75" customHeight="1">
      <c r="A3424" s="95" t="s">
        <v>2878</v>
      </c>
      <c r="B3424" s="96" t="s">
        <v>840</v>
      </c>
    </row>
    <row r="3425" ht="12.75" customHeight="1">
      <c r="A3425" s="95" t="s">
        <v>2878</v>
      </c>
      <c r="B3425" s="96">
        <v>26.0</v>
      </c>
    </row>
    <row r="3426" ht="12.75" customHeight="1">
      <c r="A3426" s="95" t="s">
        <v>2878</v>
      </c>
      <c r="B3426" s="96" t="s">
        <v>841</v>
      </c>
    </row>
    <row r="3427" ht="12.75" customHeight="1">
      <c r="A3427" s="95" t="s">
        <v>2878</v>
      </c>
      <c r="B3427" s="96">
        <v>28.0</v>
      </c>
    </row>
    <row r="3428" ht="12.75" customHeight="1">
      <c r="A3428" s="95" t="s">
        <v>2878</v>
      </c>
      <c r="B3428" s="96" t="s">
        <v>842</v>
      </c>
    </row>
    <row r="3429" ht="12.75" customHeight="1">
      <c r="A3429" s="95" t="s">
        <v>2878</v>
      </c>
      <c r="B3429" s="96">
        <v>30.0</v>
      </c>
    </row>
    <row r="3430" ht="12.75" customHeight="1">
      <c r="A3430" s="95" t="s">
        <v>2878</v>
      </c>
      <c r="B3430" s="96" t="s">
        <v>843</v>
      </c>
    </row>
    <row r="3431" ht="12.75" customHeight="1">
      <c r="A3431" s="95" t="s">
        <v>2878</v>
      </c>
      <c r="B3431" s="96">
        <v>32.0</v>
      </c>
    </row>
    <row r="3432" ht="12.75" customHeight="1">
      <c r="A3432" s="95" t="s">
        <v>2878</v>
      </c>
      <c r="B3432" s="96" t="s">
        <v>844</v>
      </c>
    </row>
    <row r="3433" ht="12.75" customHeight="1">
      <c r="A3433" s="95" t="s">
        <v>2878</v>
      </c>
      <c r="B3433" s="96" t="s">
        <v>845</v>
      </c>
    </row>
    <row r="3434" ht="12.75" customHeight="1">
      <c r="A3434" s="95" t="s">
        <v>2878</v>
      </c>
      <c r="B3434" s="96" t="s">
        <v>846</v>
      </c>
    </row>
    <row r="3435" ht="12.75" customHeight="1">
      <c r="A3435" s="95" t="s">
        <v>2878</v>
      </c>
      <c r="B3435" s="96" t="s">
        <v>847</v>
      </c>
    </row>
    <row r="3436" ht="12.75" customHeight="1">
      <c r="A3436" s="95" t="s">
        <v>2878</v>
      </c>
      <c r="B3436" s="96" t="s">
        <v>848</v>
      </c>
    </row>
    <row r="3437" ht="12.75" customHeight="1">
      <c r="A3437" s="95" t="s">
        <v>2878</v>
      </c>
      <c r="B3437" s="96" t="s">
        <v>849</v>
      </c>
    </row>
    <row r="3438" ht="12.75" customHeight="1">
      <c r="A3438" s="95" t="s">
        <v>2878</v>
      </c>
      <c r="B3438" s="96" t="s">
        <v>850</v>
      </c>
    </row>
    <row r="3439" ht="12.75" customHeight="1">
      <c r="A3439" s="95" t="s">
        <v>2878</v>
      </c>
      <c r="B3439" s="96" t="s">
        <v>851</v>
      </c>
    </row>
    <row r="3440" ht="12.75" customHeight="1">
      <c r="A3440" s="95" t="s">
        <v>2878</v>
      </c>
      <c r="B3440" s="96" t="s">
        <v>852</v>
      </c>
    </row>
    <row r="3441" ht="12.75" customHeight="1">
      <c r="A3441" s="95" t="s">
        <v>2878</v>
      </c>
      <c r="B3441" s="96" t="s">
        <v>908</v>
      </c>
    </row>
    <row r="3442" ht="12.75" customHeight="1">
      <c r="A3442" s="95" t="s">
        <v>2878</v>
      </c>
      <c r="B3442" s="96" t="s">
        <v>909</v>
      </c>
    </row>
    <row r="3443" ht="12.75" customHeight="1">
      <c r="A3443" s="95" t="s">
        <v>2878</v>
      </c>
      <c r="B3443" s="96" t="s">
        <v>910</v>
      </c>
    </row>
    <row r="3444" ht="12.75" customHeight="1">
      <c r="A3444" s="95" t="s">
        <v>2878</v>
      </c>
      <c r="B3444" s="96" t="s">
        <v>911</v>
      </c>
    </row>
    <row r="3445" ht="12.75" customHeight="1">
      <c r="A3445" s="95" t="s">
        <v>2878</v>
      </c>
      <c r="B3445" s="96" t="s">
        <v>912</v>
      </c>
    </row>
    <row r="3446" ht="12.75" customHeight="1">
      <c r="A3446" s="95" t="s">
        <v>2878</v>
      </c>
      <c r="B3446" s="96" t="s">
        <v>913</v>
      </c>
    </row>
    <row r="3447" ht="12.75" customHeight="1">
      <c r="A3447" s="95" t="s">
        <v>2878</v>
      </c>
      <c r="B3447" s="96" t="s">
        <v>914</v>
      </c>
    </row>
    <row r="3448" ht="12.75" customHeight="1">
      <c r="A3448" s="95" t="s">
        <v>2878</v>
      </c>
      <c r="B3448" s="96" t="s">
        <v>915</v>
      </c>
    </row>
    <row r="3449" ht="12.75" customHeight="1">
      <c r="A3449" s="95" t="s">
        <v>2878</v>
      </c>
      <c r="B3449" s="96" t="s">
        <v>916</v>
      </c>
    </row>
    <row r="3450" ht="12.75" customHeight="1">
      <c r="A3450" s="95" t="s">
        <v>2878</v>
      </c>
      <c r="B3450" s="96" t="s">
        <v>917</v>
      </c>
    </row>
    <row r="3451" ht="12.75" customHeight="1">
      <c r="A3451" s="95" t="s">
        <v>2878</v>
      </c>
      <c r="B3451" s="96" t="s">
        <v>918</v>
      </c>
    </row>
    <row r="3452" ht="12.75" customHeight="1">
      <c r="A3452" s="95" t="s">
        <v>2878</v>
      </c>
      <c r="B3452" s="96" t="s">
        <v>919</v>
      </c>
    </row>
    <row r="3453" ht="12.75" customHeight="1">
      <c r="A3453" s="95" t="s">
        <v>2878</v>
      </c>
      <c r="B3453" s="96" t="s">
        <v>920</v>
      </c>
    </row>
    <row r="3454" ht="12.75" customHeight="1">
      <c r="A3454" s="95" t="s">
        <v>2878</v>
      </c>
      <c r="B3454" s="96" t="s">
        <v>921</v>
      </c>
    </row>
    <row r="3455" ht="12.75" customHeight="1">
      <c r="A3455" s="95" t="s">
        <v>2878</v>
      </c>
      <c r="B3455" s="96" t="s">
        <v>922</v>
      </c>
    </row>
    <row r="3456" ht="12.75" customHeight="1">
      <c r="A3456" s="95" t="s">
        <v>2878</v>
      </c>
      <c r="B3456" s="96" t="s">
        <v>923</v>
      </c>
    </row>
    <row r="3457" ht="12.75" customHeight="1">
      <c r="A3457" s="95" t="s">
        <v>2878</v>
      </c>
      <c r="B3457" s="96" t="s">
        <v>924</v>
      </c>
    </row>
    <row r="3458" ht="12.75" customHeight="1">
      <c r="A3458" s="95" t="s">
        <v>2878</v>
      </c>
      <c r="B3458" s="96" t="s">
        <v>925</v>
      </c>
    </row>
    <row r="3459" ht="12.75" customHeight="1">
      <c r="A3459" s="95" t="s">
        <v>2878</v>
      </c>
      <c r="B3459" s="96" t="s">
        <v>926</v>
      </c>
    </row>
    <row r="3460" ht="12.75" customHeight="1">
      <c r="A3460" s="95" t="s">
        <v>2878</v>
      </c>
      <c r="B3460" s="96" t="s">
        <v>984</v>
      </c>
    </row>
    <row r="3461" ht="12.75" customHeight="1">
      <c r="A3461" s="95" t="s">
        <v>2878</v>
      </c>
      <c r="B3461" s="96" t="s">
        <v>985</v>
      </c>
    </row>
    <row r="3462" ht="12.75" customHeight="1">
      <c r="A3462" s="95" t="s">
        <v>2878</v>
      </c>
      <c r="B3462" s="96" t="s">
        <v>986</v>
      </c>
    </row>
    <row r="3463" ht="12.75" customHeight="1">
      <c r="A3463" s="95" t="s">
        <v>2878</v>
      </c>
      <c r="B3463" s="96" t="s">
        <v>987</v>
      </c>
    </row>
    <row r="3464" ht="12.75" customHeight="1">
      <c r="A3464" s="95" t="s">
        <v>2878</v>
      </c>
      <c r="B3464" s="96" t="s">
        <v>988</v>
      </c>
    </row>
    <row r="3465" ht="12.75" customHeight="1">
      <c r="A3465" s="95" t="s">
        <v>2878</v>
      </c>
      <c r="B3465" s="96" t="s">
        <v>989</v>
      </c>
    </row>
    <row r="3466" ht="12.75" customHeight="1">
      <c r="A3466" s="95" t="s">
        <v>2878</v>
      </c>
      <c r="B3466" s="96" t="s">
        <v>990</v>
      </c>
    </row>
    <row r="3467" ht="12.75" customHeight="1">
      <c r="A3467" s="95" t="s">
        <v>2878</v>
      </c>
      <c r="B3467" s="96" t="s">
        <v>991</v>
      </c>
    </row>
    <row r="3468" ht="12.75" customHeight="1">
      <c r="A3468" s="95" t="s">
        <v>2878</v>
      </c>
      <c r="B3468" s="96" t="s">
        <v>992</v>
      </c>
    </row>
    <row r="3469" ht="12.75" customHeight="1">
      <c r="A3469" s="95" t="s">
        <v>2878</v>
      </c>
      <c r="B3469" s="96" t="s">
        <v>993</v>
      </c>
    </row>
    <row r="3470" ht="12.75" customHeight="1">
      <c r="A3470" s="95" t="s">
        <v>2878</v>
      </c>
      <c r="B3470" s="96" t="s">
        <v>994</v>
      </c>
    </row>
    <row r="3471" ht="12.75" customHeight="1">
      <c r="A3471" s="95" t="s">
        <v>2878</v>
      </c>
      <c r="B3471" s="96" t="s">
        <v>995</v>
      </c>
    </row>
    <row r="3472" ht="12.75" customHeight="1">
      <c r="A3472" s="95" t="s">
        <v>2878</v>
      </c>
      <c r="B3472" s="96" t="s">
        <v>996</v>
      </c>
    </row>
    <row r="3473" ht="12.75" customHeight="1">
      <c r="A3473" s="95" t="s">
        <v>2878</v>
      </c>
      <c r="B3473" s="96" t="s">
        <v>997</v>
      </c>
    </row>
    <row r="3474" ht="12.75" customHeight="1">
      <c r="A3474" s="95" t="s">
        <v>2878</v>
      </c>
      <c r="B3474" s="96" t="s">
        <v>998</v>
      </c>
    </row>
    <row r="3475" ht="12.75" customHeight="1">
      <c r="A3475" s="95" t="s">
        <v>2878</v>
      </c>
      <c r="B3475" s="96" t="s">
        <v>999</v>
      </c>
    </row>
    <row r="3476" ht="12.75" customHeight="1">
      <c r="A3476" s="95" t="s">
        <v>2878</v>
      </c>
      <c r="B3476" s="96" t="s">
        <v>1000</v>
      </c>
    </row>
    <row r="3477" ht="12.75" customHeight="1">
      <c r="A3477" s="95" t="s">
        <v>2878</v>
      </c>
      <c r="B3477" s="96" t="s">
        <v>1001</v>
      </c>
    </row>
    <row r="3478" ht="12.75" customHeight="1">
      <c r="A3478" s="95" t="s">
        <v>2878</v>
      </c>
      <c r="B3478" s="96" t="s">
        <v>1054</v>
      </c>
    </row>
    <row r="3479" ht="12.75" customHeight="1">
      <c r="A3479" s="95" t="s">
        <v>2878</v>
      </c>
      <c r="B3479" s="96" t="s">
        <v>1055</v>
      </c>
    </row>
    <row r="3480" ht="12.75" customHeight="1">
      <c r="A3480" s="95" t="s">
        <v>2878</v>
      </c>
      <c r="B3480" s="96" t="s">
        <v>1056</v>
      </c>
    </row>
    <row r="3481" ht="12.75" customHeight="1">
      <c r="A3481" s="95" t="s">
        <v>2878</v>
      </c>
      <c r="B3481" s="96" t="s">
        <v>1057</v>
      </c>
    </row>
    <row r="3482" ht="12.75" customHeight="1">
      <c r="A3482" s="95" t="s">
        <v>2878</v>
      </c>
      <c r="B3482" s="96" t="s">
        <v>1058</v>
      </c>
    </row>
    <row r="3483" ht="12.75" customHeight="1">
      <c r="A3483" s="95" t="s">
        <v>2878</v>
      </c>
      <c r="B3483" s="96" t="s">
        <v>1059</v>
      </c>
    </row>
    <row r="3484" ht="12.75" customHeight="1">
      <c r="A3484" s="95" t="s">
        <v>2878</v>
      </c>
      <c r="B3484" s="96" t="s">
        <v>1060</v>
      </c>
    </row>
    <row r="3485" ht="12.75" customHeight="1">
      <c r="A3485" s="95" t="s">
        <v>2878</v>
      </c>
      <c r="B3485" s="96" t="s">
        <v>1061</v>
      </c>
    </row>
    <row r="3486" ht="12.75" customHeight="1">
      <c r="A3486" s="95" t="s">
        <v>2878</v>
      </c>
      <c r="B3486" s="96" t="s">
        <v>1062</v>
      </c>
    </row>
    <row r="3487" ht="12.75" customHeight="1">
      <c r="A3487" s="95" t="s">
        <v>2878</v>
      </c>
      <c r="B3487" s="96" t="s">
        <v>1063</v>
      </c>
    </row>
    <row r="3488" ht="12.75" customHeight="1">
      <c r="A3488" s="95" t="s">
        <v>2878</v>
      </c>
      <c r="B3488" s="96" t="s">
        <v>1064</v>
      </c>
    </row>
    <row r="3489" ht="12.75" customHeight="1">
      <c r="A3489" s="95" t="s">
        <v>2878</v>
      </c>
      <c r="B3489" s="96" t="s">
        <v>1065</v>
      </c>
    </row>
    <row r="3490" ht="12.75" customHeight="1">
      <c r="A3490" s="95" t="s">
        <v>2878</v>
      </c>
      <c r="B3490" s="96" t="s">
        <v>1066</v>
      </c>
    </row>
    <row r="3491" ht="12.75" customHeight="1">
      <c r="A3491" s="95" t="s">
        <v>2878</v>
      </c>
      <c r="B3491" s="96" t="s">
        <v>1067</v>
      </c>
    </row>
    <row r="3492" ht="12.75" customHeight="1">
      <c r="A3492" s="95" t="s">
        <v>2878</v>
      </c>
      <c r="B3492" s="96" t="s">
        <v>1068</v>
      </c>
    </row>
    <row r="3493" ht="12.75" customHeight="1">
      <c r="A3493" s="95" t="s">
        <v>2878</v>
      </c>
      <c r="B3493" s="96" t="s">
        <v>1069</v>
      </c>
    </row>
    <row r="3494" ht="12.75" customHeight="1">
      <c r="A3494" s="95" t="s">
        <v>2878</v>
      </c>
      <c r="B3494" s="96" t="s">
        <v>1070</v>
      </c>
    </row>
    <row r="3495" ht="12.75" customHeight="1">
      <c r="A3495" s="95" t="s">
        <v>2878</v>
      </c>
      <c r="B3495" s="96" t="s">
        <v>1071</v>
      </c>
    </row>
    <row r="3496" ht="12.75" customHeight="1">
      <c r="A3496" s="95" t="s">
        <v>2878</v>
      </c>
      <c r="B3496" s="96" t="s">
        <v>1072</v>
      </c>
    </row>
    <row r="3497" ht="12.75" customHeight="1">
      <c r="A3497" s="95" t="s">
        <v>2878</v>
      </c>
      <c r="B3497" s="96" t="s">
        <v>1073</v>
      </c>
    </row>
    <row r="3498" ht="12.75" customHeight="1">
      <c r="A3498" s="95" t="s">
        <v>2878</v>
      </c>
      <c r="B3498" s="96" t="s">
        <v>1074</v>
      </c>
    </row>
    <row r="3499" ht="12.75" customHeight="1">
      <c r="A3499" s="95" t="s">
        <v>2878</v>
      </c>
      <c r="B3499" s="96" t="s">
        <v>1075</v>
      </c>
    </row>
    <row r="3500" ht="12.75" customHeight="1">
      <c r="A3500" s="95" t="s">
        <v>2878</v>
      </c>
      <c r="B3500" s="96" t="s">
        <v>1076</v>
      </c>
    </row>
    <row r="3501" ht="12.75" customHeight="1">
      <c r="A3501" s="95" t="s">
        <v>2878</v>
      </c>
      <c r="B3501" s="96" t="s">
        <v>1077</v>
      </c>
    </row>
    <row r="3502" ht="12.75" customHeight="1">
      <c r="A3502" s="95" t="s">
        <v>2878</v>
      </c>
      <c r="B3502" s="96" t="s">
        <v>1078</v>
      </c>
    </row>
    <row r="3503" ht="12.75" customHeight="1">
      <c r="A3503" s="95" t="s">
        <v>2878</v>
      </c>
      <c r="B3503" s="96" t="s">
        <v>1079</v>
      </c>
    </row>
    <row r="3504" ht="12.75" customHeight="1">
      <c r="A3504" s="95" t="s">
        <v>2878</v>
      </c>
      <c r="B3504" s="96" t="s">
        <v>1080</v>
      </c>
    </row>
    <row r="3505" ht="12.75" customHeight="1">
      <c r="A3505" s="95" t="s">
        <v>2878</v>
      </c>
      <c r="B3505" s="96" t="s">
        <v>1081</v>
      </c>
    </row>
    <row r="3506" ht="12.75" customHeight="1">
      <c r="A3506" s="95" t="s">
        <v>2878</v>
      </c>
      <c r="B3506" s="96" t="s">
        <v>1082</v>
      </c>
    </row>
    <row r="3507" ht="12.75" customHeight="1">
      <c r="A3507" s="95" t="s">
        <v>2878</v>
      </c>
      <c r="B3507" s="96" t="s">
        <v>1083</v>
      </c>
    </row>
    <row r="3508" ht="12.75" customHeight="1">
      <c r="A3508" s="95" t="s">
        <v>2878</v>
      </c>
      <c r="B3508" s="96" t="s">
        <v>1084</v>
      </c>
    </row>
    <row r="3509" ht="12.75" customHeight="1">
      <c r="A3509" s="95" t="s">
        <v>2878</v>
      </c>
      <c r="B3509" s="96" t="s">
        <v>1085</v>
      </c>
    </row>
    <row r="3510" ht="12.75" customHeight="1">
      <c r="A3510" s="95" t="s">
        <v>2878</v>
      </c>
      <c r="B3510" s="96" t="s">
        <v>1086</v>
      </c>
    </row>
    <row r="3511" ht="12.75" customHeight="1">
      <c r="A3511" s="95" t="s">
        <v>2878</v>
      </c>
      <c r="B3511" s="96" t="s">
        <v>1087</v>
      </c>
    </row>
    <row r="3512" ht="12.75" customHeight="1">
      <c r="A3512" s="95" t="s">
        <v>2878</v>
      </c>
      <c r="B3512" s="96" t="s">
        <v>1088</v>
      </c>
    </row>
    <row r="3513" ht="12.75" customHeight="1">
      <c r="A3513" s="95" t="s">
        <v>2878</v>
      </c>
      <c r="B3513" s="96" t="s">
        <v>1089</v>
      </c>
    </row>
    <row r="3514" ht="12.75" customHeight="1">
      <c r="A3514" s="95" t="s">
        <v>2878</v>
      </c>
      <c r="B3514" s="96" t="s">
        <v>1090</v>
      </c>
    </row>
    <row r="3515" ht="12.75" customHeight="1">
      <c r="A3515" s="95" t="s">
        <v>2878</v>
      </c>
      <c r="B3515" s="96" t="s">
        <v>1091</v>
      </c>
    </row>
    <row r="3516" ht="12.75" customHeight="1">
      <c r="A3516" s="95" t="s">
        <v>2878</v>
      </c>
      <c r="B3516" s="96" t="s">
        <v>1092</v>
      </c>
    </row>
    <row r="3517" ht="12.75" customHeight="1">
      <c r="A3517" s="95" t="s">
        <v>2878</v>
      </c>
      <c r="B3517" s="96" t="s">
        <v>1093</v>
      </c>
    </row>
    <row r="3518" ht="12.75" customHeight="1">
      <c r="A3518" s="95" t="s">
        <v>2878</v>
      </c>
      <c r="B3518" s="96" t="s">
        <v>1094</v>
      </c>
    </row>
    <row r="3519" ht="12.75" customHeight="1">
      <c r="A3519" s="95" t="s">
        <v>2878</v>
      </c>
      <c r="B3519" s="96" t="s">
        <v>1095</v>
      </c>
    </row>
    <row r="3520" ht="12.75" customHeight="1">
      <c r="A3520" s="95" t="s">
        <v>2879</v>
      </c>
      <c r="B3520" s="96">
        <v>0.0</v>
      </c>
    </row>
    <row r="3521" ht="12.75" customHeight="1">
      <c r="A3521" s="95" t="s">
        <v>2879</v>
      </c>
      <c r="B3521" s="96">
        <v>0.0</v>
      </c>
    </row>
    <row r="3522" ht="12.75" customHeight="1">
      <c r="A3522" s="95" t="s">
        <v>2879</v>
      </c>
      <c r="B3522" s="96">
        <v>2.0</v>
      </c>
    </row>
    <row r="3523" ht="12.75" customHeight="1">
      <c r="A3523" s="95" t="s">
        <v>2879</v>
      </c>
      <c r="B3523" s="96">
        <v>4.0</v>
      </c>
    </row>
    <row r="3524" ht="12.75" customHeight="1">
      <c r="A3524" s="95" t="s">
        <v>2879</v>
      </c>
      <c r="B3524" s="96">
        <v>6.0</v>
      </c>
    </row>
    <row r="3525" ht="12.75" customHeight="1">
      <c r="A3525" s="95" t="s">
        <v>2879</v>
      </c>
      <c r="B3525" s="96">
        <v>8.0</v>
      </c>
    </row>
    <row r="3526" ht="12.75" customHeight="1">
      <c r="A3526" s="95" t="s">
        <v>2879</v>
      </c>
      <c r="B3526" s="96">
        <v>10.0</v>
      </c>
    </row>
    <row r="3527" ht="12.75" customHeight="1">
      <c r="A3527" s="95" t="s">
        <v>2879</v>
      </c>
      <c r="B3527" s="96">
        <v>12.0</v>
      </c>
    </row>
    <row r="3528" ht="12.75" customHeight="1">
      <c r="A3528" s="95" t="s">
        <v>2879</v>
      </c>
      <c r="B3528" s="96" t="s">
        <v>803</v>
      </c>
    </row>
    <row r="3529" ht="12.75" customHeight="1">
      <c r="A3529" s="95" t="s">
        <v>2879</v>
      </c>
      <c r="B3529" s="96" t="s">
        <v>804</v>
      </c>
    </row>
    <row r="3530" ht="12.75" customHeight="1">
      <c r="A3530" s="95" t="s">
        <v>2879</v>
      </c>
      <c r="B3530" s="96" t="s">
        <v>76</v>
      </c>
    </row>
    <row r="3531" ht="12.75" customHeight="1">
      <c r="A3531" s="95" t="s">
        <v>2879</v>
      </c>
      <c r="B3531" s="96" t="s">
        <v>80</v>
      </c>
    </row>
    <row r="3532" ht="12.75" customHeight="1">
      <c r="A3532" s="95" t="s">
        <v>2879</v>
      </c>
      <c r="B3532" s="96" t="s">
        <v>83</v>
      </c>
    </row>
    <row r="3533" ht="12.75" customHeight="1">
      <c r="A3533" s="95" t="s">
        <v>2879</v>
      </c>
      <c r="B3533" s="96" t="s">
        <v>85</v>
      </c>
    </row>
    <row r="3534" ht="12.75" customHeight="1">
      <c r="A3534" s="95" t="s">
        <v>2879</v>
      </c>
      <c r="B3534" s="96">
        <v>14.0</v>
      </c>
    </row>
    <row r="3535" ht="12.75" customHeight="1">
      <c r="A3535" s="95" t="s">
        <v>2879</v>
      </c>
      <c r="B3535" s="96" t="s">
        <v>835</v>
      </c>
    </row>
    <row r="3536" ht="12.75" customHeight="1">
      <c r="A3536" s="95" t="s">
        <v>2879</v>
      </c>
      <c r="B3536" s="96">
        <v>16.0</v>
      </c>
    </row>
    <row r="3537" ht="12.75" customHeight="1">
      <c r="A3537" s="95" t="s">
        <v>2879</v>
      </c>
      <c r="B3537" s="96" t="s">
        <v>836</v>
      </c>
    </row>
    <row r="3538" ht="12.75" customHeight="1">
      <c r="A3538" s="95" t="s">
        <v>2879</v>
      </c>
      <c r="B3538" s="96">
        <v>18.0</v>
      </c>
    </row>
    <row r="3539" ht="12.75" customHeight="1">
      <c r="A3539" s="95" t="s">
        <v>2879</v>
      </c>
      <c r="B3539" s="96" t="s">
        <v>837</v>
      </c>
    </row>
    <row r="3540" ht="12.75" customHeight="1">
      <c r="A3540" s="95" t="s">
        <v>2879</v>
      </c>
      <c r="B3540" s="96">
        <v>20.0</v>
      </c>
    </row>
    <row r="3541" ht="12.75" customHeight="1">
      <c r="A3541" s="95" t="s">
        <v>2879</v>
      </c>
      <c r="B3541" s="96" t="s">
        <v>838</v>
      </c>
    </row>
    <row r="3542" ht="12.75" customHeight="1">
      <c r="A3542" s="95" t="s">
        <v>2879</v>
      </c>
      <c r="B3542" s="96">
        <v>22.0</v>
      </c>
    </row>
    <row r="3543" ht="12.75" customHeight="1">
      <c r="A3543" s="95" t="s">
        <v>2879</v>
      </c>
      <c r="B3543" s="96" t="s">
        <v>839</v>
      </c>
    </row>
    <row r="3544" ht="12.75" customHeight="1">
      <c r="A3544" s="95" t="s">
        <v>2879</v>
      </c>
      <c r="B3544" s="96">
        <v>24.0</v>
      </c>
    </row>
    <row r="3545" ht="12.75" customHeight="1">
      <c r="A3545" s="95" t="s">
        <v>2879</v>
      </c>
      <c r="B3545" s="96" t="s">
        <v>840</v>
      </c>
    </row>
    <row r="3546" ht="12.75" customHeight="1">
      <c r="A3546" s="95" t="s">
        <v>2879</v>
      </c>
      <c r="B3546" s="96">
        <v>26.0</v>
      </c>
    </row>
    <row r="3547" ht="12.75" customHeight="1">
      <c r="A3547" s="95" t="s">
        <v>2879</v>
      </c>
      <c r="B3547" s="96" t="s">
        <v>841</v>
      </c>
    </row>
    <row r="3548" ht="12.75" customHeight="1">
      <c r="A3548" s="95" t="s">
        <v>2879</v>
      </c>
      <c r="B3548" s="96">
        <v>28.0</v>
      </c>
    </row>
    <row r="3549" ht="12.75" customHeight="1">
      <c r="A3549" s="95" t="s">
        <v>2879</v>
      </c>
      <c r="B3549" s="96" t="s">
        <v>842</v>
      </c>
    </row>
    <row r="3550" ht="12.75" customHeight="1">
      <c r="A3550" s="95" t="s">
        <v>2879</v>
      </c>
      <c r="B3550" s="96">
        <v>30.0</v>
      </c>
    </row>
    <row r="3551" ht="12.75" customHeight="1">
      <c r="A3551" s="95" t="s">
        <v>2879</v>
      </c>
      <c r="B3551" s="96" t="s">
        <v>843</v>
      </c>
    </row>
    <row r="3552" ht="12.75" customHeight="1">
      <c r="A3552" s="95" t="s">
        <v>2879</v>
      </c>
      <c r="B3552" s="96">
        <v>32.0</v>
      </c>
    </row>
    <row r="3553" ht="12.75" customHeight="1">
      <c r="A3553" s="95" t="s">
        <v>2879</v>
      </c>
      <c r="B3553" s="96" t="s">
        <v>844</v>
      </c>
    </row>
    <row r="3554" ht="12.75" customHeight="1">
      <c r="A3554" s="95" t="s">
        <v>2879</v>
      </c>
      <c r="B3554" s="96" t="s">
        <v>845</v>
      </c>
    </row>
    <row r="3555" ht="12.75" customHeight="1">
      <c r="A3555" s="95" t="s">
        <v>2879</v>
      </c>
      <c r="B3555" s="96" t="s">
        <v>846</v>
      </c>
    </row>
    <row r="3556" ht="12.75" customHeight="1">
      <c r="A3556" s="95" t="s">
        <v>2879</v>
      </c>
      <c r="B3556" s="96" t="s">
        <v>847</v>
      </c>
    </row>
    <row r="3557" ht="12.75" customHeight="1">
      <c r="A3557" s="95" t="s">
        <v>2879</v>
      </c>
      <c r="B3557" s="96" t="s">
        <v>848</v>
      </c>
    </row>
    <row r="3558" ht="12.75" customHeight="1">
      <c r="A3558" s="95" t="s">
        <v>2879</v>
      </c>
      <c r="B3558" s="96" t="s">
        <v>849</v>
      </c>
    </row>
    <row r="3559" ht="12.75" customHeight="1">
      <c r="A3559" s="95" t="s">
        <v>2879</v>
      </c>
      <c r="B3559" s="96" t="s">
        <v>850</v>
      </c>
    </row>
    <row r="3560" ht="12.75" customHeight="1">
      <c r="A3560" s="95" t="s">
        <v>2879</v>
      </c>
      <c r="B3560" s="96" t="s">
        <v>851</v>
      </c>
    </row>
    <row r="3561" ht="12.75" customHeight="1">
      <c r="A3561" s="95" t="s">
        <v>2879</v>
      </c>
      <c r="B3561" s="96" t="s">
        <v>852</v>
      </c>
    </row>
    <row r="3562" ht="12.75" customHeight="1">
      <c r="A3562" s="95" t="s">
        <v>2879</v>
      </c>
      <c r="B3562" s="96" t="s">
        <v>908</v>
      </c>
    </row>
    <row r="3563" ht="12.75" customHeight="1">
      <c r="A3563" s="95" t="s">
        <v>2879</v>
      </c>
      <c r="B3563" s="96" t="s">
        <v>909</v>
      </c>
    </row>
    <row r="3564" ht="12.75" customHeight="1">
      <c r="A3564" s="95" t="s">
        <v>2879</v>
      </c>
      <c r="B3564" s="96" t="s">
        <v>910</v>
      </c>
    </row>
    <row r="3565" ht="12.75" customHeight="1">
      <c r="A3565" s="95" t="s">
        <v>2879</v>
      </c>
      <c r="B3565" s="96" t="s">
        <v>911</v>
      </c>
    </row>
    <row r="3566" ht="12.75" customHeight="1">
      <c r="A3566" s="95" t="s">
        <v>2879</v>
      </c>
      <c r="B3566" s="96" t="s">
        <v>912</v>
      </c>
    </row>
    <row r="3567" ht="12.75" customHeight="1">
      <c r="A3567" s="95" t="s">
        <v>2879</v>
      </c>
      <c r="B3567" s="96" t="s">
        <v>913</v>
      </c>
    </row>
    <row r="3568" ht="12.75" customHeight="1">
      <c r="A3568" s="95" t="s">
        <v>2879</v>
      </c>
      <c r="B3568" s="96" t="s">
        <v>914</v>
      </c>
    </row>
    <row r="3569" ht="12.75" customHeight="1">
      <c r="A3569" s="95" t="s">
        <v>2879</v>
      </c>
      <c r="B3569" s="96" t="s">
        <v>915</v>
      </c>
    </row>
    <row r="3570" ht="12.75" customHeight="1">
      <c r="A3570" s="95" t="s">
        <v>2879</v>
      </c>
      <c r="B3570" s="96" t="s">
        <v>916</v>
      </c>
    </row>
    <row r="3571" ht="12.75" customHeight="1">
      <c r="A3571" s="95" t="s">
        <v>2879</v>
      </c>
      <c r="B3571" s="96" t="s">
        <v>917</v>
      </c>
    </row>
    <row r="3572" ht="12.75" customHeight="1">
      <c r="A3572" s="95" t="s">
        <v>2879</v>
      </c>
      <c r="B3572" s="96" t="s">
        <v>918</v>
      </c>
    </row>
    <row r="3573" ht="12.75" customHeight="1">
      <c r="A3573" s="95" t="s">
        <v>2879</v>
      </c>
      <c r="B3573" s="96" t="s">
        <v>919</v>
      </c>
    </row>
    <row r="3574" ht="12.75" customHeight="1">
      <c r="A3574" s="95" t="s">
        <v>2879</v>
      </c>
      <c r="B3574" s="96" t="s">
        <v>920</v>
      </c>
    </row>
    <row r="3575" ht="12.75" customHeight="1">
      <c r="A3575" s="95" t="s">
        <v>2879</v>
      </c>
      <c r="B3575" s="96" t="s">
        <v>921</v>
      </c>
    </row>
    <row r="3576" ht="12.75" customHeight="1">
      <c r="A3576" s="95" t="s">
        <v>2879</v>
      </c>
      <c r="B3576" s="96" t="s">
        <v>922</v>
      </c>
    </row>
    <row r="3577" ht="12.75" customHeight="1">
      <c r="A3577" s="95" t="s">
        <v>2879</v>
      </c>
      <c r="B3577" s="96" t="s">
        <v>923</v>
      </c>
    </row>
    <row r="3578" ht="12.75" customHeight="1">
      <c r="A3578" s="95" t="s">
        <v>2879</v>
      </c>
      <c r="B3578" s="96" t="s">
        <v>924</v>
      </c>
    </row>
    <row r="3579" ht="12.75" customHeight="1">
      <c r="A3579" s="95" t="s">
        <v>2879</v>
      </c>
      <c r="B3579" s="96" t="s">
        <v>925</v>
      </c>
    </row>
    <row r="3580" ht="12.75" customHeight="1">
      <c r="A3580" s="95" t="s">
        <v>2879</v>
      </c>
      <c r="B3580" s="96" t="s">
        <v>926</v>
      </c>
    </row>
    <row r="3581" ht="12.75" customHeight="1">
      <c r="A3581" s="95" t="s">
        <v>2879</v>
      </c>
      <c r="B3581" s="96" t="s">
        <v>984</v>
      </c>
    </row>
    <row r="3582" ht="12.75" customHeight="1">
      <c r="A3582" s="95" t="s">
        <v>2879</v>
      </c>
      <c r="B3582" s="96" t="s">
        <v>985</v>
      </c>
    </row>
    <row r="3583" ht="12.75" customHeight="1">
      <c r="A3583" s="95" t="s">
        <v>2879</v>
      </c>
      <c r="B3583" s="96" t="s">
        <v>986</v>
      </c>
    </row>
    <row r="3584" ht="12.75" customHeight="1">
      <c r="A3584" s="95" t="s">
        <v>2879</v>
      </c>
      <c r="B3584" s="96" t="s">
        <v>987</v>
      </c>
    </row>
    <row r="3585" ht="12.75" customHeight="1">
      <c r="A3585" s="95" t="s">
        <v>2879</v>
      </c>
      <c r="B3585" s="96" t="s">
        <v>988</v>
      </c>
    </row>
    <row r="3586" ht="12.75" customHeight="1">
      <c r="A3586" s="95" t="s">
        <v>2879</v>
      </c>
      <c r="B3586" s="96" t="s">
        <v>989</v>
      </c>
    </row>
    <row r="3587" ht="12.75" customHeight="1">
      <c r="A3587" s="95" t="s">
        <v>2879</v>
      </c>
      <c r="B3587" s="96" t="s">
        <v>990</v>
      </c>
    </row>
    <row r="3588" ht="12.75" customHeight="1">
      <c r="A3588" s="95" t="s">
        <v>2879</v>
      </c>
      <c r="B3588" s="96" t="s">
        <v>991</v>
      </c>
    </row>
    <row r="3589" ht="12.75" customHeight="1">
      <c r="A3589" s="95" t="s">
        <v>2879</v>
      </c>
      <c r="B3589" s="96" t="s">
        <v>992</v>
      </c>
    </row>
    <row r="3590" ht="12.75" customHeight="1">
      <c r="A3590" s="95" t="s">
        <v>2879</v>
      </c>
      <c r="B3590" s="96" t="s">
        <v>993</v>
      </c>
    </row>
    <row r="3591" ht="12.75" customHeight="1">
      <c r="A3591" s="95" t="s">
        <v>2879</v>
      </c>
      <c r="B3591" s="96" t="s">
        <v>994</v>
      </c>
    </row>
    <row r="3592" ht="12.75" customHeight="1">
      <c r="A3592" s="95" t="s">
        <v>2879</v>
      </c>
      <c r="B3592" s="96" t="s">
        <v>995</v>
      </c>
    </row>
    <row r="3593" ht="12.75" customHeight="1">
      <c r="A3593" s="95" t="s">
        <v>2879</v>
      </c>
      <c r="B3593" s="96" t="s">
        <v>996</v>
      </c>
    </row>
    <row r="3594" ht="12.75" customHeight="1">
      <c r="A3594" s="95" t="s">
        <v>2879</v>
      </c>
      <c r="B3594" s="96" t="s">
        <v>997</v>
      </c>
    </row>
    <row r="3595" ht="12.75" customHeight="1">
      <c r="A3595" s="95" t="s">
        <v>2879</v>
      </c>
      <c r="B3595" s="96" t="s">
        <v>998</v>
      </c>
    </row>
    <row r="3596" ht="12.75" customHeight="1">
      <c r="A3596" s="95" t="s">
        <v>2879</v>
      </c>
      <c r="B3596" s="96" t="s">
        <v>999</v>
      </c>
    </row>
    <row r="3597" ht="12.75" customHeight="1">
      <c r="A3597" s="95" t="s">
        <v>2879</v>
      </c>
      <c r="B3597" s="96" t="s">
        <v>1000</v>
      </c>
    </row>
    <row r="3598" ht="12.75" customHeight="1">
      <c r="A3598" s="95" t="s">
        <v>2879</v>
      </c>
      <c r="B3598" s="96" t="s">
        <v>1001</v>
      </c>
    </row>
    <row r="3599" ht="12.75" customHeight="1">
      <c r="A3599" s="95" t="s">
        <v>2879</v>
      </c>
      <c r="B3599" s="96" t="s">
        <v>1054</v>
      </c>
    </row>
    <row r="3600" ht="12.75" customHeight="1">
      <c r="A3600" s="95" t="s">
        <v>2879</v>
      </c>
      <c r="B3600" s="96" t="s">
        <v>1055</v>
      </c>
    </row>
    <row r="3601" ht="12.75" customHeight="1">
      <c r="A3601" s="95" t="s">
        <v>2879</v>
      </c>
      <c r="B3601" s="96" t="s">
        <v>1056</v>
      </c>
    </row>
    <row r="3602" ht="12.75" customHeight="1">
      <c r="A3602" s="95" t="s">
        <v>2879</v>
      </c>
      <c r="B3602" s="96" t="s">
        <v>1057</v>
      </c>
    </row>
    <row r="3603" ht="12.75" customHeight="1">
      <c r="A3603" s="95" t="s">
        <v>2879</v>
      </c>
      <c r="B3603" s="96" t="s">
        <v>1058</v>
      </c>
    </row>
    <row r="3604" ht="12.75" customHeight="1">
      <c r="A3604" s="95" t="s">
        <v>2879</v>
      </c>
      <c r="B3604" s="96" t="s">
        <v>1059</v>
      </c>
    </row>
    <row r="3605" ht="12.75" customHeight="1">
      <c r="A3605" s="95" t="s">
        <v>2879</v>
      </c>
      <c r="B3605" s="96" t="s">
        <v>1060</v>
      </c>
    </row>
    <row r="3606" ht="12.75" customHeight="1">
      <c r="A3606" s="95" t="s">
        <v>2879</v>
      </c>
      <c r="B3606" s="96" t="s">
        <v>1061</v>
      </c>
    </row>
    <row r="3607" ht="12.75" customHeight="1">
      <c r="A3607" s="95" t="s">
        <v>2879</v>
      </c>
      <c r="B3607" s="96" t="s">
        <v>1062</v>
      </c>
    </row>
    <row r="3608" ht="12.75" customHeight="1">
      <c r="A3608" s="95" t="s">
        <v>2879</v>
      </c>
      <c r="B3608" s="96" t="s">
        <v>1063</v>
      </c>
    </row>
    <row r="3609" ht="12.75" customHeight="1">
      <c r="A3609" s="95" t="s">
        <v>2879</v>
      </c>
      <c r="B3609" s="96" t="s">
        <v>1064</v>
      </c>
    </row>
    <row r="3610" ht="12.75" customHeight="1">
      <c r="A3610" s="95" t="s">
        <v>2879</v>
      </c>
      <c r="B3610" s="96" t="s">
        <v>1065</v>
      </c>
    </row>
    <row r="3611" ht="12.75" customHeight="1">
      <c r="A3611" s="95" t="s">
        <v>2879</v>
      </c>
      <c r="B3611" s="96" t="s">
        <v>1066</v>
      </c>
    </row>
    <row r="3612" ht="12.75" customHeight="1">
      <c r="A3612" s="95" t="s">
        <v>2879</v>
      </c>
      <c r="B3612" s="96" t="s">
        <v>1067</v>
      </c>
    </row>
    <row r="3613" ht="12.75" customHeight="1">
      <c r="A3613" s="95" t="s">
        <v>2879</v>
      </c>
      <c r="B3613" s="96" t="s">
        <v>1068</v>
      </c>
    </row>
    <row r="3614" ht="12.75" customHeight="1">
      <c r="A3614" s="95" t="s">
        <v>2879</v>
      </c>
      <c r="B3614" s="96" t="s">
        <v>1069</v>
      </c>
    </row>
    <row r="3615" ht="12.75" customHeight="1">
      <c r="A3615" s="95" t="s">
        <v>2879</v>
      </c>
      <c r="B3615" s="96" t="s">
        <v>1070</v>
      </c>
    </row>
    <row r="3616" ht="12.75" customHeight="1">
      <c r="A3616" s="95" t="s">
        <v>2879</v>
      </c>
      <c r="B3616" s="96" t="s">
        <v>1071</v>
      </c>
    </row>
    <row r="3617" ht="12.75" customHeight="1">
      <c r="A3617" s="95" t="s">
        <v>2879</v>
      </c>
      <c r="B3617" s="96" t="s">
        <v>1072</v>
      </c>
    </row>
    <row r="3618" ht="12.75" customHeight="1">
      <c r="A3618" s="95" t="s">
        <v>2879</v>
      </c>
      <c r="B3618" s="96" t="s">
        <v>1073</v>
      </c>
    </row>
    <row r="3619" ht="12.75" customHeight="1">
      <c r="A3619" s="95" t="s">
        <v>2879</v>
      </c>
      <c r="B3619" s="96" t="s">
        <v>1074</v>
      </c>
    </row>
    <row r="3620" ht="12.75" customHeight="1">
      <c r="A3620" s="95" t="s">
        <v>2879</v>
      </c>
      <c r="B3620" s="96" t="s">
        <v>1075</v>
      </c>
    </row>
    <row r="3621" ht="12.75" customHeight="1">
      <c r="A3621" s="95" t="s">
        <v>2879</v>
      </c>
      <c r="B3621" s="96" t="s">
        <v>1076</v>
      </c>
    </row>
    <row r="3622" ht="12.75" customHeight="1">
      <c r="A3622" s="95" t="s">
        <v>2879</v>
      </c>
      <c r="B3622" s="96" t="s">
        <v>1077</v>
      </c>
    </row>
    <row r="3623" ht="12.75" customHeight="1">
      <c r="A3623" s="95" t="s">
        <v>2879</v>
      </c>
      <c r="B3623" s="96" t="s">
        <v>1078</v>
      </c>
    </row>
    <row r="3624" ht="12.75" customHeight="1">
      <c r="A3624" s="95" t="s">
        <v>2879</v>
      </c>
      <c r="B3624" s="96" t="s">
        <v>1079</v>
      </c>
    </row>
    <row r="3625" ht="12.75" customHeight="1">
      <c r="A3625" s="95" t="s">
        <v>2879</v>
      </c>
      <c r="B3625" s="96" t="s">
        <v>1080</v>
      </c>
    </row>
    <row r="3626" ht="12.75" customHeight="1">
      <c r="A3626" s="95" t="s">
        <v>2879</v>
      </c>
      <c r="B3626" s="96" t="s">
        <v>1081</v>
      </c>
    </row>
    <row r="3627" ht="12.75" customHeight="1">
      <c r="A3627" s="95" t="s">
        <v>2879</v>
      </c>
      <c r="B3627" s="96" t="s">
        <v>1082</v>
      </c>
    </row>
    <row r="3628" ht="12.75" customHeight="1">
      <c r="A3628" s="95" t="s">
        <v>2879</v>
      </c>
      <c r="B3628" s="96" t="s">
        <v>1083</v>
      </c>
    </row>
    <row r="3629" ht="12.75" customHeight="1">
      <c r="A3629" s="95" t="s">
        <v>2879</v>
      </c>
      <c r="B3629" s="96" t="s">
        <v>1084</v>
      </c>
    </row>
    <row r="3630" ht="12.75" customHeight="1">
      <c r="A3630" s="95" t="s">
        <v>2879</v>
      </c>
      <c r="B3630" s="96" t="s">
        <v>1085</v>
      </c>
    </row>
    <row r="3631" ht="12.75" customHeight="1">
      <c r="A3631" s="95" t="s">
        <v>2879</v>
      </c>
      <c r="B3631" s="96" t="s">
        <v>1086</v>
      </c>
    </row>
    <row r="3632" ht="12.75" customHeight="1">
      <c r="A3632" s="95" t="s">
        <v>2879</v>
      </c>
      <c r="B3632" s="96" t="s">
        <v>1087</v>
      </c>
    </row>
    <row r="3633" ht="12.75" customHeight="1">
      <c r="A3633" s="95" t="s">
        <v>2879</v>
      </c>
      <c r="B3633" s="96" t="s">
        <v>1088</v>
      </c>
    </row>
    <row r="3634" ht="12.75" customHeight="1">
      <c r="A3634" s="95" t="s">
        <v>2879</v>
      </c>
      <c r="B3634" s="96" t="s">
        <v>1089</v>
      </c>
    </row>
    <row r="3635" ht="12.75" customHeight="1">
      <c r="A3635" s="95" t="s">
        <v>2879</v>
      </c>
      <c r="B3635" s="96" t="s">
        <v>1090</v>
      </c>
    </row>
    <row r="3636" ht="12.75" customHeight="1">
      <c r="A3636" s="95" t="s">
        <v>2879</v>
      </c>
      <c r="B3636" s="96" t="s">
        <v>1091</v>
      </c>
    </row>
    <row r="3637" ht="12.75" customHeight="1">
      <c r="A3637" s="95" t="s">
        <v>2879</v>
      </c>
      <c r="B3637" s="96" t="s">
        <v>1092</v>
      </c>
    </row>
    <row r="3638" ht="12.75" customHeight="1">
      <c r="A3638" s="95" t="s">
        <v>2879</v>
      </c>
      <c r="B3638" s="96" t="s">
        <v>1093</v>
      </c>
    </row>
    <row r="3639" ht="12.75" customHeight="1">
      <c r="A3639" s="95" t="s">
        <v>2879</v>
      </c>
      <c r="B3639" s="96" t="s">
        <v>1094</v>
      </c>
    </row>
    <row r="3640" ht="12.75" customHeight="1">
      <c r="A3640" s="95" t="s">
        <v>2879</v>
      </c>
      <c r="B3640" s="96" t="s">
        <v>1095</v>
      </c>
    </row>
    <row r="3641" ht="12.75" customHeight="1">
      <c r="A3641" s="95" t="s">
        <v>2880</v>
      </c>
      <c r="B3641" s="96">
        <v>0.0</v>
      </c>
    </row>
    <row r="3642" ht="12.75" customHeight="1">
      <c r="A3642" s="95" t="s">
        <v>2880</v>
      </c>
      <c r="B3642" s="96">
        <v>0.0</v>
      </c>
    </row>
    <row r="3643" ht="12.75" customHeight="1">
      <c r="A3643" s="95" t="s">
        <v>2880</v>
      </c>
      <c r="B3643" s="96">
        <v>2.0</v>
      </c>
    </row>
    <row r="3644" ht="12.75" customHeight="1">
      <c r="A3644" s="95" t="s">
        <v>2880</v>
      </c>
      <c r="B3644" s="96">
        <v>4.0</v>
      </c>
    </row>
    <row r="3645" ht="12.75" customHeight="1">
      <c r="A3645" s="95" t="s">
        <v>2880</v>
      </c>
      <c r="B3645" s="96">
        <v>6.0</v>
      </c>
    </row>
    <row r="3646" ht="12.75" customHeight="1">
      <c r="A3646" s="95" t="s">
        <v>2880</v>
      </c>
      <c r="B3646" s="96">
        <v>8.0</v>
      </c>
    </row>
    <row r="3647" ht="12.75" customHeight="1">
      <c r="A3647" s="95" t="s">
        <v>2880</v>
      </c>
      <c r="B3647" s="96">
        <v>10.0</v>
      </c>
    </row>
    <row r="3648" ht="12.75" customHeight="1">
      <c r="A3648" s="95" t="s">
        <v>2880</v>
      </c>
      <c r="B3648" s="96">
        <v>12.0</v>
      </c>
    </row>
    <row r="3649" ht="12.75" customHeight="1">
      <c r="A3649" s="95" t="s">
        <v>2880</v>
      </c>
      <c r="B3649" s="96" t="s">
        <v>803</v>
      </c>
    </row>
    <row r="3650" ht="12.75" customHeight="1">
      <c r="A3650" s="95" t="s">
        <v>2880</v>
      </c>
      <c r="B3650" s="96" t="s">
        <v>804</v>
      </c>
    </row>
    <row r="3651" ht="12.75" customHeight="1">
      <c r="A3651" s="95" t="s">
        <v>2880</v>
      </c>
      <c r="B3651" s="96" t="s">
        <v>76</v>
      </c>
    </row>
    <row r="3652" ht="12.75" customHeight="1">
      <c r="A3652" s="95" t="s">
        <v>2880</v>
      </c>
      <c r="B3652" s="96" t="s">
        <v>80</v>
      </c>
    </row>
    <row r="3653" ht="12.75" customHeight="1">
      <c r="A3653" s="95" t="s">
        <v>2880</v>
      </c>
      <c r="B3653" s="96" t="s">
        <v>83</v>
      </c>
    </row>
    <row r="3654" ht="12.75" customHeight="1">
      <c r="A3654" s="95" t="s">
        <v>2880</v>
      </c>
      <c r="B3654" s="96" t="s">
        <v>85</v>
      </c>
    </row>
    <row r="3655" ht="12.75" customHeight="1">
      <c r="A3655" s="95" t="s">
        <v>2880</v>
      </c>
      <c r="B3655" s="96">
        <v>14.0</v>
      </c>
    </row>
    <row r="3656" ht="12.75" customHeight="1">
      <c r="A3656" s="95" t="s">
        <v>2880</v>
      </c>
      <c r="B3656" s="96" t="s">
        <v>835</v>
      </c>
    </row>
    <row r="3657" ht="12.75" customHeight="1">
      <c r="A3657" s="95" t="s">
        <v>2880</v>
      </c>
      <c r="B3657" s="96">
        <v>16.0</v>
      </c>
    </row>
    <row r="3658" ht="12.75" customHeight="1">
      <c r="A3658" s="95" t="s">
        <v>2880</v>
      </c>
      <c r="B3658" s="96" t="s">
        <v>836</v>
      </c>
    </row>
    <row r="3659" ht="12.75" customHeight="1">
      <c r="A3659" s="95" t="s">
        <v>2880</v>
      </c>
      <c r="B3659" s="96">
        <v>18.0</v>
      </c>
    </row>
    <row r="3660" ht="12.75" customHeight="1">
      <c r="A3660" s="95" t="s">
        <v>2880</v>
      </c>
      <c r="B3660" s="96" t="s">
        <v>837</v>
      </c>
    </row>
    <row r="3661" ht="12.75" customHeight="1">
      <c r="A3661" s="95" t="s">
        <v>2880</v>
      </c>
      <c r="B3661" s="96">
        <v>20.0</v>
      </c>
    </row>
    <row r="3662" ht="12.75" customHeight="1">
      <c r="A3662" s="95" t="s">
        <v>2880</v>
      </c>
      <c r="B3662" s="96" t="s">
        <v>838</v>
      </c>
    </row>
    <row r="3663" ht="12.75" customHeight="1">
      <c r="A3663" s="95" t="s">
        <v>2880</v>
      </c>
      <c r="B3663" s="96">
        <v>22.0</v>
      </c>
    </row>
    <row r="3664" ht="12.75" customHeight="1">
      <c r="A3664" s="95" t="s">
        <v>2880</v>
      </c>
      <c r="B3664" s="96" t="s">
        <v>839</v>
      </c>
    </row>
    <row r="3665" ht="12.75" customHeight="1">
      <c r="A3665" s="95" t="s">
        <v>2880</v>
      </c>
      <c r="B3665" s="96">
        <v>24.0</v>
      </c>
    </row>
    <row r="3666" ht="12.75" customHeight="1">
      <c r="A3666" s="95" t="s">
        <v>2880</v>
      </c>
      <c r="B3666" s="96" t="s">
        <v>840</v>
      </c>
    </row>
    <row r="3667" ht="12.75" customHeight="1">
      <c r="A3667" s="95" t="s">
        <v>2880</v>
      </c>
      <c r="B3667" s="96">
        <v>26.0</v>
      </c>
    </row>
    <row r="3668" ht="12.75" customHeight="1">
      <c r="A3668" s="95" t="s">
        <v>2880</v>
      </c>
      <c r="B3668" s="96" t="s">
        <v>841</v>
      </c>
    </row>
    <row r="3669" ht="12.75" customHeight="1">
      <c r="A3669" s="95" t="s">
        <v>2880</v>
      </c>
      <c r="B3669" s="96">
        <v>28.0</v>
      </c>
    </row>
    <row r="3670" ht="12.75" customHeight="1">
      <c r="A3670" s="95" t="s">
        <v>2880</v>
      </c>
      <c r="B3670" s="96" t="s">
        <v>842</v>
      </c>
    </row>
    <row r="3671" ht="12.75" customHeight="1">
      <c r="A3671" s="95" t="s">
        <v>2880</v>
      </c>
      <c r="B3671" s="96">
        <v>30.0</v>
      </c>
    </row>
    <row r="3672" ht="12.75" customHeight="1">
      <c r="A3672" s="95" t="s">
        <v>2880</v>
      </c>
      <c r="B3672" s="96" t="s">
        <v>843</v>
      </c>
    </row>
    <row r="3673" ht="12.75" customHeight="1">
      <c r="A3673" s="95" t="s">
        <v>2880</v>
      </c>
      <c r="B3673" s="96">
        <v>32.0</v>
      </c>
    </row>
    <row r="3674" ht="12.75" customHeight="1">
      <c r="A3674" s="95" t="s">
        <v>2880</v>
      </c>
      <c r="B3674" s="96" t="s">
        <v>844</v>
      </c>
    </row>
    <row r="3675" ht="12.75" customHeight="1">
      <c r="A3675" s="95" t="s">
        <v>2880</v>
      </c>
      <c r="B3675" s="96" t="s">
        <v>845</v>
      </c>
    </row>
    <row r="3676" ht="12.75" customHeight="1">
      <c r="A3676" s="95" t="s">
        <v>2880</v>
      </c>
      <c r="B3676" s="96" t="s">
        <v>846</v>
      </c>
    </row>
    <row r="3677" ht="12.75" customHeight="1">
      <c r="A3677" s="95" t="s">
        <v>2880</v>
      </c>
      <c r="B3677" s="96" t="s">
        <v>847</v>
      </c>
    </row>
    <row r="3678" ht="12.75" customHeight="1">
      <c r="A3678" s="95" t="s">
        <v>2880</v>
      </c>
      <c r="B3678" s="96" t="s">
        <v>848</v>
      </c>
    </row>
    <row r="3679" ht="12.75" customHeight="1">
      <c r="A3679" s="95" t="s">
        <v>2880</v>
      </c>
      <c r="B3679" s="96" t="s">
        <v>849</v>
      </c>
    </row>
    <row r="3680" ht="12.75" customHeight="1">
      <c r="A3680" s="95" t="s">
        <v>2880</v>
      </c>
      <c r="B3680" s="96" t="s">
        <v>850</v>
      </c>
    </row>
    <row r="3681" ht="12.75" customHeight="1">
      <c r="A3681" s="95" t="s">
        <v>2880</v>
      </c>
      <c r="B3681" s="96" t="s">
        <v>851</v>
      </c>
    </row>
    <row r="3682" ht="12.75" customHeight="1">
      <c r="A3682" s="95" t="s">
        <v>2880</v>
      </c>
      <c r="B3682" s="96" t="s">
        <v>852</v>
      </c>
    </row>
    <row r="3683" ht="12.75" customHeight="1">
      <c r="A3683" s="95" t="s">
        <v>2880</v>
      </c>
      <c r="B3683" s="96" t="s">
        <v>908</v>
      </c>
    </row>
    <row r="3684" ht="12.75" customHeight="1">
      <c r="A3684" s="95" t="s">
        <v>2880</v>
      </c>
      <c r="B3684" s="96" t="s">
        <v>909</v>
      </c>
    </row>
    <row r="3685" ht="12.75" customHeight="1">
      <c r="A3685" s="95" t="s">
        <v>2880</v>
      </c>
      <c r="B3685" s="96" t="s">
        <v>910</v>
      </c>
    </row>
    <row r="3686" ht="12.75" customHeight="1">
      <c r="A3686" s="95" t="s">
        <v>2880</v>
      </c>
      <c r="B3686" s="96" t="s">
        <v>911</v>
      </c>
    </row>
    <row r="3687" ht="12.75" customHeight="1">
      <c r="A3687" s="95" t="s">
        <v>2880</v>
      </c>
      <c r="B3687" s="96" t="s">
        <v>912</v>
      </c>
    </row>
    <row r="3688" ht="12.75" customHeight="1">
      <c r="A3688" s="95" t="s">
        <v>2880</v>
      </c>
      <c r="B3688" s="96" t="s">
        <v>913</v>
      </c>
    </row>
    <row r="3689" ht="12.75" customHeight="1">
      <c r="A3689" s="95" t="s">
        <v>2880</v>
      </c>
      <c r="B3689" s="96" t="s">
        <v>914</v>
      </c>
    </row>
    <row r="3690" ht="12.75" customHeight="1">
      <c r="A3690" s="95" t="s">
        <v>2880</v>
      </c>
      <c r="B3690" s="96" t="s">
        <v>915</v>
      </c>
    </row>
    <row r="3691" ht="12.75" customHeight="1">
      <c r="A3691" s="95" t="s">
        <v>2880</v>
      </c>
      <c r="B3691" s="96" t="s">
        <v>916</v>
      </c>
    </row>
    <row r="3692" ht="12.75" customHeight="1">
      <c r="A3692" s="95" t="s">
        <v>2880</v>
      </c>
      <c r="B3692" s="96" t="s">
        <v>917</v>
      </c>
    </row>
    <row r="3693" ht="12.75" customHeight="1">
      <c r="A3693" s="95" t="s">
        <v>2880</v>
      </c>
      <c r="B3693" s="96" t="s">
        <v>918</v>
      </c>
    </row>
    <row r="3694" ht="12.75" customHeight="1">
      <c r="A3694" s="95" t="s">
        <v>2880</v>
      </c>
      <c r="B3694" s="96" t="s">
        <v>919</v>
      </c>
    </row>
    <row r="3695" ht="12.75" customHeight="1">
      <c r="A3695" s="95" t="s">
        <v>2880</v>
      </c>
      <c r="B3695" s="96" t="s">
        <v>920</v>
      </c>
    </row>
    <row r="3696" ht="12.75" customHeight="1">
      <c r="A3696" s="95" t="s">
        <v>2880</v>
      </c>
      <c r="B3696" s="96" t="s">
        <v>921</v>
      </c>
    </row>
    <row r="3697" ht="12.75" customHeight="1">
      <c r="A3697" s="95" t="s">
        <v>2880</v>
      </c>
      <c r="B3697" s="96" t="s">
        <v>922</v>
      </c>
    </row>
    <row r="3698" ht="12.75" customHeight="1">
      <c r="A3698" s="95" t="s">
        <v>2880</v>
      </c>
      <c r="B3698" s="96" t="s">
        <v>923</v>
      </c>
    </row>
    <row r="3699" ht="12.75" customHeight="1">
      <c r="A3699" s="95" t="s">
        <v>2880</v>
      </c>
      <c r="B3699" s="96" t="s">
        <v>924</v>
      </c>
    </row>
    <row r="3700" ht="12.75" customHeight="1">
      <c r="A3700" s="95" t="s">
        <v>2880</v>
      </c>
      <c r="B3700" s="96" t="s">
        <v>925</v>
      </c>
    </row>
    <row r="3701" ht="12.75" customHeight="1">
      <c r="A3701" s="95" t="s">
        <v>2880</v>
      </c>
      <c r="B3701" s="96" t="s">
        <v>926</v>
      </c>
    </row>
    <row r="3702" ht="12.75" customHeight="1">
      <c r="A3702" s="95" t="s">
        <v>2880</v>
      </c>
      <c r="B3702" s="96" t="s">
        <v>984</v>
      </c>
    </row>
    <row r="3703" ht="12.75" customHeight="1">
      <c r="A3703" s="95" t="s">
        <v>2880</v>
      </c>
      <c r="B3703" s="96" t="s">
        <v>985</v>
      </c>
    </row>
    <row r="3704" ht="12.75" customHeight="1">
      <c r="A3704" s="95" t="s">
        <v>2880</v>
      </c>
      <c r="B3704" s="96" t="s">
        <v>986</v>
      </c>
    </row>
    <row r="3705" ht="12.75" customHeight="1">
      <c r="A3705" s="95" t="s">
        <v>2880</v>
      </c>
      <c r="B3705" s="96" t="s">
        <v>987</v>
      </c>
    </row>
    <row r="3706" ht="12.75" customHeight="1">
      <c r="A3706" s="95" t="s">
        <v>2880</v>
      </c>
      <c r="B3706" s="96" t="s">
        <v>988</v>
      </c>
    </row>
    <row r="3707" ht="12.75" customHeight="1">
      <c r="A3707" s="95" t="s">
        <v>2880</v>
      </c>
      <c r="B3707" s="96" t="s">
        <v>989</v>
      </c>
    </row>
    <row r="3708" ht="12.75" customHeight="1">
      <c r="A3708" s="95" t="s">
        <v>2880</v>
      </c>
      <c r="B3708" s="96" t="s">
        <v>990</v>
      </c>
    </row>
    <row r="3709" ht="12.75" customHeight="1">
      <c r="A3709" s="95" t="s">
        <v>2880</v>
      </c>
      <c r="B3709" s="96" t="s">
        <v>991</v>
      </c>
    </row>
    <row r="3710" ht="12.75" customHeight="1">
      <c r="A3710" s="95" t="s">
        <v>2880</v>
      </c>
      <c r="B3710" s="96" t="s">
        <v>992</v>
      </c>
    </row>
    <row r="3711" ht="12.75" customHeight="1">
      <c r="A3711" s="95" t="s">
        <v>2880</v>
      </c>
      <c r="B3711" s="96" t="s">
        <v>993</v>
      </c>
    </row>
    <row r="3712" ht="12.75" customHeight="1">
      <c r="A3712" s="95" t="s">
        <v>2880</v>
      </c>
      <c r="B3712" s="96" t="s">
        <v>994</v>
      </c>
    </row>
    <row r="3713" ht="12.75" customHeight="1">
      <c r="A3713" s="95" t="s">
        <v>2880</v>
      </c>
      <c r="B3713" s="96" t="s">
        <v>995</v>
      </c>
    </row>
    <row r="3714" ht="12.75" customHeight="1">
      <c r="A3714" s="95" t="s">
        <v>2880</v>
      </c>
      <c r="B3714" s="96" t="s">
        <v>996</v>
      </c>
    </row>
    <row r="3715" ht="12.75" customHeight="1">
      <c r="A3715" s="95" t="s">
        <v>2880</v>
      </c>
      <c r="B3715" s="96" t="s">
        <v>997</v>
      </c>
    </row>
    <row r="3716" ht="12.75" customHeight="1">
      <c r="A3716" s="95" t="s">
        <v>2880</v>
      </c>
      <c r="B3716" s="96" t="s">
        <v>998</v>
      </c>
    </row>
    <row r="3717" ht="12.75" customHeight="1">
      <c r="A3717" s="95" t="s">
        <v>2880</v>
      </c>
      <c r="B3717" s="96" t="s">
        <v>999</v>
      </c>
    </row>
    <row r="3718" ht="12.75" customHeight="1">
      <c r="A3718" s="95" t="s">
        <v>2880</v>
      </c>
      <c r="B3718" s="96" t="s">
        <v>1000</v>
      </c>
    </row>
    <row r="3719" ht="12.75" customHeight="1">
      <c r="A3719" s="95" t="s">
        <v>2880</v>
      </c>
      <c r="B3719" s="96" t="s">
        <v>1001</v>
      </c>
    </row>
    <row r="3720" ht="12.75" customHeight="1">
      <c r="A3720" s="95" t="s">
        <v>2880</v>
      </c>
      <c r="B3720" s="96" t="s">
        <v>1054</v>
      </c>
    </row>
    <row r="3721" ht="12.75" customHeight="1">
      <c r="A3721" s="95" t="s">
        <v>2880</v>
      </c>
      <c r="B3721" s="96" t="s">
        <v>1055</v>
      </c>
    </row>
    <row r="3722" ht="12.75" customHeight="1">
      <c r="A3722" s="95" t="s">
        <v>2880</v>
      </c>
      <c r="B3722" s="96" t="s">
        <v>1056</v>
      </c>
    </row>
    <row r="3723" ht="12.75" customHeight="1">
      <c r="A3723" s="95" t="s">
        <v>2880</v>
      </c>
      <c r="B3723" s="96" t="s">
        <v>1057</v>
      </c>
    </row>
    <row r="3724" ht="12.75" customHeight="1">
      <c r="A3724" s="95" t="s">
        <v>2880</v>
      </c>
      <c r="B3724" s="96" t="s">
        <v>1058</v>
      </c>
    </row>
    <row r="3725" ht="12.75" customHeight="1">
      <c r="A3725" s="95" t="s">
        <v>2880</v>
      </c>
      <c r="B3725" s="96" t="s">
        <v>1059</v>
      </c>
    </row>
    <row r="3726" ht="12.75" customHeight="1">
      <c r="A3726" s="95" t="s">
        <v>2880</v>
      </c>
      <c r="B3726" s="96" t="s">
        <v>1060</v>
      </c>
    </row>
    <row r="3727" ht="12.75" customHeight="1">
      <c r="A3727" s="95" t="s">
        <v>2880</v>
      </c>
      <c r="B3727" s="96" t="s">
        <v>1061</v>
      </c>
    </row>
    <row r="3728" ht="12.75" customHeight="1">
      <c r="A3728" s="95" t="s">
        <v>2880</v>
      </c>
      <c r="B3728" s="96" t="s">
        <v>1062</v>
      </c>
    </row>
    <row r="3729" ht="12.75" customHeight="1">
      <c r="A3729" s="95" t="s">
        <v>2880</v>
      </c>
      <c r="B3729" s="96" t="s">
        <v>1063</v>
      </c>
    </row>
    <row r="3730" ht="12.75" customHeight="1">
      <c r="A3730" s="95" t="s">
        <v>2880</v>
      </c>
      <c r="B3730" s="96" t="s">
        <v>1064</v>
      </c>
    </row>
    <row r="3731" ht="12.75" customHeight="1">
      <c r="A3731" s="95" t="s">
        <v>2880</v>
      </c>
      <c r="B3731" s="96" t="s">
        <v>1065</v>
      </c>
    </row>
    <row r="3732" ht="12.75" customHeight="1">
      <c r="A3732" s="95" t="s">
        <v>2880</v>
      </c>
      <c r="B3732" s="96" t="s">
        <v>1066</v>
      </c>
    </row>
    <row r="3733" ht="12.75" customHeight="1">
      <c r="A3733" s="95" t="s">
        <v>2880</v>
      </c>
      <c r="B3733" s="96" t="s">
        <v>1067</v>
      </c>
    </row>
    <row r="3734" ht="12.75" customHeight="1">
      <c r="A3734" s="95" t="s">
        <v>2880</v>
      </c>
      <c r="B3734" s="96" t="s">
        <v>1068</v>
      </c>
    </row>
    <row r="3735" ht="12.75" customHeight="1">
      <c r="A3735" s="95" t="s">
        <v>2880</v>
      </c>
      <c r="B3735" s="96" t="s">
        <v>1069</v>
      </c>
    </row>
    <row r="3736" ht="12.75" customHeight="1">
      <c r="A3736" s="95" t="s">
        <v>2880</v>
      </c>
      <c r="B3736" s="96" t="s">
        <v>1070</v>
      </c>
    </row>
    <row r="3737" ht="12.75" customHeight="1">
      <c r="A3737" s="95" t="s">
        <v>2880</v>
      </c>
      <c r="B3737" s="96" t="s">
        <v>1071</v>
      </c>
    </row>
    <row r="3738" ht="12.75" customHeight="1">
      <c r="A3738" s="95" t="s">
        <v>2880</v>
      </c>
      <c r="B3738" s="96" t="s">
        <v>1072</v>
      </c>
    </row>
    <row r="3739" ht="12.75" customHeight="1">
      <c r="A3739" s="95" t="s">
        <v>2880</v>
      </c>
      <c r="B3739" s="96" t="s">
        <v>1073</v>
      </c>
    </row>
    <row r="3740" ht="12.75" customHeight="1">
      <c r="A3740" s="95" t="s">
        <v>2880</v>
      </c>
      <c r="B3740" s="96" t="s">
        <v>1074</v>
      </c>
    </row>
    <row r="3741" ht="12.75" customHeight="1">
      <c r="A3741" s="95" t="s">
        <v>2880</v>
      </c>
      <c r="B3741" s="96" t="s">
        <v>1075</v>
      </c>
    </row>
    <row r="3742" ht="12.75" customHeight="1">
      <c r="A3742" s="95" t="s">
        <v>2880</v>
      </c>
      <c r="B3742" s="96" t="s">
        <v>1076</v>
      </c>
    </row>
    <row r="3743" ht="12.75" customHeight="1">
      <c r="A3743" s="95" t="s">
        <v>2880</v>
      </c>
      <c r="B3743" s="96" t="s">
        <v>1077</v>
      </c>
    </row>
    <row r="3744" ht="12.75" customHeight="1">
      <c r="A3744" s="95" t="s">
        <v>2880</v>
      </c>
      <c r="B3744" s="96" t="s">
        <v>1078</v>
      </c>
    </row>
    <row r="3745" ht="12.75" customHeight="1">
      <c r="A3745" s="95" t="s">
        <v>2880</v>
      </c>
      <c r="B3745" s="96" t="s">
        <v>1079</v>
      </c>
    </row>
    <row r="3746" ht="12.75" customHeight="1">
      <c r="A3746" s="95" t="s">
        <v>2880</v>
      </c>
      <c r="B3746" s="96" t="s">
        <v>1080</v>
      </c>
    </row>
    <row r="3747" ht="12.75" customHeight="1">
      <c r="A3747" s="95" t="s">
        <v>2880</v>
      </c>
      <c r="B3747" s="96" t="s">
        <v>1081</v>
      </c>
    </row>
    <row r="3748" ht="12.75" customHeight="1">
      <c r="A3748" s="95" t="s">
        <v>2880</v>
      </c>
      <c r="B3748" s="96" t="s">
        <v>1082</v>
      </c>
    </row>
    <row r="3749" ht="12.75" customHeight="1">
      <c r="A3749" s="95" t="s">
        <v>2880</v>
      </c>
      <c r="B3749" s="96" t="s">
        <v>1083</v>
      </c>
    </row>
    <row r="3750" ht="12.75" customHeight="1">
      <c r="A3750" s="95" t="s">
        <v>2880</v>
      </c>
      <c r="B3750" s="96" t="s">
        <v>1084</v>
      </c>
    </row>
    <row r="3751" ht="12.75" customHeight="1">
      <c r="A3751" s="95" t="s">
        <v>2880</v>
      </c>
      <c r="B3751" s="96" t="s">
        <v>1085</v>
      </c>
    </row>
    <row r="3752" ht="12.75" customHeight="1">
      <c r="A3752" s="95" t="s">
        <v>2880</v>
      </c>
      <c r="B3752" s="96" t="s">
        <v>1086</v>
      </c>
    </row>
    <row r="3753" ht="12.75" customHeight="1">
      <c r="A3753" s="95" t="s">
        <v>2880</v>
      </c>
      <c r="B3753" s="96" t="s">
        <v>1087</v>
      </c>
    </row>
    <row r="3754" ht="12.75" customHeight="1">
      <c r="A3754" s="95" t="s">
        <v>2880</v>
      </c>
      <c r="B3754" s="96" t="s">
        <v>1088</v>
      </c>
    </row>
    <row r="3755" ht="12.75" customHeight="1">
      <c r="A3755" s="95" t="s">
        <v>2880</v>
      </c>
      <c r="B3755" s="96" t="s">
        <v>1089</v>
      </c>
    </row>
    <row r="3756" ht="12.75" customHeight="1">
      <c r="A3756" s="95" t="s">
        <v>2880</v>
      </c>
      <c r="B3756" s="96" t="s">
        <v>1090</v>
      </c>
    </row>
    <row r="3757" ht="12.75" customHeight="1">
      <c r="A3757" s="95" t="s">
        <v>2880</v>
      </c>
      <c r="B3757" s="96" t="s">
        <v>1091</v>
      </c>
    </row>
    <row r="3758" ht="12.75" customHeight="1">
      <c r="A3758" s="95" t="s">
        <v>2880</v>
      </c>
      <c r="B3758" s="96" t="s">
        <v>1092</v>
      </c>
    </row>
    <row r="3759" ht="12.75" customHeight="1">
      <c r="A3759" s="95" t="s">
        <v>2880</v>
      </c>
      <c r="B3759" s="96" t="s">
        <v>1093</v>
      </c>
    </row>
    <row r="3760" ht="12.75" customHeight="1">
      <c r="A3760" s="95" t="s">
        <v>2880</v>
      </c>
      <c r="B3760" s="96" t="s">
        <v>1094</v>
      </c>
    </row>
    <row r="3761" ht="12.75" customHeight="1">
      <c r="A3761" s="95" t="s">
        <v>2880</v>
      </c>
      <c r="B3761" s="96" t="s">
        <v>1095</v>
      </c>
    </row>
    <row r="3762" ht="12.75" customHeight="1">
      <c r="A3762" s="95" t="s">
        <v>2881</v>
      </c>
      <c r="B3762" s="96">
        <v>0.0</v>
      </c>
    </row>
    <row r="3763" ht="12.75" customHeight="1">
      <c r="A3763" s="95" t="s">
        <v>2881</v>
      </c>
      <c r="B3763" s="96">
        <v>0.0</v>
      </c>
    </row>
    <row r="3764" ht="12.75" customHeight="1">
      <c r="A3764" s="95" t="s">
        <v>2881</v>
      </c>
      <c r="B3764" s="96">
        <v>2.0</v>
      </c>
    </row>
    <row r="3765" ht="12.75" customHeight="1">
      <c r="A3765" s="95" t="s">
        <v>2881</v>
      </c>
      <c r="B3765" s="96">
        <v>4.0</v>
      </c>
    </row>
    <row r="3766" ht="12.75" customHeight="1">
      <c r="A3766" s="95" t="s">
        <v>2881</v>
      </c>
      <c r="B3766" s="96">
        <v>6.0</v>
      </c>
    </row>
    <row r="3767" ht="12.75" customHeight="1">
      <c r="A3767" s="95" t="s">
        <v>2881</v>
      </c>
      <c r="B3767" s="96">
        <v>8.0</v>
      </c>
    </row>
    <row r="3768" ht="12.75" customHeight="1">
      <c r="A3768" s="95" t="s">
        <v>2881</v>
      </c>
      <c r="B3768" s="96">
        <v>10.0</v>
      </c>
    </row>
    <row r="3769" ht="12.75" customHeight="1">
      <c r="A3769" s="95" t="s">
        <v>2881</v>
      </c>
      <c r="B3769" s="96">
        <v>12.0</v>
      </c>
    </row>
    <row r="3770" ht="12.75" customHeight="1">
      <c r="A3770" s="95" t="s">
        <v>2881</v>
      </c>
      <c r="B3770" s="96" t="s">
        <v>803</v>
      </c>
    </row>
    <row r="3771" ht="12.75" customHeight="1">
      <c r="A3771" s="95" t="s">
        <v>2881</v>
      </c>
      <c r="B3771" s="96" t="s">
        <v>804</v>
      </c>
    </row>
    <row r="3772" ht="12.75" customHeight="1">
      <c r="A3772" s="95" t="s">
        <v>2881</v>
      </c>
      <c r="B3772" s="96" t="s">
        <v>76</v>
      </c>
    </row>
    <row r="3773" ht="12.75" customHeight="1">
      <c r="A3773" s="95" t="s">
        <v>2881</v>
      </c>
      <c r="B3773" s="96" t="s">
        <v>80</v>
      </c>
    </row>
    <row r="3774" ht="12.75" customHeight="1">
      <c r="A3774" s="95" t="s">
        <v>2881</v>
      </c>
      <c r="B3774" s="96" t="s">
        <v>83</v>
      </c>
    </row>
    <row r="3775" ht="12.75" customHeight="1">
      <c r="A3775" s="95" t="s">
        <v>2881</v>
      </c>
      <c r="B3775" s="96" t="s">
        <v>85</v>
      </c>
    </row>
    <row r="3776" ht="12.75" customHeight="1">
      <c r="A3776" s="95" t="s">
        <v>2881</v>
      </c>
      <c r="B3776" s="96">
        <v>14.0</v>
      </c>
    </row>
    <row r="3777" ht="12.75" customHeight="1">
      <c r="A3777" s="95" t="s">
        <v>2881</v>
      </c>
      <c r="B3777" s="96" t="s">
        <v>835</v>
      </c>
    </row>
    <row r="3778" ht="12.75" customHeight="1">
      <c r="A3778" s="95" t="s">
        <v>2881</v>
      </c>
      <c r="B3778" s="96">
        <v>16.0</v>
      </c>
    </row>
    <row r="3779" ht="12.75" customHeight="1">
      <c r="A3779" s="95" t="s">
        <v>2881</v>
      </c>
      <c r="B3779" s="96" t="s">
        <v>836</v>
      </c>
    </row>
    <row r="3780" ht="12.75" customHeight="1">
      <c r="A3780" s="95" t="s">
        <v>2881</v>
      </c>
      <c r="B3780" s="96">
        <v>18.0</v>
      </c>
    </row>
    <row r="3781" ht="12.75" customHeight="1">
      <c r="A3781" s="95" t="s">
        <v>2881</v>
      </c>
      <c r="B3781" s="96" t="s">
        <v>837</v>
      </c>
    </row>
    <row r="3782" ht="12.75" customHeight="1">
      <c r="A3782" s="95" t="s">
        <v>2881</v>
      </c>
      <c r="B3782" s="96">
        <v>20.0</v>
      </c>
    </row>
    <row r="3783" ht="12.75" customHeight="1">
      <c r="A3783" s="95" t="s">
        <v>2881</v>
      </c>
      <c r="B3783" s="96" t="s">
        <v>838</v>
      </c>
    </row>
    <row r="3784" ht="12.75" customHeight="1">
      <c r="A3784" s="95" t="s">
        <v>2881</v>
      </c>
      <c r="B3784" s="96">
        <v>22.0</v>
      </c>
    </row>
    <row r="3785" ht="12.75" customHeight="1">
      <c r="A3785" s="95" t="s">
        <v>2881</v>
      </c>
      <c r="B3785" s="96" t="s">
        <v>839</v>
      </c>
    </row>
    <row r="3786" ht="12.75" customHeight="1">
      <c r="A3786" s="95" t="s">
        <v>2881</v>
      </c>
      <c r="B3786" s="96">
        <v>24.0</v>
      </c>
    </row>
    <row r="3787" ht="12.75" customHeight="1">
      <c r="A3787" s="95" t="s">
        <v>2881</v>
      </c>
      <c r="B3787" s="96" t="s">
        <v>840</v>
      </c>
    </row>
    <row r="3788" ht="12.75" customHeight="1">
      <c r="A3788" s="95" t="s">
        <v>2881</v>
      </c>
      <c r="B3788" s="96">
        <v>26.0</v>
      </c>
    </row>
    <row r="3789" ht="12.75" customHeight="1">
      <c r="A3789" s="95" t="s">
        <v>2881</v>
      </c>
      <c r="B3789" s="96" t="s">
        <v>841</v>
      </c>
    </row>
    <row r="3790" ht="12.75" customHeight="1">
      <c r="A3790" s="95" t="s">
        <v>2881</v>
      </c>
      <c r="B3790" s="96">
        <v>28.0</v>
      </c>
    </row>
    <row r="3791" ht="12.75" customHeight="1">
      <c r="A3791" s="95" t="s">
        <v>2881</v>
      </c>
      <c r="B3791" s="96" t="s">
        <v>842</v>
      </c>
    </row>
    <row r="3792" ht="12.75" customHeight="1">
      <c r="A3792" s="95" t="s">
        <v>2881</v>
      </c>
      <c r="B3792" s="96">
        <v>30.0</v>
      </c>
    </row>
    <row r="3793" ht="12.75" customHeight="1">
      <c r="A3793" s="95" t="s">
        <v>2881</v>
      </c>
      <c r="B3793" s="96" t="s">
        <v>843</v>
      </c>
    </row>
    <row r="3794" ht="12.75" customHeight="1">
      <c r="A3794" s="95" t="s">
        <v>2881</v>
      </c>
      <c r="B3794" s="96">
        <v>32.0</v>
      </c>
    </row>
    <row r="3795" ht="12.75" customHeight="1">
      <c r="A3795" s="95" t="s">
        <v>2881</v>
      </c>
      <c r="B3795" s="96" t="s">
        <v>844</v>
      </c>
    </row>
    <row r="3796" ht="12.75" customHeight="1">
      <c r="A3796" s="95" t="s">
        <v>2881</v>
      </c>
      <c r="B3796" s="96" t="s">
        <v>845</v>
      </c>
    </row>
    <row r="3797" ht="12.75" customHeight="1">
      <c r="A3797" s="95" t="s">
        <v>2881</v>
      </c>
      <c r="B3797" s="96" t="s">
        <v>846</v>
      </c>
    </row>
    <row r="3798" ht="12.75" customHeight="1">
      <c r="A3798" s="95" t="s">
        <v>2881</v>
      </c>
      <c r="B3798" s="96" t="s">
        <v>847</v>
      </c>
    </row>
    <row r="3799" ht="12.75" customHeight="1">
      <c r="A3799" s="95" t="s">
        <v>2881</v>
      </c>
      <c r="B3799" s="96" t="s">
        <v>848</v>
      </c>
    </row>
    <row r="3800" ht="12.75" customHeight="1">
      <c r="A3800" s="95" t="s">
        <v>2881</v>
      </c>
      <c r="B3800" s="96" t="s">
        <v>849</v>
      </c>
    </row>
    <row r="3801" ht="12.75" customHeight="1">
      <c r="A3801" s="95" t="s">
        <v>2881</v>
      </c>
      <c r="B3801" s="96" t="s">
        <v>850</v>
      </c>
    </row>
    <row r="3802" ht="12.75" customHeight="1">
      <c r="A3802" s="95" t="s">
        <v>2881</v>
      </c>
      <c r="B3802" s="96" t="s">
        <v>851</v>
      </c>
    </row>
    <row r="3803" ht="12.75" customHeight="1">
      <c r="A3803" s="95" t="s">
        <v>2881</v>
      </c>
      <c r="B3803" s="96" t="s">
        <v>852</v>
      </c>
    </row>
    <row r="3804" ht="12.75" customHeight="1">
      <c r="A3804" s="95" t="s">
        <v>2881</v>
      </c>
      <c r="B3804" s="96" t="s">
        <v>908</v>
      </c>
    </row>
    <row r="3805" ht="12.75" customHeight="1">
      <c r="A3805" s="95" t="s">
        <v>2881</v>
      </c>
      <c r="B3805" s="96" t="s">
        <v>909</v>
      </c>
    </row>
    <row r="3806" ht="12.75" customHeight="1">
      <c r="A3806" s="95" t="s">
        <v>2881</v>
      </c>
      <c r="B3806" s="96" t="s">
        <v>910</v>
      </c>
    </row>
    <row r="3807" ht="12.75" customHeight="1">
      <c r="A3807" s="95" t="s">
        <v>2881</v>
      </c>
      <c r="B3807" s="96" t="s">
        <v>911</v>
      </c>
    </row>
    <row r="3808" ht="12.75" customHeight="1">
      <c r="A3808" s="95" t="s">
        <v>2881</v>
      </c>
      <c r="B3808" s="96" t="s">
        <v>912</v>
      </c>
    </row>
    <row r="3809" ht="12.75" customHeight="1">
      <c r="A3809" s="95" t="s">
        <v>2881</v>
      </c>
      <c r="B3809" s="96" t="s">
        <v>913</v>
      </c>
    </row>
    <row r="3810" ht="12.75" customHeight="1">
      <c r="A3810" s="95" t="s">
        <v>2881</v>
      </c>
      <c r="B3810" s="96" t="s">
        <v>914</v>
      </c>
    </row>
    <row r="3811" ht="12.75" customHeight="1">
      <c r="A3811" s="95" t="s">
        <v>2881</v>
      </c>
      <c r="B3811" s="96" t="s">
        <v>915</v>
      </c>
    </row>
    <row r="3812" ht="12.75" customHeight="1">
      <c r="A3812" s="95" t="s">
        <v>2881</v>
      </c>
      <c r="B3812" s="96" t="s">
        <v>916</v>
      </c>
    </row>
    <row r="3813" ht="12.75" customHeight="1">
      <c r="A3813" s="95" t="s">
        <v>2881</v>
      </c>
      <c r="B3813" s="96" t="s">
        <v>917</v>
      </c>
    </row>
    <row r="3814" ht="12.75" customHeight="1">
      <c r="A3814" s="95" t="s">
        <v>2881</v>
      </c>
      <c r="B3814" s="96" t="s">
        <v>918</v>
      </c>
    </row>
    <row r="3815" ht="12.75" customHeight="1">
      <c r="A3815" s="95" t="s">
        <v>2881</v>
      </c>
      <c r="B3815" s="96" t="s">
        <v>919</v>
      </c>
    </row>
    <row r="3816" ht="12.75" customHeight="1">
      <c r="A3816" s="95" t="s">
        <v>2881</v>
      </c>
      <c r="B3816" s="96" t="s">
        <v>920</v>
      </c>
    </row>
    <row r="3817" ht="12.75" customHeight="1">
      <c r="A3817" s="95" t="s">
        <v>2881</v>
      </c>
      <c r="B3817" s="96" t="s">
        <v>921</v>
      </c>
    </row>
    <row r="3818" ht="12.75" customHeight="1">
      <c r="A3818" s="95" t="s">
        <v>2881</v>
      </c>
      <c r="B3818" s="96" t="s">
        <v>922</v>
      </c>
    </row>
    <row r="3819" ht="12.75" customHeight="1">
      <c r="A3819" s="95" t="s">
        <v>2881</v>
      </c>
      <c r="B3819" s="96" t="s">
        <v>923</v>
      </c>
    </row>
    <row r="3820" ht="12.75" customHeight="1">
      <c r="A3820" s="95" t="s">
        <v>2881</v>
      </c>
      <c r="B3820" s="96" t="s">
        <v>924</v>
      </c>
    </row>
    <row r="3821" ht="12.75" customHeight="1">
      <c r="A3821" s="95" t="s">
        <v>2881</v>
      </c>
      <c r="B3821" s="96" t="s">
        <v>925</v>
      </c>
    </row>
    <row r="3822" ht="12.75" customHeight="1">
      <c r="A3822" s="95" t="s">
        <v>2881</v>
      </c>
      <c r="B3822" s="96" t="s">
        <v>926</v>
      </c>
    </row>
    <row r="3823" ht="12.75" customHeight="1">
      <c r="A3823" s="95" t="s">
        <v>2881</v>
      </c>
      <c r="B3823" s="96" t="s">
        <v>984</v>
      </c>
    </row>
    <row r="3824" ht="12.75" customHeight="1">
      <c r="A3824" s="95" t="s">
        <v>2881</v>
      </c>
      <c r="B3824" s="96" t="s">
        <v>985</v>
      </c>
    </row>
    <row r="3825" ht="12.75" customHeight="1">
      <c r="A3825" s="95" t="s">
        <v>2881</v>
      </c>
      <c r="B3825" s="96" t="s">
        <v>986</v>
      </c>
    </row>
    <row r="3826" ht="12.75" customHeight="1">
      <c r="A3826" s="95" t="s">
        <v>2881</v>
      </c>
      <c r="B3826" s="96" t="s">
        <v>987</v>
      </c>
    </row>
    <row r="3827" ht="12.75" customHeight="1">
      <c r="A3827" s="95" t="s">
        <v>2881</v>
      </c>
      <c r="B3827" s="96" t="s">
        <v>988</v>
      </c>
    </row>
    <row r="3828" ht="12.75" customHeight="1">
      <c r="A3828" s="95" t="s">
        <v>2881</v>
      </c>
      <c r="B3828" s="96" t="s">
        <v>989</v>
      </c>
    </row>
    <row r="3829" ht="12.75" customHeight="1">
      <c r="A3829" s="95" t="s">
        <v>2881</v>
      </c>
      <c r="B3829" s="96" t="s">
        <v>990</v>
      </c>
    </row>
    <row r="3830" ht="12.75" customHeight="1">
      <c r="A3830" s="95" t="s">
        <v>2881</v>
      </c>
      <c r="B3830" s="96" t="s">
        <v>991</v>
      </c>
    </row>
    <row r="3831" ht="12.75" customHeight="1">
      <c r="A3831" s="95" t="s">
        <v>2881</v>
      </c>
      <c r="B3831" s="96" t="s">
        <v>992</v>
      </c>
    </row>
    <row r="3832" ht="12.75" customHeight="1">
      <c r="A3832" s="95" t="s">
        <v>2881</v>
      </c>
      <c r="B3832" s="96" t="s">
        <v>993</v>
      </c>
    </row>
    <row r="3833" ht="12.75" customHeight="1">
      <c r="A3833" s="95" t="s">
        <v>2881</v>
      </c>
      <c r="B3833" s="96" t="s">
        <v>994</v>
      </c>
    </row>
    <row r="3834" ht="12.75" customHeight="1">
      <c r="A3834" s="95" t="s">
        <v>2881</v>
      </c>
      <c r="B3834" s="96" t="s">
        <v>995</v>
      </c>
    </row>
    <row r="3835" ht="12.75" customHeight="1">
      <c r="A3835" s="95" t="s">
        <v>2881</v>
      </c>
      <c r="B3835" s="96" t="s">
        <v>996</v>
      </c>
    </row>
    <row r="3836" ht="12.75" customHeight="1">
      <c r="A3836" s="95" t="s">
        <v>2881</v>
      </c>
      <c r="B3836" s="96" t="s">
        <v>997</v>
      </c>
    </row>
    <row r="3837" ht="12.75" customHeight="1">
      <c r="A3837" s="95" t="s">
        <v>2881</v>
      </c>
      <c r="B3837" s="96" t="s">
        <v>998</v>
      </c>
    </row>
    <row r="3838" ht="12.75" customHeight="1">
      <c r="A3838" s="95" t="s">
        <v>2881</v>
      </c>
      <c r="B3838" s="96" t="s">
        <v>999</v>
      </c>
    </row>
    <row r="3839" ht="12.75" customHeight="1">
      <c r="A3839" s="95" t="s">
        <v>2881</v>
      </c>
      <c r="B3839" s="96" t="s">
        <v>1000</v>
      </c>
    </row>
    <row r="3840" ht="12.75" customHeight="1">
      <c r="A3840" s="95" t="s">
        <v>2881</v>
      </c>
      <c r="B3840" s="96" t="s">
        <v>1001</v>
      </c>
    </row>
    <row r="3841" ht="12.75" customHeight="1">
      <c r="A3841" s="95" t="s">
        <v>2881</v>
      </c>
      <c r="B3841" s="96" t="s">
        <v>1054</v>
      </c>
    </row>
    <row r="3842" ht="12.75" customHeight="1">
      <c r="A3842" s="95" t="s">
        <v>2881</v>
      </c>
      <c r="B3842" s="96" t="s">
        <v>1055</v>
      </c>
    </row>
    <row r="3843" ht="12.75" customHeight="1">
      <c r="A3843" s="95" t="s">
        <v>2881</v>
      </c>
      <c r="B3843" s="96" t="s">
        <v>1056</v>
      </c>
    </row>
    <row r="3844" ht="12.75" customHeight="1">
      <c r="A3844" s="95" t="s">
        <v>2881</v>
      </c>
      <c r="B3844" s="96" t="s">
        <v>1057</v>
      </c>
    </row>
    <row r="3845" ht="12.75" customHeight="1">
      <c r="A3845" s="95" t="s">
        <v>2881</v>
      </c>
      <c r="B3845" s="96" t="s">
        <v>1058</v>
      </c>
    </row>
    <row r="3846" ht="12.75" customHeight="1">
      <c r="A3846" s="95" t="s">
        <v>2881</v>
      </c>
      <c r="B3846" s="96" t="s">
        <v>1059</v>
      </c>
    </row>
    <row r="3847" ht="12.75" customHeight="1">
      <c r="A3847" s="95" t="s">
        <v>2881</v>
      </c>
      <c r="B3847" s="96" t="s">
        <v>1060</v>
      </c>
    </row>
    <row r="3848" ht="12.75" customHeight="1">
      <c r="A3848" s="95" t="s">
        <v>2881</v>
      </c>
      <c r="B3848" s="96" t="s">
        <v>1061</v>
      </c>
    </row>
    <row r="3849" ht="12.75" customHeight="1">
      <c r="A3849" s="95" t="s">
        <v>2881</v>
      </c>
      <c r="B3849" s="96" t="s">
        <v>1062</v>
      </c>
    </row>
    <row r="3850" ht="12.75" customHeight="1">
      <c r="A3850" s="95" t="s">
        <v>2881</v>
      </c>
      <c r="B3850" s="96" t="s">
        <v>1063</v>
      </c>
    </row>
    <row r="3851" ht="12.75" customHeight="1">
      <c r="A3851" s="95" t="s">
        <v>2881</v>
      </c>
      <c r="B3851" s="96" t="s">
        <v>1064</v>
      </c>
    </row>
    <row r="3852" ht="12.75" customHeight="1">
      <c r="A3852" s="95" t="s">
        <v>2881</v>
      </c>
      <c r="B3852" s="96" t="s">
        <v>1065</v>
      </c>
    </row>
    <row r="3853" ht="12.75" customHeight="1">
      <c r="A3853" s="95" t="s">
        <v>2881</v>
      </c>
      <c r="B3853" s="96" t="s">
        <v>1066</v>
      </c>
    </row>
    <row r="3854" ht="12.75" customHeight="1">
      <c r="A3854" s="95" t="s">
        <v>2881</v>
      </c>
      <c r="B3854" s="96" t="s">
        <v>1067</v>
      </c>
    </row>
    <row r="3855" ht="12.75" customHeight="1">
      <c r="A3855" s="95" t="s">
        <v>2881</v>
      </c>
      <c r="B3855" s="96" t="s">
        <v>1068</v>
      </c>
    </row>
    <row r="3856" ht="12.75" customHeight="1">
      <c r="A3856" s="95" t="s">
        <v>2881</v>
      </c>
      <c r="B3856" s="96" t="s">
        <v>1069</v>
      </c>
    </row>
    <row r="3857" ht="12.75" customHeight="1">
      <c r="A3857" s="95" t="s">
        <v>2881</v>
      </c>
      <c r="B3857" s="96" t="s">
        <v>1070</v>
      </c>
    </row>
    <row r="3858" ht="12.75" customHeight="1">
      <c r="A3858" s="95" t="s">
        <v>2881</v>
      </c>
      <c r="B3858" s="96" t="s">
        <v>1071</v>
      </c>
    </row>
    <row r="3859" ht="12.75" customHeight="1">
      <c r="A3859" s="95" t="s">
        <v>2881</v>
      </c>
      <c r="B3859" s="96" t="s">
        <v>1072</v>
      </c>
    </row>
    <row r="3860" ht="12.75" customHeight="1">
      <c r="A3860" s="95" t="s">
        <v>2881</v>
      </c>
      <c r="B3860" s="96" t="s">
        <v>1073</v>
      </c>
    </row>
    <row r="3861" ht="12.75" customHeight="1">
      <c r="A3861" s="95" t="s">
        <v>2881</v>
      </c>
      <c r="B3861" s="96" t="s">
        <v>1074</v>
      </c>
    </row>
    <row r="3862" ht="12.75" customHeight="1">
      <c r="A3862" s="95" t="s">
        <v>2881</v>
      </c>
      <c r="B3862" s="96" t="s">
        <v>1075</v>
      </c>
    </row>
    <row r="3863" ht="12.75" customHeight="1">
      <c r="A3863" s="95" t="s">
        <v>2881</v>
      </c>
      <c r="B3863" s="96" t="s">
        <v>1076</v>
      </c>
    </row>
    <row r="3864" ht="12.75" customHeight="1">
      <c r="A3864" s="95" t="s">
        <v>2881</v>
      </c>
      <c r="B3864" s="96" t="s">
        <v>1077</v>
      </c>
    </row>
    <row r="3865" ht="12.75" customHeight="1">
      <c r="A3865" s="95" t="s">
        <v>2881</v>
      </c>
      <c r="B3865" s="96" t="s">
        <v>1078</v>
      </c>
    </row>
    <row r="3866" ht="12.75" customHeight="1">
      <c r="A3866" s="95" t="s">
        <v>2881</v>
      </c>
      <c r="B3866" s="96" t="s">
        <v>1079</v>
      </c>
    </row>
    <row r="3867" ht="12.75" customHeight="1">
      <c r="A3867" s="95" t="s">
        <v>2881</v>
      </c>
      <c r="B3867" s="96" t="s">
        <v>1080</v>
      </c>
    </row>
    <row r="3868" ht="12.75" customHeight="1">
      <c r="A3868" s="95" t="s">
        <v>2881</v>
      </c>
      <c r="B3868" s="96" t="s">
        <v>1081</v>
      </c>
    </row>
    <row r="3869" ht="12.75" customHeight="1">
      <c r="A3869" s="95" t="s">
        <v>2881</v>
      </c>
      <c r="B3869" s="96" t="s">
        <v>1082</v>
      </c>
    </row>
    <row r="3870" ht="12.75" customHeight="1">
      <c r="A3870" s="95" t="s">
        <v>2881</v>
      </c>
      <c r="B3870" s="96" t="s">
        <v>1083</v>
      </c>
    </row>
    <row r="3871" ht="12.75" customHeight="1">
      <c r="A3871" s="95" t="s">
        <v>2881</v>
      </c>
      <c r="B3871" s="96" t="s">
        <v>1084</v>
      </c>
    </row>
    <row r="3872" ht="12.75" customHeight="1">
      <c r="A3872" s="95" t="s">
        <v>2881</v>
      </c>
      <c r="B3872" s="96" t="s">
        <v>1085</v>
      </c>
    </row>
    <row r="3873" ht="12.75" customHeight="1">
      <c r="A3873" s="95" t="s">
        <v>2881</v>
      </c>
      <c r="B3873" s="96" t="s">
        <v>1086</v>
      </c>
    </row>
    <row r="3874" ht="12.75" customHeight="1">
      <c r="A3874" s="95" t="s">
        <v>2881</v>
      </c>
      <c r="B3874" s="96" t="s">
        <v>1087</v>
      </c>
    </row>
    <row r="3875" ht="12.75" customHeight="1">
      <c r="A3875" s="95" t="s">
        <v>2881</v>
      </c>
      <c r="B3875" s="96" t="s">
        <v>1088</v>
      </c>
    </row>
    <row r="3876" ht="12.75" customHeight="1">
      <c r="A3876" s="95" t="s">
        <v>2881</v>
      </c>
      <c r="B3876" s="96" t="s">
        <v>1089</v>
      </c>
    </row>
    <row r="3877" ht="12.75" customHeight="1">
      <c r="A3877" s="95" t="s">
        <v>2881</v>
      </c>
      <c r="B3877" s="96" t="s">
        <v>1090</v>
      </c>
    </row>
    <row r="3878" ht="12.75" customHeight="1">
      <c r="A3878" s="95" t="s">
        <v>2881</v>
      </c>
      <c r="B3878" s="96" t="s">
        <v>1091</v>
      </c>
    </row>
    <row r="3879" ht="12.75" customHeight="1">
      <c r="A3879" s="95" t="s">
        <v>2881</v>
      </c>
      <c r="B3879" s="96" t="s">
        <v>1092</v>
      </c>
    </row>
    <row r="3880" ht="12.75" customHeight="1">
      <c r="A3880" s="95" t="s">
        <v>2881</v>
      </c>
      <c r="B3880" s="96" t="s">
        <v>1093</v>
      </c>
    </row>
    <row r="3881" ht="12.75" customHeight="1">
      <c r="A3881" s="95" t="s">
        <v>2881</v>
      </c>
      <c r="B3881" s="96" t="s">
        <v>1094</v>
      </c>
    </row>
    <row r="3882" ht="12.75" customHeight="1">
      <c r="A3882" s="95" t="s">
        <v>2881</v>
      </c>
      <c r="B3882" s="96" t="s">
        <v>1095</v>
      </c>
    </row>
    <row r="3883" ht="12.75" customHeight="1">
      <c r="A3883" s="95" t="s">
        <v>2882</v>
      </c>
      <c r="B3883" s="96">
        <v>0.0</v>
      </c>
    </row>
    <row r="3884" ht="12.75" customHeight="1">
      <c r="A3884" s="95" t="s">
        <v>2882</v>
      </c>
      <c r="B3884" s="96">
        <v>0.0</v>
      </c>
    </row>
    <row r="3885" ht="12.75" customHeight="1">
      <c r="A3885" s="95" t="s">
        <v>2882</v>
      </c>
      <c r="B3885" s="96">
        <v>2.0</v>
      </c>
    </row>
    <row r="3886" ht="12.75" customHeight="1">
      <c r="A3886" s="95" t="s">
        <v>2882</v>
      </c>
      <c r="B3886" s="96">
        <v>4.0</v>
      </c>
    </row>
    <row r="3887" ht="12.75" customHeight="1">
      <c r="A3887" s="95" t="s">
        <v>2882</v>
      </c>
      <c r="B3887" s="96">
        <v>6.0</v>
      </c>
    </row>
    <row r="3888" ht="12.75" customHeight="1">
      <c r="A3888" s="95" t="s">
        <v>2882</v>
      </c>
      <c r="B3888" s="96">
        <v>8.0</v>
      </c>
    </row>
    <row r="3889" ht="12.75" customHeight="1">
      <c r="A3889" s="95" t="s">
        <v>2882</v>
      </c>
      <c r="B3889" s="96">
        <v>10.0</v>
      </c>
    </row>
    <row r="3890" ht="12.75" customHeight="1">
      <c r="A3890" s="95" t="s">
        <v>2882</v>
      </c>
      <c r="B3890" s="96">
        <v>12.0</v>
      </c>
    </row>
    <row r="3891" ht="12.75" customHeight="1">
      <c r="A3891" s="95" t="s">
        <v>2882</v>
      </c>
      <c r="B3891" s="96" t="s">
        <v>803</v>
      </c>
    </row>
    <row r="3892" ht="12.75" customHeight="1">
      <c r="A3892" s="95" t="s">
        <v>2882</v>
      </c>
      <c r="B3892" s="96" t="s">
        <v>804</v>
      </c>
    </row>
    <row r="3893" ht="12.75" customHeight="1">
      <c r="A3893" s="95" t="s">
        <v>2882</v>
      </c>
      <c r="B3893" s="96" t="s">
        <v>76</v>
      </c>
    </row>
    <row r="3894" ht="12.75" customHeight="1">
      <c r="A3894" s="95" t="s">
        <v>2882</v>
      </c>
      <c r="B3894" s="96" t="s">
        <v>80</v>
      </c>
    </row>
    <row r="3895" ht="12.75" customHeight="1">
      <c r="A3895" s="95" t="s">
        <v>2882</v>
      </c>
      <c r="B3895" s="96" t="s">
        <v>83</v>
      </c>
    </row>
    <row r="3896" ht="12.75" customHeight="1">
      <c r="A3896" s="95" t="s">
        <v>2882</v>
      </c>
      <c r="B3896" s="96" t="s">
        <v>85</v>
      </c>
    </row>
    <row r="3897" ht="12.75" customHeight="1">
      <c r="A3897" s="95" t="s">
        <v>2882</v>
      </c>
      <c r="B3897" s="96">
        <v>14.0</v>
      </c>
    </row>
    <row r="3898" ht="12.75" customHeight="1">
      <c r="A3898" s="95" t="s">
        <v>2882</v>
      </c>
      <c r="B3898" s="96" t="s">
        <v>835</v>
      </c>
    </row>
    <row r="3899" ht="12.75" customHeight="1">
      <c r="A3899" s="95" t="s">
        <v>2882</v>
      </c>
      <c r="B3899" s="96">
        <v>16.0</v>
      </c>
    </row>
    <row r="3900" ht="12.75" customHeight="1">
      <c r="A3900" s="95" t="s">
        <v>2882</v>
      </c>
      <c r="B3900" s="96" t="s">
        <v>836</v>
      </c>
    </row>
    <row r="3901" ht="12.75" customHeight="1">
      <c r="A3901" s="95" t="s">
        <v>2882</v>
      </c>
      <c r="B3901" s="96">
        <v>18.0</v>
      </c>
    </row>
    <row r="3902" ht="12.75" customHeight="1">
      <c r="A3902" s="95" t="s">
        <v>2882</v>
      </c>
      <c r="B3902" s="96" t="s">
        <v>837</v>
      </c>
    </row>
    <row r="3903" ht="12.75" customHeight="1">
      <c r="A3903" s="95" t="s">
        <v>2882</v>
      </c>
      <c r="B3903" s="96">
        <v>20.0</v>
      </c>
    </row>
    <row r="3904" ht="12.75" customHeight="1">
      <c r="A3904" s="95" t="s">
        <v>2882</v>
      </c>
      <c r="B3904" s="96" t="s">
        <v>838</v>
      </c>
    </row>
    <row r="3905" ht="12.75" customHeight="1">
      <c r="A3905" s="95" t="s">
        <v>2882</v>
      </c>
      <c r="B3905" s="96">
        <v>22.0</v>
      </c>
    </row>
    <row r="3906" ht="12.75" customHeight="1">
      <c r="A3906" s="95" t="s">
        <v>2882</v>
      </c>
      <c r="B3906" s="96" t="s">
        <v>839</v>
      </c>
    </row>
    <row r="3907" ht="12.75" customHeight="1">
      <c r="A3907" s="95" t="s">
        <v>2882</v>
      </c>
      <c r="B3907" s="96">
        <v>24.0</v>
      </c>
    </row>
    <row r="3908" ht="12.75" customHeight="1">
      <c r="A3908" s="95" t="s">
        <v>2882</v>
      </c>
      <c r="B3908" s="96" t="s">
        <v>840</v>
      </c>
    </row>
    <row r="3909" ht="12.75" customHeight="1">
      <c r="A3909" s="95" t="s">
        <v>2882</v>
      </c>
      <c r="B3909" s="96">
        <v>26.0</v>
      </c>
    </row>
    <row r="3910" ht="12.75" customHeight="1">
      <c r="A3910" s="95" t="s">
        <v>2882</v>
      </c>
      <c r="B3910" s="96" t="s">
        <v>841</v>
      </c>
    </row>
    <row r="3911" ht="12.75" customHeight="1">
      <c r="A3911" s="95" t="s">
        <v>2882</v>
      </c>
      <c r="B3911" s="96">
        <v>28.0</v>
      </c>
    </row>
    <row r="3912" ht="12.75" customHeight="1">
      <c r="A3912" s="95" t="s">
        <v>2882</v>
      </c>
      <c r="B3912" s="96" t="s">
        <v>842</v>
      </c>
    </row>
    <row r="3913" ht="12.75" customHeight="1">
      <c r="A3913" s="95" t="s">
        <v>2882</v>
      </c>
      <c r="B3913" s="96">
        <v>30.0</v>
      </c>
    </row>
    <row r="3914" ht="12.75" customHeight="1">
      <c r="A3914" s="95" t="s">
        <v>2882</v>
      </c>
      <c r="B3914" s="96" t="s">
        <v>843</v>
      </c>
    </row>
    <row r="3915" ht="12.75" customHeight="1">
      <c r="A3915" s="95" t="s">
        <v>2882</v>
      </c>
      <c r="B3915" s="96">
        <v>32.0</v>
      </c>
    </row>
    <row r="3916" ht="12.75" customHeight="1">
      <c r="A3916" s="95" t="s">
        <v>2882</v>
      </c>
      <c r="B3916" s="96" t="s">
        <v>844</v>
      </c>
    </row>
    <row r="3917" ht="12.75" customHeight="1">
      <c r="A3917" s="95" t="s">
        <v>2882</v>
      </c>
      <c r="B3917" s="96" t="s">
        <v>845</v>
      </c>
    </row>
    <row r="3918" ht="12.75" customHeight="1">
      <c r="A3918" s="95" t="s">
        <v>2882</v>
      </c>
      <c r="B3918" s="96" t="s">
        <v>846</v>
      </c>
    </row>
    <row r="3919" ht="12.75" customHeight="1">
      <c r="A3919" s="95" t="s">
        <v>2882</v>
      </c>
      <c r="B3919" s="96" t="s">
        <v>847</v>
      </c>
    </row>
    <row r="3920" ht="12.75" customHeight="1">
      <c r="A3920" s="95" t="s">
        <v>2882</v>
      </c>
      <c r="B3920" s="96" t="s">
        <v>848</v>
      </c>
    </row>
    <row r="3921" ht="12.75" customHeight="1">
      <c r="A3921" s="95" t="s">
        <v>2882</v>
      </c>
      <c r="B3921" s="96" t="s">
        <v>849</v>
      </c>
    </row>
    <row r="3922" ht="12.75" customHeight="1">
      <c r="A3922" s="95" t="s">
        <v>2882</v>
      </c>
      <c r="B3922" s="96" t="s">
        <v>850</v>
      </c>
    </row>
    <row r="3923" ht="12.75" customHeight="1">
      <c r="A3923" s="95" t="s">
        <v>2882</v>
      </c>
      <c r="B3923" s="96" t="s">
        <v>851</v>
      </c>
    </row>
    <row r="3924" ht="12.75" customHeight="1">
      <c r="A3924" s="95" t="s">
        <v>2882</v>
      </c>
      <c r="B3924" s="96" t="s">
        <v>852</v>
      </c>
    </row>
    <row r="3925" ht="12.75" customHeight="1">
      <c r="A3925" s="95" t="s">
        <v>2882</v>
      </c>
      <c r="B3925" s="96" t="s">
        <v>908</v>
      </c>
    </row>
    <row r="3926" ht="12.75" customHeight="1">
      <c r="A3926" s="95" t="s">
        <v>2882</v>
      </c>
      <c r="B3926" s="96" t="s">
        <v>909</v>
      </c>
    </row>
    <row r="3927" ht="12.75" customHeight="1">
      <c r="A3927" s="95" t="s">
        <v>2882</v>
      </c>
      <c r="B3927" s="96" t="s">
        <v>910</v>
      </c>
    </row>
    <row r="3928" ht="12.75" customHeight="1">
      <c r="A3928" s="95" t="s">
        <v>2882</v>
      </c>
      <c r="B3928" s="96" t="s">
        <v>911</v>
      </c>
    </row>
    <row r="3929" ht="12.75" customHeight="1">
      <c r="A3929" s="95" t="s">
        <v>2882</v>
      </c>
      <c r="B3929" s="96" t="s">
        <v>912</v>
      </c>
    </row>
    <row r="3930" ht="12.75" customHeight="1">
      <c r="A3930" s="95" t="s">
        <v>2882</v>
      </c>
      <c r="B3930" s="96" t="s">
        <v>913</v>
      </c>
    </row>
    <row r="3931" ht="12.75" customHeight="1">
      <c r="A3931" s="95" t="s">
        <v>2882</v>
      </c>
      <c r="B3931" s="96" t="s">
        <v>914</v>
      </c>
    </row>
    <row r="3932" ht="12.75" customHeight="1">
      <c r="A3932" s="95" t="s">
        <v>2882</v>
      </c>
      <c r="B3932" s="96" t="s">
        <v>915</v>
      </c>
    </row>
    <row r="3933" ht="12.75" customHeight="1">
      <c r="A3933" s="95" t="s">
        <v>2882</v>
      </c>
      <c r="B3933" s="96" t="s">
        <v>916</v>
      </c>
    </row>
    <row r="3934" ht="12.75" customHeight="1">
      <c r="A3934" s="95" t="s">
        <v>2882</v>
      </c>
      <c r="B3934" s="96" t="s">
        <v>917</v>
      </c>
    </row>
    <row r="3935" ht="12.75" customHeight="1">
      <c r="A3935" s="95" t="s">
        <v>2882</v>
      </c>
      <c r="B3935" s="96" t="s">
        <v>918</v>
      </c>
    </row>
    <row r="3936" ht="12.75" customHeight="1">
      <c r="A3936" s="95" t="s">
        <v>2882</v>
      </c>
      <c r="B3936" s="96" t="s">
        <v>919</v>
      </c>
    </row>
    <row r="3937" ht="12.75" customHeight="1">
      <c r="A3937" s="95" t="s">
        <v>2882</v>
      </c>
      <c r="B3937" s="96" t="s">
        <v>920</v>
      </c>
    </row>
    <row r="3938" ht="12.75" customHeight="1">
      <c r="A3938" s="95" t="s">
        <v>2882</v>
      </c>
      <c r="B3938" s="96" t="s">
        <v>921</v>
      </c>
    </row>
    <row r="3939" ht="12.75" customHeight="1">
      <c r="A3939" s="95" t="s">
        <v>2882</v>
      </c>
      <c r="B3939" s="96" t="s">
        <v>922</v>
      </c>
    </row>
    <row r="3940" ht="12.75" customHeight="1">
      <c r="A3940" s="95" t="s">
        <v>2882</v>
      </c>
      <c r="B3940" s="96" t="s">
        <v>923</v>
      </c>
    </row>
    <row r="3941" ht="12.75" customHeight="1">
      <c r="A3941" s="95" t="s">
        <v>2882</v>
      </c>
      <c r="B3941" s="96" t="s">
        <v>924</v>
      </c>
    </row>
    <row r="3942" ht="12.75" customHeight="1">
      <c r="A3942" s="95" t="s">
        <v>2882</v>
      </c>
      <c r="B3942" s="96" t="s">
        <v>925</v>
      </c>
    </row>
    <row r="3943" ht="12.75" customHeight="1">
      <c r="A3943" s="95" t="s">
        <v>2882</v>
      </c>
      <c r="B3943" s="96" t="s">
        <v>926</v>
      </c>
    </row>
    <row r="3944" ht="12.75" customHeight="1">
      <c r="A3944" s="95" t="s">
        <v>2882</v>
      </c>
      <c r="B3944" s="96" t="s">
        <v>984</v>
      </c>
    </row>
    <row r="3945" ht="12.75" customHeight="1">
      <c r="A3945" s="95" t="s">
        <v>2882</v>
      </c>
      <c r="B3945" s="96" t="s">
        <v>985</v>
      </c>
    </row>
    <row r="3946" ht="12.75" customHeight="1">
      <c r="A3946" s="95" t="s">
        <v>2882</v>
      </c>
      <c r="B3946" s="96" t="s">
        <v>986</v>
      </c>
    </row>
    <row r="3947" ht="12.75" customHeight="1">
      <c r="A3947" s="95" t="s">
        <v>2882</v>
      </c>
      <c r="B3947" s="96" t="s">
        <v>987</v>
      </c>
    </row>
    <row r="3948" ht="12.75" customHeight="1">
      <c r="A3948" s="95" t="s">
        <v>2882</v>
      </c>
      <c r="B3948" s="96" t="s">
        <v>988</v>
      </c>
    </row>
    <row r="3949" ht="12.75" customHeight="1">
      <c r="A3949" s="95" t="s">
        <v>2882</v>
      </c>
      <c r="B3949" s="96" t="s">
        <v>989</v>
      </c>
    </row>
    <row r="3950" ht="12.75" customHeight="1">
      <c r="A3950" s="95" t="s">
        <v>2882</v>
      </c>
      <c r="B3950" s="96" t="s">
        <v>990</v>
      </c>
    </row>
    <row r="3951" ht="12.75" customHeight="1">
      <c r="A3951" s="95" t="s">
        <v>2882</v>
      </c>
      <c r="B3951" s="96" t="s">
        <v>991</v>
      </c>
    </row>
    <row r="3952" ht="12.75" customHeight="1">
      <c r="A3952" s="95" t="s">
        <v>2882</v>
      </c>
      <c r="B3952" s="96" t="s">
        <v>992</v>
      </c>
    </row>
    <row r="3953" ht="12.75" customHeight="1">
      <c r="A3953" s="95" t="s">
        <v>2882</v>
      </c>
      <c r="B3953" s="96" t="s">
        <v>993</v>
      </c>
    </row>
    <row r="3954" ht="12.75" customHeight="1">
      <c r="A3954" s="95" t="s">
        <v>2882</v>
      </c>
      <c r="B3954" s="96" t="s">
        <v>994</v>
      </c>
    </row>
    <row r="3955" ht="12.75" customHeight="1">
      <c r="A3955" s="95" t="s">
        <v>2882</v>
      </c>
      <c r="B3955" s="96" t="s">
        <v>995</v>
      </c>
    </row>
    <row r="3956" ht="12.75" customHeight="1">
      <c r="A3956" s="95" t="s">
        <v>2882</v>
      </c>
      <c r="B3956" s="96" t="s">
        <v>996</v>
      </c>
    </row>
    <row r="3957" ht="12.75" customHeight="1">
      <c r="A3957" s="95" t="s">
        <v>2882</v>
      </c>
      <c r="B3957" s="96" t="s">
        <v>997</v>
      </c>
    </row>
    <row r="3958" ht="12.75" customHeight="1">
      <c r="A3958" s="95" t="s">
        <v>2882</v>
      </c>
      <c r="B3958" s="96" t="s">
        <v>998</v>
      </c>
    </row>
    <row r="3959" ht="12.75" customHeight="1">
      <c r="A3959" s="95" t="s">
        <v>2882</v>
      </c>
      <c r="B3959" s="96" t="s">
        <v>999</v>
      </c>
    </row>
    <row r="3960" ht="12.75" customHeight="1">
      <c r="A3960" s="95" t="s">
        <v>2882</v>
      </c>
      <c r="B3960" s="96" t="s">
        <v>1000</v>
      </c>
    </row>
    <row r="3961" ht="12.75" customHeight="1">
      <c r="A3961" s="95" t="s">
        <v>2882</v>
      </c>
      <c r="B3961" s="96" t="s">
        <v>1001</v>
      </c>
    </row>
    <row r="3962" ht="12.75" customHeight="1">
      <c r="A3962" s="95" t="s">
        <v>2882</v>
      </c>
      <c r="B3962" s="96" t="s">
        <v>1054</v>
      </c>
    </row>
    <row r="3963" ht="12.75" customHeight="1">
      <c r="A3963" s="95" t="s">
        <v>2882</v>
      </c>
      <c r="B3963" s="96" t="s">
        <v>1055</v>
      </c>
    </row>
    <row r="3964" ht="12.75" customHeight="1">
      <c r="A3964" s="95" t="s">
        <v>2882</v>
      </c>
      <c r="B3964" s="96" t="s">
        <v>1056</v>
      </c>
    </row>
    <row r="3965" ht="12.75" customHeight="1">
      <c r="A3965" s="95" t="s">
        <v>2882</v>
      </c>
      <c r="B3965" s="96" t="s">
        <v>1057</v>
      </c>
    </row>
    <row r="3966" ht="12.75" customHeight="1">
      <c r="A3966" s="95" t="s">
        <v>2882</v>
      </c>
      <c r="B3966" s="96" t="s">
        <v>1058</v>
      </c>
    </row>
    <row r="3967" ht="12.75" customHeight="1">
      <c r="A3967" s="95" t="s">
        <v>2882</v>
      </c>
      <c r="B3967" s="96" t="s">
        <v>1059</v>
      </c>
    </row>
    <row r="3968" ht="12.75" customHeight="1">
      <c r="A3968" s="95" t="s">
        <v>2882</v>
      </c>
      <c r="B3968" s="96" t="s">
        <v>1060</v>
      </c>
    </row>
    <row r="3969" ht="12.75" customHeight="1">
      <c r="A3969" s="95" t="s">
        <v>2882</v>
      </c>
      <c r="B3969" s="96" t="s">
        <v>1061</v>
      </c>
    </row>
    <row r="3970" ht="12.75" customHeight="1">
      <c r="A3970" s="95" t="s">
        <v>2882</v>
      </c>
      <c r="B3970" s="96" t="s">
        <v>1062</v>
      </c>
    </row>
    <row r="3971" ht="12.75" customHeight="1">
      <c r="A3971" s="95" t="s">
        <v>2882</v>
      </c>
      <c r="B3971" s="96" t="s">
        <v>1063</v>
      </c>
    </row>
    <row r="3972" ht="12.75" customHeight="1">
      <c r="A3972" s="95" t="s">
        <v>2882</v>
      </c>
      <c r="B3972" s="96" t="s">
        <v>1064</v>
      </c>
    </row>
    <row r="3973" ht="12.75" customHeight="1">
      <c r="A3973" s="95" t="s">
        <v>2882</v>
      </c>
      <c r="B3973" s="96" t="s">
        <v>1065</v>
      </c>
    </row>
    <row r="3974" ht="12.75" customHeight="1">
      <c r="A3974" s="95" t="s">
        <v>2882</v>
      </c>
      <c r="B3974" s="96" t="s">
        <v>1066</v>
      </c>
    </row>
    <row r="3975" ht="12.75" customHeight="1">
      <c r="A3975" s="95" t="s">
        <v>2882</v>
      </c>
      <c r="B3975" s="96" t="s">
        <v>1067</v>
      </c>
    </row>
    <row r="3976" ht="12.75" customHeight="1">
      <c r="A3976" s="95" t="s">
        <v>2882</v>
      </c>
      <c r="B3976" s="96" t="s">
        <v>1068</v>
      </c>
    </row>
    <row r="3977" ht="12.75" customHeight="1">
      <c r="A3977" s="95" t="s">
        <v>2882</v>
      </c>
      <c r="B3977" s="96" t="s">
        <v>1069</v>
      </c>
    </row>
    <row r="3978" ht="12.75" customHeight="1">
      <c r="A3978" s="95" t="s">
        <v>2882</v>
      </c>
      <c r="B3978" s="96" t="s">
        <v>1070</v>
      </c>
    </row>
    <row r="3979" ht="12.75" customHeight="1">
      <c r="A3979" s="95" t="s">
        <v>2882</v>
      </c>
      <c r="B3979" s="96" t="s">
        <v>1071</v>
      </c>
    </row>
    <row r="3980" ht="12.75" customHeight="1">
      <c r="A3980" s="95" t="s">
        <v>2882</v>
      </c>
      <c r="B3980" s="96" t="s">
        <v>1072</v>
      </c>
    </row>
    <row r="3981" ht="12.75" customHeight="1">
      <c r="A3981" s="95" t="s">
        <v>2882</v>
      </c>
      <c r="B3981" s="96" t="s">
        <v>1073</v>
      </c>
    </row>
    <row r="3982" ht="12.75" customHeight="1">
      <c r="A3982" s="95" t="s">
        <v>2882</v>
      </c>
      <c r="B3982" s="96" t="s">
        <v>1074</v>
      </c>
    </row>
    <row r="3983" ht="12.75" customHeight="1">
      <c r="A3983" s="95" t="s">
        <v>2882</v>
      </c>
      <c r="B3983" s="96" t="s">
        <v>1075</v>
      </c>
    </row>
    <row r="3984" ht="12.75" customHeight="1">
      <c r="A3984" s="95" t="s">
        <v>2882</v>
      </c>
      <c r="B3984" s="96" t="s">
        <v>1076</v>
      </c>
    </row>
    <row r="3985" ht="12.75" customHeight="1">
      <c r="A3985" s="95" t="s">
        <v>2882</v>
      </c>
      <c r="B3985" s="96" t="s">
        <v>1077</v>
      </c>
    </row>
    <row r="3986" ht="12.75" customHeight="1">
      <c r="A3986" s="95" t="s">
        <v>2882</v>
      </c>
      <c r="B3986" s="96" t="s">
        <v>1078</v>
      </c>
    </row>
    <row r="3987" ht="12.75" customHeight="1">
      <c r="A3987" s="95" t="s">
        <v>2882</v>
      </c>
      <c r="B3987" s="96" t="s">
        <v>1079</v>
      </c>
    </row>
    <row r="3988" ht="12.75" customHeight="1">
      <c r="A3988" s="95" t="s">
        <v>2882</v>
      </c>
      <c r="B3988" s="96" t="s">
        <v>1080</v>
      </c>
    </row>
    <row r="3989" ht="12.75" customHeight="1">
      <c r="A3989" s="95" t="s">
        <v>2882</v>
      </c>
      <c r="B3989" s="96" t="s">
        <v>1081</v>
      </c>
    </row>
    <row r="3990" ht="12.75" customHeight="1">
      <c r="A3990" s="95" t="s">
        <v>2882</v>
      </c>
      <c r="B3990" s="96" t="s">
        <v>1082</v>
      </c>
    </row>
    <row r="3991" ht="12.75" customHeight="1">
      <c r="A3991" s="95" t="s">
        <v>2882</v>
      </c>
      <c r="B3991" s="96" t="s">
        <v>1083</v>
      </c>
    </row>
    <row r="3992" ht="12.75" customHeight="1">
      <c r="A3992" s="95" t="s">
        <v>2882</v>
      </c>
      <c r="B3992" s="96" t="s">
        <v>1084</v>
      </c>
    </row>
    <row r="3993" ht="12.75" customHeight="1">
      <c r="A3993" s="95" t="s">
        <v>2882</v>
      </c>
      <c r="B3993" s="96" t="s">
        <v>1085</v>
      </c>
    </row>
    <row r="3994" ht="12.75" customHeight="1">
      <c r="A3994" s="95" t="s">
        <v>2882</v>
      </c>
      <c r="B3994" s="96" t="s">
        <v>1086</v>
      </c>
    </row>
    <row r="3995" ht="12.75" customHeight="1">
      <c r="A3995" s="95" t="s">
        <v>2882</v>
      </c>
      <c r="B3995" s="96" t="s">
        <v>1087</v>
      </c>
    </row>
    <row r="3996" ht="12.75" customHeight="1">
      <c r="A3996" s="95" t="s">
        <v>2882</v>
      </c>
      <c r="B3996" s="96" t="s">
        <v>1088</v>
      </c>
    </row>
    <row r="3997" ht="12.75" customHeight="1">
      <c r="A3997" s="95" t="s">
        <v>2882</v>
      </c>
      <c r="B3997" s="96" t="s">
        <v>1089</v>
      </c>
    </row>
    <row r="3998" ht="12.75" customHeight="1">
      <c r="A3998" s="95" t="s">
        <v>2882</v>
      </c>
      <c r="B3998" s="96" t="s">
        <v>1090</v>
      </c>
    </row>
    <row r="3999" ht="12.75" customHeight="1">
      <c r="A3999" s="95" t="s">
        <v>2882</v>
      </c>
      <c r="B3999" s="96" t="s">
        <v>1091</v>
      </c>
    </row>
    <row r="4000" ht="12.75" customHeight="1">
      <c r="A4000" s="95" t="s">
        <v>2882</v>
      </c>
      <c r="B4000" s="96" t="s">
        <v>1092</v>
      </c>
    </row>
    <row r="4001" ht="12.75" customHeight="1">
      <c r="A4001" s="95" t="s">
        <v>2882</v>
      </c>
      <c r="B4001" s="96" t="s">
        <v>1093</v>
      </c>
    </row>
    <row r="4002" ht="12.75" customHeight="1">
      <c r="A4002" s="95" t="s">
        <v>2882</v>
      </c>
      <c r="B4002" s="96" t="s">
        <v>1094</v>
      </c>
    </row>
    <row r="4003" ht="12.75" customHeight="1">
      <c r="A4003" s="95" t="s">
        <v>2882</v>
      </c>
      <c r="B4003" s="96" t="s">
        <v>1095</v>
      </c>
    </row>
    <row r="4004" ht="12.75" customHeight="1">
      <c r="A4004" s="95" t="s">
        <v>2883</v>
      </c>
      <c r="B4004" s="96">
        <v>0.0</v>
      </c>
    </row>
    <row r="4005" ht="12.75" customHeight="1">
      <c r="A4005" s="95" t="s">
        <v>2883</v>
      </c>
      <c r="B4005" s="96">
        <v>0.0</v>
      </c>
    </row>
    <row r="4006" ht="12.75" customHeight="1">
      <c r="A4006" s="95" t="s">
        <v>2883</v>
      </c>
      <c r="B4006" s="96">
        <v>2.0</v>
      </c>
    </row>
    <row r="4007" ht="12.75" customHeight="1">
      <c r="A4007" s="95" t="s">
        <v>2883</v>
      </c>
      <c r="B4007" s="96">
        <v>4.0</v>
      </c>
    </row>
    <row r="4008" ht="12.75" customHeight="1">
      <c r="A4008" s="95" t="s">
        <v>2883</v>
      </c>
      <c r="B4008" s="96">
        <v>6.0</v>
      </c>
    </row>
    <row r="4009" ht="12.75" customHeight="1">
      <c r="A4009" s="95" t="s">
        <v>2883</v>
      </c>
      <c r="B4009" s="96">
        <v>8.0</v>
      </c>
    </row>
    <row r="4010" ht="12.75" customHeight="1">
      <c r="A4010" s="95" t="s">
        <v>2883</v>
      </c>
      <c r="B4010" s="96">
        <v>10.0</v>
      </c>
    </row>
    <row r="4011" ht="12.75" customHeight="1">
      <c r="A4011" s="95" t="s">
        <v>2883</v>
      </c>
      <c r="B4011" s="96">
        <v>12.0</v>
      </c>
    </row>
    <row r="4012" ht="12.75" customHeight="1">
      <c r="A4012" s="95" t="s">
        <v>2883</v>
      </c>
      <c r="B4012" s="96" t="s">
        <v>803</v>
      </c>
    </row>
    <row r="4013" ht="12.75" customHeight="1">
      <c r="A4013" s="95" t="s">
        <v>2883</v>
      </c>
      <c r="B4013" s="96" t="s">
        <v>804</v>
      </c>
    </row>
    <row r="4014" ht="12.75" customHeight="1">
      <c r="A4014" s="95" t="s">
        <v>2883</v>
      </c>
      <c r="B4014" s="96" t="s">
        <v>76</v>
      </c>
    </row>
    <row r="4015" ht="12.75" customHeight="1">
      <c r="A4015" s="95" t="s">
        <v>2883</v>
      </c>
      <c r="B4015" s="96" t="s">
        <v>80</v>
      </c>
    </row>
    <row r="4016" ht="12.75" customHeight="1">
      <c r="A4016" s="95" t="s">
        <v>2883</v>
      </c>
      <c r="B4016" s="96" t="s">
        <v>83</v>
      </c>
    </row>
    <row r="4017" ht="12.75" customHeight="1">
      <c r="A4017" s="95" t="s">
        <v>2883</v>
      </c>
      <c r="B4017" s="96" t="s">
        <v>85</v>
      </c>
    </row>
    <row r="4018" ht="12.75" customHeight="1">
      <c r="A4018" s="95" t="s">
        <v>2883</v>
      </c>
      <c r="B4018" s="96">
        <v>14.0</v>
      </c>
    </row>
    <row r="4019" ht="12.75" customHeight="1">
      <c r="A4019" s="95" t="s">
        <v>2883</v>
      </c>
      <c r="B4019" s="96" t="s">
        <v>835</v>
      </c>
    </row>
    <row r="4020" ht="12.75" customHeight="1">
      <c r="A4020" s="95" t="s">
        <v>2883</v>
      </c>
      <c r="B4020" s="96">
        <v>16.0</v>
      </c>
    </row>
    <row r="4021" ht="12.75" customHeight="1">
      <c r="A4021" s="95" t="s">
        <v>2883</v>
      </c>
      <c r="B4021" s="96" t="s">
        <v>836</v>
      </c>
    </row>
    <row r="4022" ht="12.75" customHeight="1">
      <c r="A4022" s="95" t="s">
        <v>2883</v>
      </c>
      <c r="B4022" s="96">
        <v>18.0</v>
      </c>
    </row>
    <row r="4023" ht="12.75" customHeight="1">
      <c r="A4023" s="95" t="s">
        <v>2883</v>
      </c>
      <c r="B4023" s="96" t="s">
        <v>837</v>
      </c>
    </row>
    <row r="4024" ht="12.75" customHeight="1">
      <c r="A4024" s="95" t="s">
        <v>2883</v>
      </c>
      <c r="B4024" s="96">
        <v>20.0</v>
      </c>
    </row>
    <row r="4025" ht="12.75" customHeight="1">
      <c r="A4025" s="95" t="s">
        <v>2883</v>
      </c>
      <c r="B4025" s="96" t="s">
        <v>838</v>
      </c>
    </row>
    <row r="4026" ht="12.75" customHeight="1">
      <c r="A4026" s="95" t="s">
        <v>2883</v>
      </c>
      <c r="B4026" s="96">
        <v>22.0</v>
      </c>
    </row>
    <row r="4027" ht="12.75" customHeight="1">
      <c r="A4027" s="95" t="s">
        <v>2883</v>
      </c>
      <c r="B4027" s="96" t="s">
        <v>839</v>
      </c>
    </row>
    <row r="4028" ht="12.75" customHeight="1">
      <c r="A4028" s="95" t="s">
        <v>2883</v>
      </c>
      <c r="B4028" s="96">
        <v>24.0</v>
      </c>
    </row>
    <row r="4029" ht="12.75" customHeight="1">
      <c r="A4029" s="95" t="s">
        <v>2883</v>
      </c>
      <c r="B4029" s="96" t="s">
        <v>840</v>
      </c>
    </row>
    <row r="4030" ht="12.75" customHeight="1">
      <c r="A4030" s="95" t="s">
        <v>2883</v>
      </c>
      <c r="B4030" s="96">
        <v>26.0</v>
      </c>
    </row>
    <row r="4031" ht="12.75" customHeight="1">
      <c r="A4031" s="95" t="s">
        <v>2883</v>
      </c>
      <c r="B4031" s="96" t="s">
        <v>841</v>
      </c>
    </row>
    <row r="4032" ht="12.75" customHeight="1">
      <c r="A4032" s="95" t="s">
        <v>2883</v>
      </c>
      <c r="B4032" s="96">
        <v>28.0</v>
      </c>
    </row>
    <row r="4033" ht="12.75" customHeight="1">
      <c r="A4033" s="95" t="s">
        <v>2883</v>
      </c>
      <c r="B4033" s="96" t="s">
        <v>842</v>
      </c>
    </row>
    <row r="4034" ht="12.75" customHeight="1">
      <c r="A4034" s="95" t="s">
        <v>2883</v>
      </c>
      <c r="B4034" s="96">
        <v>30.0</v>
      </c>
    </row>
    <row r="4035" ht="12.75" customHeight="1">
      <c r="A4035" s="95" t="s">
        <v>2883</v>
      </c>
      <c r="B4035" s="96" t="s">
        <v>843</v>
      </c>
    </row>
    <row r="4036" ht="12.75" customHeight="1">
      <c r="A4036" s="95" t="s">
        <v>2883</v>
      </c>
      <c r="B4036" s="96">
        <v>32.0</v>
      </c>
    </row>
    <row r="4037" ht="12.75" customHeight="1">
      <c r="A4037" s="95" t="s">
        <v>2883</v>
      </c>
      <c r="B4037" s="96" t="s">
        <v>844</v>
      </c>
    </row>
    <row r="4038" ht="12.75" customHeight="1">
      <c r="A4038" s="95" t="s">
        <v>2883</v>
      </c>
      <c r="B4038" s="96" t="s">
        <v>845</v>
      </c>
    </row>
    <row r="4039" ht="12.75" customHeight="1">
      <c r="A4039" s="95" t="s">
        <v>2883</v>
      </c>
      <c r="B4039" s="96" t="s">
        <v>846</v>
      </c>
    </row>
    <row r="4040" ht="12.75" customHeight="1">
      <c r="A4040" s="95" t="s">
        <v>2883</v>
      </c>
      <c r="B4040" s="96" t="s">
        <v>847</v>
      </c>
    </row>
    <row r="4041" ht="12.75" customHeight="1">
      <c r="A4041" s="95" t="s">
        <v>2883</v>
      </c>
      <c r="B4041" s="96" t="s">
        <v>848</v>
      </c>
    </row>
    <row r="4042" ht="12.75" customHeight="1">
      <c r="A4042" s="95" t="s">
        <v>2883</v>
      </c>
      <c r="B4042" s="96" t="s">
        <v>849</v>
      </c>
    </row>
    <row r="4043" ht="12.75" customHeight="1">
      <c r="A4043" s="95" t="s">
        <v>2883</v>
      </c>
      <c r="B4043" s="96" t="s">
        <v>850</v>
      </c>
    </row>
    <row r="4044" ht="12.75" customHeight="1">
      <c r="A4044" s="95" t="s">
        <v>2883</v>
      </c>
      <c r="B4044" s="96" t="s">
        <v>851</v>
      </c>
    </row>
    <row r="4045" ht="12.75" customHeight="1">
      <c r="A4045" s="95" t="s">
        <v>2883</v>
      </c>
      <c r="B4045" s="96" t="s">
        <v>852</v>
      </c>
    </row>
    <row r="4046" ht="12.75" customHeight="1">
      <c r="A4046" s="95" t="s">
        <v>2883</v>
      </c>
      <c r="B4046" s="96" t="s">
        <v>908</v>
      </c>
    </row>
    <row r="4047" ht="12.75" customHeight="1">
      <c r="A4047" s="95" t="s">
        <v>2883</v>
      </c>
      <c r="B4047" s="96" t="s">
        <v>909</v>
      </c>
    </row>
    <row r="4048" ht="12.75" customHeight="1">
      <c r="A4048" s="95" t="s">
        <v>2883</v>
      </c>
      <c r="B4048" s="96" t="s">
        <v>910</v>
      </c>
    </row>
    <row r="4049" ht="12.75" customHeight="1">
      <c r="A4049" s="95" t="s">
        <v>2883</v>
      </c>
      <c r="B4049" s="96" t="s">
        <v>911</v>
      </c>
    </row>
    <row r="4050" ht="12.75" customHeight="1">
      <c r="A4050" s="95" t="s">
        <v>2883</v>
      </c>
      <c r="B4050" s="96" t="s">
        <v>912</v>
      </c>
    </row>
    <row r="4051" ht="12.75" customHeight="1">
      <c r="A4051" s="95" t="s">
        <v>2883</v>
      </c>
      <c r="B4051" s="96" t="s">
        <v>913</v>
      </c>
    </row>
    <row r="4052" ht="12.75" customHeight="1">
      <c r="A4052" s="95" t="s">
        <v>2883</v>
      </c>
      <c r="B4052" s="96" t="s">
        <v>914</v>
      </c>
    </row>
    <row r="4053" ht="12.75" customHeight="1">
      <c r="A4053" s="95" t="s">
        <v>2883</v>
      </c>
      <c r="B4053" s="96" t="s">
        <v>915</v>
      </c>
    </row>
    <row r="4054" ht="12.75" customHeight="1">
      <c r="A4054" s="95" t="s">
        <v>2883</v>
      </c>
      <c r="B4054" s="96" t="s">
        <v>916</v>
      </c>
    </row>
    <row r="4055" ht="12.75" customHeight="1">
      <c r="A4055" s="95" t="s">
        <v>2883</v>
      </c>
      <c r="B4055" s="96" t="s">
        <v>917</v>
      </c>
    </row>
    <row r="4056" ht="12.75" customHeight="1">
      <c r="A4056" s="95" t="s">
        <v>2883</v>
      </c>
      <c r="B4056" s="96" t="s">
        <v>918</v>
      </c>
    </row>
    <row r="4057" ht="12.75" customHeight="1">
      <c r="A4057" s="95" t="s">
        <v>2883</v>
      </c>
      <c r="B4057" s="96" t="s">
        <v>919</v>
      </c>
    </row>
    <row r="4058" ht="12.75" customHeight="1">
      <c r="A4058" s="95" t="s">
        <v>2883</v>
      </c>
      <c r="B4058" s="96" t="s">
        <v>920</v>
      </c>
    </row>
    <row r="4059" ht="12.75" customHeight="1">
      <c r="A4059" s="95" t="s">
        <v>2883</v>
      </c>
      <c r="B4059" s="96" t="s">
        <v>921</v>
      </c>
    </row>
    <row r="4060" ht="12.75" customHeight="1">
      <c r="A4060" s="95" t="s">
        <v>2883</v>
      </c>
      <c r="B4060" s="96" t="s">
        <v>922</v>
      </c>
    </row>
    <row r="4061" ht="12.75" customHeight="1">
      <c r="A4061" s="95" t="s">
        <v>2883</v>
      </c>
      <c r="B4061" s="96" t="s">
        <v>923</v>
      </c>
    </row>
    <row r="4062" ht="12.75" customHeight="1">
      <c r="A4062" s="95" t="s">
        <v>2883</v>
      </c>
      <c r="B4062" s="96" t="s">
        <v>924</v>
      </c>
    </row>
    <row r="4063" ht="12.75" customHeight="1">
      <c r="A4063" s="95" t="s">
        <v>2883</v>
      </c>
      <c r="B4063" s="96" t="s">
        <v>925</v>
      </c>
    </row>
    <row r="4064" ht="12.75" customHeight="1">
      <c r="A4064" s="95" t="s">
        <v>2883</v>
      </c>
      <c r="B4064" s="96" t="s">
        <v>926</v>
      </c>
    </row>
    <row r="4065" ht="12.75" customHeight="1">
      <c r="A4065" s="95" t="s">
        <v>2883</v>
      </c>
      <c r="B4065" s="96" t="s">
        <v>984</v>
      </c>
    </row>
    <row r="4066" ht="12.75" customHeight="1">
      <c r="A4066" s="95" t="s">
        <v>2883</v>
      </c>
      <c r="B4066" s="96" t="s">
        <v>985</v>
      </c>
    </row>
    <row r="4067" ht="12.75" customHeight="1">
      <c r="A4067" s="95" t="s">
        <v>2883</v>
      </c>
      <c r="B4067" s="96" t="s">
        <v>986</v>
      </c>
    </row>
    <row r="4068" ht="12.75" customHeight="1">
      <c r="A4068" s="95" t="s">
        <v>2883</v>
      </c>
      <c r="B4068" s="96" t="s">
        <v>987</v>
      </c>
    </row>
    <row r="4069" ht="12.75" customHeight="1">
      <c r="A4069" s="95" t="s">
        <v>2883</v>
      </c>
      <c r="B4069" s="96" t="s">
        <v>988</v>
      </c>
    </row>
    <row r="4070" ht="12.75" customHeight="1">
      <c r="A4070" s="95" t="s">
        <v>2883</v>
      </c>
      <c r="B4070" s="96" t="s">
        <v>989</v>
      </c>
    </row>
    <row r="4071" ht="12.75" customHeight="1">
      <c r="A4071" s="95" t="s">
        <v>2883</v>
      </c>
      <c r="B4071" s="96" t="s">
        <v>990</v>
      </c>
    </row>
    <row r="4072" ht="12.75" customHeight="1">
      <c r="A4072" s="95" t="s">
        <v>2883</v>
      </c>
      <c r="B4072" s="96" t="s">
        <v>991</v>
      </c>
    </row>
    <row r="4073" ht="12.75" customHeight="1">
      <c r="A4073" s="95" t="s">
        <v>2883</v>
      </c>
      <c r="B4073" s="96" t="s">
        <v>992</v>
      </c>
    </row>
    <row r="4074" ht="12.75" customHeight="1">
      <c r="A4074" s="95" t="s">
        <v>2883</v>
      </c>
      <c r="B4074" s="96" t="s">
        <v>993</v>
      </c>
    </row>
    <row r="4075" ht="12.75" customHeight="1">
      <c r="A4075" s="95" t="s">
        <v>2883</v>
      </c>
      <c r="B4075" s="96" t="s">
        <v>994</v>
      </c>
    </row>
    <row r="4076" ht="12.75" customHeight="1">
      <c r="A4076" s="95" t="s">
        <v>2883</v>
      </c>
      <c r="B4076" s="96" t="s">
        <v>995</v>
      </c>
    </row>
    <row r="4077" ht="12.75" customHeight="1">
      <c r="A4077" s="95" t="s">
        <v>2883</v>
      </c>
      <c r="B4077" s="96" t="s">
        <v>996</v>
      </c>
    </row>
    <row r="4078" ht="12.75" customHeight="1">
      <c r="A4078" s="95" t="s">
        <v>2883</v>
      </c>
      <c r="B4078" s="96" t="s">
        <v>997</v>
      </c>
    </row>
    <row r="4079" ht="12.75" customHeight="1">
      <c r="A4079" s="95" t="s">
        <v>2883</v>
      </c>
      <c r="B4079" s="96" t="s">
        <v>998</v>
      </c>
    </row>
    <row r="4080" ht="12.75" customHeight="1">
      <c r="A4080" s="95" t="s">
        <v>2883</v>
      </c>
      <c r="B4080" s="96" t="s">
        <v>999</v>
      </c>
    </row>
    <row r="4081" ht="12.75" customHeight="1">
      <c r="A4081" s="95" t="s">
        <v>2883</v>
      </c>
      <c r="B4081" s="96" t="s">
        <v>1000</v>
      </c>
    </row>
    <row r="4082" ht="12.75" customHeight="1">
      <c r="A4082" s="95" t="s">
        <v>2883</v>
      </c>
      <c r="B4082" s="96" t="s">
        <v>1001</v>
      </c>
    </row>
    <row r="4083" ht="12.75" customHeight="1">
      <c r="A4083" s="95" t="s">
        <v>2883</v>
      </c>
      <c r="B4083" s="96" t="s">
        <v>1054</v>
      </c>
    </row>
    <row r="4084" ht="12.75" customHeight="1">
      <c r="A4084" s="95" t="s">
        <v>2883</v>
      </c>
      <c r="B4084" s="96" t="s">
        <v>1055</v>
      </c>
    </row>
    <row r="4085" ht="12.75" customHeight="1">
      <c r="A4085" s="95" t="s">
        <v>2883</v>
      </c>
      <c r="B4085" s="96" t="s">
        <v>1056</v>
      </c>
    </row>
    <row r="4086" ht="12.75" customHeight="1">
      <c r="A4086" s="95" t="s">
        <v>2883</v>
      </c>
      <c r="B4086" s="96" t="s">
        <v>1057</v>
      </c>
    </row>
    <row r="4087" ht="12.75" customHeight="1">
      <c r="A4087" s="95" t="s">
        <v>2883</v>
      </c>
      <c r="B4087" s="96" t="s">
        <v>1058</v>
      </c>
    </row>
    <row r="4088" ht="12.75" customHeight="1">
      <c r="A4088" s="95" t="s">
        <v>2883</v>
      </c>
      <c r="B4088" s="96" t="s">
        <v>1059</v>
      </c>
    </row>
    <row r="4089" ht="12.75" customHeight="1">
      <c r="A4089" s="95" t="s">
        <v>2883</v>
      </c>
      <c r="B4089" s="96" t="s">
        <v>1060</v>
      </c>
    </row>
    <row r="4090" ht="12.75" customHeight="1">
      <c r="A4090" s="95" t="s">
        <v>2883</v>
      </c>
      <c r="B4090" s="96" t="s">
        <v>1061</v>
      </c>
    </row>
    <row r="4091" ht="12.75" customHeight="1">
      <c r="A4091" s="95" t="s">
        <v>2883</v>
      </c>
      <c r="B4091" s="96" t="s">
        <v>1062</v>
      </c>
    </row>
    <row r="4092" ht="12.75" customHeight="1">
      <c r="A4092" s="95" t="s">
        <v>2883</v>
      </c>
      <c r="B4092" s="96" t="s">
        <v>1063</v>
      </c>
    </row>
    <row r="4093" ht="12.75" customHeight="1">
      <c r="A4093" s="95" t="s">
        <v>2883</v>
      </c>
      <c r="B4093" s="96" t="s">
        <v>1064</v>
      </c>
    </row>
    <row r="4094" ht="12.75" customHeight="1">
      <c r="A4094" s="95" t="s">
        <v>2883</v>
      </c>
      <c r="B4094" s="96" t="s">
        <v>1065</v>
      </c>
    </row>
    <row r="4095" ht="12.75" customHeight="1">
      <c r="A4095" s="95" t="s">
        <v>2883</v>
      </c>
      <c r="B4095" s="96" t="s">
        <v>1066</v>
      </c>
    </row>
    <row r="4096" ht="12.75" customHeight="1">
      <c r="A4096" s="95" t="s">
        <v>2883</v>
      </c>
      <c r="B4096" s="96" t="s">
        <v>1067</v>
      </c>
    </row>
    <row r="4097" ht="12.75" customHeight="1">
      <c r="A4097" s="95" t="s">
        <v>2883</v>
      </c>
      <c r="B4097" s="96" t="s">
        <v>1068</v>
      </c>
    </row>
    <row r="4098" ht="12.75" customHeight="1">
      <c r="A4098" s="95" t="s">
        <v>2883</v>
      </c>
      <c r="B4098" s="96" t="s">
        <v>1069</v>
      </c>
    </row>
    <row r="4099" ht="12.75" customHeight="1">
      <c r="A4099" s="95" t="s">
        <v>2883</v>
      </c>
      <c r="B4099" s="96" t="s">
        <v>1070</v>
      </c>
    </row>
    <row r="4100" ht="12.75" customHeight="1">
      <c r="A4100" s="95" t="s">
        <v>2883</v>
      </c>
      <c r="B4100" s="96" t="s">
        <v>1071</v>
      </c>
    </row>
    <row r="4101" ht="12.75" customHeight="1">
      <c r="A4101" s="95" t="s">
        <v>2883</v>
      </c>
      <c r="B4101" s="96" t="s">
        <v>1072</v>
      </c>
    </row>
    <row r="4102" ht="12.75" customHeight="1">
      <c r="A4102" s="95" t="s">
        <v>2883</v>
      </c>
      <c r="B4102" s="96" t="s">
        <v>1073</v>
      </c>
    </row>
    <row r="4103" ht="12.75" customHeight="1">
      <c r="A4103" s="95" t="s">
        <v>2883</v>
      </c>
      <c r="B4103" s="96" t="s">
        <v>1074</v>
      </c>
    </row>
    <row r="4104" ht="12.75" customHeight="1">
      <c r="A4104" s="95" t="s">
        <v>2883</v>
      </c>
      <c r="B4104" s="96" t="s">
        <v>1075</v>
      </c>
    </row>
    <row r="4105" ht="12.75" customHeight="1">
      <c r="A4105" s="95" t="s">
        <v>2883</v>
      </c>
      <c r="B4105" s="96" t="s">
        <v>1076</v>
      </c>
    </row>
    <row r="4106" ht="12.75" customHeight="1">
      <c r="A4106" s="95" t="s">
        <v>2883</v>
      </c>
      <c r="B4106" s="96" t="s">
        <v>1077</v>
      </c>
    </row>
    <row r="4107" ht="12.75" customHeight="1">
      <c r="A4107" s="95" t="s">
        <v>2883</v>
      </c>
      <c r="B4107" s="96" t="s">
        <v>1078</v>
      </c>
    </row>
    <row r="4108" ht="12.75" customHeight="1">
      <c r="A4108" s="95" t="s">
        <v>2883</v>
      </c>
      <c r="B4108" s="96" t="s">
        <v>1079</v>
      </c>
    </row>
    <row r="4109" ht="12.75" customHeight="1">
      <c r="A4109" s="95" t="s">
        <v>2883</v>
      </c>
      <c r="B4109" s="96" t="s">
        <v>1080</v>
      </c>
    </row>
    <row r="4110" ht="12.75" customHeight="1">
      <c r="A4110" s="95" t="s">
        <v>2883</v>
      </c>
      <c r="B4110" s="96" t="s">
        <v>1081</v>
      </c>
    </row>
    <row r="4111" ht="12.75" customHeight="1">
      <c r="A4111" s="95" t="s">
        <v>2883</v>
      </c>
      <c r="B4111" s="96" t="s">
        <v>1082</v>
      </c>
    </row>
    <row r="4112" ht="12.75" customHeight="1">
      <c r="A4112" s="95" t="s">
        <v>2883</v>
      </c>
      <c r="B4112" s="96" t="s">
        <v>1083</v>
      </c>
    </row>
    <row r="4113" ht="12.75" customHeight="1">
      <c r="A4113" s="95" t="s">
        <v>2883</v>
      </c>
      <c r="B4113" s="96" t="s">
        <v>1084</v>
      </c>
    </row>
    <row r="4114" ht="12.75" customHeight="1">
      <c r="A4114" s="95" t="s">
        <v>2883</v>
      </c>
      <c r="B4114" s="96" t="s">
        <v>1085</v>
      </c>
    </row>
    <row r="4115" ht="12.75" customHeight="1">
      <c r="A4115" s="95" t="s">
        <v>2883</v>
      </c>
      <c r="B4115" s="96" t="s">
        <v>1086</v>
      </c>
    </row>
    <row r="4116" ht="12.75" customHeight="1">
      <c r="A4116" s="95" t="s">
        <v>2883</v>
      </c>
      <c r="B4116" s="96" t="s">
        <v>1087</v>
      </c>
    </row>
    <row r="4117" ht="12.75" customHeight="1">
      <c r="A4117" s="95" t="s">
        <v>2883</v>
      </c>
      <c r="B4117" s="96" t="s">
        <v>1088</v>
      </c>
    </row>
    <row r="4118" ht="12.75" customHeight="1">
      <c r="A4118" s="95" t="s">
        <v>2883</v>
      </c>
      <c r="B4118" s="96" t="s">
        <v>1089</v>
      </c>
    </row>
    <row r="4119" ht="12.75" customHeight="1">
      <c r="A4119" s="95" t="s">
        <v>2883</v>
      </c>
      <c r="B4119" s="96" t="s">
        <v>1090</v>
      </c>
    </row>
    <row r="4120" ht="12.75" customHeight="1">
      <c r="A4120" s="95" t="s">
        <v>2883</v>
      </c>
      <c r="B4120" s="96" t="s">
        <v>1091</v>
      </c>
    </row>
    <row r="4121" ht="12.75" customHeight="1">
      <c r="A4121" s="95" t="s">
        <v>2883</v>
      </c>
      <c r="B4121" s="96" t="s">
        <v>1092</v>
      </c>
    </row>
    <row r="4122" ht="12.75" customHeight="1">
      <c r="A4122" s="95" t="s">
        <v>2883</v>
      </c>
      <c r="B4122" s="96" t="s">
        <v>1093</v>
      </c>
    </row>
    <row r="4123" ht="12.75" customHeight="1">
      <c r="A4123" s="95" t="s">
        <v>2883</v>
      </c>
      <c r="B4123" s="96" t="s">
        <v>1094</v>
      </c>
    </row>
    <row r="4124" ht="12.75" customHeight="1">
      <c r="A4124" s="95" t="s">
        <v>2883</v>
      </c>
      <c r="B4124" s="96" t="s">
        <v>1095</v>
      </c>
    </row>
    <row r="4125" ht="12.75" customHeight="1">
      <c r="A4125" s="95" t="s">
        <v>2884</v>
      </c>
      <c r="B4125" s="96">
        <v>0.0</v>
      </c>
    </row>
    <row r="4126" ht="12.75" customHeight="1">
      <c r="A4126" s="95" t="s">
        <v>2884</v>
      </c>
      <c r="B4126" s="96">
        <v>0.0</v>
      </c>
    </row>
    <row r="4127" ht="12.75" customHeight="1">
      <c r="A4127" s="95" t="s">
        <v>2884</v>
      </c>
      <c r="B4127" s="96">
        <v>2.0</v>
      </c>
    </row>
    <row r="4128" ht="12.75" customHeight="1">
      <c r="A4128" s="95" t="s">
        <v>2884</v>
      </c>
      <c r="B4128" s="96">
        <v>4.0</v>
      </c>
    </row>
    <row r="4129" ht="12.75" customHeight="1">
      <c r="A4129" s="95" t="s">
        <v>2884</v>
      </c>
      <c r="B4129" s="96">
        <v>6.0</v>
      </c>
    </row>
    <row r="4130" ht="12.75" customHeight="1">
      <c r="A4130" s="95" t="s">
        <v>2884</v>
      </c>
      <c r="B4130" s="96">
        <v>8.0</v>
      </c>
    </row>
    <row r="4131" ht="12.75" customHeight="1">
      <c r="A4131" s="95" t="s">
        <v>2884</v>
      </c>
      <c r="B4131" s="96">
        <v>10.0</v>
      </c>
    </row>
    <row r="4132" ht="12.75" customHeight="1">
      <c r="A4132" s="95" t="s">
        <v>2884</v>
      </c>
      <c r="B4132" s="96">
        <v>12.0</v>
      </c>
    </row>
    <row r="4133" ht="12.75" customHeight="1">
      <c r="A4133" s="95" t="s">
        <v>2884</v>
      </c>
      <c r="B4133" s="96" t="s">
        <v>803</v>
      </c>
    </row>
    <row r="4134" ht="12.75" customHeight="1">
      <c r="A4134" s="95" t="s">
        <v>2884</v>
      </c>
      <c r="B4134" s="96" t="s">
        <v>804</v>
      </c>
    </row>
    <row r="4135" ht="12.75" customHeight="1">
      <c r="A4135" s="95" t="s">
        <v>2884</v>
      </c>
      <c r="B4135" s="96" t="s">
        <v>76</v>
      </c>
    </row>
    <row r="4136" ht="12.75" customHeight="1">
      <c r="A4136" s="95" t="s">
        <v>2884</v>
      </c>
      <c r="B4136" s="96" t="s">
        <v>80</v>
      </c>
    </row>
    <row r="4137" ht="12.75" customHeight="1">
      <c r="A4137" s="95" t="s">
        <v>2884</v>
      </c>
      <c r="B4137" s="96" t="s">
        <v>83</v>
      </c>
    </row>
    <row r="4138" ht="12.75" customHeight="1">
      <c r="A4138" s="95" t="s">
        <v>2884</v>
      </c>
      <c r="B4138" s="96" t="s">
        <v>85</v>
      </c>
    </row>
    <row r="4139" ht="12.75" customHeight="1">
      <c r="A4139" s="95" t="s">
        <v>2884</v>
      </c>
      <c r="B4139" s="96">
        <v>14.0</v>
      </c>
    </row>
    <row r="4140" ht="12.75" customHeight="1">
      <c r="A4140" s="95" t="s">
        <v>2884</v>
      </c>
      <c r="B4140" s="96" t="s">
        <v>835</v>
      </c>
    </row>
    <row r="4141" ht="12.75" customHeight="1">
      <c r="A4141" s="95" t="s">
        <v>2884</v>
      </c>
      <c r="B4141" s="96">
        <v>16.0</v>
      </c>
    </row>
    <row r="4142" ht="12.75" customHeight="1">
      <c r="A4142" s="95" t="s">
        <v>2884</v>
      </c>
      <c r="B4142" s="96" t="s">
        <v>836</v>
      </c>
    </row>
    <row r="4143" ht="12.75" customHeight="1">
      <c r="A4143" s="95" t="s">
        <v>2884</v>
      </c>
      <c r="B4143" s="96">
        <v>18.0</v>
      </c>
    </row>
    <row r="4144" ht="12.75" customHeight="1">
      <c r="A4144" s="95" t="s">
        <v>2884</v>
      </c>
      <c r="B4144" s="96" t="s">
        <v>837</v>
      </c>
    </row>
    <row r="4145" ht="12.75" customHeight="1">
      <c r="A4145" s="95" t="s">
        <v>2884</v>
      </c>
      <c r="B4145" s="96">
        <v>20.0</v>
      </c>
    </row>
    <row r="4146" ht="12.75" customHeight="1">
      <c r="A4146" s="95" t="s">
        <v>2884</v>
      </c>
      <c r="B4146" s="96" t="s">
        <v>838</v>
      </c>
    </row>
    <row r="4147" ht="12.75" customHeight="1">
      <c r="A4147" s="95" t="s">
        <v>2884</v>
      </c>
      <c r="B4147" s="96">
        <v>22.0</v>
      </c>
    </row>
    <row r="4148" ht="12.75" customHeight="1">
      <c r="A4148" s="95" t="s">
        <v>2884</v>
      </c>
      <c r="B4148" s="96" t="s">
        <v>839</v>
      </c>
    </row>
    <row r="4149" ht="12.75" customHeight="1">
      <c r="A4149" s="95" t="s">
        <v>2884</v>
      </c>
      <c r="B4149" s="96">
        <v>24.0</v>
      </c>
    </row>
    <row r="4150" ht="12.75" customHeight="1">
      <c r="A4150" s="95" t="s">
        <v>2884</v>
      </c>
      <c r="B4150" s="96" t="s">
        <v>840</v>
      </c>
    </row>
    <row r="4151" ht="12.75" customHeight="1">
      <c r="A4151" s="95" t="s">
        <v>2884</v>
      </c>
      <c r="B4151" s="96">
        <v>26.0</v>
      </c>
    </row>
    <row r="4152" ht="12.75" customHeight="1">
      <c r="A4152" s="95" t="s">
        <v>2884</v>
      </c>
      <c r="B4152" s="96" t="s">
        <v>841</v>
      </c>
    </row>
    <row r="4153" ht="12.75" customHeight="1">
      <c r="A4153" s="95" t="s">
        <v>2884</v>
      </c>
      <c r="B4153" s="96">
        <v>28.0</v>
      </c>
    </row>
    <row r="4154" ht="12.75" customHeight="1">
      <c r="A4154" s="95" t="s">
        <v>2884</v>
      </c>
      <c r="B4154" s="96" t="s">
        <v>842</v>
      </c>
    </row>
    <row r="4155" ht="12.75" customHeight="1">
      <c r="A4155" s="95" t="s">
        <v>2884</v>
      </c>
      <c r="B4155" s="96">
        <v>30.0</v>
      </c>
    </row>
    <row r="4156" ht="12.75" customHeight="1">
      <c r="A4156" s="95" t="s">
        <v>2884</v>
      </c>
      <c r="B4156" s="96" t="s">
        <v>843</v>
      </c>
    </row>
    <row r="4157" ht="12.75" customHeight="1">
      <c r="A4157" s="95" t="s">
        <v>2884</v>
      </c>
      <c r="B4157" s="96">
        <v>32.0</v>
      </c>
    </row>
    <row r="4158" ht="12.75" customHeight="1">
      <c r="A4158" s="95" t="s">
        <v>2884</v>
      </c>
      <c r="B4158" s="96" t="s">
        <v>844</v>
      </c>
    </row>
    <row r="4159" ht="12.75" customHeight="1">
      <c r="A4159" s="95" t="s">
        <v>2884</v>
      </c>
      <c r="B4159" s="96" t="s">
        <v>845</v>
      </c>
    </row>
    <row r="4160" ht="12.75" customHeight="1">
      <c r="A4160" s="95" t="s">
        <v>2884</v>
      </c>
      <c r="B4160" s="96" t="s">
        <v>846</v>
      </c>
    </row>
    <row r="4161" ht="12.75" customHeight="1">
      <c r="A4161" s="95" t="s">
        <v>2884</v>
      </c>
      <c r="B4161" s="96" t="s">
        <v>847</v>
      </c>
    </row>
    <row r="4162" ht="12.75" customHeight="1">
      <c r="A4162" s="95" t="s">
        <v>2884</v>
      </c>
      <c r="B4162" s="96" t="s">
        <v>848</v>
      </c>
    </row>
    <row r="4163" ht="12.75" customHeight="1">
      <c r="A4163" s="95" t="s">
        <v>2884</v>
      </c>
      <c r="B4163" s="96" t="s">
        <v>849</v>
      </c>
    </row>
    <row r="4164" ht="12.75" customHeight="1">
      <c r="A4164" s="95" t="s">
        <v>2884</v>
      </c>
      <c r="B4164" s="96" t="s">
        <v>850</v>
      </c>
    </row>
    <row r="4165" ht="12.75" customHeight="1">
      <c r="A4165" s="95" t="s">
        <v>2884</v>
      </c>
      <c r="B4165" s="96" t="s">
        <v>851</v>
      </c>
    </row>
    <row r="4166" ht="12.75" customHeight="1">
      <c r="A4166" s="95" t="s">
        <v>2884</v>
      </c>
      <c r="B4166" s="96" t="s">
        <v>852</v>
      </c>
    </row>
    <row r="4167" ht="12.75" customHeight="1">
      <c r="A4167" s="95" t="s">
        <v>2884</v>
      </c>
      <c r="B4167" s="96" t="s">
        <v>908</v>
      </c>
    </row>
    <row r="4168" ht="12.75" customHeight="1">
      <c r="A4168" s="95" t="s">
        <v>2884</v>
      </c>
      <c r="B4168" s="96" t="s">
        <v>909</v>
      </c>
    </row>
    <row r="4169" ht="12.75" customHeight="1">
      <c r="A4169" s="95" t="s">
        <v>2884</v>
      </c>
      <c r="B4169" s="96" t="s">
        <v>910</v>
      </c>
    </row>
    <row r="4170" ht="12.75" customHeight="1">
      <c r="A4170" s="95" t="s">
        <v>2884</v>
      </c>
      <c r="B4170" s="96" t="s">
        <v>911</v>
      </c>
    </row>
    <row r="4171" ht="12.75" customHeight="1">
      <c r="A4171" s="95" t="s">
        <v>2884</v>
      </c>
      <c r="B4171" s="96" t="s">
        <v>912</v>
      </c>
    </row>
    <row r="4172" ht="12.75" customHeight="1">
      <c r="A4172" s="95" t="s">
        <v>2884</v>
      </c>
      <c r="B4172" s="96" t="s">
        <v>913</v>
      </c>
    </row>
    <row r="4173" ht="12.75" customHeight="1">
      <c r="A4173" s="95" t="s">
        <v>2884</v>
      </c>
      <c r="B4173" s="96" t="s">
        <v>914</v>
      </c>
    </row>
    <row r="4174" ht="12.75" customHeight="1">
      <c r="A4174" s="95" t="s">
        <v>2884</v>
      </c>
      <c r="B4174" s="96" t="s">
        <v>915</v>
      </c>
    </row>
    <row r="4175" ht="12.75" customHeight="1">
      <c r="A4175" s="95" t="s">
        <v>2884</v>
      </c>
      <c r="B4175" s="96" t="s">
        <v>916</v>
      </c>
    </row>
    <row r="4176" ht="12.75" customHeight="1">
      <c r="A4176" s="95" t="s">
        <v>2884</v>
      </c>
      <c r="B4176" s="96" t="s">
        <v>917</v>
      </c>
    </row>
    <row r="4177" ht="12.75" customHeight="1">
      <c r="A4177" s="95" t="s">
        <v>2884</v>
      </c>
      <c r="B4177" s="96" t="s">
        <v>918</v>
      </c>
    </row>
    <row r="4178" ht="12.75" customHeight="1">
      <c r="A4178" s="95" t="s">
        <v>2884</v>
      </c>
      <c r="B4178" s="96" t="s">
        <v>919</v>
      </c>
    </row>
    <row r="4179" ht="12.75" customHeight="1">
      <c r="A4179" s="95" t="s">
        <v>2884</v>
      </c>
      <c r="B4179" s="96" t="s">
        <v>920</v>
      </c>
    </row>
    <row r="4180" ht="12.75" customHeight="1">
      <c r="A4180" s="95" t="s">
        <v>2884</v>
      </c>
      <c r="B4180" s="96" t="s">
        <v>921</v>
      </c>
    </row>
    <row r="4181" ht="12.75" customHeight="1">
      <c r="A4181" s="95" t="s">
        <v>2884</v>
      </c>
      <c r="B4181" s="96" t="s">
        <v>922</v>
      </c>
    </row>
    <row r="4182" ht="12.75" customHeight="1">
      <c r="A4182" s="95" t="s">
        <v>2884</v>
      </c>
      <c r="B4182" s="96" t="s">
        <v>923</v>
      </c>
    </row>
    <row r="4183" ht="12.75" customHeight="1">
      <c r="A4183" s="95" t="s">
        <v>2884</v>
      </c>
      <c r="B4183" s="96" t="s">
        <v>924</v>
      </c>
    </row>
    <row r="4184" ht="12.75" customHeight="1">
      <c r="A4184" s="95" t="s">
        <v>2884</v>
      </c>
      <c r="B4184" s="96" t="s">
        <v>925</v>
      </c>
    </row>
    <row r="4185" ht="12.75" customHeight="1">
      <c r="A4185" s="95" t="s">
        <v>2884</v>
      </c>
      <c r="B4185" s="96" t="s">
        <v>926</v>
      </c>
    </row>
    <row r="4186" ht="12.75" customHeight="1">
      <c r="A4186" s="95" t="s">
        <v>2884</v>
      </c>
      <c r="B4186" s="96" t="s">
        <v>984</v>
      </c>
    </row>
    <row r="4187" ht="12.75" customHeight="1">
      <c r="A4187" s="95" t="s">
        <v>2884</v>
      </c>
      <c r="B4187" s="96" t="s">
        <v>985</v>
      </c>
    </row>
    <row r="4188" ht="12.75" customHeight="1">
      <c r="A4188" s="95" t="s">
        <v>2884</v>
      </c>
      <c r="B4188" s="96" t="s">
        <v>986</v>
      </c>
    </row>
    <row r="4189" ht="12.75" customHeight="1">
      <c r="A4189" s="95" t="s">
        <v>2884</v>
      </c>
      <c r="B4189" s="96" t="s">
        <v>987</v>
      </c>
    </row>
    <row r="4190" ht="12.75" customHeight="1">
      <c r="A4190" s="95" t="s">
        <v>2884</v>
      </c>
      <c r="B4190" s="96" t="s">
        <v>988</v>
      </c>
    </row>
    <row r="4191" ht="12.75" customHeight="1">
      <c r="A4191" s="95" t="s">
        <v>2884</v>
      </c>
      <c r="B4191" s="96" t="s">
        <v>989</v>
      </c>
    </row>
    <row r="4192" ht="12.75" customHeight="1">
      <c r="A4192" s="95" t="s">
        <v>2884</v>
      </c>
      <c r="B4192" s="96" t="s">
        <v>990</v>
      </c>
    </row>
    <row r="4193" ht="12.75" customHeight="1">
      <c r="A4193" s="95" t="s">
        <v>2884</v>
      </c>
      <c r="B4193" s="96" t="s">
        <v>991</v>
      </c>
    </row>
    <row r="4194" ht="12.75" customHeight="1">
      <c r="A4194" s="95" t="s">
        <v>2884</v>
      </c>
      <c r="B4194" s="96" t="s">
        <v>992</v>
      </c>
    </row>
    <row r="4195" ht="12.75" customHeight="1">
      <c r="A4195" s="95" t="s">
        <v>2884</v>
      </c>
      <c r="B4195" s="96" t="s">
        <v>993</v>
      </c>
    </row>
    <row r="4196" ht="12.75" customHeight="1">
      <c r="A4196" s="95" t="s">
        <v>2884</v>
      </c>
      <c r="B4196" s="96" t="s">
        <v>994</v>
      </c>
    </row>
    <row r="4197" ht="12.75" customHeight="1">
      <c r="A4197" s="95" t="s">
        <v>2884</v>
      </c>
      <c r="B4197" s="96" t="s">
        <v>995</v>
      </c>
    </row>
    <row r="4198" ht="12.75" customHeight="1">
      <c r="A4198" s="95" t="s">
        <v>2884</v>
      </c>
      <c r="B4198" s="96" t="s">
        <v>996</v>
      </c>
    </row>
    <row r="4199" ht="12.75" customHeight="1">
      <c r="A4199" s="95" t="s">
        <v>2884</v>
      </c>
      <c r="B4199" s="96" t="s">
        <v>997</v>
      </c>
    </row>
    <row r="4200" ht="12.75" customHeight="1">
      <c r="A4200" s="95" t="s">
        <v>2884</v>
      </c>
      <c r="B4200" s="96" t="s">
        <v>998</v>
      </c>
    </row>
    <row r="4201" ht="12.75" customHeight="1">
      <c r="A4201" s="95" t="s">
        <v>2884</v>
      </c>
      <c r="B4201" s="96" t="s">
        <v>999</v>
      </c>
    </row>
    <row r="4202" ht="12.75" customHeight="1">
      <c r="A4202" s="95" t="s">
        <v>2884</v>
      </c>
      <c r="B4202" s="96" t="s">
        <v>1000</v>
      </c>
    </row>
    <row r="4203" ht="12.75" customHeight="1">
      <c r="A4203" s="95" t="s">
        <v>2884</v>
      </c>
      <c r="B4203" s="96" t="s">
        <v>1001</v>
      </c>
    </row>
    <row r="4204" ht="12.75" customHeight="1">
      <c r="A4204" s="95" t="s">
        <v>2884</v>
      </c>
      <c r="B4204" s="96" t="s">
        <v>1054</v>
      </c>
    </row>
    <row r="4205" ht="12.75" customHeight="1">
      <c r="A4205" s="95" t="s">
        <v>2884</v>
      </c>
      <c r="B4205" s="96" t="s">
        <v>1055</v>
      </c>
    </row>
    <row r="4206" ht="12.75" customHeight="1">
      <c r="A4206" s="95" t="s">
        <v>2884</v>
      </c>
      <c r="B4206" s="96" t="s">
        <v>1056</v>
      </c>
    </row>
    <row r="4207" ht="12.75" customHeight="1">
      <c r="A4207" s="95" t="s">
        <v>2884</v>
      </c>
      <c r="B4207" s="96" t="s">
        <v>1057</v>
      </c>
    </row>
    <row r="4208" ht="12.75" customHeight="1">
      <c r="A4208" s="95" t="s">
        <v>2884</v>
      </c>
      <c r="B4208" s="96" t="s">
        <v>1058</v>
      </c>
    </row>
    <row r="4209" ht="12.75" customHeight="1">
      <c r="A4209" s="95" t="s">
        <v>2884</v>
      </c>
      <c r="B4209" s="96" t="s">
        <v>1059</v>
      </c>
    </row>
    <row r="4210" ht="12.75" customHeight="1">
      <c r="A4210" s="95" t="s">
        <v>2884</v>
      </c>
      <c r="B4210" s="96" t="s">
        <v>1060</v>
      </c>
    </row>
    <row r="4211" ht="12.75" customHeight="1">
      <c r="A4211" s="95" t="s">
        <v>2884</v>
      </c>
      <c r="B4211" s="96" t="s">
        <v>1061</v>
      </c>
    </row>
    <row r="4212" ht="12.75" customHeight="1">
      <c r="A4212" s="95" t="s">
        <v>2884</v>
      </c>
      <c r="B4212" s="96" t="s">
        <v>1062</v>
      </c>
    </row>
    <row r="4213" ht="12.75" customHeight="1">
      <c r="A4213" s="95" t="s">
        <v>2884</v>
      </c>
      <c r="B4213" s="96" t="s">
        <v>1063</v>
      </c>
    </row>
    <row r="4214" ht="12.75" customHeight="1">
      <c r="A4214" s="95" t="s">
        <v>2884</v>
      </c>
      <c r="B4214" s="96" t="s">
        <v>1064</v>
      </c>
    </row>
    <row r="4215" ht="12.75" customHeight="1">
      <c r="A4215" s="95" t="s">
        <v>2884</v>
      </c>
      <c r="B4215" s="96" t="s">
        <v>1065</v>
      </c>
    </row>
    <row r="4216" ht="12.75" customHeight="1">
      <c r="A4216" s="95" t="s">
        <v>2884</v>
      </c>
      <c r="B4216" s="96" t="s">
        <v>1066</v>
      </c>
    </row>
    <row r="4217" ht="12.75" customHeight="1">
      <c r="A4217" s="95" t="s">
        <v>2884</v>
      </c>
      <c r="B4217" s="96" t="s">
        <v>1067</v>
      </c>
    </row>
    <row r="4218" ht="12.75" customHeight="1">
      <c r="A4218" s="95" t="s">
        <v>2884</v>
      </c>
      <c r="B4218" s="96" t="s">
        <v>1068</v>
      </c>
    </row>
    <row r="4219" ht="12.75" customHeight="1">
      <c r="A4219" s="95" t="s">
        <v>2884</v>
      </c>
      <c r="B4219" s="96" t="s">
        <v>1069</v>
      </c>
    </row>
    <row r="4220" ht="12.75" customHeight="1">
      <c r="A4220" s="95" t="s">
        <v>2884</v>
      </c>
      <c r="B4220" s="96" t="s">
        <v>1070</v>
      </c>
    </row>
    <row r="4221" ht="12.75" customHeight="1">
      <c r="A4221" s="95" t="s">
        <v>2884</v>
      </c>
      <c r="B4221" s="96" t="s">
        <v>1071</v>
      </c>
    </row>
    <row r="4222" ht="12.75" customHeight="1">
      <c r="A4222" s="95" t="s">
        <v>2884</v>
      </c>
      <c r="B4222" s="96" t="s">
        <v>1072</v>
      </c>
    </row>
    <row r="4223" ht="12.75" customHeight="1">
      <c r="A4223" s="95" t="s">
        <v>2884</v>
      </c>
      <c r="B4223" s="96" t="s">
        <v>1073</v>
      </c>
    </row>
    <row r="4224" ht="12.75" customHeight="1">
      <c r="A4224" s="95" t="s">
        <v>2884</v>
      </c>
      <c r="B4224" s="96" t="s">
        <v>1074</v>
      </c>
    </row>
    <row r="4225" ht="12.75" customHeight="1">
      <c r="A4225" s="95" t="s">
        <v>2884</v>
      </c>
      <c r="B4225" s="96" t="s">
        <v>1075</v>
      </c>
    </row>
    <row r="4226" ht="12.75" customHeight="1">
      <c r="A4226" s="95" t="s">
        <v>2884</v>
      </c>
      <c r="B4226" s="96" t="s">
        <v>1076</v>
      </c>
    </row>
    <row r="4227" ht="12.75" customHeight="1">
      <c r="A4227" s="95" t="s">
        <v>2884</v>
      </c>
      <c r="B4227" s="96" t="s">
        <v>1077</v>
      </c>
    </row>
    <row r="4228" ht="12.75" customHeight="1">
      <c r="A4228" s="95" t="s">
        <v>2884</v>
      </c>
      <c r="B4228" s="96" t="s">
        <v>1078</v>
      </c>
    </row>
    <row r="4229" ht="12.75" customHeight="1">
      <c r="A4229" s="95" t="s">
        <v>2884</v>
      </c>
      <c r="B4229" s="96" t="s">
        <v>1079</v>
      </c>
    </row>
    <row r="4230" ht="12.75" customHeight="1">
      <c r="A4230" s="95" t="s">
        <v>2884</v>
      </c>
      <c r="B4230" s="96" t="s">
        <v>1080</v>
      </c>
    </row>
    <row r="4231" ht="12.75" customHeight="1">
      <c r="A4231" s="95" t="s">
        <v>2884</v>
      </c>
      <c r="B4231" s="96" t="s">
        <v>1081</v>
      </c>
    </row>
    <row r="4232" ht="12.75" customHeight="1">
      <c r="A4232" s="95" t="s">
        <v>2884</v>
      </c>
      <c r="B4232" s="96" t="s">
        <v>1082</v>
      </c>
    </row>
    <row r="4233" ht="12.75" customHeight="1">
      <c r="A4233" s="95" t="s">
        <v>2884</v>
      </c>
      <c r="B4233" s="96" t="s">
        <v>1083</v>
      </c>
    </row>
    <row r="4234" ht="12.75" customHeight="1">
      <c r="A4234" s="95" t="s">
        <v>2884</v>
      </c>
      <c r="B4234" s="96" t="s">
        <v>1084</v>
      </c>
    </row>
    <row r="4235" ht="12.75" customHeight="1">
      <c r="A4235" s="95" t="s">
        <v>2884</v>
      </c>
      <c r="B4235" s="96" t="s">
        <v>1085</v>
      </c>
    </row>
    <row r="4236" ht="12.75" customHeight="1">
      <c r="A4236" s="95" t="s">
        <v>2884</v>
      </c>
      <c r="B4236" s="96" t="s">
        <v>1086</v>
      </c>
    </row>
    <row r="4237" ht="12.75" customHeight="1">
      <c r="A4237" s="95" t="s">
        <v>2884</v>
      </c>
      <c r="B4237" s="96" t="s">
        <v>1087</v>
      </c>
    </row>
    <row r="4238" ht="12.75" customHeight="1">
      <c r="A4238" s="95" t="s">
        <v>2884</v>
      </c>
      <c r="B4238" s="96" t="s">
        <v>1088</v>
      </c>
    </row>
    <row r="4239" ht="12.75" customHeight="1">
      <c r="A4239" s="95" t="s">
        <v>2884</v>
      </c>
      <c r="B4239" s="96" t="s">
        <v>1089</v>
      </c>
    </row>
    <row r="4240" ht="12.75" customHeight="1">
      <c r="A4240" s="95" t="s">
        <v>2884</v>
      </c>
      <c r="B4240" s="96" t="s">
        <v>1090</v>
      </c>
    </row>
    <row r="4241" ht="12.75" customHeight="1">
      <c r="A4241" s="95" t="s">
        <v>2884</v>
      </c>
      <c r="B4241" s="96" t="s">
        <v>1091</v>
      </c>
    </row>
    <row r="4242" ht="12.75" customHeight="1">
      <c r="A4242" s="95" t="s">
        <v>2884</v>
      </c>
      <c r="B4242" s="96" t="s">
        <v>1092</v>
      </c>
    </row>
    <row r="4243" ht="12.75" customHeight="1">
      <c r="A4243" s="95" t="s">
        <v>2884</v>
      </c>
      <c r="B4243" s="96" t="s">
        <v>1093</v>
      </c>
    </row>
    <row r="4244" ht="12.75" customHeight="1">
      <c r="A4244" s="95" t="s">
        <v>2884</v>
      </c>
      <c r="B4244" s="96" t="s">
        <v>1094</v>
      </c>
    </row>
    <row r="4245" ht="12.75" customHeight="1">
      <c r="A4245" s="95" t="s">
        <v>2884</v>
      </c>
      <c r="B4245" s="96" t="s">
        <v>1095</v>
      </c>
    </row>
    <row r="4246" ht="12.75" customHeight="1">
      <c r="A4246" s="95" t="s">
        <v>2885</v>
      </c>
      <c r="B4246" s="96" t="s">
        <v>745</v>
      </c>
    </row>
    <row r="4247" ht="12.75" customHeight="1">
      <c r="A4247" s="95" t="s">
        <v>2870</v>
      </c>
      <c r="B4247" s="96" t="s">
        <v>804</v>
      </c>
    </row>
    <row r="4248" ht="12.75" customHeight="1">
      <c r="A4248" s="95" t="s">
        <v>2870</v>
      </c>
      <c r="B4248" s="96" t="s">
        <v>76</v>
      </c>
    </row>
    <row r="4249" ht="12.75" customHeight="1">
      <c r="A4249" s="95" t="s">
        <v>2870</v>
      </c>
      <c r="B4249" s="96" t="s">
        <v>80</v>
      </c>
    </row>
    <row r="4250" ht="12.75" customHeight="1">
      <c r="A4250" s="95" t="s">
        <v>2870</v>
      </c>
      <c r="B4250" s="96" t="s">
        <v>83</v>
      </c>
    </row>
    <row r="4251" ht="12.75" customHeight="1">
      <c r="A4251" s="95" t="s">
        <v>2870</v>
      </c>
      <c r="B4251" s="96" t="s">
        <v>85</v>
      </c>
    </row>
    <row r="4252" ht="12.75" customHeight="1">
      <c r="A4252" s="95" t="s">
        <v>2870</v>
      </c>
      <c r="B4252" s="96" t="s">
        <v>845</v>
      </c>
    </row>
    <row r="4253" ht="12.75" customHeight="1">
      <c r="A4253" s="95" t="s">
        <v>2870</v>
      </c>
      <c r="B4253" s="96" t="s">
        <v>2291</v>
      </c>
    </row>
    <row r="4254" ht="12.75" customHeight="1">
      <c r="A4254" s="95" t="s">
        <v>2870</v>
      </c>
      <c r="B4254" s="96">
        <v>28.0</v>
      </c>
    </row>
    <row r="4255" ht="12.75" customHeight="1">
      <c r="A4255" s="95" t="s">
        <v>2870</v>
      </c>
      <c r="B4255" s="96">
        <v>29.0</v>
      </c>
    </row>
    <row r="4256" ht="12.75" customHeight="1">
      <c r="A4256" s="95" t="s">
        <v>2870</v>
      </c>
      <c r="B4256" s="96">
        <v>30.0</v>
      </c>
    </row>
    <row r="4257" ht="12.75" customHeight="1">
      <c r="A4257" s="95" t="s">
        <v>2870</v>
      </c>
      <c r="B4257" s="96">
        <v>31.0</v>
      </c>
    </row>
    <row r="4258" ht="12.75" customHeight="1">
      <c r="A4258" s="95" t="s">
        <v>2870</v>
      </c>
      <c r="B4258" s="96">
        <v>32.0</v>
      </c>
    </row>
    <row r="4259" ht="12.75" customHeight="1">
      <c r="A4259" s="95" t="s">
        <v>2870</v>
      </c>
      <c r="B4259" s="96">
        <v>33.0</v>
      </c>
    </row>
    <row r="4260" ht="12.75" customHeight="1">
      <c r="A4260" s="95" t="s">
        <v>2870</v>
      </c>
      <c r="B4260" s="96">
        <v>34.0</v>
      </c>
    </row>
    <row r="4261" ht="12.75" customHeight="1">
      <c r="A4261" s="95" t="s">
        <v>2870</v>
      </c>
      <c r="B4261" s="96">
        <v>35.0</v>
      </c>
    </row>
    <row r="4262" ht="12.75" customHeight="1">
      <c r="A4262" s="95" t="s">
        <v>2870</v>
      </c>
      <c r="B4262" s="96">
        <v>36.0</v>
      </c>
    </row>
    <row r="4263" ht="12.75" customHeight="1">
      <c r="A4263" s="95" t="s">
        <v>2870</v>
      </c>
      <c r="B4263" s="96">
        <v>37.0</v>
      </c>
    </row>
    <row r="4264" ht="12.75" customHeight="1">
      <c r="A4264" s="95" t="s">
        <v>2870</v>
      </c>
      <c r="B4264" s="96">
        <v>38.0</v>
      </c>
    </row>
    <row r="4265" ht="12.75" customHeight="1">
      <c r="A4265" s="95" t="s">
        <v>2870</v>
      </c>
      <c r="B4265" s="96">
        <v>39.0</v>
      </c>
    </row>
    <row r="4266" ht="12.75" customHeight="1">
      <c r="A4266" s="95" t="s">
        <v>2870</v>
      </c>
      <c r="B4266" s="96">
        <v>40.0</v>
      </c>
    </row>
    <row r="4267" ht="12.75" customHeight="1">
      <c r="A4267" s="95" t="s">
        <v>2870</v>
      </c>
      <c r="B4267" s="96">
        <v>41.0</v>
      </c>
    </row>
    <row r="4268" ht="12.75" customHeight="1">
      <c r="A4268" s="95" t="s">
        <v>2870</v>
      </c>
      <c r="B4268" s="96">
        <v>42.0</v>
      </c>
    </row>
    <row r="4269" ht="12.75" customHeight="1">
      <c r="A4269" s="95" t="s">
        <v>2870</v>
      </c>
      <c r="B4269" s="96">
        <v>43.0</v>
      </c>
    </row>
    <row r="4270" ht="12.75" customHeight="1">
      <c r="A4270" s="95" t="s">
        <v>2870</v>
      </c>
      <c r="B4270" s="96">
        <v>44.0</v>
      </c>
    </row>
    <row r="4271" ht="12.75" customHeight="1">
      <c r="A4271" s="95" t="s">
        <v>2886</v>
      </c>
      <c r="B4271" s="96" t="s">
        <v>804</v>
      </c>
    </row>
    <row r="4272" ht="12.75" customHeight="1">
      <c r="A4272" s="95" t="s">
        <v>2886</v>
      </c>
      <c r="B4272" s="96" t="s">
        <v>76</v>
      </c>
    </row>
    <row r="4273" ht="12.75" customHeight="1">
      <c r="A4273" s="95" t="s">
        <v>2886</v>
      </c>
      <c r="B4273" s="96" t="s">
        <v>80</v>
      </c>
    </row>
    <row r="4274" ht="12.75" customHeight="1">
      <c r="A4274" s="95" t="s">
        <v>2886</v>
      </c>
      <c r="B4274" s="96" t="s">
        <v>83</v>
      </c>
    </row>
    <row r="4275" ht="12.75" customHeight="1">
      <c r="A4275" s="95" t="s">
        <v>2886</v>
      </c>
      <c r="B4275" s="96" t="s">
        <v>85</v>
      </c>
    </row>
    <row r="4276" ht="12.75" customHeight="1">
      <c r="A4276" s="95" t="s">
        <v>2886</v>
      </c>
      <c r="B4276" s="96" t="s">
        <v>845</v>
      </c>
    </row>
    <row r="4277" ht="12.75" customHeight="1">
      <c r="A4277" s="95" t="s">
        <v>2886</v>
      </c>
      <c r="B4277" s="96" t="s">
        <v>2291</v>
      </c>
    </row>
    <row r="4278" ht="12.75" customHeight="1">
      <c r="A4278" s="95" t="s">
        <v>2886</v>
      </c>
      <c r="B4278" s="96">
        <v>28.0</v>
      </c>
    </row>
    <row r="4279" ht="12.75" customHeight="1">
      <c r="A4279" s="95" t="s">
        <v>2886</v>
      </c>
      <c r="B4279" s="96">
        <v>29.0</v>
      </c>
    </row>
    <row r="4280" ht="12.75" customHeight="1">
      <c r="A4280" s="95" t="s">
        <v>2886</v>
      </c>
      <c r="B4280" s="96">
        <v>30.0</v>
      </c>
    </row>
    <row r="4281" ht="12.75" customHeight="1">
      <c r="A4281" s="95" t="s">
        <v>2886</v>
      </c>
      <c r="B4281" s="96">
        <v>31.0</v>
      </c>
    </row>
    <row r="4282" ht="12.75" customHeight="1">
      <c r="A4282" s="95" t="s">
        <v>2886</v>
      </c>
      <c r="B4282" s="96">
        <v>32.0</v>
      </c>
    </row>
    <row r="4283" ht="12.75" customHeight="1">
      <c r="A4283" s="95" t="s">
        <v>2886</v>
      </c>
      <c r="B4283" s="96">
        <v>33.0</v>
      </c>
    </row>
    <row r="4284" ht="12.75" customHeight="1">
      <c r="A4284" s="95" t="s">
        <v>2886</v>
      </c>
      <c r="B4284" s="96">
        <v>34.0</v>
      </c>
    </row>
    <row r="4285" ht="12.75" customHeight="1">
      <c r="A4285" s="95" t="s">
        <v>2886</v>
      </c>
      <c r="B4285" s="96">
        <v>35.0</v>
      </c>
    </row>
    <row r="4286" ht="12.75" customHeight="1">
      <c r="A4286" s="95" t="s">
        <v>2886</v>
      </c>
      <c r="B4286" s="96">
        <v>36.0</v>
      </c>
    </row>
    <row r="4287" ht="12.75" customHeight="1">
      <c r="A4287" s="95" t="s">
        <v>2886</v>
      </c>
      <c r="B4287" s="96">
        <v>37.0</v>
      </c>
    </row>
    <row r="4288" ht="12.75" customHeight="1">
      <c r="A4288" s="95" t="s">
        <v>2886</v>
      </c>
      <c r="B4288" s="96">
        <v>38.0</v>
      </c>
    </row>
    <row r="4289" ht="12.75" customHeight="1">
      <c r="A4289" s="95" t="s">
        <v>2886</v>
      </c>
      <c r="B4289" s="96">
        <v>39.0</v>
      </c>
    </row>
    <row r="4290" ht="12.75" customHeight="1">
      <c r="A4290" s="95" t="s">
        <v>2886</v>
      </c>
      <c r="B4290" s="96">
        <v>40.0</v>
      </c>
    </row>
    <row r="4291" ht="12.75" customHeight="1">
      <c r="A4291" s="95" t="s">
        <v>2886</v>
      </c>
      <c r="B4291" s="96">
        <v>41.0</v>
      </c>
    </row>
    <row r="4292" ht="12.75" customHeight="1">
      <c r="A4292" s="95" t="s">
        <v>2886</v>
      </c>
      <c r="B4292" s="96">
        <v>42.0</v>
      </c>
    </row>
    <row r="4293" ht="12.75" customHeight="1">
      <c r="A4293" s="95" t="s">
        <v>2886</v>
      </c>
      <c r="B4293" s="96">
        <v>43.0</v>
      </c>
    </row>
    <row r="4294" ht="12.75" customHeight="1">
      <c r="A4294" s="95" t="s">
        <v>2886</v>
      </c>
      <c r="B4294" s="96">
        <v>44.0</v>
      </c>
    </row>
    <row r="4295" ht="12.75" customHeight="1">
      <c r="A4295" s="95" t="s">
        <v>2887</v>
      </c>
      <c r="B4295" s="96" t="s">
        <v>804</v>
      </c>
    </row>
    <row r="4296" ht="12.75" customHeight="1">
      <c r="A4296" s="95" t="s">
        <v>2887</v>
      </c>
      <c r="B4296" s="96" t="s">
        <v>76</v>
      </c>
    </row>
    <row r="4297" ht="12.75" customHeight="1">
      <c r="A4297" s="95" t="s">
        <v>2887</v>
      </c>
      <c r="B4297" s="96" t="s">
        <v>80</v>
      </c>
    </row>
    <row r="4298" ht="12.75" customHeight="1">
      <c r="A4298" s="95" t="s">
        <v>2887</v>
      </c>
      <c r="B4298" s="96" t="s">
        <v>83</v>
      </c>
    </row>
    <row r="4299" ht="12.75" customHeight="1">
      <c r="A4299" s="95" t="s">
        <v>2887</v>
      </c>
      <c r="B4299" s="96" t="s">
        <v>85</v>
      </c>
    </row>
    <row r="4300" ht="12.75" customHeight="1">
      <c r="A4300" s="95" t="s">
        <v>2887</v>
      </c>
      <c r="B4300" s="96" t="s">
        <v>845</v>
      </c>
    </row>
    <row r="4301" ht="12.75" customHeight="1">
      <c r="A4301" s="95" t="s">
        <v>2887</v>
      </c>
      <c r="B4301" s="96" t="s">
        <v>2291</v>
      </c>
    </row>
    <row r="4302" ht="12.75" customHeight="1">
      <c r="A4302" s="95" t="s">
        <v>2887</v>
      </c>
      <c r="B4302" s="96">
        <v>28.0</v>
      </c>
    </row>
    <row r="4303" ht="12.75" customHeight="1">
      <c r="A4303" s="95" t="s">
        <v>2887</v>
      </c>
      <c r="B4303" s="96">
        <v>29.0</v>
      </c>
    </row>
    <row r="4304" ht="12.75" customHeight="1">
      <c r="A4304" s="95" t="s">
        <v>2887</v>
      </c>
      <c r="B4304" s="96">
        <v>30.0</v>
      </c>
    </row>
    <row r="4305" ht="12.75" customHeight="1">
      <c r="A4305" s="95" t="s">
        <v>2887</v>
      </c>
      <c r="B4305" s="96">
        <v>31.0</v>
      </c>
    </row>
    <row r="4306" ht="12.75" customHeight="1">
      <c r="A4306" s="95" t="s">
        <v>2887</v>
      </c>
      <c r="B4306" s="96">
        <v>32.0</v>
      </c>
    </row>
    <row r="4307" ht="12.75" customHeight="1">
      <c r="A4307" s="95" t="s">
        <v>2887</v>
      </c>
      <c r="B4307" s="96">
        <v>33.0</v>
      </c>
    </row>
    <row r="4308" ht="12.75" customHeight="1">
      <c r="A4308" s="95" t="s">
        <v>2887</v>
      </c>
      <c r="B4308" s="96">
        <v>34.0</v>
      </c>
    </row>
    <row r="4309" ht="12.75" customHeight="1">
      <c r="A4309" s="95" t="s">
        <v>2887</v>
      </c>
      <c r="B4309" s="96">
        <v>35.0</v>
      </c>
    </row>
    <row r="4310" ht="12.75" customHeight="1">
      <c r="A4310" s="95" t="s">
        <v>2887</v>
      </c>
      <c r="B4310" s="96">
        <v>36.0</v>
      </c>
    </row>
    <row r="4311" ht="12.75" customHeight="1">
      <c r="A4311" s="95" t="s">
        <v>2887</v>
      </c>
      <c r="B4311" s="96">
        <v>37.0</v>
      </c>
    </row>
    <row r="4312" ht="12.75" customHeight="1">
      <c r="A4312" s="95" t="s">
        <v>2887</v>
      </c>
      <c r="B4312" s="96">
        <v>38.0</v>
      </c>
    </row>
    <row r="4313" ht="12.75" customHeight="1">
      <c r="A4313" s="95" t="s">
        <v>2887</v>
      </c>
      <c r="B4313" s="96">
        <v>39.0</v>
      </c>
    </row>
    <row r="4314" ht="12.75" customHeight="1">
      <c r="A4314" s="95" t="s">
        <v>2887</v>
      </c>
      <c r="B4314" s="96">
        <v>40.0</v>
      </c>
    </row>
    <row r="4315" ht="12.75" customHeight="1">
      <c r="A4315" s="95" t="s">
        <v>2887</v>
      </c>
      <c r="B4315" s="96">
        <v>41.0</v>
      </c>
    </row>
    <row r="4316" ht="12.75" customHeight="1">
      <c r="A4316" s="95" t="s">
        <v>2887</v>
      </c>
      <c r="B4316" s="96">
        <v>42.0</v>
      </c>
    </row>
    <row r="4317" ht="12.75" customHeight="1">
      <c r="A4317" s="95" t="s">
        <v>2887</v>
      </c>
      <c r="B4317" s="96">
        <v>43.0</v>
      </c>
    </row>
    <row r="4318" ht="12.75" customHeight="1">
      <c r="A4318" s="95" t="s">
        <v>2887</v>
      </c>
      <c r="B4318" s="96">
        <v>44.0</v>
      </c>
    </row>
    <row r="4319" ht="12.75" customHeight="1">
      <c r="A4319" s="95" t="s">
        <v>2869</v>
      </c>
      <c r="B4319" s="96" t="s">
        <v>804</v>
      </c>
    </row>
    <row r="4320" ht="12.75" customHeight="1">
      <c r="A4320" s="95" t="s">
        <v>2869</v>
      </c>
      <c r="B4320" s="96" t="s">
        <v>76</v>
      </c>
    </row>
    <row r="4321" ht="12.75" customHeight="1">
      <c r="A4321" s="95" t="s">
        <v>2869</v>
      </c>
      <c r="B4321" s="96" t="s">
        <v>80</v>
      </c>
    </row>
    <row r="4322" ht="12.75" customHeight="1">
      <c r="A4322" s="95" t="s">
        <v>2869</v>
      </c>
      <c r="B4322" s="96" t="s">
        <v>83</v>
      </c>
    </row>
    <row r="4323" ht="12.75" customHeight="1">
      <c r="A4323" s="95" t="s">
        <v>2869</v>
      </c>
      <c r="B4323" s="96" t="s">
        <v>85</v>
      </c>
    </row>
    <row r="4324" ht="12.75" customHeight="1">
      <c r="A4324" s="95" t="s">
        <v>2869</v>
      </c>
      <c r="B4324" s="96" t="s">
        <v>845</v>
      </c>
    </row>
    <row r="4325" ht="12.75" customHeight="1">
      <c r="A4325" s="95" t="s">
        <v>2869</v>
      </c>
      <c r="B4325" s="96" t="s">
        <v>2291</v>
      </c>
    </row>
    <row r="4326" ht="12.75" customHeight="1">
      <c r="A4326" s="95" t="s">
        <v>2888</v>
      </c>
      <c r="B4326" s="96" t="s">
        <v>804</v>
      </c>
    </row>
    <row r="4327" ht="12.75" customHeight="1">
      <c r="A4327" s="95" t="s">
        <v>2888</v>
      </c>
      <c r="B4327" s="96" t="s">
        <v>76</v>
      </c>
    </row>
    <row r="4328" ht="12.75" customHeight="1">
      <c r="A4328" s="95" t="s">
        <v>2888</v>
      </c>
      <c r="B4328" s="96" t="s">
        <v>80</v>
      </c>
    </row>
    <row r="4329" ht="12.75" customHeight="1">
      <c r="A4329" s="95" t="s">
        <v>2888</v>
      </c>
      <c r="B4329" s="96" t="s">
        <v>83</v>
      </c>
    </row>
    <row r="4330" ht="12.75" customHeight="1">
      <c r="A4330" s="95" t="s">
        <v>2888</v>
      </c>
      <c r="B4330" s="96" t="s">
        <v>85</v>
      </c>
    </row>
    <row r="4331" ht="12.75" customHeight="1">
      <c r="A4331" s="95" t="s">
        <v>2888</v>
      </c>
      <c r="B4331" s="96" t="s">
        <v>845</v>
      </c>
    </row>
    <row r="4332" ht="12.75" customHeight="1">
      <c r="A4332" s="95" t="s">
        <v>2888</v>
      </c>
      <c r="B4332" s="96" t="s">
        <v>2291</v>
      </c>
    </row>
    <row r="4333" ht="12.75" customHeight="1">
      <c r="A4333" s="95" t="s">
        <v>2889</v>
      </c>
      <c r="B4333" s="96" t="s">
        <v>804</v>
      </c>
    </row>
    <row r="4334" ht="12.75" customHeight="1">
      <c r="A4334" s="95" t="s">
        <v>2889</v>
      </c>
      <c r="B4334" s="96" t="s">
        <v>76</v>
      </c>
    </row>
    <row r="4335" ht="12.75" customHeight="1">
      <c r="A4335" s="95" t="s">
        <v>2889</v>
      </c>
      <c r="B4335" s="96" t="s">
        <v>80</v>
      </c>
    </row>
    <row r="4336" ht="12.75" customHeight="1">
      <c r="A4336" s="95" t="s">
        <v>2889</v>
      </c>
      <c r="B4336" s="96" t="s">
        <v>83</v>
      </c>
    </row>
    <row r="4337" ht="12.75" customHeight="1">
      <c r="A4337" s="95" t="s">
        <v>2889</v>
      </c>
      <c r="B4337" s="96" t="s">
        <v>85</v>
      </c>
    </row>
    <row r="4338" ht="12.75" customHeight="1">
      <c r="A4338" s="95" t="s">
        <v>2889</v>
      </c>
      <c r="B4338" s="96" t="s">
        <v>845</v>
      </c>
    </row>
    <row r="4339" ht="12.75" customHeight="1">
      <c r="A4339" s="95" t="s">
        <v>2889</v>
      </c>
      <c r="B4339" s="96" t="s">
        <v>2291</v>
      </c>
    </row>
    <row r="4340" ht="12.75" customHeight="1">
      <c r="A4340" s="95" t="s">
        <v>2890</v>
      </c>
      <c r="B4340" s="96" t="s">
        <v>804</v>
      </c>
    </row>
    <row r="4341" ht="12.75" customHeight="1">
      <c r="A4341" s="95" t="s">
        <v>2890</v>
      </c>
      <c r="B4341" s="96" t="s">
        <v>76</v>
      </c>
    </row>
    <row r="4342" ht="12.75" customHeight="1">
      <c r="A4342" s="95" t="s">
        <v>2890</v>
      </c>
      <c r="B4342" s="96" t="s">
        <v>80</v>
      </c>
    </row>
    <row r="4343" ht="12.75" customHeight="1">
      <c r="A4343" s="95" t="s">
        <v>2890</v>
      </c>
      <c r="B4343" s="96" t="s">
        <v>83</v>
      </c>
    </row>
    <row r="4344" ht="12.75" customHeight="1">
      <c r="A4344" s="95" t="s">
        <v>2890</v>
      </c>
      <c r="B4344" s="96" t="s">
        <v>85</v>
      </c>
    </row>
    <row r="4345" ht="12.75" customHeight="1">
      <c r="A4345" s="95" t="s">
        <v>2890</v>
      </c>
      <c r="B4345" s="96" t="s">
        <v>845</v>
      </c>
    </row>
    <row r="4346" ht="12.75" customHeight="1">
      <c r="A4346" s="95" t="s">
        <v>2890</v>
      </c>
      <c r="B4346" s="96" t="s">
        <v>2291</v>
      </c>
    </row>
    <row r="4347" ht="12.75" customHeight="1">
      <c r="A4347" s="95" t="s">
        <v>2878</v>
      </c>
      <c r="B4347" s="96" t="s">
        <v>804</v>
      </c>
    </row>
    <row r="4348" ht="12.75" customHeight="1">
      <c r="A4348" s="95" t="s">
        <v>2878</v>
      </c>
      <c r="B4348" s="96" t="s">
        <v>76</v>
      </c>
    </row>
    <row r="4349" ht="12.75" customHeight="1">
      <c r="A4349" s="95" t="s">
        <v>2878</v>
      </c>
      <c r="B4349" s="96" t="s">
        <v>80</v>
      </c>
    </row>
    <row r="4350" ht="12.75" customHeight="1">
      <c r="A4350" s="95" t="s">
        <v>2878</v>
      </c>
      <c r="B4350" s="96" t="s">
        <v>83</v>
      </c>
    </row>
    <row r="4351" ht="12.75" customHeight="1">
      <c r="A4351" s="95" t="s">
        <v>2878</v>
      </c>
      <c r="B4351" s="96" t="s">
        <v>85</v>
      </c>
    </row>
    <row r="4352" ht="12.75" customHeight="1">
      <c r="A4352" s="95" t="s">
        <v>2878</v>
      </c>
      <c r="B4352" s="96" t="s">
        <v>845</v>
      </c>
    </row>
    <row r="4353" ht="12.75" customHeight="1">
      <c r="A4353" s="95" t="s">
        <v>2878</v>
      </c>
      <c r="B4353" s="96" t="s">
        <v>2291</v>
      </c>
    </row>
    <row r="4354" ht="12.75" customHeight="1">
      <c r="A4354" s="95" t="s">
        <v>2891</v>
      </c>
      <c r="B4354" s="96" t="s">
        <v>804</v>
      </c>
    </row>
    <row r="4355" ht="12.75" customHeight="1">
      <c r="A4355" s="95" t="s">
        <v>2891</v>
      </c>
      <c r="B4355" s="96" t="s">
        <v>76</v>
      </c>
    </row>
    <row r="4356" ht="12.75" customHeight="1">
      <c r="A4356" s="95" t="s">
        <v>2891</v>
      </c>
      <c r="B4356" s="96" t="s">
        <v>80</v>
      </c>
    </row>
    <row r="4357" ht="12.75" customHeight="1">
      <c r="A4357" s="95" t="s">
        <v>2891</v>
      </c>
      <c r="B4357" s="96" t="s">
        <v>83</v>
      </c>
    </row>
    <row r="4358" ht="12.75" customHeight="1">
      <c r="A4358" s="95" t="s">
        <v>2891</v>
      </c>
      <c r="B4358" s="96" t="s">
        <v>85</v>
      </c>
    </row>
    <row r="4359" ht="12.75" customHeight="1">
      <c r="A4359" s="95" t="s">
        <v>2891</v>
      </c>
      <c r="B4359" s="96" t="s">
        <v>845</v>
      </c>
    </row>
    <row r="4360" ht="12.75" customHeight="1">
      <c r="A4360" s="95" t="s">
        <v>2891</v>
      </c>
      <c r="B4360" s="96" t="s">
        <v>2291</v>
      </c>
    </row>
    <row r="4361" ht="12.75" customHeight="1">
      <c r="A4361" s="95" t="s">
        <v>2880</v>
      </c>
      <c r="B4361" s="96" t="s">
        <v>804</v>
      </c>
    </row>
    <row r="4362" ht="12.75" customHeight="1">
      <c r="A4362" s="95" t="s">
        <v>2880</v>
      </c>
      <c r="B4362" s="96" t="s">
        <v>76</v>
      </c>
    </row>
    <row r="4363" ht="12.75" customHeight="1">
      <c r="A4363" s="95" t="s">
        <v>2880</v>
      </c>
      <c r="B4363" s="96" t="s">
        <v>80</v>
      </c>
    </row>
    <row r="4364" ht="12.75" customHeight="1">
      <c r="A4364" s="95" t="s">
        <v>2880</v>
      </c>
      <c r="B4364" s="96" t="s">
        <v>83</v>
      </c>
    </row>
    <row r="4365" ht="12.75" customHeight="1">
      <c r="A4365" s="95" t="s">
        <v>2880</v>
      </c>
      <c r="B4365" s="96" t="s">
        <v>85</v>
      </c>
    </row>
    <row r="4366" ht="12.75" customHeight="1">
      <c r="A4366" s="95" t="s">
        <v>2880</v>
      </c>
      <c r="B4366" s="96" t="s">
        <v>845</v>
      </c>
    </row>
    <row r="4367" ht="12.75" customHeight="1">
      <c r="A4367" s="95" t="s">
        <v>2880</v>
      </c>
      <c r="B4367" s="96" t="s">
        <v>2291</v>
      </c>
    </row>
    <row r="4368" ht="12.75" customHeight="1">
      <c r="A4368" s="95" t="s">
        <v>2883</v>
      </c>
      <c r="B4368" s="96" t="s">
        <v>804</v>
      </c>
    </row>
    <row r="4369" ht="12.75" customHeight="1">
      <c r="A4369" s="95" t="s">
        <v>2883</v>
      </c>
      <c r="B4369" s="96" t="s">
        <v>76</v>
      </c>
    </row>
    <row r="4370" ht="12.75" customHeight="1">
      <c r="A4370" s="95" t="s">
        <v>2883</v>
      </c>
      <c r="B4370" s="96" t="s">
        <v>80</v>
      </c>
    </row>
    <row r="4371" ht="12.75" customHeight="1">
      <c r="A4371" s="95" t="s">
        <v>2883</v>
      </c>
      <c r="B4371" s="96" t="s">
        <v>83</v>
      </c>
    </row>
    <row r="4372" ht="12.75" customHeight="1">
      <c r="A4372" s="95" t="s">
        <v>2883</v>
      </c>
      <c r="B4372" s="96" t="s">
        <v>85</v>
      </c>
    </row>
    <row r="4373" ht="12.75" customHeight="1">
      <c r="A4373" s="95" t="s">
        <v>2883</v>
      </c>
      <c r="B4373" s="96" t="s">
        <v>845</v>
      </c>
    </row>
    <row r="4374" ht="12.75" customHeight="1">
      <c r="A4374" s="95" t="s">
        <v>2883</v>
      </c>
      <c r="B4374" s="96" t="s">
        <v>2291</v>
      </c>
    </row>
    <row r="4375" ht="12.75" customHeight="1">
      <c r="A4375" s="95" t="s">
        <v>2884</v>
      </c>
      <c r="B4375" s="96" t="s">
        <v>804</v>
      </c>
    </row>
    <row r="4376" ht="12.75" customHeight="1">
      <c r="A4376" s="95" t="s">
        <v>2884</v>
      </c>
      <c r="B4376" s="96" t="s">
        <v>76</v>
      </c>
    </row>
    <row r="4377" ht="12.75" customHeight="1">
      <c r="A4377" s="95" t="s">
        <v>2884</v>
      </c>
      <c r="B4377" s="96" t="s">
        <v>80</v>
      </c>
    </row>
    <row r="4378" ht="12.75" customHeight="1">
      <c r="A4378" s="95" t="s">
        <v>2884</v>
      </c>
      <c r="B4378" s="96" t="s">
        <v>83</v>
      </c>
    </row>
    <row r="4379" ht="12.75" customHeight="1">
      <c r="A4379" s="95" t="s">
        <v>2884</v>
      </c>
      <c r="B4379" s="96" t="s">
        <v>85</v>
      </c>
    </row>
    <row r="4380" ht="12.75" customHeight="1">
      <c r="A4380" s="95" t="s">
        <v>2884</v>
      </c>
      <c r="B4380" s="96" t="s">
        <v>845</v>
      </c>
    </row>
    <row r="4381" ht="12.75" customHeight="1">
      <c r="A4381" s="95" t="s">
        <v>2884</v>
      </c>
      <c r="B4381" s="96" t="s">
        <v>2291</v>
      </c>
    </row>
    <row r="4382" ht="12.75" customHeight="1">
      <c r="A4382" s="95" t="s">
        <v>2892</v>
      </c>
      <c r="B4382" s="96" t="s">
        <v>804</v>
      </c>
    </row>
    <row r="4383" ht="12.75" customHeight="1">
      <c r="A4383" s="95" t="s">
        <v>2892</v>
      </c>
      <c r="B4383" s="96" t="s">
        <v>76</v>
      </c>
    </row>
    <row r="4384" ht="12.75" customHeight="1">
      <c r="A4384" s="95" t="s">
        <v>2892</v>
      </c>
      <c r="B4384" s="96" t="s">
        <v>80</v>
      </c>
    </row>
    <row r="4385" ht="12.75" customHeight="1">
      <c r="A4385" s="95" t="s">
        <v>2892</v>
      </c>
      <c r="B4385" s="96" t="s">
        <v>83</v>
      </c>
    </row>
    <row r="4386" ht="12.75" customHeight="1">
      <c r="A4386" s="95" t="s">
        <v>2892</v>
      </c>
      <c r="B4386" s="96" t="s">
        <v>85</v>
      </c>
    </row>
    <row r="4387" ht="12.75" customHeight="1">
      <c r="A4387" s="95" t="s">
        <v>2892</v>
      </c>
      <c r="B4387" s="96" t="s">
        <v>845</v>
      </c>
    </row>
    <row r="4388" ht="12.75" customHeight="1">
      <c r="A4388" s="95" t="s">
        <v>2892</v>
      </c>
      <c r="B4388" s="96" t="s">
        <v>2291</v>
      </c>
    </row>
    <row r="4389" ht="12.75" customHeight="1">
      <c r="A4389" s="95" t="s">
        <v>2893</v>
      </c>
      <c r="B4389" s="96" t="s">
        <v>745</v>
      </c>
    </row>
    <row r="4390" ht="12.75" customHeight="1">
      <c r="A4390" s="99" t="s">
        <v>3127</v>
      </c>
      <c r="B4390" s="96" t="s">
        <v>745</v>
      </c>
    </row>
    <row r="4391" ht="12.75" customHeight="1">
      <c r="A4391" s="100" t="s">
        <v>3129</v>
      </c>
      <c r="B4391" s="96" t="s">
        <v>745</v>
      </c>
    </row>
    <row r="4392" ht="12.75" customHeight="1">
      <c r="A4392" s="99" t="s">
        <v>649</v>
      </c>
      <c r="B4392" s="96" t="s">
        <v>745</v>
      </c>
    </row>
    <row r="4393" ht="12.75" customHeight="1">
      <c r="A4393" s="100" t="s">
        <v>3130</v>
      </c>
      <c r="B4393" s="96" t="s">
        <v>745</v>
      </c>
    </row>
    <row r="4394" ht="12.75" customHeight="1">
      <c r="A4394" s="99" t="s">
        <v>3132</v>
      </c>
      <c r="B4394" s="96" t="s">
        <v>745</v>
      </c>
    </row>
    <row r="4395" ht="12.75" customHeight="1">
      <c r="A4395" s="99" t="s">
        <v>728</v>
      </c>
      <c r="B4395" s="96" t="s">
        <v>745</v>
      </c>
    </row>
    <row r="4396" ht="12.75" customHeight="1">
      <c r="A4396" s="100" t="s">
        <v>3133</v>
      </c>
      <c r="B4396" s="96" t="s">
        <v>745</v>
      </c>
    </row>
    <row r="4397" ht="12.75" customHeight="1">
      <c r="A4397" s="99" t="s">
        <v>708</v>
      </c>
      <c r="B4397" s="96" t="s">
        <v>745</v>
      </c>
    </row>
    <row r="4398" ht="12.75" customHeight="1">
      <c r="A4398" s="99" t="s">
        <v>3135</v>
      </c>
      <c r="B4398" s="96" t="s">
        <v>745</v>
      </c>
    </row>
    <row r="4399" ht="12.75" customHeight="1">
      <c r="A4399" s="99" t="s">
        <v>715</v>
      </c>
      <c r="B4399" s="96" t="s">
        <v>745</v>
      </c>
    </row>
    <row r="4400" ht="12.75" customHeight="1">
      <c r="A4400" s="100" t="s">
        <v>749</v>
      </c>
      <c r="B4400" s="96" t="s">
        <v>745</v>
      </c>
    </row>
    <row r="4401" ht="12.75" customHeight="1">
      <c r="A4401" s="99" t="s">
        <v>732</v>
      </c>
      <c r="B4401" s="96" t="s">
        <v>745</v>
      </c>
    </row>
    <row r="4402" ht="12.75" customHeight="1">
      <c r="A4402" s="99" t="s">
        <v>3148</v>
      </c>
      <c r="B4402" s="96" t="s">
        <v>745</v>
      </c>
    </row>
    <row r="4403" ht="12.75" customHeight="1">
      <c r="A4403" s="100" t="s">
        <v>3163</v>
      </c>
      <c r="B4403" s="96" t="s">
        <v>745</v>
      </c>
    </row>
    <row r="4404" ht="12.75" customHeight="1">
      <c r="A4404" s="99" t="s">
        <v>3164</v>
      </c>
      <c r="B4404" s="96" t="s">
        <v>745</v>
      </c>
    </row>
    <row r="4405" ht="12.75" customHeight="1">
      <c r="A4405" s="99" t="s">
        <v>3165</v>
      </c>
      <c r="B4405" s="96" t="s">
        <v>745</v>
      </c>
    </row>
    <row r="4406" ht="12.75" customHeight="1">
      <c r="A4406" s="99" t="s">
        <v>692</v>
      </c>
      <c r="B4406" s="96" t="s">
        <v>745</v>
      </c>
    </row>
    <row r="4407" ht="12.75" customHeight="1">
      <c r="A4407" s="99" t="s">
        <v>701</v>
      </c>
      <c r="B4407" s="96" t="s">
        <v>745</v>
      </c>
    </row>
    <row r="4408" ht="12.75" customHeight="1">
      <c r="A4408" s="100" t="s">
        <v>676</v>
      </c>
      <c r="B4408" s="96" t="s">
        <v>745</v>
      </c>
    </row>
  </sheetData>
  <customSheetViews>
    <customSheetView guid="{E260FBA5-1148-48BC-96F1-0F63125E9F7B}" filter="1" showAutoFilter="1">
      <autoFilter ref="$A$1:$B$4408"/>
      <extLst>
        <ext uri="GoogleSheetsCustomDataVersion1">
          <go:sheetsCustomData xmlns:go="http://customooxmlschemas.google.com/" filterViewId="1650639290"/>
        </ext>
      </extLst>
    </customSheetView>
  </customSheetView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63.13"/>
    <col customWidth="1" min="3" max="3" width="55.13"/>
    <col customWidth="1" min="4" max="9" width="10.63"/>
    <col customWidth="1" min="10" max="10" width="21.38"/>
    <col customWidth="1" min="11" max="11" width="27.63"/>
    <col customWidth="1" min="12" max="12" width="11.13"/>
    <col customWidth="1" min="13" max="14" width="10.63"/>
    <col customWidth="1" min="15" max="15" width="55.13"/>
    <col customWidth="1" min="16" max="16" width="36.5"/>
    <col customWidth="1" min="17" max="26" width="10.63"/>
  </cols>
  <sheetData>
    <row r="1" ht="12.75" customHeight="1"/>
    <row r="2" ht="12.75" customHeight="1">
      <c r="B2" s="58" t="s">
        <v>3170</v>
      </c>
      <c r="C2" s="58" t="s">
        <v>3171</v>
      </c>
      <c r="D2" s="58" t="s">
        <v>3172</v>
      </c>
      <c r="J2" s="70" t="str">
        <f t="shared" ref="J2:L2" si="1">B2</f>
        <v>Dept</v>
      </c>
      <c r="K2" s="70" t="str">
        <f t="shared" si="1"/>
        <v>Categories</v>
      </c>
      <c r="L2" s="70" t="str">
        <f t="shared" si="1"/>
        <v>SubCat</v>
      </c>
      <c r="O2" s="58" t="s">
        <v>598</v>
      </c>
      <c r="P2" s="58" t="s">
        <v>3170</v>
      </c>
    </row>
    <row r="3" ht="12.75" customHeight="1">
      <c r="B3" s="70" t="s">
        <v>3173</v>
      </c>
      <c r="C3" s="58" t="s">
        <v>3174</v>
      </c>
      <c r="D3" s="58" t="s">
        <v>3175</v>
      </c>
      <c r="J3" s="70" t="str">
        <f t="shared" ref="J3:M3" si="2">LEFT(B3,LEN(B3)-LEN(RIGHT(B3,27)))</f>
        <v>Women</v>
      </c>
      <c r="K3" s="70" t="str">
        <f t="shared" si="2"/>
        <v>Dresses</v>
      </c>
      <c r="L3" s="70" t="str">
        <f t="shared" si="2"/>
        <v>Asymmetrical</v>
      </c>
      <c r="M3" s="70" t="str">
        <f t="shared" si="2"/>
        <v/>
      </c>
      <c r="O3" s="58" t="s">
        <v>3176</v>
      </c>
      <c r="P3" s="58" t="s">
        <v>3173</v>
      </c>
      <c r="W3" s="70" t="str">
        <f t="shared" ref="W3:X3" si="3">LEFT(O3,LEN(O3)-LEN(RIGHT(O3,27)))</f>
        <v>Accessories</v>
      </c>
      <c r="X3" s="70" t="str">
        <f t="shared" si="3"/>
        <v>Women</v>
      </c>
      <c r="Y3" s="70" t="str">
        <f t="shared" ref="Y3:Y122" si="6">VLOOKUP(W3,$K$3:$L$658,1,)</f>
        <v>Accessories</v>
      </c>
    </row>
    <row r="4" ht="12.75" customHeight="1">
      <c r="B4" s="70" t="s">
        <v>3173</v>
      </c>
      <c r="C4" s="58" t="s">
        <v>3174</v>
      </c>
      <c r="D4" s="58" t="s">
        <v>3177</v>
      </c>
      <c r="J4" s="70" t="str">
        <f t="shared" ref="J4:L4" si="4">LEFT(B4,LEN(B4)-LEN(RIGHT(B4,27)))</f>
        <v>Women</v>
      </c>
      <c r="K4" s="70" t="str">
        <f t="shared" si="4"/>
        <v>Dresses</v>
      </c>
      <c r="L4" s="70" t="str">
        <f t="shared" si="4"/>
        <v>Backless</v>
      </c>
      <c r="O4" s="58" t="s">
        <v>3178</v>
      </c>
      <c r="P4" s="58" t="s">
        <v>3173</v>
      </c>
      <c r="W4" s="70" t="str">
        <f t="shared" ref="W4:X4" si="5">LEFT(O4,LEN(O4)-LEN(RIGHT(O4,27)))</f>
        <v>Ao Dais</v>
      </c>
      <c r="X4" s="70" t="str">
        <f t="shared" si="5"/>
        <v>Women</v>
      </c>
      <c r="Y4" s="70" t="str">
        <f t="shared" si="6"/>
        <v>#N/A</v>
      </c>
    </row>
    <row r="5" ht="12.75" customHeight="1">
      <c r="B5" s="70" t="s">
        <v>3173</v>
      </c>
      <c r="C5" s="58" t="s">
        <v>3174</v>
      </c>
      <c r="D5" s="58" t="s">
        <v>3179</v>
      </c>
      <c r="J5" s="70" t="str">
        <f t="shared" ref="J5:L5" si="7">LEFT(B5,LEN(B5)-LEN(RIGHT(B5,27)))</f>
        <v>Women</v>
      </c>
      <c r="K5" s="70" t="str">
        <f t="shared" si="7"/>
        <v>Dresses</v>
      </c>
      <c r="L5" s="70" t="str">
        <f t="shared" si="7"/>
        <v>High Low</v>
      </c>
      <c r="O5" s="58" t="s">
        <v>3180</v>
      </c>
      <c r="P5" s="58" t="s">
        <v>3173</v>
      </c>
      <c r="W5" s="70" t="str">
        <f t="shared" ref="W5:X5" si="8">LEFT(O5,LEN(O5)-LEN(RIGHT(O5,27)))</f>
        <v>Bags</v>
      </c>
      <c r="X5" s="70" t="str">
        <f t="shared" si="8"/>
        <v>Women</v>
      </c>
      <c r="Y5" s="70" t="str">
        <f t="shared" si="6"/>
        <v>Bags</v>
      </c>
    </row>
    <row r="6" ht="12.75" customHeight="1">
      <c r="B6" s="70" t="s">
        <v>3173</v>
      </c>
      <c r="C6" s="58" t="s">
        <v>3174</v>
      </c>
      <c r="D6" s="58" t="s">
        <v>3181</v>
      </c>
      <c r="J6" s="70" t="str">
        <f t="shared" ref="J6:L6" si="9">LEFT(B6,LEN(B6)-LEN(RIGHT(B6,27)))</f>
        <v>Women</v>
      </c>
      <c r="K6" s="70" t="str">
        <f t="shared" si="9"/>
        <v>Dresses</v>
      </c>
      <c r="L6" s="70" t="str">
        <f t="shared" si="9"/>
        <v>Long Sleeve</v>
      </c>
      <c r="O6" s="58" t="s">
        <v>3182</v>
      </c>
      <c r="P6" s="58" t="s">
        <v>3173</v>
      </c>
      <c r="W6" s="70" t="str">
        <f t="shared" ref="W6:X6" si="10">LEFT(O6,LEN(O6)-LEN(RIGHT(O6,27)))</f>
        <v>Cheongsams &amp; Qipaos</v>
      </c>
      <c r="X6" s="70" t="str">
        <f t="shared" si="10"/>
        <v>Women</v>
      </c>
      <c r="Y6" s="70" t="str">
        <f t="shared" si="6"/>
        <v>#N/A</v>
      </c>
    </row>
    <row r="7" ht="12.75" customHeight="1">
      <c r="B7" s="70" t="s">
        <v>3173</v>
      </c>
      <c r="C7" s="58" t="s">
        <v>3174</v>
      </c>
      <c r="D7" s="58" t="s">
        <v>3183</v>
      </c>
      <c r="J7" s="70" t="str">
        <f t="shared" ref="J7:L7" si="11">LEFT(B7,LEN(B7)-LEN(RIGHT(B7,27)))</f>
        <v>Women</v>
      </c>
      <c r="K7" s="70" t="str">
        <f t="shared" si="11"/>
        <v>Dresses</v>
      </c>
      <c r="L7" s="70" t="str">
        <f t="shared" si="11"/>
        <v>Maxi</v>
      </c>
      <c r="O7" s="58" t="s">
        <v>3184</v>
      </c>
      <c r="P7" s="58" t="s">
        <v>3173</v>
      </c>
      <c r="W7" s="70" t="str">
        <f t="shared" ref="W7:X7" si="12">LEFT(O7,LEN(O7)-LEN(RIGHT(O7,27)))</f>
        <v>Dirndls</v>
      </c>
      <c r="X7" s="70" t="str">
        <f t="shared" si="12"/>
        <v>Women</v>
      </c>
      <c r="Y7" s="70" t="str">
        <f t="shared" si="6"/>
        <v>#N/A</v>
      </c>
    </row>
    <row r="8" ht="12.75" customHeight="1">
      <c r="B8" s="70" t="s">
        <v>3173</v>
      </c>
      <c r="C8" s="58" t="s">
        <v>3174</v>
      </c>
      <c r="D8" s="58" t="s">
        <v>3185</v>
      </c>
      <c r="J8" s="70" t="str">
        <f t="shared" ref="J8:L8" si="13">LEFT(B8,LEN(B8)-LEN(RIGHT(B8,27)))</f>
        <v>Women</v>
      </c>
      <c r="K8" s="70" t="str">
        <f t="shared" si="13"/>
        <v>Dresses</v>
      </c>
      <c r="L8" s="70" t="str">
        <f t="shared" si="13"/>
        <v>Midi</v>
      </c>
      <c r="O8" s="58" t="s">
        <v>3174</v>
      </c>
      <c r="P8" s="58" t="s">
        <v>3173</v>
      </c>
      <c r="W8" s="70" t="str">
        <f t="shared" ref="W8:X8" si="14">LEFT(O8,LEN(O8)-LEN(RIGHT(O8,27)))</f>
        <v>Dresses</v>
      </c>
      <c r="X8" s="70" t="str">
        <f t="shared" si="14"/>
        <v>Women</v>
      </c>
      <c r="Y8" s="70" t="str">
        <f t="shared" si="6"/>
        <v>Dresses</v>
      </c>
    </row>
    <row r="9" ht="12.75" customHeight="1">
      <c r="B9" s="70" t="s">
        <v>3173</v>
      </c>
      <c r="C9" s="58" t="s">
        <v>3174</v>
      </c>
      <c r="D9" s="58" t="s">
        <v>3186</v>
      </c>
      <c r="J9" s="70" t="str">
        <f t="shared" ref="J9:L9" si="15">LEFT(B9,LEN(B9)-LEN(RIGHT(B9,27)))</f>
        <v>Women</v>
      </c>
      <c r="K9" s="70" t="str">
        <f t="shared" si="15"/>
        <v>Dresses</v>
      </c>
      <c r="L9" s="70" t="str">
        <f t="shared" si="15"/>
        <v>Mini</v>
      </c>
      <c r="O9" s="58" t="s">
        <v>3187</v>
      </c>
      <c r="P9" s="58" t="s">
        <v>3173</v>
      </c>
      <c r="W9" s="70" t="str">
        <f t="shared" ref="W9:X9" si="16">LEFT(O9,LEN(O9)-LEN(RIGHT(O9,27)))</f>
        <v>Dupattas &amp; Stoles</v>
      </c>
      <c r="X9" s="70" t="str">
        <f t="shared" si="16"/>
        <v>Women</v>
      </c>
      <c r="Y9" s="70" t="str">
        <f t="shared" si="6"/>
        <v>#N/A</v>
      </c>
    </row>
    <row r="10" ht="12.75" customHeight="1">
      <c r="B10" s="70" t="s">
        <v>3173</v>
      </c>
      <c r="C10" s="58" t="s">
        <v>3174</v>
      </c>
      <c r="D10" s="58" t="s">
        <v>3188</v>
      </c>
      <c r="J10" s="70" t="str">
        <f t="shared" ref="J10:L10" si="17">LEFT(B10,LEN(B10)-LEN(RIGHT(B10,27)))</f>
        <v>Women</v>
      </c>
      <c r="K10" s="70" t="str">
        <f t="shared" si="17"/>
        <v>Dresses</v>
      </c>
      <c r="L10" s="70" t="str">
        <f t="shared" si="17"/>
        <v>One Shoulder</v>
      </c>
      <c r="O10" s="58" t="s">
        <v>3189</v>
      </c>
      <c r="P10" s="58" t="s">
        <v>3173</v>
      </c>
      <c r="W10" s="70" t="str">
        <f t="shared" ref="W10:X10" si="18">LEFT(O10,LEN(O10)-LEN(RIGHT(O10,27)))</f>
        <v>Hanboks</v>
      </c>
      <c r="X10" s="70" t="str">
        <f t="shared" si="18"/>
        <v>Women</v>
      </c>
      <c r="Y10" s="70" t="str">
        <f t="shared" si="6"/>
        <v>#N/A</v>
      </c>
    </row>
    <row r="11" ht="12.75" customHeight="1">
      <c r="B11" s="70" t="s">
        <v>3173</v>
      </c>
      <c r="C11" s="58" t="s">
        <v>3174</v>
      </c>
      <c r="D11" s="58" t="s">
        <v>3190</v>
      </c>
      <c r="J11" s="70" t="str">
        <f t="shared" ref="J11:L11" si="19">LEFT(B11,LEN(B11)-LEN(RIGHT(B11,27)))</f>
        <v>Women</v>
      </c>
      <c r="K11" s="70" t="str">
        <f t="shared" si="19"/>
        <v>Dresses</v>
      </c>
      <c r="L11" s="70" t="str">
        <f t="shared" si="19"/>
        <v>Prom</v>
      </c>
      <c r="O11" s="58" t="s">
        <v>3191</v>
      </c>
      <c r="P11" s="58" t="s">
        <v>3173</v>
      </c>
      <c r="W11" s="70" t="str">
        <f t="shared" ref="W11:X11" si="20">LEFT(O11,LEN(O11)-LEN(RIGHT(O11,27)))</f>
        <v>Harem Pants</v>
      </c>
      <c r="X11" s="70" t="str">
        <f t="shared" si="20"/>
        <v>Women</v>
      </c>
      <c r="Y11" s="70" t="str">
        <f t="shared" si="6"/>
        <v>#N/A</v>
      </c>
    </row>
    <row r="12" ht="12.75" customHeight="1">
      <c r="B12" s="70" t="s">
        <v>3173</v>
      </c>
      <c r="C12" s="58" t="s">
        <v>3174</v>
      </c>
      <c r="D12" s="58" t="s">
        <v>3192</v>
      </c>
      <c r="J12" s="70" t="str">
        <f t="shared" ref="J12:L12" si="21">LEFT(B12,LEN(B12)-LEN(RIGHT(B12,27)))</f>
        <v>Women</v>
      </c>
      <c r="K12" s="70" t="str">
        <f t="shared" si="21"/>
        <v>Dresses</v>
      </c>
      <c r="L12" s="70" t="str">
        <f t="shared" si="21"/>
        <v>Strapless</v>
      </c>
      <c r="O12" s="58" t="s">
        <v>3193</v>
      </c>
      <c r="P12" s="58" t="s">
        <v>3173</v>
      </c>
      <c r="W12" s="70" t="str">
        <f t="shared" ref="W12:X12" si="22">LEFT(O12,LEN(O12)-LEN(RIGHT(O12,27)))</f>
        <v>Hijabs</v>
      </c>
      <c r="X12" s="70" t="str">
        <f t="shared" si="22"/>
        <v>Women</v>
      </c>
      <c r="Y12" s="70" t="str">
        <f t="shared" si="6"/>
        <v>#N/A</v>
      </c>
    </row>
    <row r="13" ht="12.75" customHeight="1">
      <c r="B13" s="70" t="s">
        <v>3173</v>
      </c>
      <c r="C13" s="58" t="s">
        <v>3174</v>
      </c>
      <c r="D13" s="58" t="s">
        <v>3194</v>
      </c>
      <c r="J13" s="70" t="str">
        <f t="shared" ref="J13:L13" si="23">LEFT(B13,LEN(B13)-LEN(RIGHT(B13,27)))</f>
        <v>Women</v>
      </c>
      <c r="K13" s="70" t="str">
        <f t="shared" si="23"/>
        <v>Dresses</v>
      </c>
      <c r="L13" s="70" t="str">
        <f t="shared" si="23"/>
        <v>Wedding</v>
      </c>
      <c r="O13" s="58" t="s">
        <v>3195</v>
      </c>
      <c r="P13" s="58" t="s">
        <v>3173</v>
      </c>
      <c r="W13" s="70" t="str">
        <f t="shared" ref="W13:X13" si="24">LEFT(O13,LEN(O13)-LEN(RIGHT(O13,27)))</f>
        <v>Huipils</v>
      </c>
      <c r="X13" s="70" t="str">
        <f t="shared" si="24"/>
        <v>Women</v>
      </c>
      <c r="Y13" s="70" t="str">
        <f t="shared" si="6"/>
        <v>#N/A</v>
      </c>
    </row>
    <row r="14" ht="12.75" customHeight="1">
      <c r="B14" s="70" t="s">
        <v>3173</v>
      </c>
      <c r="C14" s="58" t="s">
        <v>3196</v>
      </c>
      <c r="D14" s="58" t="s">
        <v>3197</v>
      </c>
      <c r="J14" s="70" t="str">
        <f t="shared" ref="J14:L14" si="25">LEFT(B14,LEN(B14)-LEN(RIGHT(B14,27)))</f>
        <v>Women</v>
      </c>
      <c r="K14" s="70" t="str">
        <f t="shared" si="25"/>
        <v>Skirts</v>
      </c>
      <c r="L14" s="70" t="str">
        <f t="shared" si="25"/>
        <v>A-Line or Full</v>
      </c>
      <c r="O14" s="58" t="s">
        <v>3198</v>
      </c>
      <c r="P14" s="58" t="s">
        <v>3173</v>
      </c>
      <c r="W14" s="70" t="str">
        <f t="shared" ref="W14:X14" si="26">LEFT(O14,LEN(O14)-LEN(RIGHT(O14,27)))</f>
        <v>Intimates &amp; Sleepwear</v>
      </c>
      <c r="X14" s="70" t="str">
        <f t="shared" si="26"/>
        <v>Women</v>
      </c>
      <c r="Y14" s="70" t="str">
        <f t="shared" si="6"/>
        <v>Intimates &amp; Sleepwear</v>
      </c>
    </row>
    <row r="15" ht="12.75" customHeight="1">
      <c r="B15" s="70" t="s">
        <v>3173</v>
      </c>
      <c r="C15" s="58" t="s">
        <v>3196</v>
      </c>
      <c r="D15" s="58" t="s">
        <v>3199</v>
      </c>
      <c r="J15" s="70" t="str">
        <f t="shared" ref="J15:L15" si="27">LEFT(B15,LEN(B15)-LEN(RIGHT(B15,27)))</f>
        <v>Women</v>
      </c>
      <c r="K15" s="70" t="str">
        <f t="shared" si="27"/>
        <v>Skirts</v>
      </c>
      <c r="L15" s="70" t="str">
        <f t="shared" si="27"/>
        <v>Asymmetrical</v>
      </c>
      <c r="O15" s="58" t="s">
        <v>3200</v>
      </c>
      <c r="P15" s="58" t="s">
        <v>3173</v>
      </c>
      <c r="W15" s="70" t="str">
        <f t="shared" ref="W15:X15" si="28">LEFT(O15,LEN(O15)-LEN(RIGHT(O15,27)))</f>
        <v>Jackets &amp; Coats</v>
      </c>
      <c r="X15" s="70" t="str">
        <f t="shared" si="28"/>
        <v>Women</v>
      </c>
      <c r="Y15" s="70" t="str">
        <f t="shared" si="6"/>
        <v>Jackets &amp; Coats</v>
      </c>
    </row>
    <row r="16" ht="12.75" customHeight="1">
      <c r="B16" s="70" t="s">
        <v>3173</v>
      </c>
      <c r="C16" s="58" t="s">
        <v>3196</v>
      </c>
      <c r="D16" s="58" t="s">
        <v>3201</v>
      </c>
      <c r="J16" s="70" t="str">
        <f t="shared" ref="J16:L16" si="29">LEFT(B16,LEN(B16)-LEN(RIGHT(B16,27)))</f>
        <v>Women</v>
      </c>
      <c r="K16" s="70" t="str">
        <f t="shared" si="29"/>
        <v>Skirts</v>
      </c>
      <c r="L16" s="70" t="str">
        <f t="shared" si="29"/>
        <v>Circle &amp; Skater</v>
      </c>
      <c r="O16" s="58" t="s">
        <v>3202</v>
      </c>
      <c r="P16" s="58" t="s">
        <v>3173</v>
      </c>
      <c r="W16" s="70" t="str">
        <f t="shared" ref="W16:X16" si="30">LEFT(O16,LEN(O16)-LEN(RIGHT(O16,27)))</f>
        <v>Jeans</v>
      </c>
      <c r="X16" s="70" t="str">
        <f t="shared" si="30"/>
        <v>Women</v>
      </c>
      <c r="Y16" s="70" t="str">
        <f t="shared" si="6"/>
        <v>Jeans</v>
      </c>
    </row>
    <row r="17" ht="12.75" customHeight="1">
      <c r="B17" s="70" t="s">
        <v>3173</v>
      </c>
      <c r="C17" s="58" t="s">
        <v>3196</v>
      </c>
      <c r="D17" s="58" t="s">
        <v>3203</v>
      </c>
      <c r="J17" s="70" t="str">
        <f t="shared" ref="J17:L17" si="31">LEFT(B17,LEN(B17)-LEN(RIGHT(B17,27)))</f>
        <v>Women</v>
      </c>
      <c r="K17" s="70" t="str">
        <f t="shared" si="31"/>
        <v>Skirts</v>
      </c>
      <c r="L17" s="70" t="str">
        <f t="shared" si="31"/>
        <v>High Low</v>
      </c>
      <c r="O17" s="58" t="s">
        <v>3204</v>
      </c>
      <c r="P17" s="58" t="s">
        <v>3173</v>
      </c>
      <c r="W17" s="70" t="str">
        <f t="shared" ref="W17:X17" si="32">LEFT(O17,LEN(O17)-LEN(RIGHT(O17,27)))</f>
        <v>Jewelry</v>
      </c>
      <c r="X17" s="70" t="str">
        <f t="shared" si="32"/>
        <v>Women</v>
      </c>
      <c r="Y17" s="70" t="str">
        <f t="shared" si="6"/>
        <v>Jewelry</v>
      </c>
    </row>
    <row r="18" ht="12.75" customHeight="1">
      <c r="B18" s="70" t="s">
        <v>3173</v>
      </c>
      <c r="C18" s="58" t="s">
        <v>3196</v>
      </c>
      <c r="D18" s="58" t="s">
        <v>3205</v>
      </c>
      <c r="J18" s="70" t="str">
        <f t="shared" ref="J18:L18" si="33">LEFT(B18,LEN(B18)-LEN(RIGHT(B18,27)))</f>
        <v>Women</v>
      </c>
      <c r="K18" s="70" t="str">
        <f t="shared" si="33"/>
        <v>Skirts</v>
      </c>
      <c r="L18" s="70" t="str">
        <f t="shared" si="33"/>
        <v>Maxi</v>
      </c>
      <c r="O18" s="58" t="s">
        <v>3206</v>
      </c>
      <c r="P18" s="58" t="s">
        <v>3173</v>
      </c>
      <c r="W18" s="70" t="str">
        <f t="shared" ref="W18:X18" si="34">LEFT(O18,LEN(O18)-LEN(RIGHT(O18,27)))</f>
        <v>Kaftans</v>
      </c>
      <c r="X18" s="70" t="str">
        <f t="shared" si="34"/>
        <v>Women</v>
      </c>
      <c r="Y18" s="70" t="str">
        <f t="shared" si="6"/>
        <v>#N/A</v>
      </c>
    </row>
    <row r="19" ht="12.75" customHeight="1">
      <c r="B19" s="70" t="s">
        <v>3173</v>
      </c>
      <c r="C19" s="58" t="s">
        <v>3196</v>
      </c>
      <c r="D19" s="58" t="s">
        <v>3207</v>
      </c>
      <c r="J19" s="70" t="str">
        <f t="shared" ref="J19:L19" si="35">LEFT(B19,LEN(B19)-LEN(RIGHT(B19,27)))</f>
        <v>Women</v>
      </c>
      <c r="K19" s="70" t="str">
        <f t="shared" si="35"/>
        <v>Skirts</v>
      </c>
      <c r="L19" s="70" t="str">
        <f t="shared" si="35"/>
        <v>Midi</v>
      </c>
      <c r="O19" s="58" t="s">
        <v>3208</v>
      </c>
      <c r="P19" s="58" t="s">
        <v>3173</v>
      </c>
      <c r="W19" s="70" t="str">
        <f t="shared" ref="W19:X19" si="36">LEFT(O19,LEN(O19)-LEN(RIGHT(O19,27)))</f>
        <v>Kimonos &amp; Yukatas</v>
      </c>
      <c r="X19" s="70" t="str">
        <f t="shared" si="36"/>
        <v>Women</v>
      </c>
      <c r="Y19" s="70" t="str">
        <f t="shared" si="6"/>
        <v>#N/A</v>
      </c>
    </row>
    <row r="20" ht="12.75" customHeight="1">
      <c r="B20" s="70" t="s">
        <v>3173</v>
      </c>
      <c r="C20" s="58" t="s">
        <v>3196</v>
      </c>
      <c r="D20" s="58" t="s">
        <v>3209</v>
      </c>
      <c r="J20" s="70" t="str">
        <f t="shared" ref="J20:L20" si="37">LEFT(B20,LEN(B20)-LEN(RIGHT(B20,27)))</f>
        <v>Women</v>
      </c>
      <c r="K20" s="70" t="str">
        <f t="shared" si="37"/>
        <v>Skirts</v>
      </c>
      <c r="L20" s="70" t="str">
        <f t="shared" si="37"/>
        <v>Mini</v>
      </c>
      <c r="O20" s="58" t="s">
        <v>3210</v>
      </c>
      <c r="P20" s="58" t="s">
        <v>3173</v>
      </c>
      <c r="W20" s="70" t="str">
        <f t="shared" ref="W20:X20" si="38">LEFT(O20,LEN(O20)-LEN(RIGHT(O20,27)))</f>
        <v>Kurta Bottoms</v>
      </c>
      <c r="X20" s="70" t="str">
        <f t="shared" si="38"/>
        <v>Women</v>
      </c>
      <c r="Y20" s="70" t="str">
        <f t="shared" si="6"/>
        <v>#N/A</v>
      </c>
    </row>
    <row r="21" ht="12.75" customHeight="1">
      <c r="B21" s="70" t="s">
        <v>3173</v>
      </c>
      <c r="C21" s="58" t="s">
        <v>3196</v>
      </c>
      <c r="D21" s="58" t="s">
        <v>3211</v>
      </c>
      <c r="J21" s="70" t="str">
        <f t="shared" ref="J21:L21" si="39">LEFT(B21,LEN(B21)-LEN(RIGHT(B21,27)))</f>
        <v>Women</v>
      </c>
      <c r="K21" s="70" t="str">
        <f t="shared" si="39"/>
        <v>Skirts</v>
      </c>
      <c r="L21" s="70" t="str">
        <f t="shared" si="39"/>
        <v>Pencil</v>
      </c>
      <c r="O21" s="58" t="s">
        <v>3212</v>
      </c>
      <c r="P21" s="58" t="s">
        <v>3173</v>
      </c>
      <c r="W21" s="70" t="str">
        <f t="shared" ref="W21:X21" si="40">LEFT(O21,LEN(O21)-LEN(RIGHT(O21,27)))</f>
        <v>Kurtas</v>
      </c>
      <c r="X21" s="70" t="str">
        <f t="shared" si="40"/>
        <v>Women</v>
      </c>
      <c r="Y21" s="70" t="str">
        <f t="shared" si="6"/>
        <v>#N/A</v>
      </c>
    </row>
    <row r="22" ht="12.75" customHeight="1">
      <c r="B22" s="70" t="s">
        <v>3173</v>
      </c>
      <c r="C22" s="58" t="s">
        <v>3196</v>
      </c>
      <c r="D22" s="58" t="s">
        <v>3213</v>
      </c>
      <c r="J22" s="70" t="str">
        <f t="shared" ref="J22:L22" si="41">LEFT(B22,LEN(B22)-LEN(RIGHT(B22,27)))</f>
        <v>Women</v>
      </c>
      <c r="K22" s="70" t="str">
        <f t="shared" si="41"/>
        <v>Skirts</v>
      </c>
      <c r="L22" s="70" t="str">
        <f t="shared" si="41"/>
        <v>Skirt Sets</v>
      </c>
      <c r="O22" s="58" t="s">
        <v>3214</v>
      </c>
      <c r="P22" s="58" t="s">
        <v>3173</v>
      </c>
      <c r="W22" s="70" t="str">
        <f t="shared" ref="W22:X22" si="42">LEFT(O22,LEN(O22)-LEN(RIGHT(O22,27)))</f>
        <v>Lehengas</v>
      </c>
      <c r="X22" s="70" t="str">
        <f t="shared" si="42"/>
        <v>Women</v>
      </c>
      <c r="Y22" s="70" t="str">
        <f t="shared" si="6"/>
        <v>#N/A</v>
      </c>
    </row>
    <row r="23" ht="12.75" customHeight="1">
      <c r="B23" s="70" t="s">
        <v>3173</v>
      </c>
      <c r="C23" s="58" t="s">
        <v>3200</v>
      </c>
      <c r="D23" s="58" t="s">
        <v>3215</v>
      </c>
      <c r="J23" s="70" t="str">
        <f t="shared" ref="J23:L23" si="43">LEFT(B23,LEN(B23)-LEN(RIGHT(B23,27)))</f>
        <v>Women</v>
      </c>
      <c r="K23" s="70" t="str">
        <f t="shared" si="43"/>
        <v>Jackets &amp; Coats</v>
      </c>
      <c r="L23" s="70" t="str">
        <f t="shared" si="43"/>
        <v>Blazers &amp; Suit Jackets</v>
      </c>
      <c r="O23" s="58" t="s">
        <v>3216</v>
      </c>
      <c r="P23" s="58" t="s">
        <v>3173</v>
      </c>
      <c r="W23" s="70" t="str">
        <f t="shared" ref="W23:X23" si="44">LEFT(O23,LEN(O23)-LEN(RIGHT(O23,27)))</f>
        <v>Makeup</v>
      </c>
      <c r="X23" s="70" t="str">
        <f t="shared" si="44"/>
        <v>Women</v>
      </c>
      <c r="Y23" s="70" t="str">
        <f t="shared" si="6"/>
        <v>Makeup</v>
      </c>
    </row>
    <row r="24" ht="12.75" customHeight="1">
      <c r="B24" s="70" t="s">
        <v>3173</v>
      </c>
      <c r="C24" s="58" t="s">
        <v>3200</v>
      </c>
      <c r="D24" s="58" t="s">
        <v>3217</v>
      </c>
      <c r="J24" s="70" t="str">
        <f t="shared" ref="J24:L24" si="45">LEFT(B24,LEN(B24)-LEN(RIGHT(B24,27)))</f>
        <v>Women</v>
      </c>
      <c r="K24" s="70" t="str">
        <f t="shared" si="45"/>
        <v>Jackets &amp; Coats</v>
      </c>
      <c r="L24" s="70" t="str">
        <f t="shared" si="45"/>
        <v>Bomber Jackets</v>
      </c>
      <c r="O24" s="58" t="s">
        <v>3218</v>
      </c>
      <c r="P24" s="58" t="s">
        <v>3173</v>
      </c>
      <c r="W24" s="70" t="str">
        <f t="shared" ref="W24:X24" si="46">LEFT(O24,LEN(O24)-LEN(RIGHT(O24,27)))</f>
        <v>Palazzo Pants</v>
      </c>
      <c r="X24" s="70" t="str">
        <f t="shared" si="46"/>
        <v>Women</v>
      </c>
      <c r="Y24" s="70" t="str">
        <f t="shared" si="6"/>
        <v>#N/A</v>
      </c>
    </row>
    <row r="25" ht="12.75" customHeight="1">
      <c r="B25" s="70" t="s">
        <v>3173</v>
      </c>
      <c r="C25" s="58" t="s">
        <v>3200</v>
      </c>
      <c r="D25" s="58" t="s">
        <v>3219</v>
      </c>
      <c r="J25" s="70" t="str">
        <f t="shared" ref="J25:L25" si="47">LEFT(B25,LEN(B25)-LEN(RIGHT(B25,27)))</f>
        <v>Women</v>
      </c>
      <c r="K25" s="70" t="str">
        <f t="shared" si="47"/>
        <v>Jackets &amp; Coats</v>
      </c>
      <c r="L25" s="70" t="str">
        <f t="shared" si="47"/>
        <v>Capes</v>
      </c>
      <c r="O25" s="58" t="s">
        <v>3220</v>
      </c>
      <c r="P25" s="58" t="s">
        <v>3173</v>
      </c>
      <c r="W25" s="70" t="str">
        <f t="shared" ref="W25:X25" si="48">LEFT(O25,LEN(O25)-LEN(RIGHT(O25,27)))</f>
        <v>Pants &amp; Jumpsuits</v>
      </c>
      <c r="X25" s="70" t="str">
        <f t="shared" si="48"/>
        <v>Women</v>
      </c>
      <c r="Y25" s="70" t="str">
        <f t="shared" si="6"/>
        <v>Pants &amp; Jumpsuits</v>
      </c>
    </row>
    <row r="26" ht="12.75" customHeight="1">
      <c r="B26" s="70" t="s">
        <v>3173</v>
      </c>
      <c r="C26" s="58" t="s">
        <v>3200</v>
      </c>
      <c r="D26" s="58" t="s">
        <v>3221</v>
      </c>
      <c r="J26" s="70" t="str">
        <f t="shared" ref="J26:L26" si="49">LEFT(B26,LEN(B26)-LEN(RIGHT(B26,27)))</f>
        <v>Women</v>
      </c>
      <c r="K26" s="70" t="str">
        <f t="shared" si="49"/>
        <v>Jackets &amp; Coats</v>
      </c>
      <c r="L26" s="70" t="str">
        <f t="shared" si="49"/>
        <v>Jean Jackets</v>
      </c>
      <c r="O26" s="58" t="s">
        <v>3222</v>
      </c>
      <c r="P26" s="58" t="s">
        <v>3173</v>
      </c>
      <c r="W26" s="70" t="str">
        <f t="shared" ref="W26:X26" si="50">LEFT(O26,LEN(O26)-LEN(RIGHT(O26,27)))</f>
        <v>Patiala Pants</v>
      </c>
      <c r="X26" s="70" t="str">
        <f t="shared" si="50"/>
        <v>Women</v>
      </c>
      <c r="Y26" s="70" t="str">
        <f t="shared" si="6"/>
        <v>#N/A</v>
      </c>
    </row>
    <row r="27" ht="12.75" customHeight="1">
      <c r="B27" s="70" t="s">
        <v>3173</v>
      </c>
      <c r="C27" s="58" t="s">
        <v>3200</v>
      </c>
      <c r="D27" s="58" t="s">
        <v>3223</v>
      </c>
      <c r="J27" s="70" t="str">
        <f t="shared" ref="J27:L27" si="51">LEFT(B27,LEN(B27)-LEN(RIGHT(B27,27)))</f>
        <v>Women</v>
      </c>
      <c r="K27" s="70" t="str">
        <f t="shared" si="51"/>
        <v>Jackets &amp; Coats</v>
      </c>
      <c r="L27" s="70" t="str">
        <f t="shared" si="51"/>
        <v>Leather Jackets</v>
      </c>
      <c r="O27" s="58" t="s">
        <v>3224</v>
      </c>
      <c r="P27" s="58" t="s">
        <v>3173</v>
      </c>
      <c r="W27" s="70" t="str">
        <f t="shared" ref="W27:X27" si="52">LEFT(O27,LEN(O27)-LEN(RIGHT(O27,27)))</f>
        <v>Salwars</v>
      </c>
      <c r="X27" s="70" t="str">
        <f t="shared" si="52"/>
        <v>Women</v>
      </c>
      <c r="Y27" s="70" t="str">
        <f t="shared" si="6"/>
        <v>#N/A</v>
      </c>
    </row>
    <row r="28" ht="12.75" customHeight="1">
      <c r="B28" s="70" t="s">
        <v>3173</v>
      </c>
      <c r="C28" s="58" t="s">
        <v>3200</v>
      </c>
      <c r="D28" s="58" t="s">
        <v>3225</v>
      </c>
      <c r="J28" s="70" t="str">
        <f t="shared" ref="J28:L28" si="53">LEFT(B28,LEN(B28)-LEN(RIGHT(B28,27)))</f>
        <v>Women</v>
      </c>
      <c r="K28" s="70" t="str">
        <f t="shared" si="53"/>
        <v>Jackets &amp; Coats</v>
      </c>
      <c r="L28" s="70" t="str">
        <f t="shared" si="53"/>
        <v>Pea Coats</v>
      </c>
      <c r="O28" s="58" t="s">
        <v>3226</v>
      </c>
      <c r="P28" s="58" t="s">
        <v>3173</v>
      </c>
      <c r="W28" s="70" t="str">
        <f t="shared" ref="W28:X28" si="54">LEFT(O28,LEN(O28)-LEN(RIGHT(O28,27)))</f>
        <v>Saree Blouses</v>
      </c>
      <c r="X28" s="70" t="str">
        <f t="shared" si="54"/>
        <v>Women</v>
      </c>
      <c r="Y28" s="70" t="str">
        <f t="shared" si="6"/>
        <v>#N/A</v>
      </c>
    </row>
    <row r="29" ht="12.75" customHeight="1">
      <c r="B29" s="70" t="s">
        <v>3173</v>
      </c>
      <c r="C29" s="58" t="s">
        <v>3200</v>
      </c>
      <c r="D29" s="58" t="s">
        <v>3227</v>
      </c>
      <c r="J29" s="70" t="str">
        <f t="shared" ref="J29:L29" si="55">LEFT(B29,LEN(B29)-LEN(RIGHT(B29,27)))</f>
        <v>Women</v>
      </c>
      <c r="K29" s="70" t="str">
        <f t="shared" si="55"/>
        <v>Jackets &amp; Coats</v>
      </c>
      <c r="L29" s="70" t="str">
        <f t="shared" si="55"/>
        <v>Puffers</v>
      </c>
      <c r="O29" s="58" t="s">
        <v>3228</v>
      </c>
      <c r="P29" s="58" t="s">
        <v>3173</v>
      </c>
      <c r="W29" s="70" t="str">
        <f t="shared" ref="W29:X29" si="56">LEFT(O29,LEN(O29)-LEN(RIGHT(O29,27)))</f>
        <v>Sarees</v>
      </c>
      <c r="X29" s="70" t="str">
        <f t="shared" si="56"/>
        <v>Women</v>
      </c>
      <c r="Y29" s="70" t="str">
        <f t="shared" si="6"/>
        <v>#N/A</v>
      </c>
    </row>
    <row r="30" ht="12.75" customHeight="1">
      <c r="B30" s="70" t="s">
        <v>3173</v>
      </c>
      <c r="C30" s="58" t="s">
        <v>3200</v>
      </c>
      <c r="D30" s="58" t="s">
        <v>3229</v>
      </c>
      <c r="J30" s="70" t="str">
        <f t="shared" ref="J30:L30" si="57">LEFT(B30,LEN(B30)-LEN(RIGHT(B30,27)))</f>
        <v>Women</v>
      </c>
      <c r="K30" s="70" t="str">
        <f t="shared" si="57"/>
        <v>Jackets &amp; Coats</v>
      </c>
      <c r="L30" s="70" t="str">
        <f t="shared" si="57"/>
        <v>Ski &amp; Snow Jackets</v>
      </c>
      <c r="O30" s="58" t="s">
        <v>3230</v>
      </c>
      <c r="P30" s="58" t="s">
        <v>3173</v>
      </c>
      <c r="W30" s="70" t="str">
        <f t="shared" ref="W30:X30" si="58">LEFT(O30,LEN(O30)-LEN(RIGHT(O30,27)))</f>
        <v>Shoes</v>
      </c>
      <c r="X30" s="70" t="str">
        <f t="shared" si="58"/>
        <v>Women</v>
      </c>
      <c r="Y30" s="70" t="str">
        <f t="shared" si="6"/>
        <v>Shoes</v>
      </c>
    </row>
    <row r="31" ht="12.75" customHeight="1">
      <c r="B31" s="70" t="s">
        <v>3173</v>
      </c>
      <c r="C31" s="58" t="s">
        <v>3200</v>
      </c>
      <c r="D31" s="58" t="s">
        <v>3231</v>
      </c>
      <c r="J31" s="70" t="str">
        <f t="shared" ref="J31:L31" si="59">LEFT(B31,LEN(B31)-LEN(RIGHT(B31,27)))</f>
        <v>Women</v>
      </c>
      <c r="K31" s="70" t="str">
        <f t="shared" si="59"/>
        <v>Jackets &amp; Coats</v>
      </c>
      <c r="L31" s="70" t="str">
        <f t="shared" si="59"/>
        <v>Teddy Jackets</v>
      </c>
      <c r="O31" s="58" t="s">
        <v>3232</v>
      </c>
      <c r="P31" s="58" t="s">
        <v>3173</v>
      </c>
      <c r="W31" s="70" t="str">
        <f t="shared" ref="W31:X31" si="60">LEFT(O31,LEN(O31)-LEN(RIGHT(O31,27)))</f>
        <v>Shorts</v>
      </c>
      <c r="X31" s="70" t="str">
        <f t="shared" si="60"/>
        <v>Women</v>
      </c>
      <c r="Y31" s="70" t="str">
        <f t="shared" si="6"/>
        <v>Shorts</v>
      </c>
    </row>
    <row r="32" ht="12.75" customHeight="1">
      <c r="B32" s="70" t="s">
        <v>3173</v>
      </c>
      <c r="C32" s="58" t="s">
        <v>3200</v>
      </c>
      <c r="D32" s="58" t="s">
        <v>3233</v>
      </c>
      <c r="J32" s="70" t="str">
        <f t="shared" ref="J32:L32" si="61">LEFT(B32,LEN(B32)-LEN(RIGHT(B32,27)))</f>
        <v>Women</v>
      </c>
      <c r="K32" s="70" t="str">
        <f t="shared" si="61"/>
        <v>Jackets &amp; Coats</v>
      </c>
      <c r="L32" s="70" t="str">
        <f t="shared" si="61"/>
        <v>Trench Coats</v>
      </c>
      <c r="O32" s="58" t="s">
        <v>3196</v>
      </c>
      <c r="P32" s="58" t="s">
        <v>3173</v>
      </c>
      <c r="W32" s="70" t="str">
        <f t="shared" ref="W32:X32" si="62">LEFT(O32,LEN(O32)-LEN(RIGHT(O32,27)))</f>
        <v>Skirts</v>
      </c>
      <c r="X32" s="70" t="str">
        <f t="shared" si="62"/>
        <v>Women</v>
      </c>
      <c r="Y32" s="70" t="str">
        <f t="shared" si="6"/>
        <v>Skirts</v>
      </c>
    </row>
    <row r="33" ht="12.75" customHeight="1">
      <c r="B33" s="70" t="s">
        <v>3173</v>
      </c>
      <c r="C33" s="58" t="s">
        <v>3200</v>
      </c>
      <c r="D33" s="58" t="s">
        <v>3234</v>
      </c>
      <c r="J33" s="70" t="str">
        <f t="shared" ref="J33:L33" si="63">LEFT(B33,LEN(B33)-LEN(RIGHT(B33,27)))</f>
        <v>Women</v>
      </c>
      <c r="K33" s="70" t="str">
        <f t="shared" si="63"/>
        <v>Jackets &amp; Coats</v>
      </c>
      <c r="L33" s="70" t="str">
        <f t="shared" si="63"/>
        <v>Utility Jackets</v>
      </c>
      <c r="O33" s="58" t="s">
        <v>3235</v>
      </c>
      <c r="P33" s="58" t="s">
        <v>3173</v>
      </c>
      <c r="W33" s="70" t="str">
        <f t="shared" ref="W33:X33" si="64">LEFT(O33,LEN(O33)-LEN(RIGHT(O33,27)))</f>
        <v>Sweaters</v>
      </c>
      <c r="X33" s="70" t="str">
        <f t="shared" si="64"/>
        <v>Women</v>
      </c>
      <c r="Y33" s="70" t="str">
        <f t="shared" si="6"/>
        <v>Sweaters</v>
      </c>
    </row>
    <row r="34" ht="12.75" customHeight="1">
      <c r="B34" s="70" t="s">
        <v>3173</v>
      </c>
      <c r="C34" s="58" t="s">
        <v>3200</v>
      </c>
      <c r="D34" s="58" t="s">
        <v>3236</v>
      </c>
      <c r="J34" s="70" t="str">
        <f t="shared" ref="J34:L34" si="65">LEFT(B34,LEN(B34)-LEN(RIGHT(B34,27)))</f>
        <v>Women</v>
      </c>
      <c r="K34" s="70" t="str">
        <f t="shared" si="65"/>
        <v>Jackets &amp; Coats</v>
      </c>
      <c r="L34" s="70" t="str">
        <f t="shared" si="65"/>
        <v>Varsity Jackets</v>
      </c>
      <c r="O34" s="58" t="s">
        <v>3237</v>
      </c>
      <c r="P34" s="58" t="s">
        <v>3173</v>
      </c>
      <c r="W34" s="70" t="str">
        <f t="shared" ref="W34:X34" si="66">LEFT(O34,LEN(O34)-LEN(RIGHT(O34,27)))</f>
        <v>Swim</v>
      </c>
      <c r="X34" s="70" t="str">
        <f t="shared" si="66"/>
        <v>Women</v>
      </c>
      <c r="Y34" s="70" t="str">
        <f t="shared" si="6"/>
        <v>Swim</v>
      </c>
    </row>
    <row r="35" ht="12.75" customHeight="1">
      <c r="B35" s="70" t="s">
        <v>3173</v>
      </c>
      <c r="C35" s="58" t="s">
        <v>3200</v>
      </c>
      <c r="D35" s="58" t="s">
        <v>3238</v>
      </c>
      <c r="J35" s="70" t="str">
        <f t="shared" ref="J35:L35" si="67">LEFT(B35,LEN(B35)-LEN(RIGHT(B35,27)))</f>
        <v>Women</v>
      </c>
      <c r="K35" s="70" t="str">
        <f t="shared" si="67"/>
        <v>Jackets &amp; Coats</v>
      </c>
      <c r="L35" s="70" t="str">
        <f t="shared" si="67"/>
        <v>Vests</v>
      </c>
      <c r="O35" s="58" t="s">
        <v>3239</v>
      </c>
      <c r="P35" s="58" t="s">
        <v>3173</v>
      </c>
      <c r="W35" s="70" t="str">
        <f t="shared" ref="W35:X35" si="68">LEFT(O35,LEN(O35)-LEN(RIGHT(O35,27)))</f>
        <v>Tops</v>
      </c>
      <c r="X35" s="70" t="str">
        <f t="shared" si="68"/>
        <v>Women</v>
      </c>
      <c r="Y35" s="70" t="str">
        <f t="shared" si="6"/>
        <v>Tops</v>
      </c>
    </row>
    <row r="36" ht="12.75" customHeight="1">
      <c r="B36" s="70" t="s">
        <v>3173</v>
      </c>
      <c r="C36" s="58" t="s">
        <v>3235</v>
      </c>
      <c r="D36" s="58" t="s">
        <v>3240</v>
      </c>
      <c r="J36" s="70" t="str">
        <f t="shared" ref="J36:L36" si="69">LEFT(B36,LEN(B36)-LEN(RIGHT(B36,27)))</f>
        <v>Women</v>
      </c>
      <c r="K36" s="70" t="str">
        <f t="shared" si="69"/>
        <v>Sweaters</v>
      </c>
      <c r="L36" s="70" t="str">
        <f t="shared" si="69"/>
        <v>Cardigans</v>
      </c>
      <c r="O36" s="58" t="s">
        <v>3241</v>
      </c>
      <c r="P36" s="58" t="s">
        <v>3173</v>
      </c>
      <c r="W36" s="70" t="str">
        <f t="shared" ref="W36:X36" si="70">LEFT(O36,LEN(O36)-LEN(RIGHT(O36,27)))</f>
        <v>Treggings</v>
      </c>
      <c r="X36" s="70" t="str">
        <f t="shared" si="70"/>
        <v>Women</v>
      </c>
      <c r="Y36" s="70" t="str">
        <f t="shared" si="6"/>
        <v>#N/A</v>
      </c>
    </row>
    <row r="37" ht="12.75" customHeight="1">
      <c r="B37" s="70" t="s">
        <v>3173</v>
      </c>
      <c r="C37" s="58" t="s">
        <v>3235</v>
      </c>
      <c r="D37" s="58" t="s">
        <v>3242</v>
      </c>
      <c r="J37" s="70" t="str">
        <f t="shared" ref="J37:L37" si="71">LEFT(B37,LEN(B37)-LEN(RIGHT(B37,27)))</f>
        <v>Women</v>
      </c>
      <c r="K37" s="70" t="str">
        <f t="shared" si="71"/>
        <v>Sweaters</v>
      </c>
      <c r="L37" s="70" t="str">
        <f t="shared" si="71"/>
        <v>Cowl &amp; Turtlenecks</v>
      </c>
      <c r="O37" s="58" t="s">
        <v>3243</v>
      </c>
      <c r="P37" s="58" t="s">
        <v>3173</v>
      </c>
      <c r="W37" s="70" t="str">
        <f t="shared" ref="W37:X37" si="72">LEFT(O37,LEN(O37)-LEN(RIGHT(O37,27)))</f>
        <v>Skincare</v>
      </c>
      <c r="X37" s="70" t="str">
        <f t="shared" si="72"/>
        <v>Women</v>
      </c>
      <c r="Y37" s="70" t="str">
        <f t="shared" si="6"/>
        <v>Skincare</v>
      </c>
    </row>
    <row r="38" ht="12.75" customHeight="1">
      <c r="B38" s="70" t="s">
        <v>3173</v>
      </c>
      <c r="C38" s="58" t="s">
        <v>3235</v>
      </c>
      <c r="D38" s="58" t="s">
        <v>3244</v>
      </c>
      <c r="J38" s="70" t="str">
        <f t="shared" ref="J38:L38" si="73">LEFT(B38,LEN(B38)-LEN(RIGHT(B38,27)))</f>
        <v>Women</v>
      </c>
      <c r="K38" s="70" t="str">
        <f t="shared" si="73"/>
        <v>Sweaters</v>
      </c>
      <c r="L38" s="70" t="str">
        <f t="shared" si="73"/>
        <v>Crew &amp; Scoop Necks</v>
      </c>
      <c r="O38" s="58" t="s">
        <v>3245</v>
      </c>
      <c r="P38" s="58" t="s">
        <v>3173</v>
      </c>
      <c r="W38" s="70" t="str">
        <f t="shared" ref="W38:X38" si="74">LEFT(O38,LEN(O38)-LEN(RIGHT(O38,27)))</f>
        <v>Hair</v>
      </c>
      <c r="X38" s="70" t="str">
        <f t="shared" si="74"/>
        <v>Women</v>
      </c>
      <c r="Y38" s="70" t="str">
        <f t="shared" si="6"/>
        <v>Hair</v>
      </c>
    </row>
    <row r="39" ht="12.75" customHeight="1">
      <c r="B39" s="70" t="s">
        <v>3173</v>
      </c>
      <c r="C39" s="58" t="s">
        <v>3235</v>
      </c>
      <c r="D39" s="58" t="s">
        <v>3246</v>
      </c>
      <c r="J39" s="70" t="str">
        <f t="shared" ref="J39:L39" si="75">LEFT(B39,LEN(B39)-LEN(RIGHT(B39,27)))</f>
        <v>Women</v>
      </c>
      <c r="K39" s="70" t="str">
        <f t="shared" si="75"/>
        <v>Sweaters</v>
      </c>
      <c r="L39" s="70" t="str">
        <f t="shared" si="75"/>
        <v>Off-the-Shoulder Sweaters</v>
      </c>
      <c r="O39" s="58" t="s">
        <v>3247</v>
      </c>
      <c r="P39" s="58" t="s">
        <v>3173</v>
      </c>
      <c r="W39" s="70" t="str">
        <f t="shared" ref="W39:X39" si="76">LEFT(O39,LEN(O39)-LEN(RIGHT(O39,27)))</f>
        <v>Bath &amp; Body</v>
      </c>
      <c r="X39" s="70" t="str">
        <f t="shared" si="76"/>
        <v>Women</v>
      </c>
      <c r="Y39" s="70" t="str">
        <f t="shared" si="6"/>
        <v>Bath &amp; Body</v>
      </c>
    </row>
    <row r="40" ht="12.75" customHeight="1">
      <c r="B40" s="70" t="s">
        <v>3173</v>
      </c>
      <c r="C40" s="58" t="s">
        <v>3235</v>
      </c>
      <c r="D40" s="58" t="s">
        <v>3248</v>
      </c>
      <c r="J40" s="70" t="str">
        <f t="shared" ref="J40:L40" si="77">LEFT(B40,LEN(B40)-LEN(RIGHT(B40,27)))</f>
        <v>Women</v>
      </c>
      <c r="K40" s="70" t="str">
        <f t="shared" si="77"/>
        <v>Sweaters</v>
      </c>
      <c r="L40" s="70" t="str">
        <f t="shared" si="77"/>
        <v>Shrugs &amp; Ponchos</v>
      </c>
      <c r="O40" s="58" t="s">
        <v>3249</v>
      </c>
      <c r="P40" s="58" t="s">
        <v>3173</v>
      </c>
      <c r="W40" s="70" t="str">
        <f t="shared" ref="W40:X40" si="78">LEFT(O40,LEN(O40)-LEN(RIGHT(O40,27)))</f>
        <v>Other</v>
      </c>
      <c r="X40" s="70" t="str">
        <f t="shared" si="78"/>
        <v>Women</v>
      </c>
      <c r="Y40" s="70" t="str">
        <f t="shared" si="6"/>
        <v>#N/A</v>
      </c>
    </row>
    <row r="41" ht="12.75" customHeight="1">
      <c r="B41" s="70" t="s">
        <v>3173</v>
      </c>
      <c r="C41" s="58" t="s">
        <v>3235</v>
      </c>
      <c r="D41" s="58" t="s">
        <v>3250</v>
      </c>
      <c r="J41" s="70" t="str">
        <f t="shared" ref="J41:L41" si="79">LEFT(B41,LEN(B41)-LEN(RIGHT(B41,27)))</f>
        <v>Women</v>
      </c>
      <c r="K41" s="70" t="str">
        <f t="shared" si="79"/>
        <v>Sweaters</v>
      </c>
      <c r="L41" s="70" t="str">
        <f t="shared" si="79"/>
        <v>V-Necks</v>
      </c>
      <c r="O41" s="58" t="s">
        <v>3251</v>
      </c>
      <c r="P41" s="58" t="s">
        <v>3252</v>
      </c>
      <c r="W41" s="70" t="str">
        <f t="shared" ref="W41:X41" si="80">LEFT(O41,LEN(O41)-LEN(RIGHT(O41,27)))</f>
        <v>Accessories</v>
      </c>
      <c r="X41" s="70" t="str">
        <f t="shared" si="80"/>
        <v>Men</v>
      </c>
      <c r="Y41" s="70" t="str">
        <f t="shared" si="6"/>
        <v>Accessories</v>
      </c>
    </row>
    <row r="42" ht="12.75" customHeight="1">
      <c r="B42" s="70" t="s">
        <v>3173</v>
      </c>
      <c r="C42" s="58" t="s">
        <v>3239</v>
      </c>
      <c r="D42" s="58" t="s">
        <v>3253</v>
      </c>
      <c r="J42" s="70" t="str">
        <f t="shared" ref="J42:L42" si="81">LEFT(B42,LEN(B42)-LEN(RIGHT(B42,27)))</f>
        <v>Women</v>
      </c>
      <c r="K42" s="70" t="str">
        <f t="shared" si="81"/>
        <v>Tops</v>
      </c>
      <c r="L42" s="70" t="str">
        <f t="shared" si="81"/>
        <v>Blouses</v>
      </c>
      <c r="O42" s="58" t="s">
        <v>3254</v>
      </c>
      <c r="P42" s="58" t="s">
        <v>3252</v>
      </c>
      <c r="W42" s="70" t="str">
        <f t="shared" ref="W42:X42" si="82">LEFT(O42,LEN(O42)-LEN(RIGHT(O42,27)))</f>
        <v>Agbadas &amp; Dashikis</v>
      </c>
      <c r="X42" s="70" t="str">
        <f t="shared" si="82"/>
        <v>Men</v>
      </c>
      <c r="Y42" s="70" t="str">
        <f t="shared" si="6"/>
        <v>#N/A</v>
      </c>
    </row>
    <row r="43" ht="12.75" customHeight="1">
      <c r="B43" s="70" t="s">
        <v>3173</v>
      </c>
      <c r="C43" s="58" t="s">
        <v>3239</v>
      </c>
      <c r="D43" s="58" t="s">
        <v>3255</v>
      </c>
      <c r="J43" s="70" t="str">
        <f t="shared" ref="J43:L43" si="83">LEFT(B43,LEN(B43)-LEN(RIGHT(B43,27)))</f>
        <v>Women</v>
      </c>
      <c r="K43" s="70" t="str">
        <f t="shared" si="83"/>
        <v>Tops</v>
      </c>
      <c r="L43" s="70" t="str">
        <f t="shared" si="83"/>
        <v>Bodysuits</v>
      </c>
      <c r="O43" s="58" t="s">
        <v>3256</v>
      </c>
      <c r="P43" s="58" t="s">
        <v>3252</v>
      </c>
      <c r="W43" s="70" t="str">
        <f t="shared" ref="W43:X43" si="84">LEFT(O43,LEN(O43)-LEN(RIGHT(O43,27)))</f>
        <v>Ao Dais</v>
      </c>
      <c r="X43" s="70" t="str">
        <f t="shared" si="84"/>
        <v>Men</v>
      </c>
      <c r="Y43" s="70" t="str">
        <f t="shared" si="6"/>
        <v>#N/A</v>
      </c>
    </row>
    <row r="44" ht="12.75" customHeight="1">
      <c r="B44" s="70" t="s">
        <v>3173</v>
      </c>
      <c r="C44" s="58" t="s">
        <v>3239</v>
      </c>
      <c r="D44" s="58" t="s">
        <v>3257</v>
      </c>
      <c r="J44" s="70" t="str">
        <f t="shared" ref="J44:L44" si="85">LEFT(B44,LEN(B44)-LEN(RIGHT(B44,27)))</f>
        <v>Women</v>
      </c>
      <c r="K44" s="70" t="str">
        <f t="shared" si="85"/>
        <v>Tops</v>
      </c>
      <c r="L44" s="70" t="str">
        <f t="shared" si="85"/>
        <v>Button Down Shirts</v>
      </c>
      <c r="O44" s="58" t="s">
        <v>3258</v>
      </c>
      <c r="P44" s="58" t="s">
        <v>3252</v>
      </c>
      <c r="W44" s="70" t="str">
        <f t="shared" ref="W44:X44" si="86">LEFT(O44,LEN(O44)-LEN(RIGHT(O44,27)))</f>
        <v>Bags</v>
      </c>
      <c r="X44" s="70" t="str">
        <f t="shared" si="86"/>
        <v>Men</v>
      </c>
      <c r="Y44" s="70" t="str">
        <f t="shared" si="6"/>
        <v>Bags</v>
      </c>
    </row>
    <row r="45" ht="12.75" customHeight="1">
      <c r="B45" s="70" t="s">
        <v>3173</v>
      </c>
      <c r="C45" s="58" t="s">
        <v>3239</v>
      </c>
      <c r="D45" s="58" t="s">
        <v>3259</v>
      </c>
      <c r="J45" s="70" t="str">
        <f t="shared" ref="J45:L45" si="87">LEFT(B45,LEN(B45)-LEN(RIGHT(B45,27)))</f>
        <v>Women</v>
      </c>
      <c r="K45" s="70" t="str">
        <f t="shared" si="87"/>
        <v>Tops</v>
      </c>
      <c r="L45" s="70" t="str">
        <f t="shared" si="87"/>
        <v>Camisoles</v>
      </c>
      <c r="O45" s="58" t="s">
        <v>3260</v>
      </c>
      <c r="P45" s="58" t="s">
        <v>3252</v>
      </c>
      <c r="W45" s="70" t="str">
        <f t="shared" ref="W45:X45" si="88">LEFT(O45,LEN(O45)-LEN(RIGHT(O45,27)))</f>
        <v>Changshans</v>
      </c>
      <c r="X45" s="70" t="str">
        <f t="shared" si="88"/>
        <v>Men</v>
      </c>
      <c r="Y45" s="70" t="str">
        <f t="shared" si="6"/>
        <v>#N/A</v>
      </c>
    </row>
    <row r="46" ht="12.75" customHeight="1">
      <c r="B46" s="70" t="s">
        <v>3173</v>
      </c>
      <c r="C46" s="58" t="s">
        <v>3239</v>
      </c>
      <c r="D46" s="58" t="s">
        <v>3261</v>
      </c>
      <c r="J46" s="70" t="str">
        <f t="shared" ref="J46:L46" si="89">LEFT(B46,LEN(B46)-LEN(RIGHT(B46,27)))</f>
        <v>Women</v>
      </c>
      <c r="K46" s="70" t="str">
        <f t="shared" si="89"/>
        <v>Tops</v>
      </c>
      <c r="L46" s="70" t="str">
        <f t="shared" si="89"/>
        <v>Crop Tops</v>
      </c>
      <c r="O46" s="58" t="s">
        <v>3262</v>
      </c>
      <c r="P46" s="58" t="s">
        <v>3252</v>
      </c>
      <c r="W46" s="70" t="str">
        <f t="shared" ref="W46:X46" si="90">LEFT(O46,LEN(O46)-LEN(RIGHT(O46,27)))</f>
        <v>Hanboks</v>
      </c>
      <c r="X46" s="70" t="str">
        <f t="shared" si="90"/>
        <v>Men</v>
      </c>
      <c r="Y46" s="70" t="str">
        <f t="shared" si="6"/>
        <v>#N/A</v>
      </c>
    </row>
    <row r="47" ht="12.75" customHeight="1">
      <c r="B47" s="70" t="s">
        <v>3173</v>
      </c>
      <c r="C47" s="58" t="s">
        <v>3239</v>
      </c>
      <c r="D47" s="58" t="s">
        <v>3263</v>
      </c>
      <c r="J47" s="70" t="str">
        <f t="shared" ref="J47:L47" si="91">LEFT(B47,LEN(B47)-LEN(RIGHT(B47,27)))</f>
        <v>Women</v>
      </c>
      <c r="K47" s="70" t="str">
        <f t="shared" si="91"/>
        <v>Tops</v>
      </c>
      <c r="L47" s="70" t="str">
        <f t="shared" si="91"/>
        <v>Jerseys</v>
      </c>
      <c r="O47" s="58" t="s">
        <v>3264</v>
      </c>
      <c r="P47" s="58" t="s">
        <v>3252</v>
      </c>
      <c r="W47" s="70" t="str">
        <f t="shared" ref="W47:X47" si="92">LEFT(O47,LEN(O47)-LEN(RIGHT(O47,27)))</f>
        <v>Jackets &amp; Coats</v>
      </c>
      <c r="X47" s="70" t="str">
        <f t="shared" si="92"/>
        <v>Men</v>
      </c>
      <c r="Y47" s="70" t="str">
        <f t="shared" si="6"/>
        <v>Jackets &amp; Coats</v>
      </c>
    </row>
    <row r="48" ht="12.75" customHeight="1">
      <c r="B48" s="70" t="s">
        <v>3173</v>
      </c>
      <c r="C48" s="58" t="s">
        <v>3239</v>
      </c>
      <c r="D48" s="58" t="s">
        <v>3265</v>
      </c>
      <c r="J48" s="70" t="str">
        <f t="shared" ref="J48:L48" si="93">LEFT(B48,LEN(B48)-LEN(RIGHT(B48,27)))</f>
        <v>Women</v>
      </c>
      <c r="K48" s="70" t="str">
        <f t="shared" si="93"/>
        <v>Tops</v>
      </c>
      <c r="L48" s="70" t="str">
        <f t="shared" si="93"/>
        <v>Muscle Tees</v>
      </c>
      <c r="O48" s="58" t="s">
        <v>3266</v>
      </c>
      <c r="P48" s="58" t="s">
        <v>3252</v>
      </c>
      <c r="W48" s="70" t="str">
        <f t="shared" ref="W48:X48" si="94">LEFT(O48,LEN(O48)-LEN(RIGHT(O48,27)))</f>
        <v>Jeans</v>
      </c>
      <c r="X48" s="70" t="str">
        <f t="shared" si="94"/>
        <v>Men</v>
      </c>
      <c r="Y48" s="70" t="str">
        <f t="shared" si="6"/>
        <v>Jeans</v>
      </c>
    </row>
    <row r="49" ht="12.75" customHeight="1">
      <c r="B49" s="70" t="s">
        <v>3173</v>
      </c>
      <c r="C49" s="58" t="s">
        <v>3239</v>
      </c>
      <c r="D49" s="58" t="s">
        <v>3267</v>
      </c>
      <c r="J49" s="70" t="str">
        <f t="shared" ref="J49:L49" si="95">LEFT(B49,LEN(B49)-LEN(RIGHT(B49,27)))</f>
        <v>Women</v>
      </c>
      <c r="K49" s="70" t="str">
        <f t="shared" si="95"/>
        <v>Tops</v>
      </c>
      <c r="L49" s="70" t="str">
        <f t="shared" si="95"/>
        <v>Sweatshirts &amp; Hoodies</v>
      </c>
      <c r="O49" s="58" t="s">
        <v>3268</v>
      </c>
      <c r="P49" s="58" t="s">
        <v>3252</v>
      </c>
      <c r="W49" s="70" t="str">
        <f t="shared" ref="W49:X49" si="96">LEFT(O49,LEN(O49)-LEN(RIGHT(O49,27)))</f>
        <v>Kaftans</v>
      </c>
      <c r="X49" s="70" t="str">
        <f t="shared" si="96"/>
        <v>Men</v>
      </c>
      <c r="Y49" s="70" t="str">
        <f t="shared" si="6"/>
        <v>#N/A</v>
      </c>
    </row>
    <row r="50" ht="12.75" customHeight="1">
      <c r="B50" s="70" t="s">
        <v>3173</v>
      </c>
      <c r="C50" s="58" t="s">
        <v>3239</v>
      </c>
      <c r="D50" s="58" t="s">
        <v>3269</v>
      </c>
      <c r="J50" s="70" t="str">
        <f t="shared" ref="J50:L50" si="97">LEFT(B50,LEN(B50)-LEN(RIGHT(B50,27)))</f>
        <v>Women</v>
      </c>
      <c r="K50" s="70" t="str">
        <f t="shared" si="97"/>
        <v>Tops</v>
      </c>
      <c r="L50" s="70" t="str">
        <f t="shared" si="97"/>
        <v>Tank Tops</v>
      </c>
      <c r="O50" s="58" t="s">
        <v>3270</v>
      </c>
      <c r="P50" s="58" t="s">
        <v>3252</v>
      </c>
      <c r="W50" s="70" t="str">
        <f t="shared" ref="W50:X50" si="98">LEFT(O50,LEN(O50)-LEN(RIGHT(O50,27)))</f>
        <v>Keffiyehs</v>
      </c>
      <c r="X50" s="70" t="str">
        <f t="shared" si="98"/>
        <v>Men</v>
      </c>
      <c r="Y50" s="70" t="str">
        <f t="shared" si="6"/>
        <v>#N/A</v>
      </c>
    </row>
    <row r="51" ht="12.75" customHeight="1">
      <c r="B51" s="70" t="s">
        <v>3173</v>
      </c>
      <c r="C51" s="58" t="s">
        <v>3239</v>
      </c>
      <c r="D51" s="58" t="s">
        <v>3271</v>
      </c>
      <c r="J51" s="70" t="str">
        <f t="shared" ref="J51:L51" si="99">LEFT(B51,LEN(B51)-LEN(RIGHT(B51,27)))</f>
        <v>Women</v>
      </c>
      <c r="K51" s="70" t="str">
        <f t="shared" si="99"/>
        <v>Tops</v>
      </c>
      <c r="L51" s="70" t="str">
        <f t="shared" si="99"/>
        <v>Tees - Long Sleeve</v>
      </c>
      <c r="O51" s="58" t="s">
        <v>3272</v>
      </c>
      <c r="P51" s="58" t="s">
        <v>3252</v>
      </c>
      <c r="W51" s="70" t="str">
        <f t="shared" ref="W51:X51" si="100">LEFT(O51,LEN(O51)-LEN(RIGHT(O51,27)))</f>
        <v>Kilts</v>
      </c>
      <c r="X51" s="70" t="str">
        <f t="shared" si="100"/>
        <v>Men</v>
      </c>
      <c r="Y51" s="70" t="str">
        <f t="shared" si="6"/>
        <v>#N/A</v>
      </c>
    </row>
    <row r="52" ht="12.75" customHeight="1">
      <c r="B52" s="70" t="s">
        <v>3173</v>
      </c>
      <c r="C52" s="58" t="s">
        <v>3239</v>
      </c>
      <c r="D52" s="58" t="s">
        <v>3273</v>
      </c>
      <c r="J52" s="70" t="str">
        <f t="shared" ref="J52:L52" si="101">LEFT(B52,LEN(B52)-LEN(RIGHT(B52,27)))</f>
        <v>Women</v>
      </c>
      <c r="K52" s="70" t="str">
        <f t="shared" si="101"/>
        <v>Tops</v>
      </c>
      <c r="L52" s="70" t="str">
        <f t="shared" si="101"/>
        <v>Tees - Short Sleeve</v>
      </c>
      <c r="O52" s="58" t="s">
        <v>3274</v>
      </c>
      <c r="P52" s="58" t="s">
        <v>3252</v>
      </c>
      <c r="W52" s="70" t="str">
        <f t="shared" ref="W52:X52" si="102">LEFT(O52,LEN(O52)-LEN(RIGHT(O52,27)))</f>
        <v>Kimonos &amp; Yukatas</v>
      </c>
      <c r="X52" s="70" t="str">
        <f t="shared" si="102"/>
        <v>Men</v>
      </c>
      <c r="Y52" s="70" t="str">
        <f t="shared" si="6"/>
        <v>#N/A</v>
      </c>
    </row>
    <row r="53" ht="12.75" customHeight="1">
      <c r="B53" s="70" t="s">
        <v>3173</v>
      </c>
      <c r="C53" s="58" t="s">
        <v>3239</v>
      </c>
      <c r="D53" s="58" t="s">
        <v>3275</v>
      </c>
      <c r="J53" s="70" t="str">
        <f t="shared" ref="J53:L53" si="103">LEFT(B53,LEN(B53)-LEN(RIGHT(B53,27)))</f>
        <v>Women</v>
      </c>
      <c r="K53" s="70" t="str">
        <f t="shared" si="103"/>
        <v>Tops</v>
      </c>
      <c r="L53" s="70" t="str">
        <f t="shared" si="103"/>
        <v>Tunics</v>
      </c>
      <c r="O53" s="58" t="s">
        <v>3276</v>
      </c>
      <c r="P53" s="58" t="s">
        <v>3252</v>
      </c>
      <c r="W53" s="70" t="str">
        <f t="shared" ref="W53:X53" si="104">LEFT(O53,LEN(O53)-LEN(RIGHT(O53,27)))</f>
        <v>Kurta Bottoms</v>
      </c>
      <c r="X53" s="70" t="str">
        <f t="shared" si="104"/>
        <v>Men</v>
      </c>
      <c r="Y53" s="70" t="str">
        <f t="shared" si="6"/>
        <v>#N/A</v>
      </c>
    </row>
    <row r="54" ht="12.75" customHeight="1">
      <c r="B54" s="70" t="s">
        <v>3173</v>
      </c>
      <c r="C54" s="58" t="s">
        <v>3202</v>
      </c>
      <c r="D54" s="58" t="s">
        <v>3277</v>
      </c>
      <c r="J54" s="70" t="str">
        <f t="shared" ref="J54:L54" si="105">LEFT(B54,LEN(B54)-LEN(RIGHT(B54,27)))</f>
        <v>Women</v>
      </c>
      <c r="K54" s="70" t="str">
        <f t="shared" si="105"/>
        <v>Jeans</v>
      </c>
      <c r="L54" s="70" t="str">
        <f t="shared" si="105"/>
        <v>Ankle &amp; Cropped</v>
      </c>
      <c r="O54" s="58" t="s">
        <v>3278</v>
      </c>
      <c r="P54" s="58" t="s">
        <v>3252</v>
      </c>
      <c r="W54" s="70" t="str">
        <f t="shared" ref="W54:X54" si="106">LEFT(O54,LEN(O54)-LEN(RIGHT(O54,27)))</f>
        <v>Kurtas</v>
      </c>
      <c r="X54" s="70" t="str">
        <f t="shared" si="106"/>
        <v>Men</v>
      </c>
      <c r="Y54" s="70" t="str">
        <f t="shared" si="6"/>
        <v>#N/A</v>
      </c>
    </row>
    <row r="55" ht="12.75" customHeight="1">
      <c r="B55" s="70" t="s">
        <v>3173</v>
      </c>
      <c r="C55" s="58" t="s">
        <v>3202</v>
      </c>
      <c r="D55" s="58" t="s">
        <v>3279</v>
      </c>
      <c r="J55" s="70" t="str">
        <f t="shared" ref="J55:L55" si="107">LEFT(B55,LEN(B55)-LEN(RIGHT(B55,27)))</f>
        <v>Women</v>
      </c>
      <c r="K55" s="70" t="str">
        <f t="shared" si="107"/>
        <v>Jeans</v>
      </c>
      <c r="L55" s="70" t="str">
        <f t="shared" si="107"/>
        <v>Boot Cut</v>
      </c>
      <c r="O55" s="58" t="s">
        <v>3280</v>
      </c>
      <c r="P55" s="58" t="s">
        <v>3252</v>
      </c>
      <c r="W55" s="70" t="str">
        <f t="shared" ref="W55:X55" si="108">LEFT(O55,LEN(O55)-LEN(RIGHT(O55,27)))</f>
        <v>Lederhosen</v>
      </c>
      <c r="X55" s="70" t="str">
        <f t="shared" si="108"/>
        <v>Men</v>
      </c>
      <c r="Y55" s="70" t="str">
        <f t="shared" si="6"/>
        <v>#N/A</v>
      </c>
    </row>
    <row r="56" ht="12.75" customHeight="1">
      <c r="B56" s="70" t="s">
        <v>3173</v>
      </c>
      <c r="C56" s="58" t="s">
        <v>3202</v>
      </c>
      <c r="D56" s="58" t="s">
        <v>3281</v>
      </c>
      <c r="J56" s="70" t="str">
        <f t="shared" ref="J56:L56" si="109">LEFT(B56,LEN(B56)-LEN(RIGHT(B56,27)))</f>
        <v>Women</v>
      </c>
      <c r="K56" s="70" t="str">
        <f t="shared" si="109"/>
        <v>Jeans</v>
      </c>
      <c r="L56" s="70" t="str">
        <f t="shared" si="109"/>
        <v>Boyfriend</v>
      </c>
      <c r="O56" s="58" t="s">
        <v>3282</v>
      </c>
      <c r="P56" s="58" t="s">
        <v>3252</v>
      </c>
      <c r="W56" s="70" t="str">
        <f t="shared" ref="W56:X56" si="110">LEFT(O56,LEN(O56)-LEN(RIGHT(O56,27)))</f>
        <v>Nehru Jackets</v>
      </c>
      <c r="X56" s="70" t="str">
        <f t="shared" si="110"/>
        <v>Men</v>
      </c>
      <c r="Y56" s="70" t="str">
        <f t="shared" si="6"/>
        <v>#N/A</v>
      </c>
    </row>
    <row r="57" ht="12.75" customHeight="1">
      <c r="B57" s="70" t="s">
        <v>3173</v>
      </c>
      <c r="C57" s="58" t="s">
        <v>3202</v>
      </c>
      <c r="D57" s="58" t="s">
        <v>3283</v>
      </c>
      <c r="J57" s="70" t="str">
        <f t="shared" ref="J57:L57" si="111">LEFT(B57,LEN(B57)-LEN(RIGHT(B57,27)))</f>
        <v>Women</v>
      </c>
      <c r="K57" s="70" t="str">
        <f t="shared" si="111"/>
        <v>Jeans</v>
      </c>
      <c r="L57" s="70" t="str">
        <f t="shared" si="111"/>
        <v>Flare &amp; Wide Leg</v>
      </c>
      <c r="O57" s="58" t="s">
        <v>3284</v>
      </c>
      <c r="P57" s="58" t="s">
        <v>3252</v>
      </c>
      <c r="W57" s="70" t="str">
        <f t="shared" ref="W57:X57" si="112">LEFT(O57,LEN(O57)-LEN(RIGHT(O57,27)))</f>
        <v>Pants</v>
      </c>
      <c r="X57" s="70" t="str">
        <f t="shared" si="112"/>
        <v>Men</v>
      </c>
      <c r="Y57" s="70" t="str">
        <f t="shared" si="6"/>
        <v>Pants</v>
      </c>
    </row>
    <row r="58" ht="12.75" customHeight="1">
      <c r="B58" s="70" t="s">
        <v>3173</v>
      </c>
      <c r="C58" s="58" t="s">
        <v>3202</v>
      </c>
      <c r="D58" s="58" t="s">
        <v>3285</v>
      </c>
      <c r="J58" s="70" t="str">
        <f t="shared" ref="J58:L58" si="113">LEFT(B58,LEN(B58)-LEN(RIGHT(B58,27)))</f>
        <v>Women</v>
      </c>
      <c r="K58" s="70" t="str">
        <f t="shared" si="113"/>
        <v>Jeans</v>
      </c>
      <c r="L58" s="70" t="str">
        <f t="shared" si="113"/>
        <v>High Rise</v>
      </c>
      <c r="O58" s="58" t="s">
        <v>3286</v>
      </c>
      <c r="P58" s="58" t="s">
        <v>3252</v>
      </c>
      <c r="W58" s="70" t="str">
        <f t="shared" ref="W58:X58" si="114">LEFT(O58,LEN(O58)-LEN(RIGHT(O58,27)))</f>
        <v>Ponchos &amp; Serapes</v>
      </c>
      <c r="X58" s="70" t="str">
        <f t="shared" si="114"/>
        <v>Men</v>
      </c>
      <c r="Y58" s="70" t="str">
        <f t="shared" si="6"/>
        <v>#N/A</v>
      </c>
    </row>
    <row r="59" ht="12.75" customHeight="1">
      <c r="B59" s="70" t="s">
        <v>3173</v>
      </c>
      <c r="C59" s="58" t="s">
        <v>3202</v>
      </c>
      <c r="D59" s="58" t="s">
        <v>3287</v>
      </c>
      <c r="J59" s="70" t="str">
        <f t="shared" ref="J59:L59" si="115">LEFT(B59,LEN(B59)-LEN(RIGHT(B59,27)))</f>
        <v>Women</v>
      </c>
      <c r="K59" s="70" t="str">
        <f t="shared" si="115"/>
        <v>Jeans</v>
      </c>
      <c r="L59" s="70" t="str">
        <f t="shared" si="115"/>
        <v>Jeggings</v>
      </c>
      <c r="O59" s="58" t="s">
        <v>3288</v>
      </c>
      <c r="P59" s="58" t="s">
        <v>3252</v>
      </c>
      <c r="W59" s="70" t="str">
        <f t="shared" ref="W59:X59" si="116">LEFT(O59,LEN(O59)-LEN(RIGHT(O59,27)))</f>
        <v>Sherwanis</v>
      </c>
      <c r="X59" s="70" t="str">
        <f t="shared" si="116"/>
        <v>Men</v>
      </c>
      <c r="Y59" s="70" t="str">
        <f t="shared" si="6"/>
        <v>#N/A</v>
      </c>
    </row>
    <row r="60" ht="12.75" customHeight="1">
      <c r="B60" s="70" t="s">
        <v>3173</v>
      </c>
      <c r="C60" s="58" t="s">
        <v>3202</v>
      </c>
      <c r="D60" s="58" t="s">
        <v>3289</v>
      </c>
      <c r="J60" s="70" t="str">
        <f t="shared" ref="J60:L60" si="117">LEFT(B60,LEN(B60)-LEN(RIGHT(B60,27)))</f>
        <v>Women</v>
      </c>
      <c r="K60" s="70" t="str">
        <f t="shared" si="117"/>
        <v>Jeans</v>
      </c>
      <c r="L60" s="70" t="str">
        <f t="shared" si="117"/>
        <v>Overalls</v>
      </c>
      <c r="O60" s="58" t="s">
        <v>3290</v>
      </c>
      <c r="P60" s="58" t="s">
        <v>3252</v>
      </c>
      <c r="W60" s="70" t="str">
        <f t="shared" ref="W60:X60" si="118">LEFT(O60,LEN(O60)-LEN(RIGHT(O60,27)))</f>
        <v>Shirts</v>
      </c>
      <c r="X60" s="70" t="str">
        <f t="shared" si="118"/>
        <v>Men</v>
      </c>
      <c r="Y60" s="70" t="str">
        <f t="shared" si="6"/>
        <v>Shirts</v>
      </c>
    </row>
    <row r="61" ht="12.75" customHeight="1">
      <c r="B61" s="70" t="s">
        <v>3173</v>
      </c>
      <c r="C61" s="58" t="s">
        <v>3202</v>
      </c>
      <c r="D61" s="58" t="s">
        <v>3291</v>
      </c>
      <c r="J61" s="70" t="str">
        <f t="shared" ref="J61:L61" si="119">LEFT(B61,LEN(B61)-LEN(RIGHT(B61,27)))</f>
        <v>Women</v>
      </c>
      <c r="K61" s="70" t="str">
        <f t="shared" si="119"/>
        <v>Jeans</v>
      </c>
      <c r="L61" s="70" t="str">
        <f t="shared" si="119"/>
        <v>Skinny</v>
      </c>
      <c r="O61" s="58" t="s">
        <v>3292</v>
      </c>
      <c r="P61" s="58" t="s">
        <v>3252</v>
      </c>
      <c r="W61" s="70" t="str">
        <f t="shared" ref="W61:X61" si="120">LEFT(O61,LEN(O61)-LEN(RIGHT(O61,27)))</f>
        <v>Shoes</v>
      </c>
      <c r="X61" s="70" t="str">
        <f t="shared" si="120"/>
        <v>Men</v>
      </c>
      <c r="Y61" s="70" t="str">
        <f t="shared" si="6"/>
        <v>Shoes</v>
      </c>
    </row>
    <row r="62" ht="12.75" customHeight="1">
      <c r="B62" s="70" t="s">
        <v>3173</v>
      </c>
      <c r="C62" s="58" t="s">
        <v>3202</v>
      </c>
      <c r="D62" s="58" t="s">
        <v>3293</v>
      </c>
      <c r="J62" s="70" t="str">
        <f t="shared" ref="J62:L62" si="121">LEFT(B62,LEN(B62)-LEN(RIGHT(B62,27)))</f>
        <v>Women</v>
      </c>
      <c r="K62" s="70" t="str">
        <f t="shared" si="121"/>
        <v>Jeans</v>
      </c>
      <c r="L62" s="70" t="str">
        <f t="shared" si="121"/>
        <v>Straight Leg</v>
      </c>
      <c r="O62" s="58" t="s">
        <v>3294</v>
      </c>
      <c r="P62" s="58" t="s">
        <v>3252</v>
      </c>
      <c r="W62" s="70" t="str">
        <f t="shared" ref="W62:X62" si="122">LEFT(O62,LEN(O62)-LEN(RIGHT(O62,27)))</f>
        <v>Shorts</v>
      </c>
      <c r="X62" s="70" t="str">
        <f t="shared" si="122"/>
        <v>Men</v>
      </c>
      <c r="Y62" s="70" t="str">
        <f t="shared" si="6"/>
        <v>Shorts</v>
      </c>
    </row>
    <row r="63" ht="12.75" customHeight="1">
      <c r="B63" s="70" t="s">
        <v>3173</v>
      </c>
      <c r="C63" s="58" t="s">
        <v>3220</v>
      </c>
      <c r="D63" s="58" t="s">
        <v>3295</v>
      </c>
      <c r="J63" s="70" t="str">
        <f t="shared" ref="J63:L63" si="123">LEFT(B63,LEN(B63)-LEN(RIGHT(B63,27)))</f>
        <v>Women</v>
      </c>
      <c r="K63" s="70" t="str">
        <f t="shared" si="123"/>
        <v>Pants &amp; Jumpsuits</v>
      </c>
      <c r="L63" s="70" t="str">
        <f t="shared" si="123"/>
        <v>Ankle &amp; Cropped</v>
      </c>
      <c r="O63" s="58" t="s">
        <v>3296</v>
      </c>
      <c r="P63" s="58" t="s">
        <v>3252</v>
      </c>
      <c r="W63" s="70" t="str">
        <f t="shared" ref="W63:X63" si="124">LEFT(O63,LEN(O63)-LEN(RIGHT(O63,27)))</f>
        <v>Suits &amp; Blazers</v>
      </c>
      <c r="X63" s="70" t="str">
        <f t="shared" si="124"/>
        <v>Men</v>
      </c>
      <c r="Y63" s="70" t="str">
        <f t="shared" si="6"/>
        <v>Suits &amp; Blazers</v>
      </c>
    </row>
    <row r="64" ht="12.75" customHeight="1">
      <c r="B64" s="70" t="s">
        <v>3173</v>
      </c>
      <c r="C64" s="58" t="s">
        <v>3220</v>
      </c>
      <c r="D64" s="58" t="s">
        <v>3297</v>
      </c>
      <c r="J64" s="70" t="str">
        <f t="shared" ref="J64:L64" si="125">LEFT(B64,LEN(B64)-LEN(RIGHT(B64,27)))</f>
        <v>Women</v>
      </c>
      <c r="K64" s="70" t="str">
        <f t="shared" si="125"/>
        <v>Pants &amp; Jumpsuits</v>
      </c>
      <c r="L64" s="70" t="str">
        <f t="shared" si="125"/>
        <v>Boot Cut &amp; Flare</v>
      </c>
      <c r="O64" s="58" t="s">
        <v>3298</v>
      </c>
      <c r="P64" s="58" t="s">
        <v>3252</v>
      </c>
      <c r="W64" s="70" t="str">
        <f t="shared" ref="W64:X64" si="126">LEFT(O64,LEN(O64)-LEN(RIGHT(O64,27)))</f>
        <v>Sweaters</v>
      </c>
      <c r="X64" s="70" t="str">
        <f t="shared" si="126"/>
        <v>Men</v>
      </c>
      <c r="Y64" s="70" t="str">
        <f t="shared" si="6"/>
        <v>Sweaters</v>
      </c>
    </row>
    <row r="65" ht="12.75" customHeight="1">
      <c r="B65" s="70" t="s">
        <v>3173</v>
      </c>
      <c r="C65" s="58" t="s">
        <v>3220</v>
      </c>
      <c r="D65" s="58" t="s">
        <v>3299</v>
      </c>
      <c r="J65" s="70" t="str">
        <f t="shared" ref="J65:L65" si="127">LEFT(B65,LEN(B65)-LEN(RIGHT(B65,27)))</f>
        <v>Women</v>
      </c>
      <c r="K65" s="70" t="str">
        <f t="shared" si="127"/>
        <v>Pants &amp; Jumpsuits</v>
      </c>
      <c r="L65" s="70" t="str">
        <f t="shared" si="127"/>
        <v>Capris</v>
      </c>
      <c r="O65" s="58" t="s">
        <v>3300</v>
      </c>
      <c r="P65" s="58" t="s">
        <v>3252</v>
      </c>
      <c r="W65" s="70" t="str">
        <f t="shared" ref="W65:X65" si="128">LEFT(O65,LEN(O65)-LEN(RIGHT(O65,27)))</f>
        <v>Swim</v>
      </c>
      <c r="X65" s="70" t="str">
        <f t="shared" si="128"/>
        <v>Men</v>
      </c>
      <c r="Y65" s="70" t="str">
        <f t="shared" si="6"/>
        <v>Swim</v>
      </c>
    </row>
    <row r="66" ht="12.75" customHeight="1">
      <c r="B66" s="70" t="s">
        <v>3173</v>
      </c>
      <c r="C66" s="58" t="s">
        <v>3220</v>
      </c>
      <c r="D66" s="58" t="s">
        <v>3301</v>
      </c>
      <c r="J66" s="70" t="str">
        <f t="shared" ref="J66:L66" si="129">LEFT(B66,LEN(B66)-LEN(RIGHT(B66,27)))</f>
        <v>Women</v>
      </c>
      <c r="K66" s="70" t="str">
        <f t="shared" si="129"/>
        <v>Pants &amp; Jumpsuits</v>
      </c>
      <c r="L66" s="70" t="str">
        <f t="shared" si="129"/>
        <v>Jumpsuits &amp; Rompers</v>
      </c>
      <c r="O66" s="58" t="s">
        <v>3302</v>
      </c>
      <c r="P66" s="58" t="s">
        <v>3252</v>
      </c>
      <c r="W66" s="70" t="str">
        <f t="shared" ref="W66:X66" si="130">LEFT(O66,LEN(O66)-LEN(RIGHT(O66,27)))</f>
        <v>Underwear &amp; Socks</v>
      </c>
      <c r="X66" s="70" t="str">
        <f t="shared" si="130"/>
        <v>Men</v>
      </c>
      <c r="Y66" s="70" t="str">
        <f t="shared" si="6"/>
        <v>Underwear &amp; Socks</v>
      </c>
    </row>
    <row r="67" ht="12.75" customHeight="1">
      <c r="B67" s="70" t="s">
        <v>3173</v>
      </c>
      <c r="C67" s="58" t="s">
        <v>3220</v>
      </c>
      <c r="D67" s="58" t="s">
        <v>3303</v>
      </c>
      <c r="J67" s="70" t="str">
        <f t="shared" ref="J67:L67" si="131">LEFT(B67,LEN(B67)-LEN(RIGHT(B67,27)))</f>
        <v>Women</v>
      </c>
      <c r="K67" s="70" t="str">
        <f t="shared" si="131"/>
        <v>Pants &amp; Jumpsuits</v>
      </c>
      <c r="L67" s="70" t="str">
        <f t="shared" si="131"/>
        <v>Leggings</v>
      </c>
      <c r="O67" s="58" t="s">
        <v>3304</v>
      </c>
      <c r="P67" s="58" t="s">
        <v>3252</v>
      </c>
      <c r="W67" s="70" t="str">
        <f t="shared" ref="W67:X67" si="132">LEFT(O67,LEN(O67)-LEN(RIGHT(O67,27)))</f>
        <v>Grooming</v>
      </c>
      <c r="X67" s="70" t="str">
        <f t="shared" si="132"/>
        <v>Men</v>
      </c>
      <c r="Y67" s="70" t="str">
        <f t="shared" si="6"/>
        <v>Grooming</v>
      </c>
    </row>
    <row r="68" ht="12.75" customHeight="1">
      <c r="B68" s="70" t="s">
        <v>3173</v>
      </c>
      <c r="C68" s="58" t="s">
        <v>3220</v>
      </c>
      <c r="D68" s="58" t="s">
        <v>3305</v>
      </c>
      <c r="J68" s="70" t="str">
        <f t="shared" ref="J68:L68" si="133">LEFT(B68,LEN(B68)-LEN(RIGHT(B68,27)))</f>
        <v>Women</v>
      </c>
      <c r="K68" s="70" t="str">
        <f t="shared" si="133"/>
        <v>Pants &amp; Jumpsuits</v>
      </c>
      <c r="L68" s="70" t="str">
        <f t="shared" si="133"/>
        <v>Pantsuits</v>
      </c>
      <c r="O68" s="58" t="s">
        <v>3306</v>
      </c>
      <c r="P68" s="58" t="s">
        <v>3252</v>
      </c>
      <c r="W68" s="70" t="str">
        <f t="shared" ref="W68:X68" si="134">LEFT(O68,LEN(O68)-LEN(RIGHT(O68,27)))</f>
        <v>Other</v>
      </c>
      <c r="X68" s="70" t="str">
        <f t="shared" si="134"/>
        <v>Men</v>
      </c>
      <c r="Y68" s="70" t="str">
        <f t="shared" si="6"/>
        <v>#N/A</v>
      </c>
    </row>
    <row r="69" ht="12.75" customHeight="1">
      <c r="B69" s="70" t="s">
        <v>3173</v>
      </c>
      <c r="C69" s="58" t="s">
        <v>3220</v>
      </c>
      <c r="D69" s="58" t="s">
        <v>3307</v>
      </c>
      <c r="J69" s="70" t="str">
        <f t="shared" ref="J69:L69" si="135">LEFT(B69,LEN(B69)-LEN(RIGHT(B69,27)))</f>
        <v>Women</v>
      </c>
      <c r="K69" s="70" t="str">
        <f t="shared" si="135"/>
        <v>Pants &amp; Jumpsuits</v>
      </c>
      <c r="L69" s="70" t="str">
        <f t="shared" si="135"/>
        <v>Skinny</v>
      </c>
      <c r="O69" s="58" t="s">
        <v>3308</v>
      </c>
      <c r="P69" s="58" t="s">
        <v>3309</v>
      </c>
      <c r="W69" s="70" t="str">
        <f t="shared" ref="W69:X69" si="136">LEFT(O69,LEN(O69)-LEN(RIGHT(O69,27)))</f>
        <v>Accessories</v>
      </c>
      <c r="X69" s="70" t="str">
        <f t="shared" si="136"/>
        <v>Kids</v>
      </c>
      <c r="Y69" s="70" t="str">
        <f t="shared" si="6"/>
        <v>Accessories</v>
      </c>
    </row>
    <row r="70" ht="12.75" customHeight="1">
      <c r="B70" s="70" t="s">
        <v>3173</v>
      </c>
      <c r="C70" s="58" t="s">
        <v>3220</v>
      </c>
      <c r="D70" s="58" t="s">
        <v>3310</v>
      </c>
      <c r="J70" s="70" t="str">
        <f t="shared" ref="J70:L70" si="137">LEFT(B70,LEN(B70)-LEN(RIGHT(B70,27)))</f>
        <v>Women</v>
      </c>
      <c r="K70" s="70" t="str">
        <f t="shared" si="137"/>
        <v>Pants &amp; Jumpsuits</v>
      </c>
      <c r="L70" s="70" t="str">
        <f t="shared" si="137"/>
        <v>Straight Leg</v>
      </c>
      <c r="O70" s="58" t="s">
        <v>3311</v>
      </c>
      <c r="P70" s="58" t="s">
        <v>3309</v>
      </c>
      <c r="W70" s="70" t="str">
        <f t="shared" ref="W70:X70" si="138">LEFT(O70,LEN(O70)-LEN(RIGHT(O70,27)))</f>
        <v>Bottoms</v>
      </c>
      <c r="X70" s="70" t="str">
        <f t="shared" si="138"/>
        <v>Kids</v>
      </c>
      <c r="Y70" s="70" t="str">
        <f t="shared" si="6"/>
        <v>Bottoms</v>
      </c>
    </row>
    <row r="71" ht="12.75" customHeight="1">
      <c r="B71" s="70" t="s">
        <v>3173</v>
      </c>
      <c r="C71" s="58" t="s">
        <v>3220</v>
      </c>
      <c r="D71" s="58" t="s">
        <v>3312</v>
      </c>
      <c r="J71" s="70" t="str">
        <f t="shared" ref="J71:L71" si="139">LEFT(B71,LEN(B71)-LEN(RIGHT(B71,27)))</f>
        <v>Women</v>
      </c>
      <c r="K71" s="70" t="str">
        <f t="shared" si="139"/>
        <v>Pants &amp; Jumpsuits</v>
      </c>
      <c r="L71" s="70" t="str">
        <f t="shared" si="139"/>
        <v>Track Pants &amp; Joggers</v>
      </c>
      <c r="O71" s="58" t="s">
        <v>3313</v>
      </c>
      <c r="P71" s="58" t="s">
        <v>3309</v>
      </c>
      <c r="W71" s="70" t="str">
        <f t="shared" ref="W71:X71" si="140">LEFT(O71,LEN(O71)-LEN(RIGHT(O71,27)))</f>
        <v>Dresses</v>
      </c>
      <c r="X71" s="70" t="str">
        <f t="shared" si="140"/>
        <v>Kids</v>
      </c>
      <c r="Y71" s="70" t="str">
        <f t="shared" si="6"/>
        <v>Dresses</v>
      </c>
    </row>
    <row r="72" ht="12.75" customHeight="1">
      <c r="B72" s="70" t="s">
        <v>3173</v>
      </c>
      <c r="C72" s="58" t="s">
        <v>3220</v>
      </c>
      <c r="D72" s="58" t="s">
        <v>3314</v>
      </c>
      <c r="J72" s="70" t="str">
        <f t="shared" ref="J72:L72" si="141">LEFT(B72,LEN(B72)-LEN(RIGHT(B72,27)))</f>
        <v>Women</v>
      </c>
      <c r="K72" s="70" t="str">
        <f t="shared" si="141"/>
        <v>Pants &amp; Jumpsuits</v>
      </c>
      <c r="L72" s="70" t="str">
        <f t="shared" si="141"/>
        <v>Trousers</v>
      </c>
      <c r="O72" s="58" t="s">
        <v>3315</v>
      </c>
      <c r="P72" s="58" t="s">
        <v>3309</v>
      </c>
      <c r="W72" s="70" t="str">
        <f t="shared" ref="W72:X72" si="142">LEFT(O72,LEN(O72)-LEN(RIGHT(O72,27)))</f>
        <v>Jackets &amp; Coats</v>
      </c>
      <c r="X72" s="70" t="str">
        <f t="shared" si="142"/>
        <v>Kids</v>
      </c>
      <c r="Y72" s="70" t="str">
        <f t="shared" si="6"/>
        <v>Jackets &amp; Coats</v>
      </c>
    </row>
    <row r="73" ht="12.75" customHeight="1">
      <c r="B73" s="70" t="s">
        <v>3173</v>
      </c>
      <c r="C73" s="58" t="s">
        <v>3220</v>
      </c>
      <c r="D73" s="58" t="s">
        <v>3316</v>
      </c>
      <c r="J73" s="70" t="str">
        <f t="shared" ref="J73:L73" si="143">LEFT(B73,LEN(B73)-LEN(RIGHT(B73,27)))</f>
        <v>Women</v>
      </c>
      <c r="K73" s="70" t="str">
        <f t="shared" si="143"/>
        <v>Pants &amp; Jumpsuits</v>
      </c>
      <c r="L73" s="70" t="str">
        <f t="shared" si="143"/>
        <v>Wide Leg</v>
      </c>
      <c r="O73" s="58" t="s">
        <v>3317</v>
      </c>
      <c r="P73" s="58" t="s">
        <v>3309</v>
      </c>
      <c r="W73" s="70" t="str">
        <f t="shared" ref="W73:X73" si="144">LEFT(O73,LEN(O73)-LEN(RIGHT(O73,27)))</f>
        <v>Matching Sets</v>
      </c>
      <c r="X73" s="70" t="str">
        <f t="shared" si="144"/>
        <v>Kids</v>
      </c>
      <c r="Y73" s="70" t="str">
        <f t="shared" si="6"/>
        <v>#N/A</v>
      </c>
    </row>
    <row r="74" ht="12.75" customHeight="1">
      <c r="B74" s="70" t="s">
        <v>3173</v>
      </c>
      <c r="C74" s="58" t="s">
        <v>3232</v>
      </c>
      <c r="D74" s="58" t="s">
        <v>3318</v>
      </c>
      <c r="J74" s="70" t="str">
        <f t="shared" ref="J74:L74" si="145">LEFT(B74,LEN(B74)-LEN(RIGHT(B74,27)))</f>
        <v>Women</v>
      </c>
      <c r="K74" s="70" t="str">
        <f t="shared" si="145"/>
        <v>Shorts</v>
      </c>
      <c r="L74" s="70" t="str">
        <f t="shared" si="145"/>
        <v>Athletic Shorts</v>
      </c>
      <c r="O74" s="58" t="s">
        <v>3319</v>
      </c>
      <c r="P74" s="58" t="s">
        <v>3309</v>
      </c>
      <c r="W74" s="70" t="str">
        <f t="shared" ref="W74:X74" si="146">LEFT(O74,LEN(O74)-LEN(RIGHT(O74,27)))</f>
        <v>One Pieces</v>
      </c>
      <c r="X74" s="70" t="str">
        <f t="shared" si="146"/>
        <v>Kids</v>
      </c>
      <c r="Y74" s="70" t="str">
        <f t="shared" si="6"/>
        <v>One Pieces</v>
      </c>
    </row>
    <row r="75" ht="12.75" customHeight="1">
      <c r="B75" s="70" t="s">
        <v>3173</v>
      </c>
      <c r="C75" s="58" t="s">
        <v>3232</v>
      </c>
      <c r="D75" s="58" t="s">
        <v>3320</v>
      </c>
      <c r="J75" s="70" t="str">
        <f t="shared" ref="J75:L75" si="147">LEFT(B75,LEN(B75)-LEN(RIGHT(B75,27)))</f>
        <v>Women</v>
      </c>
      <c r="K75" s="70" t="str">
        <f t="shared" si="147"/>
        <v>Shorts</v>
      </c>
      <c r="L75" s="70" t="str">
        <f t="shared" si="147"/>
        <v>Bermudas</v>
      </c>
      <c r="O75" s="58" t="s">
        <v>3321</v>
      </c>
      <c r="P75" s="58" t="s">
        <v>3309</v>
      </c>
      <c r="W75" s="70" t="str">
        <f t="shared" ref="W75:X75" si="148">LEFT(O75,LEN(O75)-LEN(RIGHT(O75,27)))</f>
        <v>Pajamas</v>
      </c>
      <c r="X75" s="70" t="str">
        <f t="shared" si="148"/>
        <v>Kids</v>
      </c>
      <c r="Y75" s="70" t="str">
        <f t="shared" si="6"/>
        <v>Pajamas</v>
      </c>
    </row>
    <row r="76" ht="12.75" customHeight="1">
      <c r="B76" s="70" t="s">
        <v>3173</v>
      </c>
      <c r="C76" s="58" t="s">
        <v>3232</v>
      </c>
      <c r="D76" s="58" t="s">
        <v>3322</v>
      </c>
      <c r="J76" s="70" t="str">
        <f t="shared" ref="J76:L76" si="149">LEFT(B76,LEN(B76)-LEN(RIGHT(B76,27)))</f>
        <v>Women</v>
      </c>
      <c r="K76" s="70" t="str">
        <f t="shared" si="149"/>
        <v>Shorts</v>
      </c>
      <c r="L76" s="70" t="str">
        <f t="shared" si="149"/>
        <v>Bike Shorts</v>
      </c>
      <c r="O76" s="58" t="s">
        <v>3323</v>
      </c>
      <c r="P76" s="58" t="s">
        <v>3309</v>
      </c>
      <c r="W76" s="70" t="str">
        <f t="shared" ref="W76:X76" si="150">LEFT(O76,LEN(O76)-LEN(RIGHT(O76,27)))</f>
        <v>Shirts &amp; Tops</v>
      </c>
      <c r="X76" s="70" t="str">
        <f t="shared" si="150"/>
        <v>Kids</v>
      </c>
      <c r="Y76" s="70" t="str">
        <f t="shared" si="6"/>
        <v>Shirts &amp; Tops</v>
      </c>
    </row>
    <row r="77" ht="12.75" customHeight="1">
      <c r="B77" s="70" t="s">
        <v>3173</v>
      </c>
      <c r="C77" s="58" t="s">
        <v>3232</v>
      </c>
      <c r="D77" s="58" t="s">
        <v>3324</v>
      </c>
      <c r="J77" s="70" t="str">
        <f t="shared" ref="J77:L77" si="151">LEFT(B77,LEN(B77)-LEN(RIGHT(B77,27)))</f>
        <v>Women</v>
      </c>
      <c r="K77" s="70" t="str">
        <f t="shared" si="151"/>
        <v>Shorts</v>
      </c>
      <c r="L77" s="70" t="str">
        <f t="shared" si="151"/>
        <v>Cargos</v>
      </c>
      <c r="O77" s="58" t="s">
        <v>3325</v>
      </c>
      <c r="P77" s="58" t="s">
        <v>3309</v>
      </c>
      <c r="W77" s="70" t="str">
        <f t="shared" ref="W77:X77" si="152">LEFT(O77,LEN(O77)-LEN(RIGHT(O77,27)))</f>
        <v>Shoes</v>
      </c>
      <c r="X77" s="70" t="str">
        <f t="shared" si="152"/>
        <v>Kids</v>
      </c>
      <c r="Y77" s="70" t="str">
        <f t="shared" si="6"/>
        <v>Shoes</v>
      </c>
    </row>
    <row r="78" ht="12.75" customHeight="1">
      <c r="B78" s="70" t="s">
        <v>3173</v>
      </c>
      <c r="C78" s="58" t="s">
        <v>3232</v>
      </c>
      <c r="D78" s="58" t="s">
        <v>3326</v>
      </c>
      <c r="J78" s="70" t="str">
        <f t="shared" ref="J78:L78" si="153">LEFT(B78,LEN(B78)-LEN(RIGHT(B78,27)))</f>
        <v>Women</v>
      </c>
      <c r="K78" s="70" t="str">
        <f t="shared" si="153"/>
        <v>Shorts</v>
      </c>
      <c r="L78" s="70" t="str">
        <f t="shared" si="153"/>
        <v>High Waist</v>
      </c>
      <c r="O78" s="58" t="s">
        <v>3327</v>
      </c>
      <c r="P78" s="58" t="s">
        <v>3309</v>
      </c>
      <c r="W78" s="70" t="str">
        <f t="shared" ref="W78:X78" si="154">LEFT(O78,LEN(O78)-LEN(RIGHT(O78,27)))</f>
        <v>Swim</v>
      </c>
      <c r="X78" s="70" t="str">
        <f t="shared" si="154"/>
        <v>Kids</v>
      </c>
      <c r="Y78" s="70" t="str">
        <f t="shared" si="6"/>
        <v>Swim</v>
      </c>
    </row>
    <row r="79" ht="12.75" customHeight="1">
      <c r="B79" s="70" t="s">
        <v>3173</v>
      </c>
      <c r="C79" s="58" t="s">
        <v>3232</v>
      </c>
      <c r="D79" s="58" t="s">
        <v>3328</v>
      </c>
      <c r="J79" s="70" t="str">
        <f t="shared" ref="J79:L79" si="155">LEFT(B79,LEN(B79)-LEN(RIGHT(B79,27)))</f>
        <v>Women</v>
      </c>
      <c r="K79" s="70" t="str">
        <f t="shared" si="155"/>
        <v>Shorts</v>
      </c>
      <c r="L79" s="70" t="str">
        <f t="shared" si="155"/>
        <v>Jean Shorts</v>
      </c>
      <c r="O79" s="58" t="s">
        <v>3329</v>
      </c>
      <c r="P79" s="58" t="s">
        <v>3309</v>
      </c>
      <c r="W79" s="70" t="str">
        <f t="shared" ref="W79:X79" si="156">LEFT(O79,LEN(O79)-LEN(RIGHT(O79,27)))</f>
        <v>Costumes</v>
      </c>
      <c r="X79" s="70" t="str">
        <f t="shared" si="156"/>
        <v>Kids</v>
      </c>
      <c r="Y79" s="70" t="str">
        <f t="shared" si="6"/>
        <v>Costumes</v>
      </c>
    </row>
    <row r="80" ht="12.75" customHeight="1">
      <c r="B80" s="70" t="s">
        <v>3173</v>
      </c>
      <c r="C80" s="58" t="s">
        <v>3232</v>
      </c>
      <c r="D80" s="58" t="s">
        <v>3330</v>
      </c>
      <c r="J80" s="70" t="str">
        <f t="shared" ref="J80:L80" si="157">LEFT(B80,LEN(B80)-LEN(RIGHT(B80,27)))</f>
        <v>Women</v>
      </c>
      <c r="K80" s="70" t="str">
        <f t="shared" si="157"/>
        <v>Shorts</v>
      </c>
      <c r="L80" s="70" t="str">
        <f t="shared" si="157"/>
        <v>Skorts</v>
      </c>
      <c r="O80" s="58" t="s">
        <v>3331</v>
      </c>
      <c r="P80" s="58" t="s">
        <v>3309</v>
      </c>
      <c r="W80" s="70" t="str">
        <f t="shared" ref="W80:X80" si="158">LEFT(O80,LEN(O80)-LEN(RIGHT(O80,27)))</f>
        <v>Bath, Skin &amp; Hair</v>
      </c>
      <c r="X80" s="70" t="str">
        <f t="shared" si="158"/>
        <v>Kids</v>
      </c>
      <c r="Y80" s="70" t="str">
        <f t="shared" si="6"/>
        <v>Bath, Skin &amp; Hair</v>
      </c>
    </row>
    <row r="81" ht="12.75" customHeight="1">
      <c r="B81" s="70" t="s">
        <v>3173</v>
      </c>
      <c r="C81" s="58" t="s">
        <v>3198</v>
      </c>
      <c r="D81" s="58" t="s">
        <v>3332</v>
      </c>
      <c r="J81" s="70" t="str">
        <f t="shared" ref="J81:L81" si="159">LEFT(B81,LEN(B81)-LEN(RIGHT(B81,27)))</f>
        <v>Women</v>
      </c>
      <c r="K81" s="70" t="str">
        <f t="shared" si="159"/>
        <v>Intimates &amp; Sleepwear</v>
      </c>
      <c r="L81" s="70" t="str">
        <f t="shared" si="159"/>
        <v>Bandeaus</v>
      </c>
      <c r="O81" s="58" t="s">
        <v>3333</v>
      </c>
      <c r="P81" s="58" t="s">
        <v>3309</v>
      </c>
      <c r="W81" s="70" t="str">
        <f t="shared" ref="W81:X81" si="160">LEFT(O81,LEN(O81)-LEN(RIGHT(O81,27)))</f>
        <v>Toys</v>
      </c>
      <c r="X81" s="70" t="str">
        <f t="shared" si="160"/>
        <v>Kids</v>
      </c>
      <c r="Y81" s="70" t="str">
        <f t="shared" si="6"/>
        <v>Toys</v>
      </c>
    </row>
    <row r="82" ht="12.75" customHeight="1">
      <c r="B82" s="70" t="s">
        <v>3173</v>
      </c>
      <c r="C82" s="58" t="s">
        <v>3198</v>
      </c>
      <c r="D82" s="58" t="s">
        <v>3334</v>
      </c>
      <c r="J82" s="70" t="str">
        <f t="shared" ref="J82:L82" si="161">LEFT(B82,LEN(B82)-LEN(RIGHT(B82,27)))</f>
        <v>Women</v>
      </c>
      <c r="K82" s="70" t="str">
        <f t="shared" si="161"/>
        <v>Intimates &amp; Sleepwear</v>
      </c>
      <c r="L82" s="70" t="str">
        <f t="shared" si="161"/>
        <v>Bras</v>
      </c>
      <c r="O82" s="58" t="s">
        <v>3335</v>
      </c>
      <c r="P82" s="58" t="s">
        <v>3309</v>
      </c>
      <c r="W82" s="70" t="str">
        <f t="shared" ref="W82:X82" si="162">LEFT(O82,LEN(O82)-LEN(RIGHT(O82,27)))</f>
        <v>Other</v>
      </c>
      <c r="X82" s="70" t="str">
        <f t="shared" si="162"/>
        <v>Kids</v>
      </c>
      <c r="Y82" s="70" t="str">
        <f t="shared" si="6"/>
        <v>#N/A</v>
      </c>
    </row>
    <row r="83" ht="12.75" customHeight="1">
      <c r="B83" s="70" t="s">
        <v>3173</v>
      </c>
      <c r="C83" s="58" t="s">
        <v>3198</v>
      </c>
      <c r="D83" s="58" t="s">
        <v>3336</v>
      </c>
      <c r="J83" s="70" t="str">
        <f t="shared" ref="J83:L83" si="163">LEFT(B83,LEN(B83)-LEN(RIGHT(B83,27)))</f>
        <v>Women</v>
      </c>
      <c r="K83" s="70" t="str">
        <f t="shared" si="163"/>
        <v>Intimates &amp; Sleepwear</v>
      </c>
      <c r="L83" s="70" t="str">
        <f t="shared" si="163"/>
        <v>Chemises &amp; Slips</v>
      </c>
      <c r="O83" s="58" t="s">
        <v>3337</v>
      </c>
      <c r="P83" s="58" t="s">
        <v>3338</v>
      </c>
      <c r="W83" s="70" t="str">
        <f t="shared" ref="W83:X83" si="164">LEFT(O83,LEN(O83)-LEN(RIGHT(O83,27)))</f>
        <v>Accents</v>
      </c>
      <c r="X83" s="70" t="str">
        <f t="shared" si="164"/>
        <v>Home</v>
      </c>
      <c r="Y83" s="70" t="str">
        <f t="shared" si="6"/>
        <v>Accents</v>
      </c>
    </row>
    <row r="84" ht="12.75" customHeight="1">
      <c r="B84" s="70" t="s">
        <v>3173</v>
      </c>
      <c r="C84" s="58" t="s">
        <v>3198</v>
      </c>
      <c r="D84" s="58" t="s">
        <v>3339</v>
      </c>
      <c r="J84" s="70" t="str">
        <f t="shared" ref="J84:L84" si="165">LEFT(B84,LEN(B84)-LEN(RIGHT(B84,27)))</f>
        <v>Women</v>
      </c>
      <c r="K84" s="70" t="str">
        <f t="shared" si="165"/>
        <v>Intimates &amp; Sleepwear</v>
      </c>
      <c r="L84" s="70" t="str">
        <f t="shared" si="165"/>
        <v>Pajamas</v>
      </c>
      <c r="O84" s="58" t="s">
        <v>3340</v>
      </c>
      <c r="P84" s="58" t="s">
        <v>3338</v>
      </c>
      <c r="W84" s="70" t="str">
        <f t="shared" ref="W84:X84" si="166">LEFT(O84,LEN(O84)-LEN(RIGHT(O84,27)))</f>
        <v>Art</v>
      </c>
      <c r="X84" s="70" t="str">
        <f t="shared" si="166"/>
        <v>Home</v>
      </c>
      <c r="Y84" s="70" t="str">
        <f t="shared" si="6"/>
        <v>Art</v>
      </c>
    </row>
    <row r="85" ht="12.75" customHeight="1">
      <c r="B85" s="70" t="s">
        <v>3173</v>
      </c>
      <c r="C85" s="58" t="s">
        <v>3198</v>
      </c>
      <c r="D85" s="58" t="s">
        <v>3341</v>
      </c>
      <c r="J85" s="70" t="str">
        <f t="shared" ref="J85:L85" si="167">LEFT(B85,LEN(B85)-LEN(RIGHT(B85,27)))</f>
        <v>Women</v>
      </c>
      <c r="K85" s="70" t="str">
        <f t="shared" si="167"/>
        <v>Intimates &amp; Sleepwear</v>
      </c>
      <c r="L85" s="70" t="str">
        <f t="shared" si="167"/>
        <v>Panties</v>
      </c>
      <c r="O85" s="58" t="s">
        <v>3342</v>
      </c>
      <c r="P85" s="58" t="s">
        <v>3338</v>
      </c>
      <c r="W85" s="70" t="str">
        <f t="shared" ref="W85:X85" si="168">LEFT(O85,LEN(O85)-LEN(RIGHT(O85,27)))</f>
        <v>Bath</v>
      </c>
      <c r="X85" s="70" t="str">
        <f t="shared" si="168"/>
        <v>Home</v>
      </c>
      <c r="Y85" s="70" t="str">
        <f t="shared" si="6"/>
        <v>Bath</v>
      </c>
    </row>
    <row r="86" ht="12.75" customHeight="1">
      <c r="B86" s="70" t="s">
        <v>3173</v>
      </c>
      <c r="C86" s="58" t="s">
        <v>3198</v>
      </c>
      <c r="D86" s="58" t="s">
        <v>3343</v>
      </c>
      <c r="J86" s="70" t="str">
        <f t="shared" ref="J86:L86" si="169">LEFT(B86,LEN(B86)-LEN(RIGHT(B86,27)))</f>
        <v>Women</v>
      </c>
      <c r="K86" s="70" t="str">
        <f t="shared" si="169"/>
        <v>Intimates &amp; Sleepwear</v>
      </c>
      <c r="L86" s="70" t="str">
        <f t="shared" si="169"/>
        <v>Robes</v>
      </c>
      <c r="O86" s="58" t="s">
        <v>3344</v>
      </c>
      <c r="P86" s="58" t="s">
        <v>3338</v>
      </c>
      <c r="W86" s="70" t="str">
        <f t="shared" ref="W86:X86" si="170">LEFT(O86,LEN(O86)-LEN(RIGHT(O86,27)))</f>
        <v>Bedding</v>
      </c>
      <c r="X86" s="70" t="str">
        <f t="shared" si="170"/>
        <v>Home</v>
      </c>
      <c r="Y86" s="70" t="str">
        <f t="shared" si="6"/>
        <v>Bedding</v>
      </c>
    </row>
    <row r="87" ht="12.75" customHeight="1">
      <c r="B87" s="70" t="s">
        <v>3173</v>
      </c>
      <c r="C87" s="58" t="s">
        <v>3198</v>
      </c>
      <c r="D87" s="58" t="s">
        <v>3345</v>
      </c>
      <c r="J87" s="70" t="str">
        <f t="shared" ref="J87:L87" si="171">LEFT(B87,LEN(B87)-LEN(RIGHT(B87,27)))</f>
        <v>Women</v>
      </c>
      <c r="K87" s="70" t="str">
        <f t="shared" si="171"/>
        <v>Intimates &amp; Sleepwear</v>
      </c>
      <c r="L87" s="70" t="str">
        <f t="shared" si="171"/>
        <v>Shapewear</v>
      </c>
      <c r="O87" s="58" t="s">
        <v>3346</v>
      </c>
      <c r="P87" s="58" t="s">
        <v>3338</v>
      </c>
      <c r="W87" s="70" t="str">
        <f t="shared" ref="W87:X87" si="172">LEFT(O87,LEN(O87)-LEN(RIGHT(O87,27)))</f>
        <v>Design</v>
      </c>
      <c r="X87" s="70" t="str">
        <f t="shared" si="172"/>
        <v>Home</v>
      </c>
      <c r="Y87" s="70" t="str">
        <f t="shared" si="6"/>
        <v>Design</v>
      </c>
    </row>
    <row r="88" ht="12.75" customHeight="1">
      <c r="B88" s="70" t="s">
        <v>3173</v>
      </c>
      <c r="C88" s="58" t="s">
        <v>3198</v>
      </c>
      <c r="D88" s="58" t="s">
        <v>3347</v>
      </c>
      <c r="J88" s="70" t="str">
        <f t="shared" ref="J88:L88" si="173">LEFT(B88,LEN(B88)-LEN(RIGHT(B88,27)))</f>
        <v>Women</v>
      </c>
      <c r="K88" s="70" t="str">
        <f t="shared" si="173"/>
        <v>Intimates &amp; Sleepwear</v>
      </c>
      <c r="L88" s="70" t="str">
        <f t="shared" si="173"/>
        <v>Sports Bras</v>
      </c>
      <c r="O88" s="58" t="s">
        <v>3348</v>
      </c>
      <c r="P88" s="58" t="s">
        <v>3338</v>
      </c>
      <c r="W88" s="70" t="str">
        <f t="shared" ref="W88:X88" si="174">LEFT(O88,LEN(O88)-LEN(RIGHT(O88,27)))</f>
        <v>Dining</v>
      </c>
      <c r="X88" s="70" t="str">
        <f t="shared" si="174"/>
        <v>Home</v>
      </c>
      <c r="Y88" s="70" t="str">
        <f t="shared" si="6"/>
        <v>Dining</v>
      </c>
    </row>
    <row r="89" ht="12.75" customHeight="1">
      <c r="B89" s="70" t="s">
        <v>3173</v>
      </c>
      <c r="C89" s="58" t="s">
        <v>3237</v>
      </c>
      <c r="D89" s="58" t="s">
        <v>3349</v>
      </c>
      <c r="J89" s="70" t="str">
        <f t="shared" ref="J89:L89" si="175">LEFT(B89,LEN(B89)-LEN(RIGHT(B89,27)))</f>
        <v>Women</v>
      </c>
      <c r="K89" s="70" t="str">
        <f t="shared" si="175"/>
        <v>Swim</v>
      </c>
      <c r="L89" s="70" t="str">
        <f t="shared" si="175"/>
        <v>Bikinis</v>
      </c>
      <c r="O89" s="58" t="s">
        <v>3350</v>
      </c>
      <c r="P89" s="58" t="s">
        <v>3338</v>
      </c>
      <c r="W89" s="70" t="str">
        <f t="shared" ref="W89:X89" si="176">LEFT(O89,LEN(O89)-LEN(RIGHT(O89,27)))</f>
        <v>Games</v>
      </c>
      <c r="X89" s="70" t="str">
        <f t="shared" si="176"/>
        <v>Home</v>
      </c>
      <c r="Y89" s="70" t="str">
        <f t="shared" si="6"/>
        <v>Games</v>
      </c>
    </row>
    <row r="90" ht="12.75" customHeight="1">
      <c r="B90" s="70" t="s">
        <v>3173</v>
      </c>
      <c r="C90" s="58" t="s">
        <v>3237</v>
      </c>
      <c r="D90" s="58" t="s">
        <v>3351</v>
      </c>
      <c r="J90" s="70" t="str">
        <f t="shared" ref="J90:L90" si="177">LEFT(B90,LEN(B90)-LEN(RIGHT(B90,27)))</f>
        <v>Women</v>
      </c>
      <c r="K90" s="70" t="str">
        <f t="shared" si="177"/>
        <v>Swim</v>
      </c>
      <c r="L90" s="70" t="str">
        <f t="shared" si="177"/>
        <v>Coverups</v>
      </c>
      <c r="O90" s="58" t="s">
        <v>3352</v>
      </c>
      <c r="P90" s="58" t="s">
        <v>3338</v>
      </c>
      <c r="W90" s="70" t="str">
        <f t="shared" ref="W90:X90" si="178">LEFT(O90,LEN(O90)-LEN(RIGHT(O90,27)))</f>
        <v>Holiday</v>
      </c>
      <c r="X90" s="70" t="str">
        <f t="shared" si="178"/>
        <v>Home</v>
      </c>
      <c r="Y90" s="70" t="str">
        <f t="shared" si="6"/>
        <v>Holiday</v>
      </c>
    </row>
    <row r="91" ht="12.75" customHeight="1">
      <c r="B91" s="70" t="s">
        <v>3173</v>
      </c>
      <c r="C91" s="58" t="s">
        <v>3237</v>
      </c>
      <c r="D91" s="58" t="s">
        <v>3353</v>
      </c>
      <c r="J91" s="70" t="str">
        <f t="shared" ref="J91:L91" si="179">LEFT(B91,LEN(B91)-LEN(RIGHT(B91,27)))</f>
        <v>Women</v>
      </c>
      <c r="K91" s="70" t="str">
        <f t="shared" si="179"/>
        <v>Swim</v>
      </c>
      <c r="L91" s="70" t="str">
        <f t="shared" si="179"/>
        <v>One Pieces</v>
      </c>
      <c r="O91" s="58" t="s">
        <v>3354</v>
      </c>
      <c r="P91" s="58" t="s">
        <v>3338</v>
      </c>
      <c r="W91" s="70" t="str">
        <f t="shared" ref="W91:X91" si="180">LEFT(O91,LEN(O91)-LEN(RIGHT(O91,27)))</f>
        <v>Kitchen</v>
      </c>
      <c r="X91" s="70" t="str">
        <f t="shared" si="180"/>
        <v>Home</v>
      </c>
      <c r="Y91" s="70" t="str">
        <f t="shared" si="6"/>
        <v>Kitchen</v>
      </c>
    </row>
    <row r="92" ht="12.75" customHeight="1">
      <c r="B92" s="70" t="s">
        <v>3173</v>
      </c>
      <c r="C92" s="58" t="s">
        <v>3237</v>
      </c>
      <c r="D92" s="58" t="s">
        <v>3355</v>
      </c>
      <c r="J92" s="70" t="str">
        <f t="shared" ref="J92:L92" si="181">LEFT(B92,LEN(B92)-LEN(RIGHT(B92,27)))</f>
        <v>Women</v>
      </c>
      <c r="K92" s="70" t="str">
        <f t="shared" si="181"/>
        <v>Swim</v>
      </c>
      <c r="L92" s="70" t="str">
        <f t="shared" si="181"/>
        <v>Sarongs</v>
      </c>
      <c r="O92" s="58" t="s">
        <v>3356</v>
      </c>
      <c r="P92" s="58" t="s">
        <v>3338</v>
      </c>
      <c r="W92" s="70" t="str">
        <f t="shared" ref="W92:X92" si="182">LEFT(O92,LEN(O92)-LEN(RIGHT(O92,27)))</f>
        <v>Office</v>
      </c>
      <c r="X92" s="70" t="str">
        <f t="shared" si="182"/>
        <v>Home</v>
      </c>
      <c r="Y92" s="70" t="str">
        <f t="shared" si="6"/>
        <v>Office</v>
      </c>
    </row>
    <row r="93" ht="12.75" customHeight="1">
      <c r="B93" s="70" t="s">
        <v>3173</v>
      </c>
      <c r="C93" s="58" t="s">
        <v>3180</v>
      </c>
      <c r="D93" s="58" t="s">
        <v>3357</v>
      </c>
      <c r="J93" s="70" t="str">
        <f t="shared" ref="J93:L93" si="183">LEFT(B93,LEN(B93)-LEN(RIGHT(B93,27)))</f>
        <v>Women</v>
      </c>
      <c r="K93" s="70" t="str">
        <f t="shared" si="183"/>
        <v>Bags</v>
      </c>
      <c r="L93" s="70" t="str">
        <f t="shared" si="183"/>
        <v>Baby Bags</v>
      </c>
      <c r="O93" s="58" t="s">
        <v>3358</v>
      </c>
      <c r="P93" s="58" t="s">
        <v>3338</v>
      </c>
      <c r="W93" s="70" t="str">
        <f t="shared" ref="W93:X93" si="184">LEFT(O93,LEN(O93)-LEN(RIGHT(O93,27)))</f>
        <v>Party Supplies</v>
      </c>
      <c r="X93" s="70" t="str">
        <f t="shared" si="184"/>
        <v>Home</v>
      </c>
      <c r="Y93" s="70" t="str">
        <f t="shared" si="6"/>
        <v>Party Supplies</v>
      </c>
    </row>
    <row r="94" ht="12.75" customHeight="1">
      <c r="B94" s="70" t="s">
        <v>3173</v>
      </c>
      <c r="C94" s="58" t="s">
        <v>3180</v>
      </c>
      <c r="D94" s="58" t="s">
        <v>3359</v>
      </c>
      <c r="J94" s="70" t="str">
        <f t="shared" ref="J94:L94" si="185">LEFT(B94,LEN(B94)-LEN(RIGHT(B94,27)))</f>
        <v>Women</v>
      </c>
      <c r="K94" s="70" t="str">
        <f t="shared" si="185"/>
        <v>Bags</v>
      </c>
      <c r="L94" s="70" t="str">
        <f t="shared" si="185"/>
        <v>Backpacks</v>
      </c>
      <c r="O94" s="58" t="s">
        <v>3360</v>
      </c>
      <c r="P94" s="58" t="s">
        <v>3338</v>
      </c>
      <c r="W94" s="70" t="str">
        <f t="shared" ref="W94:X94" si="186">LEFT(O94,LEN(O94)-LEN(RIGHT(O94,27)))</f>
        <v>Storage &amp; Organization</v>
      </c>
      <c r="X94" s="70" t="str">
        <f t="shared" si="186"/>
        <v>Home</v>
      </c>
      <c r="Y94" s="70" t="str">
        <f t="shared" si="6"/>
        <v>Storage &amp; Organization</v>
      </c>
    </row>
    <row r="95" ht="12.75" customHeight="1">
      <c r="B95" s="70" t="s">
        <v>3173</v>
      </c>
      <c r="C95" s="58" t="s">
        <v>3180</v>
      </c>
      <c r="D95" s="58" t="s">
        <v>3361</v>
      </c>
      <c r="J95" s="70" t="str">
        <f t="shared" ref="J95:L95" si="187">LEFT(B95,LEN(B95)-LEN(RIGHT(B95,27)))</f>
        <v>Women</v>
      </c>
      <c r="K95" s="70" t="str">
        <f t="shared" si="187"/>
        <v>Bags</v>
      </c>
      <c r="L95" s="70" t="str">
        <f t="shared" si="187"/>
        <v>Clutches &amp; Wristlets</v>
      </c>
      <c r="O95" s="58" t="s">
        <v>3362</v>
      </c>
      <c r="P95" s="58" t="s">
        <v>3338</v>
      </c>
      <c r="W95" s="70" t="str">
        <f t="shared" ref="W95:X95" si="188">LEFT(O95,LEN(O95)-LEN(RIGHT(O95,27)))</f>
        <v>Wall Decor</v>
      </c>
      <c r="X95" s="70" t="str">
        <f t="shared" si="188"/>
        <v>Home</v>
      </c>
      <c r="Y95" s="70" t="str">
        <f t="shared" si="6"/>
        <v>Wall Decor</v>
      </c>
    </row>
    <row r="96" ht="12.75" customHeight="1">
      <c r="B96" s="70" t="s">
        <v>3173</v>
      </c>
      <c r="C96" s="58" t="s">
        <v>3180</v>
      </c>
      <c r="D96" s="58" t="s">
        <v>3363</v>
      </c>
      <c r="J96" s="70" t="str">
        <f t="shared" ref="J96:L96" si="189">LEFT(B96,LEN(B96)-LEN(RIGHT(B96,27)))</f>
        <v>Women</v>
      </c>
      <c r="K96" s="70" t="str">
        <f t="shared" si="189"/>
        <v>Bags</v>
      </c>
      <c r="L96" s="70" t="str">
        <f t="shared" si="189"/>
        <v>Cosmetic Bags &amp; Cases</v>
      </c>
      <c r="O96" s="58" t="s">
        <v>3364</v>
      </c>
      <c r="P96" s="58" t="s">
        <v>3338</v>
      </c>
      <c r="W96" s="70" t="str">
        <f t="shared" ref="W96:X96" si="190">LEFT(O96,LEN(O96)-LEN(RIGHT(O96,27)))</f>
        <v>Other</v>
      </c>
      <c r="X96" s="70" t="str">
        <f t="shared" si="190"/>
        <v>Home</v>
      </c>
      <c r="Y96" s="70" t="str">
        <f t="shared" si="6"/>
        <v>#N/A</v>
      </c>
    </row>
    <row r="97" ht="12.75" customHeight="1">
      <c r="B97" s="70" t="s">
        <v>3173</v>
      </c>
      <c r="C97" s="58" t="s">
        <v>3180</v>
      </c>
      <c r="D97" s="58" t="s">
        <v>3365</v>
      </c>
      <c r="J97" s="70" t="str">
        <f t="shared" ref="J97:L97" si="191">LEFT(B97,LEN(B97)-LEN(RIGHT(B97,27)))</f>
        <v>Women</v>
      </c>
      <c r="K97" s="70" t="str">
        <f t="shared" si="191"/>
        <v>Bags</v>
      </c>
      <c r="L97" s="70" t="str">
        <f t="shared" si="191"/>
        <v>Crossbody Bags</v>
      </c>
      <c r="O97" s="58" t="s">
        <v>3366</v>
      </c>
      <c r="P97" s="58" t="s">
        <v>3367</v>
      </c>
      <c r="W97" s="70" t="str">
        <f t="shared" ref="W97:X97" si="192">LEFT(O97,LEN(O97)-LEN(RIGHT(O97,27)))</f>
        <v>Dog</v>
      </c>
      <c r="X97" s="70" t="str">
        <f t="shared" si="192"/>
        <v>Pets</v>
      </c>
      <c r="Y97" s="70" t="str">
        <f t="shared" si="6"/>
        <v>Dog</v>
      </c>
    </row>
    <row r="98" ht="12.75" customHeight="1">
      <c r="B98" s="70" t="s">
        <v>3173</v>
      </c>
      <c r="C98" s="58" t="s">
        <v>3180</v>
      </c>
      <c r="D98" s="58" t="s">
        <v>3368</v>
      </c>
      <c r="J98" s="70" t="str">
        <f t="shared" ref="J98:L98" si="193">LEFT(B98,LEN(B98)-LEN(RIGHT(B98,27)))</f>
        <v>Women</v>
      </c>
      <c r="K98" s="70" t="str">
        <f t="shared" si="193"/>
        <v>Bags</v>
      </c>
      <c r="L98" s="70" t="str">
        <f t="shared" si="193"/>
        <v>Hobos</v>
      </c>
      <c r="O98" s="58" t="s">
        <v>3369</v>
      </c>
      <c r="P98" s="58" t="s">
        <v>3367</v>
      </c>
      <c r="W98" s="70" t="str">
        <f t="shared" ref="W98:X98" si="194">LEFT(O98,LEN(O98)-LEN(RIGHT(O98,27)))</f>
        <v>Cat</v>
      </c>
      <c r="X98" s="70" t="str">
        <f t="shared" si="194"/>
        <v>Pets</v>
      </c>
      <c r="Y98" s="70" t="str">
        <f t="shared" si="6"/>
        <v>Cat</v>
      </c>
    </row>
    <row r="99" ht="12.75" customHeight="1">
      <c r="B99" s="70" t="s">
        <v>3173</v>
      </c>
      <c r="C99" s="58" t="s">
        <v>3180</v>
      </c>
      <c r="D99" s="58" t="s">
        <v>3370</v>
      </c>
      <c r="J99" s="70" t="str">
        <f t="shared" ref="J99:L99" si="195">LEFT(B99,LEN(B99)-LEN(RIGHT(B99,27)))</f>
        <v>Women</v>
      </c>
      <c r="K99" s="70" t="str">
        <f t="shared" si="195"/>
        <v>Bags</v>
      </c>
      <c r="L99" s="70" t="str">
        <f t="shared" si="195"/>
        <v>Laptop Bags</v>
      </c>
      <c r="O99" s="58" t="s">
        <v>3371</v>
      </c>
      <c r="P99" s="58" t="s">
        <v>3367</v>
      </c>
      <c r="W99" s="70" t="str">
        <f t="shared" ref="W99:X99" si="196">LEFT(O99,LEN(O99)-LEN(RIGHT(O99,27)))</f>
        <v>Bird</v>
      </c>
      <c r="X99" s="70" t="str">
        <f t="shared" si="196"/>
        <v>Pets</v>
      </c>
      <c r="Y99" s="70" t="str">
        <f t="shared" si="6"/>
        <v>Bird</v>
      </c>
    </row>
    <row r="100" ht="12.75" customHeight="1">
      <c r="B100" s="70" t="s">
        <v>3173</v>
      </c>
      <c r="C100" s="58" t="s">
        <v>3180</v>
      </c>
      <c r="D100" s="58" t="s">
        <v>3372</v>
      </c>
      <c r="J100" s="70" t="str">
        <f t="shared" ref="J100:L100" si="197">LEFT(B100,LEN(B100)-LEN(RIGHT(B100,27)))</f>
        <v>Women</v>
      </c>
      <c r="K100" s="70" t="str">
        <f t="shared" si="197"/>
        <v>Bags</v>
      </c>
      <c r="L100" s="70" t="str">
        <f t="shared" si="197"/>
        <v>Mini Bags</v>
      </c>
      <c r="O100" s="58" t="s">
        <v>3373</v>
      </c>
      <c r="P100" s="58" t="s">
        <v>3367</v>
      </c>
      <c r="W100" s="70" t="str">
        <f t="shared" ref="W100:X100" si="198">LEFT(O100,LEN(O100)-LEN(RIGHT(O100,27)))</f>
        <v>Fish</v>
      </c>
      <c r="X100" s="70" t="str">
        <f t="shared" si="198"/>
        <v>Pets</v>
      </c>
      <c r="Y100" s="70" t="str">
        <f t="shared" si="6"/>
        <v>Fish</v>
      </c>
    </row>
    <row r="101" ht="12.75" customHeight="1">
      <c r="B101" s="70" t="s">
        <v>3173</v>
      </c>
      <c r="C101" s="58" t="s">
        <v>3180</v>
      </c>
      <c r="D101" s="58" t="s">
        <v>3374</v>
      </c>
      <c r="J101" s="70" t="str">
        <f t="shared" ref="J101:L101" si="199">LEFT(B101,LEN(B101)-LEN(RIGHT(B101,27)))</f>
        <v>Women</v>
      </c>
      <c r="K101" s="70" t="str">
        <f t="shared" si="199"/>
        <v>Bags</v>
      </c>
      <c r="L101" s="70" t="str">
        <f t="shared" si="199"/>
        <v>Satchels</v>
      </c>
      <c r="O101" s="58" t="s">
        <v>3375</v>
      </c>
      <c r="P101" s="58" t="s">
        <v>3367</v>
      </c>
      <c r="W101" s="70" t="str">
        <f t="shared" ref="W101:X101" si="200">LEFT(O101,LEN(O101)-LEN(RIGHT(O101,27)))</f>
        <v>Reptile</v>
      </c>
      <c r="X101" s="70" t="str">
        <f t="shared" si="200"/>
        <v>Pets</v>
      </c>
      <c r="Y101" s="70" t="str">
        <f t="shared" si="6"/>
        <v>Reptile</v>
      </c>
    </row>
    <row r="102" ht="12.75" customHeight="1">
      <c r="B102" s="70" t="s">
        <v>3173</v>
      </c>
      <c r="C102" s="58" t="s">
        <v>3180</v>
      </c>
      <c r="D102" s="58" t="s">
        <v>3376</v>
      </c>
      <c r="J102" s="70" t="str">
        <f t="shared" ref="J102:L102" si="201">LEFT(B102,LEN(B102)-LEN(RIGHT(B102,27)))</f>
        <v>Women</v>
      </c>
      <c r="K102" s="70" t="str">
        <f t="shared" si="201"/>
        <v>Bags</v>
      </c>
      <c r="L102" s="70" t="str">
        <f t="shared" si="201"/>
        <v>Shoulder Bags</v>
      </c>
      <c r="O102" s="58" t="s">
        <v>3377</v>
      </c>
      <c r="P102" s="58" t="s">
        <v>3367</v>
      </c>
      <c r="W102" s="70" t="str">
        <f t="shared" ref="W102:X102" si="202">LEFT(O102,LEN(O102)-LEN(RIGHT(O102,27)))</f>
        <v>Small Pets</v>
      </c>
      <c r="X102" s="70" t="str">
        <f t="shared" si="202"/>
        <v>Pets</v>
      </c>
      <c r="Y102" s="70" t="str">
        <f t="shared" si="6"/>
        <v>Small Pets</v>
      </c>
    </row>
    <row r="103" ht="12.75" customHeight="1">
      <c r="B103" s="70" t="s">
        <v>3173</v>
      </c>
      <c r="C103" s="58" t="s">
        <v>3180</v>
      </c>
      <c r="D103" s="58" t="s">
        <v>3378</v>
      </c>
      <c r="J103" s="70" t="str">
        <f t="shared" ref="J103:L103" si="203">LEFT(B103,LEN(B103)-LEN(RIGHT(B103,27)))</f>
        <v>Women</v>
      </c>
      <c r="K103" s="70" t="str">
        <f t="shared" si="203"/>
        <v>Bags</v>
      </c>
      <c r="L103" s="70" t="str">
        <f t="shared" si="203"/>
        <v>Totes</v>
      </c>
      <c r="O103" s="58" t="s">
        <v>3379</v>
      </c>
      <c r="P103" s="58" t="s">
        <v>3367</v>
      </c>
      <c r="W103" s="70" t="str">
        <f t="shared" ref="W103:X103" si="204">LEFT(O103,LEN(O103)-LEN(RIGHT(O103,27)))</f>
        <v>Other</v>
      </c>
      <c r="X103" s="70" t="str">
        <f t="shared" si="204"/>
        <v>Pets</v>
      </c>
      <c r="Y103" s="70" t="str">
        <f t="shared" si="6"/>
        <v>#N/A</v>
      </c>
    </row>
    <row r="104" ht="12.75" customHeight="1">
      <c r="B104" s="70" t="s">
        <v>3173</v>
      </c>
      <c r="C104" s="58" t="s">
        <v>3180</v>
      </c>
      <c r="D104" s="58" t="s">
        <v>3380</v>
      </c>
      <c r="J104" s="70" t="str">
        <f t="shared" ref="J104:L104" si="205">LEFT(B104,LEN(B104)-LEN(RIGHT(B104,27)))</f>
        <v>Women</v>
      </c>
      <c r="K104" s="70" t="str">
        <f t="shared" si="205"/>
        <v>Bags</v>
      </c>
      <c r="L104" s="70" t="str">
        <f t="shared" si="205"/>
        <v>Travel Bags</v>
      </c>
      <c r="O104" s="58" t="s">
        <v>3381</v>
      </c>
      <c r="P104" s="58" t="s">
        <v>3382</v>
      </c>
      <c r="W104" s="70" t="str">
        <f t="shared" ref="W104:X104" si="206">LEFT(O104,LEN(O104)-LEN(RIGHT(O104,27)))</f>
        <v>Camera, Photo &amp; Video</v>
      </c>
      <c r="X104" s="70" t="str">
        <f t="shared" si="206"/>
        <v>Electronics</v>
      </c>
      <c r="Y104" s="70" t="str">
        <f t="shared" si="6"/>
        <v>Camera, Photo &amp; Video</v>
      </c>
    </row>
    <row r="105" ht="12.75" customHeight="1">
      <c r="B105" s="70" t="s">
        <v>3173</v>
      </c>
      <c r="C105" s="58" t="s">
        <v>3180</v>
      </c>
      <c r="D105" s="58" t="s">
        <v>3383</v>
      </c>
      <c r="J105" s="70" t="str">
        <f t="shared" ref="J105:L105" si="207">LEFT(B105,LEN(B105)-LEN(RIGHT(B105,27)))</f>
        <v>Women</v>
      </c>
      <c r="K105" s="70" t="str">
        <f t="shared" si="207"/>
        <v>Bags</v>
      </c>
      <c r="L105" s="70" t="str">
        <f t="shared" si="207"/>
        <v>Wallets</v>
      </c>
      <c r="O105" s="58" t="s">
        <v>3384</v>
      </c>
      <c r="P105" s="58" t="s">
        <v>3382</v>
      </c>
      <c r="W105" s="70" t="str">
        <f t="shared" ref="W105:X105" si="208">LEFT(O105,LEN(O105)-LEN(RIGHT(O105,27)))</f>
        <v>Computers, Laptops &amp; Accessories</v>
      </c>
      <c r="X105" s="70" t="str">
        <f t="shared" si="208"/>
        <v>Electronics</v>
      </c>
      <c r="Y105" s="70" t="str">
        <f t="shared" si="6"/>
        <v>Computers, Laptops &amp; Accessories</v>
      </c>
    </row>
    <row r="106" ht="12.75" customHeight="1">
      <c r="B106" s="70" t="s">
        <v>3173</v>
      </c>
      <c r="C106" s="58" t="s">
        <v>3230</v>
      </c>
      <c r="D106" s="58" t="s">
        <v>3385</v>
      </c>
      <c r="J106" s="70" t="str">
        <f t="shared" ref="J106:L106" si="209">LEFT(B106,LEN(B106)-LEN(RIGHT(B106,27)))</f>
        <v>Women</v>
      </c>
      <c r="K106" s="70" t="str">
        <f t="shared" si="209"/>
        <v>Shoes</v>
      </c>
      <c r="L106" s="70" t="str">
        <f t="shared" si="209"/>
        <v>Ankle Boots &amp; Booties</v>
      </c>
      <c r="O106" s="58" t="s">
        <v>3386</v>
      </c>
      <c r="P106" s="58" t="s">
        <v>3382</v>
      </c>
      <c r="W106" s="70" t="str">
        <f t="shared" ref="W106:X106" si="210">LEFT(O106,LEN(O106)-LEN(RIGHT(O106,27)))</f>
        <v>Cell Phones &amp; Accessories</v>
      </c>
      <c r="X106" s="70" t="str">
        <f t="shared" si="210"/>
        <v>Electronics</v>
      </c>
      <c r="Y106" s="70" t="str">
        <f t="shared" si="6"/>
        <v>Cell Phones &amp; Accessories</v>
      </c>
    </row>
    <row r="107" ht="12.75" customHeight="1">
      <c r="B107" s="70" t="s">
        <v>3173</v>
      </c>
      <c r="C107" s="58" t="s">
        <v>3230</v>
      </c>
      <c r="D107" s="58" t="s">
        <v>3387</v>
      </c>
      <c r="J107" s="70" t="str">
        <f t="shared" ref="J107:L107" si="211">LEFT(B107,LEN(B107)-LEN(RIGHT(B107,27)))</f>
        <v>Women</v>
      </c>
      <c r="K107" s="70" t="str">
        <f t="shared" si="211"/>
        <v>Shoes</v>
      </c>
      <c r="L107" s="70" t="str">
        <f t="shared" si="211"/>
        <v>Athletic Shoes</v>
      </c>
      <c r="O107" s="58" t="s">
        <v>3388</v>
      </c>
      <c r="P107" s="58" t="s">
        <v>3382</v>
      </c>
      <c r="W107" s="70" t="str">
        <f t="shared" ref="W107:X107" si="212">LEFT(O107,LEN(O107)-LEN(RIGHT(O107,27)))</f>
        <v>TV &amp; Video</v>
      </c>
      <c r="X107" s="70" t="str">
        <f t="shared" si="212"/>
        <v>Electronics</v>
      </c>
      <c r="Y107" s="70" t="str">
        <f t="shared" si="6"/>
        <v>TV &amp; Video</v>
      </c>
    </row>
    <row r="108" ht="12.75" customHeight="1">
      <c r="B108" s="70" t="s">
        <v>3173</v>
      </c>
      <c r="C108" s="58" t="s">
        <v>3230</v>
      </c>
      <c r="D108" s="58" t="s">
        <v>3389</v>
      </c>
      <c r="J108" s="70" t="str">
        <f t="shared" ref="J108:L108" si="213">LEFT(B108,LEN(B108)-LEN(RIGHT(B108,27)))</f>
        <v>Women</v>
      </c>
      <c r="K108" s="70" t="str">
        <f t="shared" si="213"/>
        <v>Shoes</v>
      </c>
      <c r="L108" s="70" t="str">
        <f t="shared" si="213"/>
        <v>Combat &amp; Moto Boots</v>
      </c>
      <c r="O108" s="58" t="s">
        <v>3390</v>
      </c>
      <c r="P108" s="58" t="s">
        <v>3382</v>
      </c>
      <c r="W108" s="70" t="str">
        <f t="shared" ref="W108:X108" si="214">LEFT(O108,LEN(O108)-LEN(RIGHT(O108,27)))</f>
        <v>Video Games &amp; Consoles</v>
      </c>
      <c r="X108" s="70" t="str">
        <f t="shared" si="214"/>
        <v>Electronics</v>
      </c>
      <c r="Y108" s="70" t="str">
        <f t="shared" si="6"/>
        <v>Video Games &amp; Consoles</v>
      </c>
    </row>
    <row r="109" ht="12.75" customHeight="1">
      <c r="B109" s="70" t="s">
        <v>3173</v>
      </c>
      <c r="C109" s="58" t="s">
        <v>3230</v>
      </c>
      <c r="D109" s="58" t="s">
        <v>3391</v>
      </c>
      <c r="J109" s="70" t="str">
        <f t="shared" ref="J109:L109" si="215">LEFT(B109,LEN(B109)-LEN(RIGHT(B109,27)))</f>
        <v>Women</v>
      </c>
      <c r="K109" s="70" t="str">
        <f t="shared" si="215"/>
        <v>Shoes</v>
      </c>
      <c r="L109" s="70" t="str">
        <f t="shared" si="215"/>
        <v>Espadrilles</v>
      </c>
      <c r="O109" s="58" t="s">
        <v>3392</v>
      </c>
      <c r="P109" s="58" t="s">
        <v>3382</v>
      </c>
      <c r="W109" s="70" t="str">
        <f t="shared" ref="W109:X109" si="216">LEFT(O109,LEN(O109)-LEN(RIGHT(O109,27)))</f>
        <v>Car audio, video &amp; GPS</v>
      </c>
      <c r="X109" s="70" t="str">
        <f t="shared" si="216"/>
        <v>Electronics</v>
      </c>
      <c r="Y109" s="70" t="str">
        <f t="shared" si="6"/>
        <v>#N/A</v>
      </c>
    </row>
    <row r="110" ht="12.75" customHeight="1">
      <c r="B110" s="70" t="s">
        <v>3173</v>
      </c>
      <c r="C110" s="58" t="s">
        <v>3230</v>
      </c>
      <c r="D110" s="58" t="s">
        <v>3393</v>
      </c>
      <c r="J110" s="70" t="str">
        <f t="shared" ref="J110:L110" si="217">LEFT(B110,LEN(B110)-LEN(RIGHT(B110,27)))</f>
        <v>Women</v>
      </c>
      <c r="K110" s="70" t="str">
        <f t="shared" si="217"/>
        <v>Shoes</v>
      </c>
      <c r="L110" s="70" t="str">
        <f t="shared" si="217"/>
        <v>Flats &amp; Loafers</v>
      </c>
      <c r="O110" s="58" t="s">
        <v>3394</v>
      </c>
      <c r="P110" s="58" t="s">
        <v>3382</v>
      </c>
      <c r="W110" s="70" t="str">
        <f t="shared" ref="W110:X110" si="218">LEFT(O110,LEN(O110)-LEN(RIGHT(O110,27)))</f>
        <v>Media</v>
      </c>
      <c r="X110" s="70" t="str">
        <f t="shared" si="218"/>
        <v>Electronics</v>
      </c>
      <c r="Y110" s="70" t="str">
        <f t="shared" si="6"/>
        <v>Media</v>
      </c>
    </row>
    <row r="111" ht="12.75" customHeight="1">
      <c r="B111" s="70" t="s">
        <v>3173</v>
      </c>
      <c r="C111" s="58" t="s">
        <v>3230</v>
      </c>
      <c r="D111" s="58" t="s">
        <v>3395</v>
      </c>
      <c r="J111" s="70" t="str">
        <f t="shared" ref="J111:L111" si="219">LEFT(B111,LEN(B111)-LEN(RIGHT(B111,27)))</f>
        <v>Women</v>
      </c>
      <c r="K111" s="70" t="str">
        <f t="shared" si="219"/>
        <v>Shoes</v>
      </c>
      <c r="L111" s="70" t="str">
        <f t="shared" si="219"/>
        <v>Heeled Boots</v>
      </c>
      <c r="O111" s="58" t="s">
        <v>3396</v>
      </c>
      <c r="P111" s="58" t="s">
        <v>3382</v>
      </c>
      <c r="W111" s="70" t="str">
        <f t="shared" ref="W111:X111" si="220">LEFT(O111,LEN(O111)-LEN(RIGHT(O111,27)))</f>
        <v>Wearables</v>
      </c>
      <c r="X111" s="70" t="str">
        <f t="shared" si="220"/>
        <v>Electronics</v>
      </c>
      <c r="Y111" s="70" t="str">
        <f t="shared" si="6"/>
        <v>#N/A</v>
      </c>
    </row>
    <row r="112" ht="12.75" customHeight="1">
      <c r="B112" s="70" t="s">
        <v>3173</v>
      </c>
      <c r="C112" s="58" t="s">
        <v>3230</v>
      </c>
      <c r="D112" s="58" t="s">
        <v>3397</v>
      </c>
      <c r="J112" s="70" t="str">
        <f t="shared" ref="J112:L112" si="221">LEFT(B112,LEN(B112)-LEN(RIGHT(B112,27)))</f>
        <v>Women</v>
      </c>
      <c r="K112" s="70" t="str">
        <f t="shared" si="221"/>
        <v>Shoes</v>
      </c>
      <c r="L112" s="70" t="str">
        <f t="shared" si="221"/>
        <v>Heels</v>
      </c>
      <c r="O112" s="58" t="s">
        <v>3398</v>
      </c>
      <c r="P112" s="58" t="s">
        <v>3382</v>
      </c>
      <c r="W112" s="70" t="str">
        <f t="shared" ref="W112:X112" si="222">LEFT(O112,LEN(O112)-LEN(RIGHT(O112,27)))</f>
        <v>Smart Home &amp; Security</v>
      </c>
      <c r="X112" s="70" t="str">
        <f t="shared" si="222"/>
        <v>Electronics</v>
      </c>
      <c r="Y112" s="70" t="str">
        <f t="shared" si="6"/>
        <v>#N/A</v>
      </c>
    </row>
    <row r="113" ht="12.75" customHeight="1">
      <c r="B113" s="70" t="s">
        <v>3173</v>
      </c>
      <c r="C113" s="58" t="s">
        <v>3230</v>
      </c>
      <c r="D113" s="58" t="s">
        <v>3399</v>
      </c>
      <c r="J113" s="70" t="str">
        <f t="shared" ref="J113:L113" si="223">LEFT(B113,LEN(B113)-LEN(RIGHT(B113,27)))</f>
        <v>Women</v>
      </c>
      <c r="K113" s="70" t="str">
        <f t="shared" si="223"/>
        <v>Shoes</v>
      </c>
      <c r="L113" s="70" t="str">
        <f t="shared" si="223"/>
        <v>Lace Up Boots</v>
      </c>
      <c r="O113" s="58" t="s">
        <v>3400</v>
      </c>
      <c r="P113" s="58" t="s">
        <v>3382</v>
      </c>
      <c r="W113" s="70" t="str">
        <f t="shared" ref="W113:X113" si="224">LEFT(O113,LEN(O113)-LEN(RIGHT(O113,27)))</f>
        <v>Home Audio</v>
      </c>
      <c r="X113" s="70" t="str">
        <f t="shared" si="224"/>
        <v>Electronics</v>
      </c>
      <c r="Y113" s="70" t="str">
        <f t="shared" si="6"/>
        <v>#N/A</v>
      </c>
    </row>
    <row r="114" ht="12.75" customHeight="1">
      <c r="B114" s="70" t="s">
        <v>3173</v>
      </c>
      <c r="C114" s="58" t="s">
        <v>3230</v>
      </c>
      <c r="D114" s="58" t="s">
        <v>3401</v>
      </c>
      <c r="J114" s="70" t="str">
        <f t="shared" ref="J114:L114" si="225">LEFT(B114,LEN(B114)-LEN(RIGHT(B114,27)))</f>
        <v>Women</v>
      </c>
      <c r="K114" s="70" t="str">
        <f t="shared" si="225"/>
        <v>Shoes</v>
      </c>
      <c r="L114" s="70" t="str">
        <f t="shared" si="225"/>
        <v>Moccasins</v>
      </c>
      <c r="O114" s="58" t="s">
        <v>3402</v>
      </c>
      <c r="P114" s="58" t="s">
        <v>3382</v>
      </c>
      <c r="W114" s="70" t="str">
        <f t="shared" ref="W114:X114" si="226">LEFT(O114,LEN(O114)-LEN(RIGHT(O114,27)))</f>
        <v>Headphones</v>
      </c>
      <c r="X114" s="70" t="str">
        <f t="shared" si="226"/>
        <v>Electronics</v>
      </c>
      <c r="Y114" s="70" t="str">
        <f t="shared" si="6"/>
        <v>Headphones</v>
      </c>
    </row>
    <row r="115" ht="12.75" customHeight="1">
      <c r="B115" s="70" t="s">
        <v>3173</v>
      </c>
      <c r="C115" s="58" t="s">
        <v>3230</v>
      </c>
      <c r="D115" s="58" t="s">
        <v>3403</v>
      </c>
      <c r="J115" s="70" t="str">
        <f t="shared" ref="J115:L115" si="227">LEFT(B115,LEN(B115)-LEN(RIGHT(B115,27)))</f>
        <v>Women</v>
      </c>
      <c r="K115" s="70" t="str">
        <f t="shared" si="227"/>
        <v>Shoes</v>
      </c>
      <c r="L115" s="70" t="str">
        <f t="shared" si="227"/>
        <v>Mules &amp; Clogs</v>
      </c>
      <c r="O115" s="58" t="s">
        <v>3404</v>
      </c>
      <c r="P115" s="58" t="s">
        <v>3382</v>
      </c>
      <c r="W115" s="70" t="str">
        <f t="shared" ref="W115:X115" si="228">LEFT(O115,LEN(O115)-LEN(RIGHT(O115,27)))</f>
        <v>Portable Audio &amp; Video</v>
      </c>
      <c r="X115" s="70" t="str">
        <f t="shared" si="228"/>
        <v>Electronics</v>
      </c>
      <c r="Y115" s="70" t="str">
        <f t="shared" si="6"/>
        <v>Portable Audio &amp; Video</v>
      </c>
    </row>
    <row r="116" ht="12.75" customHeight="1">
      <c r="B116" s="70" t="s">
        <v>3173</v>
      </c>
      <c r="C116" s="58" t="s">
        <v>3230</v>
      </c>
      <c r="D116" s="58" t="s">
        <v>3405</v>
      </c>
      <c r="J116" s="70" t="str">
        <f t="shared" ref="J116:L116" si="229">LEFT(B116,LEN(B116)-LEN(RIGHT(B116,27)))</f>
        <v>Women</v>
      </c>
      <c r="K116" s="70" t="str">
        <f t="shared" si="229"/>
        <v>Shoes</v>
      </c>
      <c r="L116" s="70" t="str">
        <f t="shared" si="229"/>
        <v>Over the Knee Boots</v>
      </c>
      <c r="O116" s="58" t="s">
        <v>3406</v>
      </c>
      <c r="P116" s="58" t="s">
        <v>3382</v>
      </c>
      <c r="W116" s="70" t="str">
        <f t="shared" ref="W116:X116" si="230">LEFT(O116,LEN(O116)-LEN(RIGHT(O116,27)))</f>
        <v>Tablets, E-Readers &amp; Accessories</v>
      </c>
      <c r="X116" s="70" t="str">
        <f t="shared" si="230"/>
        <v>Electronics</v>
      </c>
      <c r="Y116" s="70" t="str">
        <f t="shared" si="6"/>
        <v>Tablets, E-Readers &amp; Accessories</v>
      </c>
    </row>
    <row r="117" ht="12.75" customHeight="1">
      <c r="B117" s="70" t="s">
        <v>3173</v>
      </c>
      <c r="C117" s="58" t="s">
        <v>3230</v>
      </c>
      <c r="D117" s="58" t="s">
        <v>3407</v>
      </c>
      <c r="J117" s="70" t="str">
        <f t="shared" ref="J117:L117" si="231">LEFT(B117,LEN(B117)-LEN(RIGHT(B117,27)))</f>
        <v>Women</v>
      </c>
      <c r="K117" s="70" t="str">
        <f t="shared" si="231"/>
        <v>Shoes</v>
      </c>
      <c r="L117" s="70" t="str">
        <f t="shared" si="231"/>
        <v>Platforms</v>
      </c>
      <c r="O117" s="58" t="s">
        <v>3408</v>
      </c>
      <c r="P117" s="58" t="s">
        <v>3382</v>
      </c>
      <c r="W117" s="70" t="str">
        <f t="shared" ref="W117:X117" si="232">LEFT(O117,LEN(O117)-LEN(RIGHT(O117,27)))</f>
        <v>Drones</v>
      </c>
      <c r="X117" s="70" t="str">
        <f t="shared" si="232"/>
        <v>Electronics</v>
      </c>
      <c r="Y117" s="70" t="str">
        <f t="shared" si="6"/>
        <v>Drones</v>
      </c>
    </row>
    <row r="118" ht="12.75" customHeight="1">
      <c r="B118" s="70" t="s">
        <v>3173</v>
      </c>
      <c r="C118" s="58" t="s">
        <v>3230</v>
      </c>
      <c r="D118" s="58" t="s">
        <v>3409</v>
      </c>
      <c r="J118" s="70" t="str">
        <f t="shared" ref="J118:L118" si="233">LEFT(B118,LEN(B118)-LEN(RIGHT(B118,27)))</f>
        <v>Women</v>
      </c>
      <c r="K118" s="70" t="str">
        <f t="shared" si="233"/>
        <v>Shoes</v>
      </c>
      <c r="L118" s="70" t="str">
        <f t="shared" si="233"/>
        <v>Sandals</v>
      </c>
      <c r="O118" s="58" t="s">
        <v>3410</v>
      </c>
      <c r="P118" s="58" t="s">
        <v>3382</v>
      </c>
      <c r="W118" s="70" t="str">
        <f t="shared" ref="W118:X118" si="234">LEFT(O118,LEN(O118)-LEN(RIGHT(O118,27)))</f>
        <v>VR, AR &amp; Accessories</v>
      </c>
      <c r="X118" s="70" t="str">
        <f t="shared" si="234"/>
        <v>Electronics</v>
      </c>
      <c r="Y118" s="70" t="str">
        <f t="shared" si="6"/>
        <v>VR, AR &amp; Accessories</v>
      </c>
    </row>
    <row r="119" ht="12.75" customHeight="1">
      <c r="B119" s="70" t="s">
        <v>3173</v>
      </c>
      <c r="C119" s="58" t="s">
        <v>3230</v>
      </c>
      <c r="D119" s="58" t="s">
        <v>3411</v>
      </c>
      <c r="J119" s="70" t="str">
        <f t="shared" ref="J119:L119" si="235">LEFT(B119,LEN(B119)-LEN(RIGHT(B119,27)))</f>
        <v>Women</v>
      </c>
      <c r="K119" s="70" t="str">
        <f t="shared" si="235"/>
        <v>Shoes</v>
      </c>
      <c r="L119" s="70" t="str">
        <f t="shared" si="235"/>
        <v>Slippers</v>
      </c>
      <c r="O119" s="58" t="s">
        <v>3412</v>
      </c>
      <c r="P119" s="58" t="s">
        <v>3382</v>
      </c>
      <c r="W119" s="70" t="str">
        <f t="shared" ref="W119:X119" si="236">LEFT(O119,LEN(O119)-LEN(RIGHT(O119,27)))</f>
        <v>Networking</v>
      </c>
      <c r="X119" s="70" t="str">
        <f t="shared" si="236"/>
        <v>Electronics</v>
      </c>
      <c r="Y119" s="70" t="str">
        <f t="shared" si="6"/>
        <v>Networking</v>
      </c>
    </row>
    <row r="120" ht="12.75" customHeight="1">
      <c r="B120" s="70" t="s">
        <v>3173</v>
      </c>
      <c r="C120" s="58" t="s">
        <v>3230</v>
      </c>
      <c r="D120" s="58" t="s">
        <v>3413</v>
      </c>
      <c r="J120" s="70" t="str">
        <f t="shared" ref="J120:L120" si="237">LEFT(B120,LEN(B120)-LEN(RIGHT(B120,27)))</f>
        <v>Women</v>
      </c>
      <c r="K120" s="70" t="str">
        <f t="shared" si="237"/>
        <v>Shoes</v>
      </c>
      <c r="L120" s="70" t="str">
        <f t="shared" si="237"/>
        <v>Sneakers</v>
      </c>
      <c r="O120" s="58" t="s">
        <v>3414</v>
      </c>
      <c r="P120" s="58" t="s">
        <v>3382</v>
      </c>
      <c r="W120" s="70" t="str">
        <f t="shared" ref="W120:X120" si="238">LEFT(O120,LEN(O120)-LEN(RIGHT(O120,27)))</f>
        <v>Print, Copy, Scan &amp; Fax</v>
      </c>
      <c r="X120" s="70" t="str">
        <f t="shared" si="238"/>
        <v>Electronics</v>
      </c>
      <c r="Y120" s="70" t="str">
        <f t="shared" si="6"/>
        <v>Print, Copy, Scan &amp; Fax</v>
      </c>
    </row>
    <row r="121" ht="12.75" customHeight="1">
      <c r="B121" s="70" t="s">
        <v>3173</v>
      </c>
      <c r="C121" s="58" t="s">
        <v>3230</v>
      </c>
      <c r="D121" s="58" t="s">
        <v>3415</v>
      </c>
      <c r="J121" s="70" t="str">
        <f t="shared" ref="J121:L121" si="239">LEFT(B121,LEN(B121)-LEN(RIGHT(B121,27)))</f>
        <v>Women</v>
      </c>
      <c r="K121" s="70" t="str">
        <f t="shared" si="239"/>
        <v>Shoes</v>
      </c>
      <c r="L121" s="70" t="str">
        <f t="shared" si="239"/>
        <v>Wedges</v>
      </c>
      <c r="O121" s="58" t="s">
        <v>3416</v>
      </c>
      <c r="P121" s="58" t="s">
        <v>3382</v>
      </c>
      <c r="W121" s="70" t="str">
        <f t="shared" ref="W121:X121" si="240">LEFT(O121,LEN(O121)-LEN(RIGHT(O121,27)))</f>
        <v>Musical instruments</v>
      </c>
      <c r="X121" s="70" t="str">
        <f t="shared" si="240"/>
        <v>Electronics</v>
      </c>
      <c r="Y121" s="70" t="str">
        <f t="shared" si="6"/>
        <v>Musical instruments</v>
      </c>
    </row>
    <row r="122" ht="12.75" customHeight="1">
      <c r="B122" s="70" t="s">
        <v>3173</v>
      </c>
      <c r="C122" s="58" t="s">
        <v>3230</v>
      </c>
      <c r="D122" s="58" t="s">
        <v>3417</v>
      </c>
      <c r="J122" s="70" t="str">
        <f t="shared" ref="J122:L122" si="241">LEFT(B122,LEN(B122)-LEN(RIGHT(B122,27)))</f>
        <v>Women</v>
      </c>
      <c r="K122" s="70" t="str">
        <f t="shared" si="241"/>
        <v>Shoes</v>
      </c>
      <c r="L122" s="70" t="str">
        <f t="shared" si="241"/>
        <v>Winter &amp; Rain Boots</v>
      </c>
      <c r="O122" s="58" t="s">
        <v>3418</v>
      </c>
      <c r="P122" s="58" t="s">
        <v>3382</v>
      </c>
      <c r="W122" s="70" t="str">
        <f t="shared" ref="W122:X122" si="242">LEFT(O122,LEN(O122)-LEN(RIGHT(O122,27)))</f>
        <v>Other</v>
      </c>
      <c r="X122" s="70" t="str">
        <f t="shared" si="242"/>
        <v>Electronics</v>
      </c>
      <c r="Y122" s="70" t="str">
        <f t="shared" si="6"/>
        <v>#N/A</v>
      </c>
    </row>
    <row r="123" ht="12.75" customHeight="1">
      <c r="B123" s="70" t="s">
        <v>3173</v>
      </c>
      <c r="C123" s="58" t="s">
        <v>3204</v>
      </c>
      <c r="D123" s="58" t="s">
        <v>3419</v>
      </c>
      <c r="J123" s="70" t="str">
        <f t="shared" ref="J123:L123" si="243">LEFT(B123,LEN(B123)-LEN(RIGHT(B123,27)))</f>
        <v>Women</v>
      </c>
      <c r="K123" s="70" t="str">
        <f t="shared" si="243"/>
        <v>Jewelry</v>
      </c>
      <c r="L123" s="70" t="str">
        <f t="shared" si="243"/>
        <v>Bracelets</v>
      </c>
      <c r="W123" s="70" t="str">
        <f t="shared" ref="W123:X123" si="244">LEFT(O123,LEN(O123)-LEN(RIGHT(O123,27)))</f>
        <v/>
      </c>
      <c r="X123" s="70" t="str">
        <f t="shared" si="244"/>
        <v/>
      </c>
    </row>
    <row r="124" ht="12.75" customHeight="1">
      <c r="B124" s="70" t="s">
        <v>3173</v>
      </c>
      <c r="C124" s="58" t="s">
        <v>3204</v>
      </c>
      <c r="D124" s="58" t="s">
        <v>3420</v>
      </c>
      <c r="J124" s="70" t="str">
        <f t="shared" ref="J124:L124" si="245">LEFT(B124,LEN(B124)-LEN(RIGHT(B124,27)))</f>
        <v>Women</v>
      </c>
      <c r="K124" s="70" t="str">
        <f t="shared" si="245"/>
        <v>Jewelry</v>
      </c>
      <c r="L124" s="70" t="str">
        <f t="shared" si="245"/>
        <v>Brooches</v>
      </c>
      <c r="W124" s="70" t="str">
        <f t="shared" ref="W124:X124" si="246">LEFT(O124,LEN(O124)-LEN(RIGHT(O124,27)))</f>
        <v/>
      </c>
      <c r="X124" s="70" t="str">
        <f t="shared" si="246"/>
        <v/>
      </c>
    </row>
    <row r="125" ht="12.75" customHeight="1">
      <c r="B125" s="70" t="s">
        <v>3173</v>
      </c>
      <c r="C125" s="58" t="s">
        <v>3204</v>
      </c>
      <c r="D125" s="58" t="s">
        <v>3421</v>
      </c>
      <c r="J125" s="70" t="str">
        <f t="shared" ref="J125:L125" si="247">LEFT(B125,LEN(B125)-LEN(RIGHT(B125,27)))</f>
        <v>Women</v>
      </c>
      <c r="K125" s="70" t="str">
        <f t="shared" si="247"/>
        <v>Jewelry</v>
      </c>
      <c r="L125" s="70" t="str">
        <f t="shared" si="247"/>
        <v>Earrings</v>
      </c>
      <c r="W125" s="70" t="str">
        <f t="shared" ref="W125:X125" si="248">LEFT(O125,LEN(O125)-LEN(RIGHT(O125,27)))</f>
        <v/>
      </c>
      <c r="X125" s="70" t="str">
        <f t="shared" si="248"/>
        <v/>
      </c>
    </row>
    <row r="126" ht="12.75" customHeight="1">
      <c r="B126" s="70" t="s">
        <v>3173</v>
      </c>
      <c r="C126" s="58" t="s">
        <v>3204</v>
      </c>
      <c r="D126" s="58" t="s">
        <v>3422</v>
      </c>
      <c r="J126" s="70" t="str">
        <f t="shared" ref="J126:L126" si="249">LEFT(B126,LEN(B126)-LEN(RIGHT(B126,27)))</f>
        <v>Women</v>
      </c>
      <c r="K126" s="70" t="str">
        <f t="shared" si="249"/>
        <v>Jewelry</v>
      </c>
      <c r="L126" s="70" t="str">
        <f t="shared" si="249"/>
        <v>Necklaces</v>
      </c>
      <c r="W126" s="70" t="str">
        <f t="shared" ref="W126:X126" si="250">LEFT(O126,LEN(O126)-LEN(RIGHT(O126,27)))</f>
        <v/>
      </c>
      <c r="X126" s="70" t="str">
        <f t="shared" si="250"/>
        <v/>
      </c>
    </row>
    <row r="127" ht="12.75" customHeight="1">
      <c r="B127" s="70" t="s">
        <v>3173</v>
      </c>
      <c r="C127" s="58" t="s">
        <v>3204</v>
      </c>
      <c r="D127" s="58" t="s">
        <v>3423</v>
      </c>
      <c r="J127" s="70" t="str">
        <f t="shared" ref="J127:L127" si="251">LEFT(B127,LEN(B127)-LEN(RIGHT(B127,27)))</f>
        <v>Women</v>
      </c>
      <c r="K127" s="70" t="str">
        <f t="shared" si="251"/>
        <v>Jewelry</v>
      </c>
      <c r="L127" s="70" t="str">
        <f t="shared" si="251"/>
        <v>Rings</v>
      </c>
      <c r="W127" s="70" t="str">
        <f t="shared" ref="W127:X127" si="252">LEFT(O127,LEN(O127)-LEN(RIGHT(O127,27)))</f>
        <v/>
      </c>
      <c r="X127" s="70" t="str">
        <f t="shared" si="252"/>
        <v/>
      </c>
    </row>
    <row r="128" ht="12.75" customHeight="1">
      <c r="B128" s="70" t="s">
        <v>3173</v>
      </c>
      <c r="C128" s="58" t="s">
        <v>3176</v>
      </c>
      <c r="D128" s="58" t="s">
        <v>3424</v>
      </c>
      <c r="J128" s="70" t="str">
        <f t="shared" ref="J128:L128" si="253">LEFT(B128,LEN(B128)-LEN(RIGHT(B128,27)))</f>
        <v>Women</v>
      </c>
      <c r="K128" s="70" t="str">
        <f t="shared" si="253"/>
        <v>Accessories</v>
      </c>
      <c r="L128" s="70" t="str">
        <f t="shared" si="253"/>
        <v>Belts</v>
      </c>
      <c r="W128" s="70" t="str">
        <f t="shared" ref="W128:X128" si="254">LEFT(O128,LEN(O128)-LEN(RIGHT(O128,27)))</f>
        <v/>
      </c>
      <c r="X128" s="70" t="str">
        <f t="shared" si="254"/>
        <v/>
      </c>
    </row>
    <row r="129" ht="12.75" customHeight="1">
      <c r="B129" s="70" t="s">
        <v>3173</v>
      </c>
      <c r="C129" s="58" t="s">
        <v>3176</v>
      </c>
      <c r="D129" s="58" t="s">
        <v>3425</v>
      </c>
      <c r="J129" s="70" t="str">
        <f t="shared" ref="J129:L129" si="255">LEFT(B129,LEN(B129)-LEN(RIGHT(B129,27)))</f>
        <v>Women</v>
      </c>
      <c r="K129" s="70" t="str">
        <f t="shared" si="255"/>
        <v>Accessories</v>
      </c>
      <c r="L129" s="70" t="str">
        <f t="shared" si="255"/>
        <v>Face Masks</v>
      </c>
      <c r="W129" s="70" t="str">
        <f t="shared" ref="W129:X129" si="256">LEFT(O129,LEN(O129)-LEN(RIGHT(O129,27)))</f>
        <v/>
      </c>
      <c r="X129" s="70" t="str">
        <f t="shared" si="256"/>
        <v/>
      </c>
    </row>
    <row r="130" ht="12.75" customHeight="1">
      <c r="B130" s="70" t="s">
        <v>3173</v>
      </c>
      <c r="C130" s="58" t="s">
        <v>3176</v>
      </c>
      <c r="D130" s="58" t="s">
        <v>3426</v>
      </c>
      <c r="J130" s="70" t="str">
        <f t="shared" ref="J130:L130" si="257">LEFT(B130,LEN(B130)-LEN(RIGHT(B130,27)))</f>
        <v>Women</v>
      </c>
      <c r="K130" s="70" t="str">
        <f t="shared" si="257"/>
        <v>Accessories</v>
      </c>
      <c r="L130" s="70" t="str">
        <f t="shared" si="257"/>
        <v>Glasses</v>
      </c>
      <c r="W130" s="70" t="str">
        <f t="shared" ref="W130:X130" si="258">LEFT(O130,LEN(O130)-LEN(RIGHT(O130,27)))</f>
        <v/>
      </c>
      <c r="X130" s="70" t="str">
        <f t="shared" si="258"/>
        <v/>
      </c>
    </row>
    <row r="131" ht="12.75" customHeight="1">
      <c r="B131" s="70" t="s">
        <v>3173</v>
      </c>
      <c r="C131" s="58" t="s">
        <v>3176</v>
      </c>
      <c r="D131" s="58" t="s">
        <v>3427</v>
      </c>
      <c r="J131" s="70" t="str">
        <f t="shared" ref="J131:L131" si="259">LEFT(B131,LEN(B131)-LEN(RIGHT(B131,27)))</f>
        <v>Women</v>
      </c>
      <c r="K131" s="70" t="str">
        <f t="shared" si="259"/>
        <v>Accessories</v>
      </c>
      <c r="L131" s="70" t="str">
        <f t="shared" si="259"/>
        <v>Gloves &amp; Mittens</v>
      </c>
      <c r="W131" s="70" t="str">
        <f t="shared" ref="W131:X131" si="260">LEFT(O131,LEN(O131)-LEN(RIGHT(O131,27)))</f>
        <v/>
      </c>
      <c r="X131" s="70" t="str">
        <f t="shared" si="260"/>
        <v/>
      </c>
    </row>
    <row r="132" ht="12.75" customHeight="1">
      <c r="B132" s="70" t="s">
        <v>3173</v>
      </c>
      <c r="C132" s="58" t="s">
        <v>3176</v>
      </c>
      <c r="D132" s="58" t="s">
        <v>3428</v>
      </c>
      <c r="J132" s="70" t="str">
        <f t="shared" ref="J132:L132" si="261">LEFT(B132,LEN(B132)-LEN(RIGHT(B132,27)))</f>
        <v>Women</v>
      </c>
      <c r="K132" s="70" t="str">
        <f t="shared" si="261"/>
        <v>Accessories</v>
      </c>
      <c r="L132" s="70" t="str">
        <f t="shared" si="261"/>
        <v>Hair Accessories</v>
      </c>
      <c r="W132" s="70" t="str">
        <f t="shared" ref="W132:X132" si="262">LEFT(O132,LEN(O132)-LEN(RIGHT(O132,27)))</f>
        <v/>
      </c>
      <c r="X132" s="70" t="str">
        <f t="shared" si="262"/>
        <v/>
      </c>
    </row>
    <row r="133" ht="12.75" customHeight="1">
      <c r="B133" s="70" t="s">
        <v>3173</v>
      </c>
      <c r="C133" s="58" t="s">
        <v>3176</v>
      </c>
      <c r="D133" s="58" t="s">
        <v>3429</v>
      </c>
      <c r="J133" s="70" t="str">
        <f t="shared" ref="J133:L133" si="263">LEFT(B133,LEN(B133)-LEN(RIGHT(B133,27)))</f>
        <v>Women</v>
      </c>
      <c r="K133" s="70" t="str">
        <f t="shared" si="263"/>
        <v>Accessories</v>
      </c>
      <c r="L133" s="70" t="str">
        <f t="shared" si="263"/>
        <v>Hats</v>
      </c>
      <c r="W133" s="70" t="str">
        <f t="shared" ref="W133:X133" si="264">LEFT(O133,LEN(O133)-LEN(RIGHT(O133,27)))</f>
        <v/>
      </c>
      <c r="X133" s="70" t="str">
        <f t="shared" si="264"/>
        <v/>
      </c>
    </row>
    <row r="134" ht="12.75" customHeight="1">
      <c r="B134" s="70" t="s">
        <v>3173</v>
      </c>
      <c r="C134" s="58" t="s">
        <v>3176</v>
      </c>
      <c r="D134" s="58" t="s">
        <v>3430</v>
      </c>
      <c r="J134" s="70" t="str">
        <f t="shared" ref="J134:L134" si="265">LEFT(B134,LEN(B134)-LEN(RIGHT(B134,27)))</f>
        <v>Women</v>
      </c>
      <c r="K134" s="70" t="str">
        <f t="shared" si="265"/>
        <v>Accessories</v>
      </c>
      <c r="L134" s="70" t="str">
        <f t="shared" si="265"/>
        <v>Hosiery &amp; Socks</v>
      </c>
      <c r="W134" s="70" t="str">
        <f t="shared" ref="W134:X134" si="266">LEFT(O134,LEN(O134)-LEN(RIGHT(O134,27)))</f>
        <v/>
      </c>
      <c r="X134" s="70" t="str">
        <f t="shared" si="266"/>
        <v/>
      </c>
    </row>
    <row r="135" ht="12.75" customHeight="1">
      <c r="B135" s="70" t="s">
        <v>3173</v>
      </c>
      <c r="C135" s="58" t="s">
        <v>3176</v>
      </c>
      <c r="D135" s="58" t="s">
        <v>3431</v>
      </c>
      <c r="J135" s="70" t="str">
        <f t="shared" ref="J135:L135" si="267">LEFT(B135,LEN(B135)-LEN(RIGHT(B135,27)))</f>
        <v>Women</v>
      </c>
      <c r="K135" s="70" t="str">
        <f t="shared" si="267"/>
        <v>Accessories</v>
      </c>
      <c r="L135" s="70" t="str">
        <f t="shared" si="267"/>
        <v>Key &amp; Card Holders</v>
      </c>
      <c r="W135" s="70" t="str">
        <f t="shared" ref="W135:X135" si="268">LEFT(O135,LEN(O135)-LEN(RIGHT(O135,27)))</f>
        <v/>
      </c>
      <c r="X135" s="70" t="str">
        <f t="shared" si="268"/>
        <v/>
      </c>
    </row>
    <row r="136" ht="12.75" customHeight="1">
      <c r="B136" s="70" t="s">
        <v>3173</v>
      </c>
      <c r="C136" s="58" t="s">
        <v>3176</v>
      </c>
      <c r="D136" s="58" t="s">
        <v>3432</v>
      </c>
      <c r="J136" s="70" t="str">
        <f t="shared" ref="J136:L136" si="269">LEFT(B136,LEN(B136)-LEN(RIGHT(B136,27)))</f>
        <v>Women</v>
      </c>
      <c r="K136" s="70" t="str">
        <f t="shared" si="269"/>
        <v>Accessories</v>
      </c>
      <c r="L136" s="70" t="str">
        <f t="shared" si="269"/>
        <v>Laptop Cases</v>
      </c>
      <c r="W136" s="70" t="str">
        <f t="shared" ref="W136:X136" si="270">LEFT(O136,LEN(O136)-LEN(RIGHT(O136,27)))</f>
        <v/>
      </c>
      <c r="X136" s="70" t="str">
        <f t="shared" si="270"/>
        <v/>
      </c>
    </row>
    <row r="137" ht="12.75" customHeight="1">
      <c r="B137" s="70" t="s">
        <v>3173</v>
      </c>
      <c r="C137" s="58" t="s">
        <v>3176</v>
      </c>
      <c r="D137" s="58" t="s">
        <v>3433</v>
      </c>
      <c r="J137" s="70" t="str">
        <f t="shared" ref="J137:L137" si="271">LEFT(B137,LEN(B137)-LEN(RIGHT(B137,27)))</f>
        <v>Women</v>
      </c>
      <c r="K137" s="70" t="str">
        <f t="shared" si="271"/>
        <v>Accessories</v>
      </c>
      <c r="L137" s="70" t="str">
        <f t="shared" si="271"/>
        <v>Phone Cases</v>
      </c>
      <c r="W137" s="70" t="str">
        <f t="shared" ref="W137:X137" si="272">LEFT(O137,LEN(O137)-LEN(RIGHT(O137,27)))</f>
        <v/>
      </c>
      <c r="X137" s="70" t="str">
        <f t="shared" si="272"/>
        <v/>
      </c>
    </row>
    <row r="138" ht="12.75" customHeight="1">
      <c r="B138" s="70" t="s">
        <v>3173</v>
      </c>
      <c r="C138" s="58" t="s">
        <v>3176</v>
      </c>
      <c r="D138" s="58" t="s">
        <v>3434</v>
      </c>
      <c r="J138" s="70" t="str">
        <f t="shared" ref="J138:L138" si="273">LEFT(B138,LEN(B138)-LEN(RIGHT(B138,27)))</f>
        <v>Women</v>
      </c>
      <c r="K138" s="70" t="str">
        <f t="shared" si="273"/>
        <v>Accessories</v>
      </c>
      <c r="L138" s="70" t="str">
        <f t="shared" si="273"/>
        <v>Scarves &amp; Wraps</v>
      </c>
      <c r="W138" s="70" t="str">
        <f t="shared" ref="W138:X138" si="274">LEFT(O138,LEN(O138)-LEN(RIGHT(O138,27)))</f>
        <v/>
      </c>
      <c r="X138" s="70" t="str">
        <f t="shared" si="274"/>
        <v/>
      </c>
    </row>
    <row r="139" ht="12.75" customHeight="1">
      <c r="B139" s="70" t="s">
        <v>3173</v>
      </c>
      <c r="C139" s="58" t="s">
        <v>3176</v>
      </c>
      <c r="D139" s="58" t="s">
        <v>3435</v>
      </c>
      <c r="J139" s="70" t="str">
        <f t="shared" ref="J139:L139" si="275">LEFT(B139,LEN(B139)-LEN(RIGHT(B139,27)))</f>
        <v>Women</v>
      </c>
      <c r="K139" s="70" t="str">
        <f t="shared" si="275"/>
        <v>Accessories</v>
      </c>
      <c r="L139" s="70" t="str">
        <f t="shared" si="275"/>
        <v>Sunglasses</v>
      </c>
      <c r="W139" s="70" t="str">
        <f t="shared" ref="W139:X139" si="276">LEFT(O139,LEN(O139)-LEN(RIGHT(O139,27)))</f>
        <v/>
      </c>
      <c r="X139" s="70" t="str">
        <f t="shared" si="276"/>
        <v/>
      </c>
    </row>
    <row r="140" ht="12.75" customHeight="1">
      <c r="B140" s="70" t="s">
        <v>3173</v>
      </c>
      <c r="C140" s="58" t="s">
        <v>3176</v>
      </c>
      <c r="D140" s="58" t="s">
        <v>3436</v>
      </c>
      <c r="J140" s="70" t="str">
        <f t="shared" ref="J140:L140" si="277">LEFT(B140,LEN(B140)-LEN(RIGHT(B140,27)))</f>
        <v>Women</v>
      </c>
      <c r="K140" s="70" t="str">
        <f t="shared" si="277"/>
        <v>Accessories</v>
      </c>
      <c r="L140" s="70" t="str">
        <f t="shared" si="277"/>
        <v>Tablet Cases</v>
      </c>
      <c r="W140" s="70" t="str">
        <f t="shared" ref="W140:X140" si="278">LEFT(O140,LEN(O140)-LEN(RIGHT(O140,27)))</f>
        <v/>
      </c>
      <c r="X140" s="70" t="str">
        <f t="shared" si="278"/>
        <v/>
      </c>
    </row>
    <row r="141" ht="12.75" customHeight="1">
      <c r="B141" s="70" t="s">
        <v>3173</v>
      </c>
      <c r="C141" s="58" t="s">
        <v>3176</v>
      </c>
      <c r="D141" s="58" t="s">
        <v>3437</v>
      </c>
      <c r="J141" s="70" t="str">
        <f t="shared" ref="J141:L141" si="279">LEFT(B141,LEN(B141)-LEN(RIGHT(B141,27)))</f>
        <v>Women</v>
      </c>
      <c r="K141" s="70" t="str">
        <f t="shared" si="279"/>
        <v>Accessories</v>
      </c>
      <c r="L141" s="70" t="str">
        <f t="shared" si="279"/>
        <v>Umbrellas</v>
      </c>
      <c r="W141" s="70" t="str">
        <f t="shared" ref="W141:X141" si="280">LEFT(O141,LEN(O141)-LEN(RIGHT(O141,27)))</f>
        <v/>
      </c>
      <c r="X141" s="70" t="str">
        <f t="shared" si="280"/>
        <v/>
      </c>
    </row>
    <row r="142" ht="12.75" customHeight="1">
      <c r="B142" s="70" t="s">
        <v>3173</v>
      </c>
      <c r="C142" s="58" t="s">
        <v>3176</v>
      </c>
      <c r="D142" s="58" t="s">
        <v>3438</v>
      </c>
      <c r="J142" s="70" t="str">
        <f t="shared" ref="J142:L142" si="281">LEFT(B142,LEN(B142)-LEN(RIGHT(B142,27)))</f>
        <v>Women</v>
      </c>
      <c r="K142" s="70" t="str">
        <f t="shared" si="281"/>
        <v>Accessories</v>
      </c>
      <c r="L142" s="70" t="str">
        <f t="shared" si="281"/>
        <v>Watches</v>
      </c>
      <c r="W142" s="70" t="str">
        <f t="shared" ref="W142:X142" si="282">LEFT(O142,LEN(O142)-LEN(RIGHT(O142,27)))</f>
        <v/>
      </c>
      <c r="X142" s="70" t="str">
        <f t="shared" si="282"/>
        <v/>
      </c>
    </row>
    <row r="143" ht="12.75" customHeight="1">
      <c r="B143" s="70" t="s">
        <v>3173</v>
      </c>
      <c r="C143" s="58" t="s">
        <v>3216</v>
      </c>
      <c r="D143" s="58" t="s">
        <v>3439</v>
      </c>
      <c r="J143" s="70" t="str">
        <f t="shared" ref="J143:L143" si="283">LEFT(B143,LEN(B143)-LEN(RIGHT(B143,27)))</f>
        <v>Women</v>
      </c>
      <c r="K143" s="70" t="str">
        <f t="shared" si="283"/>
        <v>Makeup</v>
      </c>
      <c r="L143" s="70" t="str">
        <f t="shared" si="283"/>
        <v>Blush</v>
      </c>
      <c r="W143" s="70" t="str">
        <f t="shared" ref="W143:X143" si="284">LEFT(O143,LEN(O143)-LEN(RIGHT(O143,27)))</f>
        <v/>
      </c>
      <c r="X143" s="70" t="str">
        <f t="shared" si="284"/>
        <v/>
      </c>
    </row>
    <row r="144" ht="12.75" customHeight="1">
      <c r="B144" s="70" t="s">
        <v>3173</v>
      </c>
      <c r="C144" s="58" t="s">
        <v>3216</v>
      </c>
      <c r="D144" s="58" t="s">
        <v>3440</v>
      </c>
      <c r="J144" s="70" t="str">
        <f t="shared" ref="J144:L144" si="285">LEFT(B144,LEN(B144)-LEN(RIGHT(B144,27)))</f>
        <v>Women</v>
      </c>
      <c r="K144" s="70" t="str">
        <f t="shared" si="285"/>
        <v>Makeup</v>
      </c>
      <c r="L144" s="70" t="str">
        <f t="shared" si="285"/>
        <v>Bronzer &amp; Contour</v>
      </c>
      <c r="W144" s="70" t="str">
        <f t="shared" ref="W144:X144" si="286">LEFT(O144,LEN(O144)-LEN(RIGHT(O144,27)))</f>
        <v/>
      </c>
      <c r="X144" s="70" t="str">
        <f t="shared" si="286"/>
        <v/>
      </c>
    </row>
    <row r="145" ht="12.75" customHeight="1">
      <c r="B145" s="70" t="s">
        <v>3173</v>
      </c>
      <c r="C145" s="58" t="s">
        <v>3216</v>
      </c>
      <c r="D145" s="58" t="s">
        <v>3441</v>
      </c>
      <c r="J145" s="70" t="str">
        <f t="shared" ref="J145:L145" si="287">LEFT(B145,LEN(B145)-LEN(RIGHT(B145,27)))</f>
        <v>Women</v>
      </c>
      <c r="K145" s="70" t="str">
        <f t="shared" si="287"/>
        <v>Makeup</v>
      </c>
      <c r="L145" s="70" t="str">
        <f t="shared" si="287"/>
        <v>Brows</v>
      </c>
      <c r="W145" s="70" t="str">
        <f t="shared" ref="W145:X145" si="288">LEFT(O145,LEN(O145)-LEN(RIGHT(O145,27)))</f>
        <v/>
      </c>
      <c r="X145" s="70" t="str">
        <f t="shared" si="288"/>
        <v/>
      </c>
    </row>
    <row r="146" ht="12.75" customHeight="1">
      <c r="B146" s="70" t="s">
        <v>3173</v>
      </c>
      <c r="C146" s="58" t="s">
        <v>3216</v>
      </c>
      <c r="D146" s="58" t="s">
        <v>3442</v>
      </c>
      <c r="J146" s="70" t="str">
        <f t="shared" ref="J146:L146" si="289">LEFT(B146,LEN(B146)-LEN(RIGHT(B146,27)))</f>
        <v>Women</v>
      </c>
      <c r="K146" s="70" t="str">
        <f t="shared" si="289"/>
        <v>Makeup</v>
      </c>
      <c r="L146" s="70" t="str">
        <f t="shared" si="289"/>
        <v>Brushes &amp; Tools</v>
      </c>
      <c r="W146" s="70" t="str">
        <f t="shared" ref="W146:X146" si="290">LEFT(O146,LEN(O146)-LEN(RIGHT(O146,27)))</f>
        <v/>
      </c>
      <c r="X146" s="70" t="str">
        <f t="shared" si="290"/>
        <v/>
      </c>
    </row>
    <row r="147" ht="12.75" customHeight="1">
      <c r="B147" s="70" t="s">
        <v>3173</v>
      </c>
      <c r="C147" s="58" t="s">
        <v>3216</v>
      </c>
      <c r="D147" s="58" t="s">
        <v>3443</v>
      </c>
      <c r="J147" s="70" t="str">
        <f t="shared" ref="J147:L147" si="291">LEFT(B147,LEN(B147)-LEN(RIGHT(B147,27)))</f>
        <v>Women</v>
      </c>
      <c r="K147" s="70" t="str">
        <f t="shared" si="291"/>
        <v>Makeup</v>
      </c>
      <c r="L147" s="70" t="str">
        <f t="shared" si="291"/>
        <v>Concealer</v>
      </c>
      <c r="W147" s="70" t="str">
        <f t="shared" ref="W147:X147" si="292">LEFT(O147,LEN(O147)-LEN(RIGHT(O147,27)))</f>
        <v/>
      </c>
      <c r="X147" s="70" t="str">
        <f t="shared" si="292"/>
        <v/>
      </c>
    </row>
    <row r="148" ht="12.75" customHeight="1">
      <c r="B148" s="70" t="s">
        <v>3173</v>
      </c>
      <c r="C148" s="58" t="s">
        <v>3216</v>
      </c>
      <c r="D148" s="58" t="s">
        <v>3444</v>
      </c>
      <c r="J148" s="70" t="str">
        <f t="shared" ref="J148:L148" si="293">LEFT(B148,LEN(B148)-LEN(RIGHT(B148,27)))</f>
        <v>Women</v>
      </c>
      <c r="K148" s="70" t="str">
        <f t="shared" si="293"/>
        <v>Makeup</v>
      </c>
      <c r="L148" s="70" t="str">
        <f t="shared" si="293"/>
        <v>Eye Primer</v>
      </c>
      <c r="W148" s="70" t="str">
        <f t="shared" ref="W148:X148" si="294">LEFT(O148,LEN(O148)-LEN(RIGHT(O148,27)))</f>
        <v/>
      </c>
      <c r="X148" s="70" t="str">
        <f t="shared" si="294"/>
        <v/>
      </c>
    </row>
    <row r="149" ht="12.75" customHeight="1">
      <c r="B149" s="70" t="s">
        <v>3173</v>
      </c>
      <c r="C149" s="58" t="s">
        <v>3216</v>
      </c>
      <c r="D149" s="58" t="s">
        <v>3445</v>
      </c>
      <c r="J149" s="70" t="str">
        <f t="shared" ref="J149:L149" si="295">LEFT(B149,LEN(B149)-LEN(RIGHT(B149,27)))</f>
        <v>Women</v>
      </c>
      <c r="K149" s="70" t="str">
        <f t="shared" si="295"/>
        <v>Makeup</v>
      </c>
      <c r="L149" s="70" t="str">
        <f t="shared" si="295"/>
        <v>Eyeliner</v>
      </c>
      <c r="W149" s="70" t="str">
        <f t="shared" ref="W149:X149" si="296">LEFT(O149,LEN(O149)-LEN(RIGHT(O149,27)))</f>
        <v/>
      </c>
      <c r="X149" s="70" t="str">
        <f t="shared" si="296"/>
        <v/>
      </c>
    </row>
    <row r="150" ht="12.75" customHeight="1">
      <c r="B150" s="70" t="s">
        <v>3173</v>
      </c>
      <c r="C150" s="58" t="s">
        <v>3216</v>
      </c>
      <c r="D150" s="58" t="s">
        <v>3446</v>
      </c>
      <c r="J150" s="70" t="str">
        <f t="shared" ref="J150:L150" si="297">LEFT(B150,LEN(B150)-LEN(RIGHT(B150,27)))</f>
        <v>Women</v>
      </c>
      <c r="K150" s="70" t="str">
        <f t="shared" si="297"/>
        <v>Makeup</v>
      </c>
      <c r="L150" s="70" t="str">
        <f t="shared" si="297"/>
        <v>Eyeshadow</v>
      </c>
      <c r="W150" s="70" t="str">
        <f t="shared" ref="W150:X150" si="298">LEFT(O150,LEN(O150)-LEN(RIGHT(O150,27)))</f>
        <v/>
      </c>
      <c r="X150" s="70" t="str">
        <f t="shared" si="298"/>
        <v/>
      </c>
    </row>
    <row r="151" ht="12.75" customHeight="1">
      <c r="B151" s="70" t="s">
        <v>3173</v>
      </c>
      <c r="C151" s="58" t="s">
        <v>3216</v>
      </c>
      <c r="D151" s="58" t="s">
        <v>3447</v>
      </c>
      <c r="J151" s="70" t="str">
        <f t="shared" ref="J151:L151" si="299">LEFT(B151,LEN(B151)-LEN(RIGHT(B151,27)))</f>
        <v>Women</v>
      </c>
      <c r="K151" s="70" t="str">
        <f t="shared" si="299"/>
        <v>Makeup</v>
      </c>
      <c r="L151" s="70" t="str">
        <f t="shared" si="299"/>
        <v>Foundation</v>
      </c>
      <c r="W151" s="70" t="str">
        <f t="shared" ref="W151:X151" si="300">LEFT(O151,LEN(O151)-LEN(RIGHT(O151,27)))</f>
        <v/>
      </c>
      <c r="X151" s="70" t="str">
        <f t="shared" si="300"/>
        <v/>
      </c>
    </row>
    <row r="152" ht="12.75" customHeight="1">
      <c r="B152" s="70" t="s">
        <v>3173</v>
      </c>
      <c r="C152" s="58" t="s">
        <v>3216</v>
      </c>
      <c r="D152" s="58" t="s">
        <v>3448</v>
      </c>
      <c r="J152" s="70" t="str">
        <f t="shared" ref="J152:L152" si="301">LEFT(B152,LEN(B152)-LEN(RIGHT(B152,27)))</f>
        <v>Women</v>
      </c>
      <c r="K152" s="70" t="str">
        <f t="shared" si="301"/>
        <v>Makeup</v>
      </c>
      <c r="L152" s="70" t="str">
        <f t="shared" si="301"/>
        <v>Highlighter</v>
      </c>
      <c r="W152" s="70" t="str">
        <f t="shared" ref="W152:X152" si="302">LEFT(O152,LEN(O152)-LEN(RIGHT(O152,27)))</f>
        <v/>
      </c>
      <c r="X152" s="70" t="str">
        <f t="shared" si="302"/>
        <v/>
      </c>
    </row>
    <row r="153" ht="12.75" customHeight="1">
      <c r="B153" s="70" t="s">
        <v>3173</v>
      </c>
      <c r="C153" s="58" t="s">
        <v>3216</v>
      </c>
      <c r="D153" s="58" t="s">
        <v>3449</v>
      </c>
      <c r="J153" s="70" t="str">
        <f t="shared" ref="J153:L153" si="303">LEFT(B153,LEN(B153)-LEN(RIGHT(B153,27)))</f>
        <v>Women</v>
      </c>
      <c r="K153" s="70" t="str">
        <f t="shared" si="303"/>
        <v>Makeup</v>
      </c>
      <c r="L153" s="70" t="str">
        <f t="shared" si="303"/>
        <v>Lashes</v>
      </c>
      <c r="W153" s="70" t="str">
        <f t="shared" ref="W153:X153" si="304">LEFT(O153,LEN(O153)-LEN(RIGHT(O153,27)))</f>
        <v/>
      </c>
      <c r="X153" s="70" t="str">
        <f t="shared" si="304"/>
        <v/>
      </c>
    </row>
    <row r="154" ht="12.75" customHeight="1">
      <c r="B154" s="70" t="s">
        <v>3173</v>
      </c>
      <c r="C154" s="58" t="s">
        <v>3216</v>
      </c>
      <c r="D154" s="58" t="s">
        <v>3450</v>
      </c>
      <c r="J154" s="70" t="str">
        <f t="shared" ref="J154:L154" si="305">LEFT(B154,LEN(B154)-LEN(RIGHT(B154,27)))</f>
        <v>Women</v>
      </c>
      <c r="K154" s="70" t="str">
        <f t="shared" si="305"/>
        <v>Makeup</v>
      </c>
      <c r="L154" s="70" t="str">
        <f t="shared" si="305"/>
        <v>Lip Balm &amp; Gloss</v>
      </c>
      <c r="W154" s="70" t="str">
        <f t="shared" ref="W154:X154" si="306">LEFT(O154,LEN(O154)-LEN(RIGHT(O154,27)))</f>
        <v/>
      </c>
      <c r="X154" s="70" t="str">
        <f t="shared" si="306"/>
        <v/>
      </c>
    </row>
    <row r="155" ht="12.75" customHeight="1">
      <c r="B155" s="70" t="s">
        <v>3173</v>
      </c>
      <c r="C155" s="58" t="s">
        <v>3216</v>
      </c>
      <c r="D155" s="58" t="s">
        <v>3451</v>
      </c>
      <c r="J155" s="70" t="str">
        <f t="shared" ref="J155:L155" si="307">LEFT(B155,LEN(B155)-LEN(RIGHT(B155,27)))</f>
        <v>Women</v>
      </c>
      <c r="K155" s="70" t="str">
        <f t="shared" si="307"/>
        <v>Makeup</v>
      </c>
      <c r="L155" s="70" t="str">
        <f t="shared" si="307"/>
        <v>Lip Liner</v>
      </c>
      <c r="W155" s="70" t="str">
        <f t="shared" ref="W155:X155" si="308">LEFT(O155,LEN(O155)-LEN(RIGHT(O155,27)))</f>
        <v/>
      </c>
      <c r="X155" s="70" t="str">
        <f t="shared" si="308"/>
        <v/>
      </c>
    </row>
    <row r="156" ht="12.75" customHeight="1">
      <c r="B156" s="70" t="s">
        <v>3173</v>
      </c>
      <c r="C156" s="58" t="s">
        <v>3216</v>
      </c>
      <c r="D156" s="58" t="s">
        <v>3452</v>
      </c>
      <c r="J156" s="70" t="str">
        <f t="shared" ref="J156:L156" si="309">LEFT(B156,LEN(B156)-LEN(RIGHT(B156,27)))</f>
        <v>Women</v>
      </c>
      <c r="K156" s="70" t="str">
        <f t="shared" si="309"/>
        <v>Makeup</v>
      </c>
      <c r="L156" s="70" t="str">
        <f t="shared" si="309"/>
        <v>Lipstick</v>
      </c>
    </row>
    <row r="157" ht="12.75" customHeight="1">
      <c r="B157" s="70" t="s">
        <v>3173</v>
      </c>
      <c r="C157" s="58" t="s">
        <v>3216</v>
      </c>
      <c r="D157" s="58" t="s">
        <v>3453</v>
      </c>
      <c r="J157" s="70" t="str">
        <f t="shared" ref="J157:L157" si="310">LEFT(B157,LEN(B157)-LEN(RIGHT(B157,27)))</f>
        <v>Women</v>
      </c>
      <c r="K157" s="70" t="str">
        <f t="shared" si="310"/>
        <v>Makeup</v>
      </c>
      <c r="L157" s="70" t="str">
        <f t="shared" si="310"/>
        <v>Mascara</v>
      </c>
    </row>
    <row r="158" ht="12.75" customHeight="1">
      <c r="B158" s="70" t="s">
        <v>3173</v>
      </c>
      <c r="C158" s="58" t="s">
        <v>3216</v>
      </c>
      <c r="D158" s="58" t="s">
        <v>3454</v>
      </c>
      <c r="J158" s="70" t="str">
        <f t="shared" ref="J158:L158" si="311">LEFT(B158,LEN(B158)-LEN(RIGHT(B158,27)))</f>
        <v>Women</v>
      </c>
      <c r="K158" s="70" t="str">
        <f t="shared" si="311"/>
        <v>Makeup</v>
      </c>
      <c r="L158" s="70" t="str">
        <f t="shared" si="311"/>
        <v>Nail Tools</v>
      </c>
    </row>
    <row r="159" ht="12.75" customHeight="1">
      <c r="B159" s="70" t="s">
        <v>3173</v>
      </c>
      <c r="C159" s="58" t="s">
        <v>3216</v>
      </c>
      <c r="D159" s="58" t="s">
        <v>3455</v>
      </c>
      <c r="J159" s="70" t="str">
        <f t="shared" ref="J159:L159" si="312">LEFT(B159,LEN(B159)-LEN(RIGHT(B159,27)))</f>
        <v>Women</v>
      </c>
      <c r="K159" s="70" t="str">
        <f t="shared" si="312"/>
        <v>Makeup</v>
      </c>
      <c r="L159" s="70" t="str">
        <f t="shared" si="312"/>
        <v>Press-On Nails</v>
      </c>
    </row>
    <row r="160" ht="12.75" customHeight="1">
      <c r="B160" s="70" t="s">
        <v>3173</v>
      </c>
      <c r="C160" s="58" t="s">
        <v>3216</v>
      </c>
      <c r="D160" s="58" t="s">
        <v>3456</v>
      </c>
      <c r="J160" s="70" t="str">
        <f t="shared" ref="J160:L160" si="313">LEFT(B160,LEN(B160)-LEN(RIGHT(B160,27)))</f>
        <v>Women</v>
      </c>
      <c r="K160" s="70" t="str">
        <f t="shared" si="313"/>
        <v>Makeup</v>
      </c>
      <c r="L160" s="70" t="str">
        <f t="shared" si="313"/>
        <v>Primer</v>
      </c>
    </row>
    <row r="161" ht="12.75" customHeight="1">
      <c r="B161" s="70" t="s">
        <v>3173</v>
      </c>
      <c r="C161" s="58" t="s">
        <v>3216</v>
      </c>
      <c r="D161" s="58" t="s">
        <v>3457</v>
      </c>
      <c r="J161" s="70" t="str">
        <f t="shared" ref="J161:L161" si="314">LEFT(B161,LEN(B161)-LEN(RIGHT(B161,27)))</f>
        <v>Women</v>
      </c>
      <c r="K161" s="70" t="str">
        <f t="shared" si="314"/>
        <v>Makeup</v>
      </c>
      <c r="L161" s="70" t="str">
        <f t="shared" si="314"/>
        <v>Setting Powder &amp; Spray</v>
      </c>
    </row>
    <row r="162" ht="12.75" customHeight="1">
      <c r="B162" s="70" t="s">
        <v>3173</v>
      </c>
      <c r="C162" s="58" t="s">
        <v>3243</v>
      </c>
      <c r="D162" s="58" t="s">
        <v>3458</v>
      </c>
      <c r="J162" s="70" t="str">
        <f t="shared" ref="J162:L162" si="315">LEFT(B162,LEN(B162)-LEN(RIGHT(B162,27)))</f>
        <v>Women</v>
      </c>
      <c r="K162" s="70" t="str">
        <f t="shared" si="315"/>
        <v>Skincare</v>
      </c>
      <c r="L162" s="70" t="str">
        <f t="shared" si="315"/>
        <v>Acne &amp; Blemish</v>
      </c>
    </row>
    <row r="163" ht="12.75" customHeight="1">
      <c r="B163" s="70" t="s">
        <v>3173</v>
      </c>
      <c r="C163" s="58" t="s">
        <v>3243</v>
      </c>
      <c r="D163" s="58" t="s">
        <v>3459</v>
      </c>
      <c r="J163" s="70" t="str">
        <f t="shared" ref="J163:L163" si="316">LEFT(B163,LEN(B163)-LEN(RIGHT(B163,27)))</f>
        <v>Women</v>
      </c>
      <c r="K163" s="70" t="str">
        <f t="shared" si="316"/>
        <v>Skincare</v>
      </c>
      <c r="L163" s="70" t="str">
        <f t="shared" si="316"/>
        <v>Cleanser &amp; Exfoliant</v>
      </c>
    </row>
    <row r="164" ht="12.75" customHeight="1">
      <c r="B164" s="70" t="s">
        <v>3173</v>
      </c>
      <c r="C164" s="58" t="s">
        <v>3243</v>
      </c>
      <c r="D164" s="58" t="s">
        <v>3460</v>
      </c>
      <c r="J164" s="70" t="str">
        <f t="shared" ref="J164:L164" si="317">LEFT(B164,LEN(B164)-LEN(RIGHT(B164,27)))</f>
        <v>Women</v>
      </c>
      <c r="K164" s="70" t="str">
        <f t="shared" si="317"/>
        <v>Skincare</v>
      </c>
      <c r="L164" s="70" t="str">
        <f t="shared" si="317"/>
        <v>Eye Cream</v>
      </c>
    </row>
    <row r="165" ht="12.75" customHeight="1">
      <c r="B165" s="70" t="s">
        <v>3173</v>
      </c>
      <c r="C165" s="58" t="s">
        <v>3243</v>
      </c>
      <c r="D165" s="58" t="s">
        <v>3461</v>
      </c>
      <c r="J165" s="70" t="str">
        <f t="shared" ref="J165:L165" si="318">LEFT(B165,LEN(B165)-LEN(RIGHT(B165,27)))</f>
        <v>Women</v>
      </c>
      <c r="K165" s="70" t="str">
        <f t="shared" si="318"/>
        <v>Skincare</v>
      </c>
      <c r="L165" s="70" t="str">
        <f t="shared" si="318"/>
        <v>Makeup Remover</v>
      </c>
    </row>
    <row r="166" ht="12.75" customHeight="1">
      <c r="B166" s="70" t="s">
        <v>3173</v>
      </c>
      <c r="C166" s="58" t="s">
        <v>3243</v>
      </c>
      <c r="D166" s="58" t="s">
        <v>3462</v>
      </c>
      <c r="J166" s="70" t="str">
        <f t="shared" ref="J166:L166" si="319">LEFT(B166,LEN(B166)-LEN(RIGHT(B166,27)))</f>
        <v>Women</v>
      </c>
      <c r="K166" s="70" t="str">
        <f t="shared" si="319"/>
        <v>Skincare</v>
      </c>
      <c r="L166" s="70" t="str">
        <f t="shared" si="319"/>
        <v>Mask</v>
      </c>
    </row>
    <row r="167" ht="12.75" customHeight="1">
      <c r="B167" s="70" t="s">
        <v>3173</v>
      </c>
      <c r="C167" s="58" t="s">
        <v>3243</v>
      </c>
      <c r="D167" s="58" t="s">
        <v>3463</v>
      </c>
      <c r="J167" s="70" t="str">
        <f t="shared" ref="J167:L167" si="320">LEFT(B167,LEN(B167)-LEN(RIGHT(B167,27)))</f>
        <v>Women</v>
      </c>
      <c r="K167" s="70" t="str">
        <f t="shared" si="320"/>
        <v>Skincare</v>
      </c>
      <c r="L167" s="70" t="str">
        <f t="shared" si="320"/>
        <v>Moisturizer</v>
      </c>
    </row>
    <row r="168" ht="12.75" customHeight="1">
      <c r="B168" s="70" t="s">
        <v>3173</v>
      </c>
      <c r="C168" s="58" t="s">
        <v>3243</v>
      </c>
      <c r="D168" s="58" t="s">
        <v>3464</v>
      </c>
      <c r="J168" s="70" t="str">
        <f t="shared" ref="J168:L168" si="321">LEFT(B168,LEN(B168)-LEN(RIGHT(B168,27)))</f>
        <v>Women</v>
      </c>
      <c r="K168" s="70" t="str">
        <f t="shared" si="321"/>
        <v>Skincare</v>
      </c>
      <c r="L168" s="70" t="str">
        <f t="shared" si="321"/>
        <v>Peel</v>
      </c>
    </row>
    <row r="169" ht="12.75" customHeight="1">
      <c r="B169" s="70" t="s">
        <v>3173</v>
      </c>
      <c r="C169" s="58" t="s">
        <v>3243</v>
      </c>
      <c r="D169" s="58" t="s">
        <v>3465</v>
      </c>
      <c r="J169" s="70" t="str">
        <f t="shared" ref="J169:L169" si="322">LEFT(B169,LEN(B169)-LEN(RIGHT(B169,27)))</f>
        <v>Women</v>
      </c>
      <c r="K169" s="70" t="str">
        <f t="shared" si="322"/>
        <v>Skincare</v>
      </c>
      <c r="L169" s="70" t="str">
        <f t="shared" si="322"/>
        <v>Serum &amp; Face Oil</v>
      </c>
    </row>
    <row r="170" ht="12.75" customHeight="1">
      <c r="B170" s="70" t="s">
        <v>3173</v>
      </c>
      <c r="C170" s="58" t="s">
        <v>3243</v>
      </c>
      <c r="D170" s="58" t="s">
        <v>3466</v>
      </c>
      <c r="J170" s="70" t="str">
        <f t="shared" ref="J170:L170" si="323">LEFT(B170,LEN(B170)-LEN(RIGHT(B170,27)))</f>
        <v>Women</v>
      </c>
      <c r="K170" s="70" t="str">
        <f t="shared" si="323"/>
        <v>Skincare</v>
      </c>
      <c r="L170" s="70" t="str">
        <f t="shared" si="323"/>
        <v>Suncare</v>
      </c>
    </row>
    <row r="171" ht="12.75" customHeight="1">
      <c r="B171" s="70" t="s">
        <v>3173</v>
      </c>
      <c r="C171" s="58" t="s">
        <v>3243</v>
      </c>
      <c r="D171" s="58" t="s">
        <v>3467</v>
      </c>
      <c r="J171" s="70" t="str">
        <f t="shared" ref="J171:L171" si="324">LEFT(B171,LEN(B171)-LEN(RIGHT(B171,27)))</f>
        <v>Women</v>
      </c>
      <c r="K171" s="70" t="str">
        <f t="shared" si="324"/>
        <v>Skincare</v>
      </c>
      <c r="L171" s="70" t="str">
        <f t="shared" si="324"/>
        <v>Toner</v>
      </c>
    </row>
    <row r="172" ht="12.75" customHeight="1">
      <c r="B172" s="70" t="s">
        <v>3173</v>
      </c>
      <c r="C172" s="58" t="s">
        <v>3243</v>
      </c>
      <c r="D172" s="58" t="s">
        <v>3468</v>
      </c>
      <c r="J172" s="70" t="str">
        <f t="shared" ref="J172:L172" si="325">LEFT(B172,LEN(B172)-LEN(RIGHT(B172,27)))</f>
        <v>Women</v>
      </c>
      <c r="K172" s="70" t="str">
        <f t="shared" si="325"/>
        <v>Skincare</v>
      </c>
      <c r="L172" s="70" t="str">
        <f t="shared" si="325"/>
        <v>Tools</v>
      </c>
    </row>
    <row r="173" ht="12.75" customHeight="1">
      <c r="B173" s="70" t="s">
        <v>3173</v>
      </c>
      <c r="C173" s="58" t="s">
        <v>3245</v>
      </c>
      <c r="D173" s="58" t="s">
        <v>3469</v>
      </c>
      <c r="J173" s="70" t="str">
        <f t="shared" ref="J173:L173" si="326">LEFT(B173,LEN(B173)-LEN(RIGHT(B173,27)))</f>
        <v>Women</v>
      </c>
      <c r="K173" s="70" t="str">
        <f t="shared" si="326"/>
        <v>Hair</v>
      </c>
      <c r="L173" s="70" t="str">
        <f t="shared" si="326"/>
        <v>Color</v>
      </c>
    </row>
    <row r="174" ht="12.75" customHeight="1">
      <c r="B174" s="70" t="s">
        <v>3173</v>
      </c>
      <c r="C174" s="58" t="s">
        <v>3245</v>
      </c>
      <c r="D174" s="58" t="s">
        <v>3470</v>
      </c>
      <c r="J174" s="70" t="str">
        <f t="shared" ref="J174:L174" si="327">LEFT(B174,LEN(B174)-LEN(RIGHT(B174,27)))</f>
        <v>Women</v>
      </c>
      <c r="K174" s="70" t="str">
        <f t="shared" si="327"/>
        <v>Hair</v>
      </c>
      <c r="L174" s="70" t="str">
        <f t="shared" si="327"/>
        <v>Conditioner</v>
      </c>
    </row>
    <row r="175" ht="12.75" customHeight="1">
      <c r="B175" s="70" t="s">
        <v>3173</v>
      </c>
      <c r="C175" s="58" t="s">
        <v>3245</v>
      </c>
      <c r="D175" s="58" t="s">
        <v>3471</v>
      </c>
      <c r="J175" s="70" t="str">
        <f t="shared" ref="J175:L175" si="328">LEFT(B175,LEN(B175)-LEN(RIGHT(B175,27)))</f>
        <v>Women</v>
      </c>
      <c r="K175" s="70" t="str">
        <f t="shared" si="328"/>
        <v>Hair</v>
      </c>
      <c r="L175" s="70" t="str">
        <f t="shared" si="328"/>
        <v>Hairspray</v>
      </c>
    </row>
    <row r="176" ht="12.75" customHeight="1">
      <c r="B176" s="70" t="s">
        <v>3173</v>
      </c>
      <c r="C176" s="58" t="s">
        <v>3245</v>
      </c>
      <c r="D176" s="58" t="s">
        <v>3472</v>
      </c>
      <c r="J176" s="70" t="str">
        <f t="shared" ref="J176:L176" si="329">LEFT(B176,LEN(B176)-LEN(RIGHT(B176,27)))</f>
        <v>Women</v>
      </c>
      <c r="K176" s="70" t="str">
        <f t="shared" si="329"/>
        <v>Hair</v>
      </c>
      <c r="L176" s="70" t="str">
        <f t="shared" si="329"/>
        <v>Heat Protectant</v>
      </c>
    </row>
    <row r="177" ht="12.75" customHeight="1">
      <c r="B177" s="70" t="s">
        <v>3173</v>
      </c>
      <c r="C177" s="58" t="s">
        <v>3245</v>
      </c>
      <c r="D177" s="58" t="s">
        <v>3473</v>
      </c>
      <c r="J177" s="70" t="str">
        <f t="shared" ref="J177:L177" si="330">LEFT(B177,LEN(B177)-LEN(RIGHT(B177,27)))</f>
        <v>Women</v>
      </c>
      <c r="K177" s="70" t="str">
        <f t="shared" si="330"/>
        <v>Hair</v>
      </c>
      <c r="L177" s="70" t="str">
        <f t="shared" si="330"/>
        <v>Shampoo</v>
      </c>
    </row>
    <row r="178" ht="12.75" customHeight="1">
      <c r="B178" s="70" t="s">
        <v>3173</v>
      </c>
      <c r="C178" s="58" t="s">
        <v>3245</v>
      </c>
      <c r="D178" s="58" t="s">
        <v>3474</v>
      </c>
      <c r="J178" s="70" t="str">
        <f t="shared" ref="J178:L178" si="331">LEFT(B178,LEN(B178)-LEN(RIGHT(B178,27)))</f>
        <v>Women</v>
      </c>
      <c r="K178" s="70" t="str">
        <f t="shared" si="331"/>
        <v>Hair</v>
      </c>
      <c r="L178" s="70" t="str">
        <f t="shared" si="331"/>
        <v>Styling</v>
      </c>
    </row>
    <row r="179" ht="12.75" customHeight="1">
      <c r="B179" s="70" t="s">
        <v>3173</v>
      </c>
      <c r="C179" s="58" t="s">
        <v>3245</v>
      </c>
      <c r="D179" s="58" t="s">
        <v>3475</v>
      </c>
      <c r="J179" s="70" t="str">
        <f t="shared" ref="J179:L179" si="332">LEFT(B179,LEN(B179)-LEN(RIGHT(B179,27)))</f>
        <v>Women</v>
      </c>
      <c r="K179" s="70" t="str">
        <f t="shared" si="332"/>
        <v>Hair</v>
      </c>
      <c r="L179" s="70" t="str">
        <f t="shared" si="332"/>
        <v>Tools</v>
      </c>
    </row>
    <row r="180" ht="12.75" customHeight="1">
      <c r="B180" s="70" t="s">
        <v>3173</v>
      </c>
      <c r="C180" s="58" t="s">
        <v>3245</v>
      </c>
      <c r="D180" s="58" t="s">
        <v>3476</v>
      </c>
      <c r="J180" s="70" t="str">
        <f t="shared" ref="J180:L180" si="333">LEFT(B180,LEN(B180)-LEN(RIGHT(B180,27)))</f>
        <v>Women</v>
      </c>
      <c r="K180" s="70" t="str">
        <f t="shared" si="333"/>
        <v>Hair</v>
      </c>
      <c r="L180" s="70" t="str">
        <f t="shared" si="333"/>
        <v>Treatment &amp; Mask</v>
      </c>
    </row>
    <row r="181" ht="12.75" customHeight="1">
      <c r="B181" s="70" t="s">
        <v>3173</v>
      </c>
      <c r="C181" s="58" t="s">
        <v>3245</v>
      </c>
      <c r="D181" s="58" t="s">
        <v>3477</v>
      </c>
      <c r="J181" s="70" t="str">
        <f t="shared" ref="J181:L181" si="334">LEFT(B181,LEN(B181)-LEN(RIGHT(B181,27)))</f>
        <v>Women</v>
      </c>
      <c r="K181" s="70" t="str">
        <f t="shared" si="334"/>
        <v>Hair</v>
      </c>
      <c r="L181" s="70" t="str">
        <f t="shared" si="334"/>
        <v>Wigs &amp; Extensions</v>
      </c>
    </row>
    <row r="182" ht="12.75" customHeight="1">
      <c r="B182" s="70" t="s">
        <v>3173</v>
      </c>
      <c r="C182" s="58" t="s">
        <v>3247</v>
      </c>
      <c r="D182" s="58" t="s">
        <v>3478</v>
      </c>
      <c r="J182" s="70" t="str">
        <f t="shared" ref="J182:L182" si="335">LEFT(B182,LEN(B182)-LEN(RIGHT(B182,27)))</f>
        <v>Women</v>
      </c>
      <c r="K182" s="70" t="str">
        <f t="shared" si="335"/>
        <v>Bath &amp; Body</v>
      </c>
      <c r="L182" s="70" t="str">
        <f t="shared" si="335"/>
        <v>Bath Soak &amp; Bubbles</v>
      </c>
    </row>
    <row r="183" ht="12.75" customHeight="1">
      <c r="B183" s="70" t="s">
        <v>3173</v>
      </c>
      <c r="C183" s="58" t="s">
        <v>3247</v>
      </c>
      <c r="D183" s="58" t="s">
        <v>3479</v>
      </c>
      <c r="J183" s="70" t="str">
        <f t="shared" ref="J183:L183" si="336">LEFT(B183,LEN(B183)-LEN(RIGHT(B183,27)))</f>
        <v>Women</v>
      </c>
      <c r="K183" s="70" t="str">
        <f t="shared" si="336"/>
        <v>Bath &amp; Body</v>
      </c>
      <c r="L183" s="70" t="str">
        <f t="shared" si="336"/>
        <v>Body Wash</v>
      </c>
    </row>
    <row r="184" ht="12.75" customHeight="1">
      <c r="B184" s="70" t="s">
        <v>3173</v>
      </c>
      <c r="C184" s="58" t="s">
        <v>3247</v>
      </c>
      <c r="D184" s="58" t="s">
        <v>3480</v>
      </c>
      <c r="J184" s="70" t="str">
        <f t="shared" ref="J184:L184" si="337">LEFT(B184,LEN(B184)-LEN(RIGHT(B184,27)))</f>
        <v>Women</v>
      </c>
      <c r="K184" s="70" t="str">
        <f t="shared" si="337"/>
        <v>Bath &amp; Body</v>
      </c>
      <c r="L184" s="70" t="str">
        <f t="shared" si="337"/>
        <v>Exfoliant &amp; Scrub</v>
      </c>
    </row>
    <row r="185" ht="12.75" customHeight="1">
      <c r="B185" s="70" t="s">
        <v>3173</v>
      </c>
      <c r="C185" s="58" t="s">
        <v>3247</v>
      </c>
      <c r="D185" s="58" t="s">
        <v>3481</v>
      </c>
      <c r="J185" s="70" t="str">
        <f t="shared" ref="J185:L185" si="338">LEFT(B185,LEN(B185)-LEN(RIGHT(B185,27)))</f>
        <v>Women</v>
      </c>
      <c r="K185" s="70" t="str">
        <f t="shared" si="338"/>
        <v>Bath &amp; Body</v>
      </c>
      <c r="L185" s="70" t="str">
        <f t="shared" si="338"/>
        <v>Hair Removal</v>
      </c>
    </row>
    <row r="186" ht="12.75" customHeight="1">
      <c r="B186" s="70" t="s">
        <v>3173</v>
      </c>
      <c r="C186" s="58" t="s">
        <v>3247</v>
      </c>
      <c r="D186" s="58" t="s">
        <v>3482</v>
      </c>
      <c r="J186" s="70" t="str">
        <f t="shared" ref="J186:L186" si="339">LEFT(B186,LEN(B186)-LEN(RIGHT(B186,27)))</f>
        <v>Women</v>
      </c>
      <c r="K186" s="70" t="str">
        <f t="shared" si="339"/>
        <v>Bath &amp; Body</v>
      </c>
      <c r="L186" s="70" t="str">
        <f t="shared" si="339"/>
        <v>Hand &amp; Foot Care</v>
      </c>
    </row>
    <row r="187" ht="12.75" customHeight="1">
      <c r="B187" s="70" t="s">
        <v>3173</v>
      </c>
      <c r="C187" s="58" t="s">
        <v>3247</v>
      </c>
      <c r="D187" s="58" t="s">
        <v>3483</v>
      </c>
      <c r="J187" s="70" t="str">
        <f t="shared" ref="J187:L187" si="340">LEFT(B187,LEN(B187)-LEN(RIGHT(B187,27)))</f>
        <v>Women</v>
      </c>
      <c r="K187" s="70" t="str">
        <f t="shared" si="340"/>
        <v>Bath &amp; Body</v>
      </c>
      <c r="L187" s="70" t="str">
        <f t="shared" si="340"/>
        <v>Hand Soap</v>
      </c>
    </row>
    <row r="188" ht="12.75" customHeight="1">
      <c r="B188" s="70" t="s">
        <v>3173</v>
      </c>
      <c r="C188" s="58" t="s">
        <v>3247</v>
      </c>
      <c r="D188" s="58" t="s">
        <v>3484</v>
      </c>
      <c r="J188" s="70" t="str">
        <f t="shared" ref="J188:L188" si="341">LEFT(B188,LEN(B188)-LEN(RIGHT(B188,27)))</f>
        <v>Women</v>
      </c>
      <c r="K188" s="70" t="str">
        <f t="shared" si="341"/>
        <v>Bath &amp; Body</v>
      </c>
      <c r="L188" s="70" t="str">
        <f t="shared" si="341"/>
        <v>Moisturizer &amp; Body Oil</v>
      </c>
    </row>
    <row r="189" ht="12.75" customHeight="1">
      <c r="B189" s="70" t="s">
        <v>3173</v>
      </c>
      <c r="C189" s="58" t="s">
        <v>3247</v>
      </c>
      <c r="D189" s="58" t="s">
        <v>3485</v>
      </c>
      <c r="J189" s="70" t="str">
        <f t="shared" ref="J189:L189" si="342">LEFT(B189,LEN(B189)-LEN(RIGHT(B189,27)))</f>
        <v>Women</v>
      </c>
      <c r="K189" s="70" t="str">
        <f t="shared" si="342"/>
        <v>Bath &amp; Body</v>
      </c>
      <c r="L189" s="70" t="str">
        <f t="shared" si="342"/>
        <v>Suncare &amp; Tanning</v>
      </c>
    </row>
    <row r="190" ht="12.75" customHeight="1">
      <c r="B190" s="70" t="s">
        <v>3173</v>
      </c>
      <c r="C190" s="58" t="s">
        <v>3247</v>
      </c>
      <c r="D190" s="58" t="s">
        <v>3486</v>
      </c>
      <c r="J190" s="70" t="str">
        <f t="shared" ref="J190:L190" si="343">LEFT(B190,LEN(B190)-LEN(RIGHT(B190,27)))</f>
        <v>Women</v>
      </c>
      <c r="K190" s="70" t="str">
        <f t="shared" si="343"/>
        <v>Bath &amp; Body</v>
      </c>
      <c r="L190" s="70" t="str">
        <f t="shared" si="343"/>
        <v>Tools</v>
      </c>
    </row>
    <row r="191" ht="12.75" customHeight="1">
      <c r="B191" s="70" t="s">
        <v>3252</v>
      </c>
      <c r="C191" s="58" t="s">
        <v>3251</v>
      </c>
      <c r="D191" s="58" t="s">
        <v>3487</v>
      </c>
      <c r="J191" s="70" t="str">
        <f t="shared" ref="J191:L191" si="344">LEFT(B191,LEN(B191)-LEN(RIGHT(B191,27)))</f>
        <v>Men</v>
      </c>
      <c r="K191" s="70" t="str">
        <f t="shared" si="344"/>
        <v>Accessories</v>
      </c>
      <c r="L191" s="70" t="str">
        <f t="shared" si="344"/>
        <v>Belts</v>
      </c>
    </row>
    <row r="192" ht="12.75" customHeight="1">
      <c r="B192" s="70" t="s">
        <v>3252</v>
      </c>
      <c r="C192" s="58" t="s">
        <v>3251</v>
      </c>
      <c r="D192" s="58" t="s">
        <v>3488</v>
      </c>
      <c r="J192" s="70" t="str">
        <f t="shared" ref="J192:L192" si="345">LEFT(B192,LEN(B192)-LEN(RIGHT(B192,27)))</f>
        <v>Men</v>
      </c>
      <c r="K192" s="70" t="str">
        <f t="shared" si="345"/>
        <v>Accessories</v>
      </c>
      <c r="L192" s="70" t="str">
        <f t="shared" si="345"/>
        <v>Cuff Links</v>
      </c>
    </row>
    <row r="193" ht="12.75" customHeight="1">
      <c r="B193" s="70" t="s">
        <v>3252</v>
      </c>
      <c r="C193" s="58" t="s">
        <v>3251</v>
      </c>
      <c r="D193" s="58" t="s">
        <v>3489</v>
      </c>
      <c r="J193" s="70" t="str">
        <f t="shared" ref="J193:L193" si="346">LEFT(B193,LEN(B193)-LEN(RIGHT(B193,27)))</f>
        <v>Men</v>
      </c>
      <c r="K193" s="70" t="str">
        <f t="shared" si="346"/>
        <v>Accessories</v>
      </c>
      <c r="L193" s="70" t="str">
        <f t="shared" si="346"/>
        <v>Face Masks</v>
      </c>
    </row>
    <row r="194" ht="12.75" customHeight="1">
      <c r="B194" s="70" t="s">
        <v>3252</v>
      </c>
      <c r="C194" s="58" t="s">
        <v>3251</v>
      </c>
      <c r="D194" s="58" t="s">
        <v>3490</v>
      </c>
      <c r="J194" s="70" t="str">
        <f t="shared" ref="J194:L194" si="347">LEFT(B194,LEN(B194)-LEN(RIGHT(B194,27)))</f>
        <v>Men</v>
      </c>
      <c r="K194" s="70" t="str">
        <f t="shared" si="347"/>
        <v>Accessories</v>
      </c>
      <c r="L194" s="70" t="str">
        <f t="shared" si="347"/>
        <v>Glasses</v>
      </c>
    </row>
    <row r="195" ht="12.75" customHeight="1">
      <c r="B195" s="70" t="s">
        <v>3252</v>
      </c>
      <c r="C195" s="58" t="s">
        <v>3251</v>
      </c>
      <c r="D195" s="58" t="s">
        <v>3491</v>
      </c>
      <c r="J195" s="70" t="str">
        <f t="shared" ref="J195:L195" si="348">LEFT(B195,LEN(B195)-LEN(RIGHT(B195,27)))</f>
        <v>Men</v>
      </c>
      <c r="K195" s="70" t="str">
        <f t="shared" si="348"/>
        <v>Accessories</v>
      </c>
      <c r="L195" s="70" t="str">
        <f t="shared" si="348"/>
        <v>Gloves</v>
      </c>
    </row>
    <row r="196" ht="12.75" customHeight="1">
      <c r="B196" s="70" t="s">
        <v>3252</v>
      </c>
      <c r="C196" s="58" t="s">
        <v>3251</v>
      </c>
      <c r="D196" s="58" t="s">
        <v>3492</v>
      </c>
      <c r="J196" s="70" t="str">
        <f t="shared" ref="J196:L196" si="349">LEFT(B196,LEN(B196)-LEN(RIGHT(B196,27)))</f>
        <v>Men</v>
      </c>
      <c r="K196" s="70" t="str">
        <f t="shared" si="349"/>
        <v>Accessories</v>
      </c>
      <c r="L196" s="70" t="str">
        <f t="shared" si="349"/>
        <v>Hats</v>
      </c>
    </row>
    <row r="197" ht="12.75" customHeight="1">
      <c r="B197" s="70" t="s">
        <v>3252</v>
      </c>
      <c r="C197" s="58" t="s">
        <v>3251</v>
      </c>
      <c r="D197" s="58" t="s">
        <v>3493</v>
      </c>
      <c r="J197" s="70" t="str">
        <f t="shared" ref="J197:L197" si="350">LEFT(B197,LEN(B197)-LEN(RIGHT(B197,27)))</f>
        <v>Men</v>
      </c>
      <c r="K197" s="70" t="str">
        <f t="shared" si="350"/>
        <v>Accessories</v>
      </c>
      <c r="L197" s="70" t="str">
        <f t="shared" si="350"/>
        <v>Jewelry</v>
      </c>
    </row>
    <row r="198" ht="12.75" customHeight="1">
      <c r="B198" s="70" t="s">
        <v>3252</v>
      </c>
      <c r="C198" s="58" t="s">
        <v>3251</v>
      </c>
      <c r="D198" s="58" t="s">
        <v>3494</v>
      </c>
      <c r="J198" s="70" t="str">
        <f t="shared" ref="J198:L198" si="351">LEFT(B198,LEN(B198)-LEN(RIGHT(B198,27)))</f>
        <v>Men</v>
      </c>
      <c r="K198" s="70" t="str">
        <f t="shared" si="351"/>
        <v>Accessories</v>
      </c>
      <c r="L198" s="70" t="str">
        <f t="shared" si="351"/>
        <v>Key &amp; Card Holders</v>
      </c>
    </row>
    <row r="199" ht="12.75" customHeight="1">
      <c r="B199" s="70" t="s">
        <v>3252</v>
      </c>
      <c r="C199" s="58" t="s">
        <v>3251</v>
      </c>
      <c r="D199" s="58" t="s">
        <v>3495</v>
      </c>
      <c r="J199" s="70" t="str">
        <f t="shared" ref="J199:L199" si="352">LEFT(B199,LEN(B199)-LEN(RIGHT(B199,27)))</f>
        <v>Men</v>
      </c>
      <c r="K199" s="70" t="str">
        <f t="shared" si="352"/>
        <v>Accessories</v>
      </c>
      <c r="L199" s="70" t="str">
        <f t="shared" si="352"/>
        <v>Money Clips</v>
      </c>
    </row>
    <row r="200" ht="12.75" customHeight="1">
      <c r="B200" s="70" t="s">
        <v>3252</v>
      </c>
      <c r="C200" s="58" t="s">
        <v>3251</v>
      </c>
      <c r="D200" s="58" t="s">
        <v>3496</v>
      </c>
      <c r="J200" s="70" t="str">
        <f t="shared" ref="J200:L200" si="353">LEFT(B200,LEN(B200)-LEN(RIGHT(B200,27)))</f>
        <v>Men</v>
      </c>
      <c r="K200" s="70" t="str">
        <f t="shared" si="353"/>
        <v>Accessories</v>
      </c>
      <c r="L200" s="70" t="str">
        <f t="shared" si="353"/>
        <v>Phone Cases</v>
      </c>
    </row>
    <row r="201" ht="12.75" customHeight="1">
      <c r="B201" s="70" t="s">
        <v>3252</v>
      </c>
      <c r="C201" s="58" t="s">
        <v>3251</v>
      </c>
      <c r="D201" s="58" t="s">
        <v>3497</v>
      </c>
      <c r="J201" s="70" t="str">
        <f t="shared" ref="J201:L201" si="354">LEFT(B201,LEN(B201)-LEN(RIGHT(B201,27)))</f>
        <v>Men</v>
      </c>
      <c r="K201" s="70" t="str">
        <f t="shared" si="354"/>
        <v>Accessories</v>
      </c>
      <c r="L201" s="70" t="str">
        <f t="shared" si="354"/>
        <v>Pocket Squares</v>
      </c>
    </row>
    <row r="202" ht="12.75" customHeight="1">
      <c r="B202" s="70" t="s">
        <v>3252</v>
      </c>
      <c r="C202" s="58" t="s">
        <v>3251</v>
      </c>
      <c r="D202" s="58" t="s">
        <v>3498</v>
      </c>
      <c r="J202" s="70" t="str">
        <f t="shared" ref="J202:L202" si="355">LEFT(B202,LEN(B202)-LEN(RIGHT(B202,27)))</f>
        <v>Men</v>
      </c>
      <c r="K202" s="70" t="str">
        <f t="shared" si="355"/>
        <v>Accessories</v>
      </c>
      <c r="L202" s="70" t="str">
        <f t="shared" si="355"/>
        <v>Scarves</v>
      </c>
    </row>
    <row r="203" ht="12.75" customHeight="1">
      <c r="B203" s="70" t="s">
        <v>3252</v>
      </c>
      <c r="C203" s="58" t="s">
        <v>3251</v>
      </c>
      <c r="D203" s="58" t="s">
        <v>3499</v>
      </c>
      <c r="J203" s="70" t="str">
        <f t="shared" ref="J203:L203" si="356">LEFT(B203,LEN(B203)-LEN(RIGHT(B203,27)))</f>
        <v>Men</v>
      </c>
      <c r="K203" s="70" t="str">
        <f t="shared" si="356"/>
        <v>Accessories</v>
      </c>
      <c r="L203" s="70" t="str">
        <f t="shared" si="356"/>
        <v>Sunglasses</v>
      </c>
    </row>
    <row r="204" ht="12.75" customHeight="1">
      <c r="B204" s="70" t="s">
        <v>3252</v>
      </c>
      <c r="C204" s="58" t="s">
        <v>3251</v>
      </c>
      <c r="D204" s="58" t="s">
        <v>3500</v>
      </c>
      <c r="J204" s="70" t="str">
        <f t="shared" ref="J204:L204" si="357">LEFT(B204,LEN(B204)-LEN(RIGHT(B204,27)))</f>
        <v>Men</v>
      </c>
      <c r="K204" s="70" t="str">
        <f t="shared" si="357"/>
        <v>Accessories</v>
      </c>
      <c r="L204" s="70" t="str">
        <f t="shared" si="357"/>
        <v>Suspenders</v>
      </c>
    </row>
    <row r="205" ht="12.75" customHeight="1">
      <c r="B205" s="70" t="s">
        <v>3252</v>
      </c>
      <c r="C205" s="58" t="s">
        <v>3251</v>
      </c>
      <c r="D205" s="58" t="s">
        <v>3501</v>
      </c>
      <c r="J205" s="70" t="str">
        <f t="shared" ref="J205:L205" si="358">LEFT(B205,LEN(B205)-LEN(RIGHT(B205,27)))</f>
        <v>Men</v>
      </c>
      <c r="K205" s="70" t="str">
        <f t="shared" si="358"/>
        <v>Accessories</v>
      </c>
      <c r="L205" s="70" t="str">
        <f t="shared" si="358"/>
        <v>Ties</v>
      </c>
    </row>
    <row r="206" ht="12.75" customHeight="1">
      <c r="B206" s="70" t="s">
        <v>3252</v>
      </c>
      <c r="C206" s="58" t="s">
        <v>3251</v>
      </c>
      <c r="D206" s="58" t="s">
        <v>3502</v>
      </c>
      <c r="J206" s="70" t="str">
        <f t="shared" ref="J206:L206" si="359">LEFT(B206,LEN(B206)-LEN(RIGHT(B206,27)))</f>
        <v>Men</v>
      </c>
      <c r="K206" s="70" t="str">
        <f t="shared" si="359"/>
        <v>Accessories</v>
      </c>
      <c r="L206" s="70" t="str">
        <f t="shared" si="359"/>
        <v>Watches</v>
      </c>
    </row>
    <row r="207" ht="12.75" customHeight="1">
      <c r="B207" s="70" t="s">
        <v>3252</v>
      </c>
      <c r="C207" s="58" t="s">
        <v>3258</v>
      </c>
      <c r="D207" s="58" t="s">
        <v>3503</v>
      </c>
      <c r="J207" s="70" t="str">
        <f t="shared" ref="J207:L207" si="360">LEFT(B207,LEN(B207)-LEN(RIGHT(B207,27)))</f>
        <v>Men</v>
      </c>
      <c r="K207" s="70" t="str">
        <f t="shared" si="360"/>
        <v>Bags</v>
      </c>
      <c r="L207" s="70" t="str">
        <f t="shared" si="360"/>
        <v>Backpacks</v>
      </c>
    </row>
    <row r="208" ht="12.75" customHeight="1">
      <c r="B208" s="70" t="s">
        <v>3252</v>
      </c>
      <c r="C208" s="58" t="s">
        <v>3258</v>
      </c>
      <c r="D208" s="58" t="s">
        <v>3504</v>
      </c>
      <c r="J208" s="70" t="str">
        <f t="shared" ref="J208:L208" si="361">LEFT(B208,LEN(B208)-LEN(RIGHT(B208,27)))</f>
        <v>Men</v>
      </c>
      <c r="K208" s="70" t="str">
        <f t="shared" si="361"/>
        <v>Bags</v>
      </c>
      <c r="L208" s="70" t="str">
        <f t="shared" si="361"/>
        <v>Belt Bags</v>
      </c>
    </row>
    <row r="209" ht="12.75" customHeight="1">
      <c r="B209" s="70" t="s">
        <v>3252</v>
      </c>
      <c r="C209" s="58" t="s">
        <v>3258</v>
      </c>
      <c r="D209" s="58" t="s">
        <v>3505</v>
      </c>
      <c r="J209" s="70" t="str">
        <f t="shared" ref="J209:L209" si="362">LEFT(B209,LEN(B209)-LEN(RIGHT(B209,27)))</f>
        <v>Men</v>
      </c>
      <c r="K209" s="70" t="str">
        <f t="shared" si="362"/>
        <v>Bags</v>
      </c>
      <c r="L209" s="70" t="str">
        <f t="shared" si="362"/>
        <v>Briefcases</v>
      </c>
    </row>
    <row r="210" ht="12.75" customHeight="1">
      <c r="B210" s="70" t="s">
        <v>3252</v>
      </c>
      <c r="C210" s="58" t="s">
        <v>3258</v>
      </c>
      <c r="D210" s="58" t="s">
        <v>3506</v>
      </c>
      <c r="J210" s="70" t="str">
        <f t="shared" ref="J210:L210" si="363">LEFT(B210,LEN(B210)-LEN(RIGHT(B210,27)))</f>
        <v>Men</v>
      </c>
      <c r="K210" s="70" t="str">
        <f t="shared" si="363"/>
        <v>Bags</v>
      </c>
      <c r="L210" s="70" t="str">
        <f t="shared" si="363"/>
        <v>Duffel Bags</v>
      </c>
    </row>
    <row r="211" ht="12.75" customHeight="1">
      <c r="B211" s="70" t="s">
        <v>3252</v>
      </c>
      <c r="C211" s="58" t="s">
        <v>3258</v>
      </c>
      <c r="D211" s="58" t="s">
        <v>3507</v>
      </c>
      <c r="J211" s="70" t="str">
        <f t="shared" ref="J211:L211" si="364">LEFT(B211,LEN(B211)-LEN(RIGHT(B211,27)))</f>
        <v>Men</v>
      </c>
      <c r="K211" s="70" t="str">
        <f t="shared" si="364"/>
        <v>Bags</v>
      </c>
      <c r="L211" s="70" t="str">
        <f t="shared" si="364"/>
        <v>Laptop Bags</v>
      </c>
    </row>
    <row r="212" ht="12.75" customHeight="1">
      <c r="B212" s="70" t="s">
        <v>3252</v>
      </c>
      <c r="C212" s="58" t="s">
        <v>3258</v>
      </c>
      <c r="D212" s="58" t="s">
        <v>3508</v>
      </c>
      <c r="J212" s="70" t="str">
        <f t="shared" ref="J212:L212" si="365">LEFT(B212,LEN(B212)-LEN(RIGHT(B212,27)))</f>
        <v>Men</v>
      </c>
      <c r="K212" s="70" t="str">
        <f t="shared" si="365"/>
        <v>Bags</v>
      </c>
      <c r="L212" s="70" t="str">
        <f t="shared" si="365"/>
        <v>Luggage &amp; Travel Bags</v>
      </c>
    </row>
    <row r="213" ht="12.75" customHeight="1">
      <c r="B213" s="70" t="s">
        <v>3252</v>
      </c>
      <c r="C213" s="58" t="s">
        <v>3258</v>
      </c>
      <c r="D213" s="58" t="s">
        <v>3509</v>
      </c>
      <c r="J213" s="70" t="str">
        <f t="shared" ref="J213:L213" si="366">LEFT(B213,LEN(B213)-LEN(RIGHT(B213,27)))</f>
        <v>Men</v>
      </c>
      <c r="K213" s="70" t="str">
        <f t="shared" si="366"/>
        <v>Bags</v>
      </c>
      <c r="L213" s="70" t="str">
        <f t="shared" si="366"/>
        <v>Messenger Bags</v>
      </c>
    </row>
    <row r="214" ht="12.75" customHeight="1">
      <c r="B214" s="70" t="s">
        <v>3252</v>
      </c>
      <c r="C214" s="58" t="s">
        <v>3258</v>
      </c>
      <c r="D214" s="58" t="s">
        <v>3510</v>
      </c>
      <c r="J214" s="70" t="str">
        <f t="shared" ref="J214:L214" si="367">LEFT(B214,LEN(B214)-LEN(RIGHT(B214,27)))</f>
        <v>Men</v>
      </c>
      <c r="K214" s="70" t="str">
        <f t="shared" si="367"/>
        <v>Bags</v>
      </c>
      <c r="L214" s="70" t="str">
        <f t="shared" si="367"/>
        <v>Toiletry Bags</v>
      </c>
    </row>
    <row r="215" ht="12.75" customHeight="1">
      <c r="B215" s="70" t="s">
        <v>3252</v>
      </c>
      <c r="C215" s="58" t="s">
        <v>3258</v>
      </c>
      <c r="D215" s="58" t="s">
        <v>3511</v>
      </c>
      <c r="J215" s="70" t="str">
        <f t="shared" ref="J215:L215" si="368">LEFT(B215,LEN(B215)-LEN(RIGHT(B215,27)))</f>
        <v>Men</v>
      </c>
      <c r="K215" s="70" t="str">
        <f t="shared" si="368"/>
        <v>Bags</v>
      </c>
      <c r="L215" s="70" t="str">
        <f t="shared" si="368"/>
        <v>Wallets</v>
      </c>
    </row>
    <row r="216" ht="12.75" customHeight="1">
      <c r="B216" s="70" t="s">
        <v>3252</v>
      </c>
      <c r="C216" s="58" t="s">
        <v>3264</v>
      </c>
      <c r="D216" s="58" t="s">
        <v>3512</v>
      </c>
      <c r="J216" s="70" t="str">
        <f t="shared" ref="J216:L216" si="369">LEFT(B216,LEN(B216)-LEN(RIGHT(B216,27)))</f>
        <v>Men</v>
      </c>
      <c r="K216" s="70" t="str">
        <f t="shared" si="369"/>
        <v>Jackets &amp; Coats</v>
      </c>
      <c r="L216" s="70" t="str">
        <f t="shared" si="369"/>
        <v>Bomber &amp; Varsity</v>
      </c>
    </row>
    <row r="217" ht="12.75" customHeight="1">
      <c r="B217" s="70" t="s">
        <v>3252</v>
      </c>
      <c r="C217" s="58" t="s">
        <v>3264</v>
      </c>
      <c r="D217" s="58" t="s">
        <v>3513</v>
      </c>
      <c r="J217" s="70" t="str">
        <f t="shared" ref="J217:L217" si="370">LEFT(B217,LEN(B217)-LEN(RIGHT(B217,27)))</f>
        <v>Men</v>
      </c>
      <c r="K217" s="70" t="str">
        <f t="shared" si="370"/>
        <v>Jackets &amp; Coats</v>
      </c>
      <c r="L217" s="70" t="str">
        <f t="shared" si="370"/>
        <v>Lightweight &amp; Shirt Jackets</v>
      </c>
    </row>
    <row r="218" ht="12.75" customHeight="1">
      <c r="B218" s="70" t="s">
        <v>3252</v>
      </c>
      <c r="C218" s="58" t="s">
        <v>3264</v>
      </c>
      <c r="D218" s="58" t="s">
        <v>3514</v>
      </c>
      <c r="J218" s="70" t="str">
        <f t="shared" ref="J218:L218" si="371">LEFT(B218,LEN(B218)-LEN(RIGHT(B218,27)))</f>
        <v>Men</v>
      </c>
      <c r="K218" s="70" t="str">
        <f t="shared" si="371"/>
        <v>Jackets &amp; Coats</v>
      </c>
      <c r="L218" s="70" t="str">
        <f t="shared" si="371"/>
        <v>Military &amp; Field</v>
      </c>
    </row>
    <row r="219" ht="12.75" customHeight="1">
      <c r="B219" s="70" t="s">
        <v>3252</v>
      </c>
      <c r="C219" s="58" t="s">
        <v>3264</v>
      </c>
      <c r="D219" s="58" t="s">
        <v>3515</v>
      </c>
      <c r="J219" s="70" t="str">
        <f t="shared" ref="J219:L219" si="372">LEFT(B219,LEN(B219)-LEN(RIGHT(B219,27)))</f>
        <v>Men</v>
      </c>
      <c r="K219" s="70" t="str">
        <f t="shared" si="372"/>
        <v>Jackets &amp; Coats</v>
      </c>
      <c r="L219" s="70" t="str">
        <f t="shared" si="372"/>
        <v>Pea Coats</v>
      </c>
    </row>
    <row r="220" ht="12.75" customHeight="1">
      <c r="B220" s="70" t="s">
        <v>3252</v>
      </c>
      <c r="C220" s="58" t="s">
        <v>3264</v>
      </c>
      <c r="D220" s="58" t="s">
        <v>3516</v>
      </c>
      <c r="J220" s="70" t="str">
        <f t="shared" ref="J220:L220" si="373">LEFT(B220,LEN(B220)-LEN(RIGHT(B220,27)))</f>
        <v>Men</v>
      </c>
      <c r="K220" s="70" t="str">
        <f t="shared" si="373"/>
        <v>Jackets &amp; Coats</v>
      </c>
      <c r="L220" s="70" t="str">
        <f t="shared" si="373"/>
        <v>Performance Jackets</v>
      </c>
    </row>
    <row r="221" ht="12.75" customHeight="1">
      <c r="B221" s="70" t="s">
        <v>3252</v>
      </c>
      <c r="C221" s="58" t="s">
        <v>3264</v>
      </c>
      <c r="D221" s="58" t="s">
        <v>3517</v>
      </c>
      <c r="J221" s="70" t="str">
        <f t="shared" ref="J221:L221" si="374">LEFT(B221,LEN(B221)-LEN(RIGHT(B221,27)))</f>
        <v>Men</v>
      </c>
      <c r="K221" s="70" t="str">
        <f t="shared" si="374"/>
        <v>Jackets &amp; Coats</v>
      </c>
      <c r="L221" s="70" t="str">
        <f t="shared" si="374"/>
        <v>Puffers</v>
      </c>
    </row>
    <row r="222" ht="12.75" customHeight="1">
      <c r="B222" s="70" t="s">
        <v>3252</v>
      </c>
      <c r="C222" s="58" t="s">
        <v>3264</v>
      </c>
      <c r="D222" s="58" t="s">
        <v>3518</v>
      </c>
      <c r="J222" s="70" t="str">
        <f t="shared" ref="J222:L222" si="375">LEFT(B222,LEN(B222)-LEN(RIGHT(B222,27)))</f>
        <v>Men</v>
      </c>
      <c r="K222" s="70" t="str">
        <f t="shared" si="375"/>
        <v>Jackets &amp; Coats</v>
      </c>
      <c r="L222" s="70" t="str">
        <f t="shared" si="375"/>
        <v>Raincoats</v>
      </c>
    </row>
    <row r="223" ht="12.75" customHeight="1">
      <c r="B223" s="70" t="s">
        <v>3252</v>
      </c>
      <c r="C223" s="58" t="s">
        <v>3264</v>
      </c>
      <c r="D223" s="58" t="s">
        <v>3519</v>
      </c>
      <c r="J223" s="70" t="str">
        <f t="shared" ref="J223:L223" si="376">LEFT(B223,LEN(B223)-LEN(RIGHT(B223,27)))</f>
        <v>Men</v>
      </c>
      <c r="K223" s="70" t="str">
        <f t="shared" si="376"/>
        <v>Jackets &amp; Coats</v>
      </c>
      <c r="L223" s="70" t="str">
        <f t="shared" si="376"/>
        <v>Ski &amp; Snowboard</v>
      </c>
    </row>
    <row r="224" ht="12.75" customHeight="1">
      <c r="B224" s="70" t="s">
        <v>3252</v>
      </c>
      <c r="C224" s="58" t="s">
        <v>3264</v>
      </c>
      <c r="D224" s="58" t="s">
        <v>3520</v>
      </c>
      <c r="J224" s="70" t="str">
        <f t="shared" ref="J224:L224" si="377">LEFT(B224,LEN(B224)-LEN(RIGHT(B224,27)))</f>
        <v>Men</v>
      </c>
      <c r="K224" s="70" t="str">
        <f t="shared" si="377"/>
        <v>Jackets &amp; Coats</v>
      </c>
      <c r="L224" s="70" t="str">
        <f t="shared" si="377"/>
        <v>Trench Coats</v>
      </c>
    </row>
    <row r="225" ht="12.75" customHeight="1">
      <c r="B225" s="70" t="s">
        <v>3252</v>
      </c>
      <c r="C225" s="58" t="s">
        <v>3264</v>
      </c>
      <c r="D225" s="58" t="s">
        <v>3521</v>
      </c>
      <c r="J225" s="70" t="str">
        <f t="shared" ref="J225:L225" si="378">LEFT(B225,LEN(B225)-LEN(RIGHT(B225,27)))</f>
        <v>Men</v>
      </c>
      <c r="K225" s="70" t="str">
        <f t="shared" si="378"/>
        <v>Jackets &amp; Coats</v>
      </c>
      <c r="L225" s="70" t="str">
        <f t="shared" si="378"/>
        <v>Vests</v>
      </c>
    </row>
    <row r="226" ht="12.75" customHeight="1">
      <c r="B226" s="70" t="s">
        <v>3252</v>
      </c>
      <c r="C226" s="58" t="s">
        <v>3264</v>
      </c>
      <c r="D226" s="58" t="s">
        <v>3522</v>
      </c>
      <c r="J226" s="70" t="str">
        <f t="shared" ref="J226:L226" si="379">LEFT(B226,LEN(B226)-LEN(RIGHT(B226,27)))</f>
        <v>Men</v>
      </c>
      <c r="K226" s="70" t="str">
        <f t="shared" si="379"/>
        <v>Jackets &amp; Coats</v>
      </c>
      <c r="L226" s="70" t="str">
        <f t="shared" si="379"/>
        <v>Windbreakers</v>
      </c>
    </row>
    <row r="227" ht="12.75" customHeight="1">
      <c r="B227" s="70" t="s">
        <v>3252</v>
      </c>
      <c r="C227" s="58" t="s">
        <v>3266</v>
      </c>
      <c r="D227" s="58" t="s">
        <v>3523</v>
      </c>
      <c r="J227" s="70" t="str">
        <f t="shared" ref="J227:L227" si="380">LEFT(B227,LEN(B227)-LEN(RIGHT(B227,27)))</f>
        <v>Men</v>
      </c>
      <c r="K227" s="70" t="str">
        <f t="shared" si="380"/>
        <v>Jeans</v>
      </c>
      <c r="L227" s="70" t="str">
        <f t="shared" si="380"/>
        <v>Bootcut</v>
      </c>
    </row>
    <row r="228" ht="12.75" customHeight="1">
      <c r="B228" s="70" t="s">
        <v>3252</v>
      </c>
      <c r="C228" s="58" t="s">
        <v>3266</v>
      </c>
      <c r="D228" s="58" t="s">
        <v>3524</v>
      </c>
      <c r="J228" s="70" t="str">
        <f t="shared" ref="J228:L228" si="381">LEFT(B228,LEN(B228)-LEN(RIGHT(B228,27)))</f>
        <v>Men</v>
      </c>
      <c r="K228" s="70" t="str">
        <f t="shared" si="381"/>
        <v>Jeans</v>
      </c>
      <c r="L228" s="70" t="str">
        <f t="shared" si="381"/>
        <v>Relaxed</v>
      </c>
    </row>
    <row r="229" ht="12.75" customHeight="1">
      <c r="B229" s="70" t="s">
        <v>3252</v>
      </c>
      <c r="C229" s="58" t="s">
        <v>3266</v>
      </c>
      <c r="D229" s="58" t="s">
        <v>3525</v>
      </c>
      <c r="J229" s="70" t="str">
        <f t="shared" ref="J229:L229" si="382">LEFT(B229,LEN(B229)-LEN(RIGHT(B229,27)))</f>
        <v>Men</v>
      </c>
      <c r="K229" s="70" t="str">
        <f t="shared" si="382"/>
        <v>Jeans</v>
      </c>
      <c r="L229" s="70" t="str">
        <f t="shared" si="382"/>
        <v>Skinny</v>
      </c>
    </row>
    <row r="230" ht="12.75" customHeight="1">
      <c r="B230" s="70" t="s">
        <v>3252</v>
      </c>
      <c r="C230" s="58" t="s">
        <v>3266</v>
      </c>
      <c r="D230" s="58" t="s">
        <v>3526</v>
      </c>
      <c r="J230" s="70" t="str">
        <f t="shared" ref="J230:L230" si="383">LEFT(B230,LEN(B230)-LEN(RIGHT(B230,27)))</f>
        <v>Men</v>
      </c>
      <c r="K230" s="70" t="str">
        <f t="shared" si="383"/>
        <v>Jeans</v>
      </c>
      <c r="L230" s="70" t="str">
        <f t="shared" si="383"/>
        <v>Slim</v>
      </c>
    </row>
    <row r="231" ht="12.75" customHeight="1">
      <c r="B231" s="70" t="s">
        <v>3252</v>
      </c>
      <c r="C231" s="58" t="s">
        <v>3266</v>
      </c>
      <c r="D231" s="58" t="s">
        <v>3527</v>
      </c>
      <c r="J231" s="70" t="str">
        <f t="shared" ref="J231:L231" si="384">LEFT(B231,LEN(B231)-LEN(RIGHT(B231,27)))</f>
        <v>Men</v>
      </c>
      <c r="K231" s="70" t="str">
        <f t="shared" si="384"/>
        <v>Jeans</v>
      </c>
      <c r="L231" s="70" t="str">
        <f t="shared" si="384"/>
        <v>Slim Straight</v>
      </c>
    </row>
    <row r="232" ht="12.75" customHeight="1">
      <c r="B232" s="70" t="s">
        <v>3252</v>
      </c>
      <c r="C232" s="58" t="s">
        <v>3266</v>
      </c>
      <c r="D232" s="58" t="s">
        <v>3528</v>
      </c>
      <c r="J232" s="70" t="str">
        <f t="shared" ref="J232:L232" si="385">LEFT(B232,LEN(B232)-LEN(RIGHT(B232,27)))</f>
        <v>Men</v>
      </c>
      <c r="K232" s="70" t="str">
        <f t="shared" si="385"/>
        <v>Jeans</v>
      </c>
      <c r="L232" s="70" t="str">
        <f t="shared" si="385"/>
        <v>Straight</v>
      </c>
    </row>
    <row r="233" ht="12.75" customHeight="1">
      <c r="B233" s="70" t="s">
        <v>3252</v>
      </c>
      <c r="C233" s="58" t="s">
        <v>3284</v>
      </c>
      <c r="D233" s="58" t="s">
        <v>3529</v>
      </c>
      <c r="J233" s="70" t="str">
        <f t="shared" ref="J233:L233" si="386">LEFT(B233,LEN(B233)-LEN(RIGHT(B233,27)))</f>
        <v>Men</v>
      </c>
      <c r="K233" s="70" t="str">
        <f t="shared" si="386"/>
        <v>Pants</v>
      </c>
      <c r="L233" s="70" t="str">
        <f t="shared" si="386"/>
        <v>Cargo</v>
      </c>
    </row>
    <row r="234" ht="12.75" customHeight="1">
      <c r="B234" s="70" t="s">
        <v>3252</v>
      </c>
      <c r="C234" s="58" t="s">
        <v>3284</v>
      </c>
      <c r="D234" s="58" t="s">
        <v>3530</v>
      </c>
      <c r="J234" s="70" t="str">
        <f t="shared" ref="J234:L234" si="387">LEFT(B234,LEN(B234)-LEN(RIGHT(B234,27)))</f>
        <v>Men</v>
      </c>
      <c r="K234" s="70" t="str">
        <f t="shared" si="387"/>
        <v>Pants</v>
      </c>
      <c r="L234" s="70" t="str">
        <f t="shared" si="387"/>
        <v>Chinos &amp; Khakis</v>
      </c>
    </row>
    <row r="235" ht="12.75" customHeight="1">
      <c r="B235" s="70" t="s">
        <v>3252</v>
      </c>
      <c r="C235" s="58" t="s">
        <v>3284</v>
      </c>
      <c r="D235" s="58" t="s">
        <v>3531</v>
      </c>
      <c r="J235" s="70" t="str">
        <f t="shared" ref="J235:L235" si="388">LEFT(B235,LEN(B235)-LEN(RIGHT(B235,27)))</f>
        <v>Men</v>
      </c>
      <c r="K235" s="70" t="str">
        <f t="shared" si="388"/>
        <v>Pants</v>
      </c>
      <c r="L235" s="70" t="str">
        <f t="shared" si="388"/>
        <v>Corduroy</v>
      </c>
    </row>
    <row r="236" ht="12.75" customHeight="1">
      <c r="B236" s="70" t="s">
        <v>3252</v>
      </c>
      <c r="C236" s="58" t="s">
        <v>3284</v>
      </c>
      <c r="D236" s="58" t="s">
        <v>3532</v>
      </c>
      <c r="J236" s="70" t="str">
        <f t="shared" ref="J236:L236" si="389">LEFT(B236,LEN(B236)-LEN(RIGHT(B236,27)))</f>
        <v>Men</v>
      </c>
      <c r="K236" s="70" t="str">
        <f t="shared" si="389"/>
        <v>Pants</v>
      </c>
      <c r="L236" s="70" t="str">
        <f t="shared" si="389"/>
        <v>Dress</v>
      </c>
    </row>
    <row r="237" ht="12.75" customHeight="1">
      <c r="B237" s="70" t="s">
        <v>3252</v>
      </c>
      <c r="C237" s="58" t="s">
        <v>3284</v>
      </c>
      <c r="D237" s="58" t="s">
        <v>3533</v>
      </c>
      <c r="J237" s="70" t="str">
        <f t="shared" ref="J237:L237" si="390">LEFT(B237,LEN(B237)-LEN(RIGHT(B237,27)))</f>
        <v>Men</v>
      </c>
      <c r="K237" s="70" t="str">
        <f t="shared" si="390"/>
        <v>Pants</v>
      </c>
      <c r="L237" s="70" t="str">
        <f t="shared" si="390"/>
        <v>Sweatpants &amp; Joggers</v>
      </c>
    </row>
    <row r="238" ht="12.75" customHeight="1">
      <c r="B238" s="70" t="s">
        <v>3252</v>
      </c>
      <c r="C238" s="58" t="s">
        <v>3290</v>
      </c>
      <c r="D238" s="58" t="s">
        <v>3534</v>
      </c>
      <c r="J238" s="70" t="str">
        <f t="shared" ref="J238:L238" si="391">LEFT(B238,LEN(B238)-LEN(RIGHT(B238,27)))</f>
        <v>Men</v>
      </c>
      <c r="K238" s="70" t="str">
        <f t="shared" si="391"/>
        <v>Shirts</v>
      </c>
      <c r="L238" s="70" t="str">
        <f t="shared" si="391"/>
        <v>Casual Button Down Shirts</v>
      </c>
    </row>
    <row r="239" ht="12.75" customHeight="1">
      <c r="B239" s="70" t="s">
        <v>3252</v>
      </c>
      <c r="C239" s="58" t="s">
        <v>3290</v>
      </c>
      <c r="D239" s="58" t="s">
        <v>3535</v>
      </c>
      <c r="J239" s="70" t="str">
        <f t="shared" ref="J239:L239" si="392">LEFT(B239,LEN(B239)-LEN(RIGHT(B239,27)))</f>
        <v>Men</v>
      </c>
      <c r="K239" s="70" t="str">
        <f t="shared" si="392"/>
        <v>Shirts</v>
      </c>
      <c r="L239" s="70" t="str">
        <f t="shared" si="392"/>
        <v>Dress Shirts</v>
      </c>
    </row>
    <row r="240" ht="12.75" customHeight="1">
      <c r="B240" s="70" t="s">
        <v>3252</v>
      </c>
      <c r="C240" s="58" t="s">
        <v>3290</v>
      </c>
      <c r="D240" s="58" t="s">
        <v>3536</v>
      </c>
      <c r="J240" s="70" t="str">
        <f t="shared" ref="J240:L240" si="393">LEFT(B240,LEN(B240)-LEN(RIGHT(B240,27)))</f>
        <v>Men</v>
      </c>
      <c r="K240" s="70" t="str">
        <f t="shared" si="393"/>
        <v>Shirts</v>
      </c>
      <c r="L240" s="70" t="str">
        <f t="shared" si="393"/>
        <v>Jerseys</v>
      </c>
    </row>
    <row r="241" ht="12.75" customHeight="1">
      <c r="B241" s="70" t="s">
        <v>3252</v>
      </c>
      <c r="C241" s="58" t="s">
        <v>3290</v>
      </c>
      <c r="D241" s="58" t="s">
        <v>3537</v>
      </c>
      <c r="J241" s="70" t="str">
        <f t="shared" ref="J241:L241" si="394">LEFT(B241,LEN(B241)-LEN(RIGHT(B241,27)))</f>
        <v>Men</v>
      </c>
      <c r="K241" s="70" t="str">
        <f t="shared" si="394"/>
        <v>Shirts</v>
      </c>
      <c r="L241" s="70" t="str">
        <f t="shared" si="394"/>
        <v>Polos</v>
      </c>
    </row>
    <row r="242" ht="12.75" customHeight="1">
      <c r="B242" s="70" t="s">
        <v>3252</v>
      </c>
      <c r="C242" s="58" t="s">
        <v>3290</v>
      </c>
      <c r="D242" s="58" t="s">
        <v>3538</v>
      </c>
      <c r="J242" s="70" t="str">
        <f t="shared" ref="J242:L242" si="395">LEFT(B242,LEN(B242)-LEN(RIGHT(B242,27)))</f>
        <v>Men</v>
      </c>
      <c r="K242" s="70" t="str">
        <f t="shared" si="395"/>
        <v>Shirts</v>
      </c>
      <c r="L242" s="70" t="str">
        <f t="shared" si="395"/>
        <v>Sweatshirts &amp; Hoodies</v>
      </c>
    </row>
    <row r="243" ht="12.75" customHeight="1">
      <c r="B243" s="70" t="s">
        <v>3252</v>
      </c>
      <c r="C243" s="58" t="s">
        <v>3290</v>
      </c>
      <c r="D243" s="58" t="s">
        <v>3539</v>
      </c>
      <c r="J243" s="70" t="str">
        <f t="shared" ref="J243:L243" si="396">LEFT(B243,LEN(B243)-LEN(RIGHT(B243,27)))</f>
        <v>Men</v>
      </c>
      <c r="K243" s="70" t="str">
        <f t="shared" si="396"/>
        <v>Shirts</v>
      </c>
      <c r="L243" s="70" t="str">
        <f t="shared" si="396"/>
        <v>Tank Tops</v>
      </c>
    </row>
    <row r="244" ht="12.75" customHeight="1">
      <c r="B244" s="70" t="s">
        <v>3252</v>
      </c>
      <c r="C244" s="58" t="s">
        <v>3290</v>
      </c>
      <c r="D244" s="58" t="s">
        <v>3540</v>
      </c>
      <c r="J244" s="70" t="str">
        <f t="shared" ref="J244:L244" si="397">LEFT(B244,LEN(B244)-LEN(RIGHT(B244,27)))</f>
        <v>Men</v>
      </c>
      <c r="K244" s="70" t="str">
        <f t="shared" si="397"/>
        <v>Shirts</v>
      </c>
      <c r="L244" s="70" t="str">
        <f t="shared" si="397"/>
        <v>Tees - Long Sleeve</v>
      </c>
    </row>
    <row r="245" ht="12.75" customHeight="1">
      <c r="B245" s="70" t="s">
        <v>3252</v>
      </c>
      <c r="C245" s="58" t="s">
        <v>3290</v>
      </c>
      <c r="D245" s="58" t="s">
        <v>3541</v>
      </c>
      <c r="J245" s="70" t="str">
        <f t="shared" ref="J245:L245" si="398">LEFT(B245,LEN(B245)-LEN(RIGHT(B245,27)))</f>
        <v>Men</v>
      </c>
      <c r="K245" s="70" t="str">
        <f t="shared" si="398"/>
        <v>Shirts</v>
      </c>
      <c r="L245" s="70" t="str">
        <f t="shared" si="398"/>
        <v>Tees - Short Sleeve</v>
      </c>
    </row>
    <row r="246" ht="12.75" customHeight="1">
      <c r="B246" s="70" t="s">
        <v>3252</v>
      </c>
      <c r="C246" s="58" t="s">
        <v>3292</v>
      </c>
      <c r="D246" s="58" t="s">
        <v>3542</v>
      </c>
      <c r="J246" s="70" t="str">
        <f t="shared" ref="J246:L246" si="399">LEFT(B246,LEN(B246)-LEN(RIGHT(B246,27)))</f>
        <v>Men</v>
      </c>
      <c r="K246" s="70" t="str">
        <f t="shared" si="399"/>
        <v>Shoes</v>
      </c>
      <c r="L246" s="70" t="str">
        <f t="shared" si="399"/>
        <v>Athletic Shoes</v>
      </c>
    </row>
    <row r="247" ht="12.75" customHeight="1">
      <c r="B247" s="70" t="s">
        <v>3252</v>
      </c>
      <c r="C247" s="58" t="s">
        <v>3292</v>
      </c>
      <c r="D247" s="58" t="s">
        <v>3543</v>
      </c>
      <c r="J247" s="70" t="str">
        <f t="shared" ref="J247:L247" si="400">LEFT(B247,LEN(B247)-LEN(RIGHT(B247,27)))</f>
        <v>Men</v>
      </c>
      <c r="K247" s="70" t="str">
        <f t="shared" si="400"/>
        <v>Shoes</v>
      </c>
      <c r="L247" s="70" t="str">
        <f t="shared" si="400"/>
        <v>Boat Shoes</v>
      </c>
    </row>
    <row r="248" ht="12.75" customHeight="1">
      <c r="B248" s="70" t="s">
        <v>3252</v>
      </c>
      <c r="C248" s="58" t="s">
        <v>3292</v>
      </c>
      <c r="D248" s="58" t="s">
        <v>3544</v>
      </c>
      <c r="J248" s="70" t="str">
        <f t="shared" ref="J248:L248" si="401">LEFT(B248,LEN(B248)-LEN(RIGHT(B248,27)))</f>
        <v>Men</v>
      </c>
      <c r="K248" s="70" t="str">
        <f t="shared" si="401"/>
        <v>Shoes</v>
      </c>
      <c r="L248" s="70" t="str">
        <f t="shared" si="401"/>
        <v>Boots</v>
      </c>
    </row>
    <row r="249" ht="12.75" customHeight="1">
      <c r="B249" s="70" t="s">
        <v>3252</v>
      </c>
      <c r="C249" s="58" t="s">
        <v>3292</v>
      </c>
      <c r="D249" s="58" t="s">
        <v>3545</v>
      </c>
      <c r="J249" s="70" t="str">
        <f t="shared" ref="J249:L249" si="402">LEFT(B249,LEN(B249)-LEN(RIGHT(B249,27)))</f>
        <v>Men</v>
      </c>
      <c r="K249" s="70" t="str">
        <f t="shared" si="402"/>
        <v>Shoes</v>
      </c>
      <c r="L249" s="70" t="str">
        <f t="shared" si="402"/>
        <v>Chukka Boots</v>
      </c>
    </row>
    <row r="250" ht="12.75" customHeight="1">
      <c r="B250" s="70" t="s">
        <v>3252</v>
      </c>
      <c r="C250" s="58" t="s">
        <v>3292</v>
      </c>
      <c r="D250" s="58" t="s">
        <v>3546</v>
      </c>
      <c r="J250" s="70" t="str">
        <f t="shared" ref="J250:L250" si="403">LEFT(B250,LEN(B250)-LEN(RIGHT(B250,27)))</f>
        <v>Men</v>
      </c>
      <c r="K250" s="70" t="str">
        <f t="shared" si="403"/>
        <v>Shoes</v>
      </c>
      <c r="L250" s="70" t="str">
        <f t="shared" si="403"/>
        <v>Cowboy &amp; Western Boots</v>
      </c>
    </row>
    <row r="251" ht="12.75" customHeight="1">
      <c r="B251" s="70" t="s">
        <v>3252</v>
      </c>
      <c r="C251" s="58" t="s">
        <v>3292</v>
      </c>
      <c r="D251" s="58" t="s">
        <v>3547</v>
      </c>
      <c r="J251" s="70" t="str">
        <f t="shared" ref="J251:L251" si="404">LEFT(B251,LEN(B251)-LEN(RIGHT(B251,27)))</f>
        <v>Men</v>
      </c>
      <c r="K251" s="70" t="str">
        <f t="shared" si="404"/>
        <v>Shoes</v>
      </c>
      <c r="L251" s="70" t="str">
        <f t="shared" si="404"/>
        <v>Loafers &amp; Slip-Ons</v>
      </c>
    </row>
    <row r="252" ht="12.75" customHeight="1">
      <c r="B252" s="70" t="s">
        <v>3252</v>
      </c>
      <c r="C252" s="58" t="s">
        <v>3292</v>
      </c>
      <c r="D252" s="58" t="s">
        <v>3548</v>
      </c>
      <c r="J252" s="70" t="str">
        <f t="shared" ref="J252:L252" si="405">LEFT(B252,LEN(B252)-LEN(RIGHT(B252,27)))</f>
        <v>Men</v>
      </c>
      <c r="K252" s="70" t="str">
        <f t="shared" si="405"/>
        <v>Shoes</v>
      </c>
      <c r="L252" s="70" t="str">
        <f t="shared" si="405"/>
        <v>Oxfords &amp; Derbys</v>
      </c>
    </row>
    <row r="253" ht="12.75" customHeight="1">
      <c r="B253" s="70" t="s">
        <v>3252</v>
      </c>
      <c r="C253" s="58" t="s">
        <v>3292</v>
      </c>
      <c r="D253" s="58" t="s">
        <v>3549</v>
      </c>
      <c r="J253" s="70" t="str">
        <f t="shared" ref="J253:L253" si="406">LEFT(B253,LEN(B253)-LEN(RIGHT(B253,27)))</f>
        <v>Men</v>
      </c>
      <c r="K253" s="70" t="str">
        <f t="shared" si="406"/>
        <v>Shoes</v>
      </c>
      <c r="L253" s="70" t="str">
        <f t="shared" si="406"/>
        <v>Rain &amp; Snow Boots</v>
      </c>
    </row>
    <row r="254" ht="12.75" customHeight="1">
      <c r="B254" s="70" t="s">
        <v>3252</v>
      </c>
      <c r="C254" s="58" t="s">
        <v>3292</v>
      </c>
      <c r="D254" s="58" t="s">
        <v>3550</v>
      </c>
      <c r="J254" s="70" t="str">
        <f t="shared" ref="J254:L254" si="407">LEFT(B254,LEN(B254)-LEN(RIGHT(B254,27)))</f>
        <v>Men</v>
      </c>
      <c r="K254" s="70" t="str">
        <f t="shared" si="407"/>
        <v>Shoes</v>
      </c>
      <c r="L254" s="70" t="str">
        <f t="shared" si="407"/>
        <v>Sandals &amp; Flip-Flops</v>
      </c>
    </row>
    <row r="255" ht="12.75" customHeight="1">
      <c r="B255" s="70" t="s">
        <v>3252</v>
      </c>
      <c r="C255" s="58" t="s">
        <v>3292</v>
      </c>
      <c r="D255" s="58" t="s">
        <v>3551</v>
      </c>
      <c r="J255" s="70" t="str">
        <f t="shared" ref="J255:L255" si="408">LEFT(B255,LEN(B255)-LEN(RIGHT(B255,27)))</f>
        <v>Men</v>
      </c>
      <c r="K255" s="70" t="str">
        <f t="shared" si="408"/>
        <v>Shoes</v>
      </c>
      <c r="L255" s="70" t="str">
        <f t="shared" si="408"/>
        <v>Sneakers</v>
      </c>
    </row>
    <row r="256" ht="12.75" customHeight="1">
      <c r="B256" s="70" t="s">
        <v>3252</v>
      </c>
      <c r="C256" s="58" t="s">
        <v>3294</v>
      </c>
      <c r="D256" s="58" t="s">
        <v>3552</v>
      </c>
      <c r="J256" s="70" t="str">
        <f t="shared" ref="J256:L256" si="409">LEFT(B256,LEN(B256)-LEN(RIGHT(B256,27)))</f>
        <v>Men</v>
      </c>
      <c r="K256" s="70" t="str">
        <f t="shared" si="409"/>
        <v>Shorts</v>
      </c>
      <c r="L256" s="70" t="str">
        <f t="shared" si="409"/>
        <v>Athletic</v>
      </c>
    </row>
    <row r="257" ht="12.75" customHeight="1">
      <c r="B257" s="70" t="s">
        <v>3252</v>
      </c>
      <c r="C257" s="58" t="s">
        <v>3294</v>
      </c>
      <c r="D257" s="58" t="s">
        <v>3553</v>
      </c>
      <c r="J257" s="70" t="str">
        <f t="shared" ref="J257:L257" si="410">LEFT(B257,LEN(B257)-LEN(RIGHT(B257,27)))</f>
        <v>Men</v>
      </c>
      <c r="K257" s="70" t="str">
        <f t="shared" si="410"/>
        <v>Shorts</v>
      </c>
      <c r="L257" s="70" t="str">
        <f t="shared" si="410"/>
        <v>Cargo</v>
      </c>
    </row>
    <row r="258" ht="12.75" customHeight="1">
      <c r="B258" s="70" t="s">
        <v>3252</v>
      </c>
      <c r="C258" s="58" t="s">
        <v>3294</v>
      </c>
      <c r="D258" s="58" t="s">
        <v>3554</v>
      </c>
      <c r="J258" s="70" t="str">
        <f t="shared" ref="J258:L258" si="411">LEFT(B258,LEN(B258)-LEN(RIGHT(B258,27)))</f>
        <v>Men</v>
      </c>
      <c r="K258" s="70" t="str">
        <f t="shared" si="411"/>
        <v>Shorts</v>
      </c>
      <c r="L258" s="70" t="str">
        <f t="shared" si="411"/>
        <v>Flat Front</v>
      </c>
    </row>
    <row r="259" ht="12.75" customHeight="1">
      <c r="B259" s="70" t="s">
        <v>3252</v>
      </c>
      <c r="C259" s="58" t="s">
        <v>3294</v>
      </c>
      <c r="D259" s="58" t="s">
        <v>3555</v>
      </c>
      <c r="J259" s="70" t="str">
        <f t="shared" ref="J259:L259" si="412">LEFT(B259,LEN(B259)-LEN(RIGHT(B259,27)))</f>
        <v>Men</v>
      </c>
      <c r="K259" s="70" t="str">
        <f t="shared" si="412"/>
        <v>Shorts</v>
      </c>
      <c r="L259" s="70" t="str">
        <f t="shared" si="412"/>
        <v>Hybrids</v>
      </c>
    </row>
    <row r="260" ht="12.75" customHeight="1">
      <c r="B260" s="70" t="s">
        <v>3252</v>
      </c>
      <c r="C260" s="58" t="s">
        <v>3294</v>
      </c>
      <c r="D260" s="58" t="s">
        <v>3556</v>
      </c>
      <c r="J260" s="70" t="str">
        <f t="shared" ref="J260:L260" si="413">LEFT(B260,LEN(B260)-LEN(RIGHT(B260,27)))</f>
        <v>Men</v>
      </c>
      <c r="K260" s="70" t="str">
        <f t="shared" si="413"/>
        <v>Shorts</v>
      </c>
      <c r="L260" s="70" t="str">
        <f t="shared" si="413"/>
        <v>Jean Shorts</v>
      </c>
    </row>
    <row r="261" ht="12.75" customHeight="1">
      <c r="B261" s="70" t="s">
        <v>3252</v>
      </c>
      <c r="C261" s="58" t="s">
        <v>3296</v>
      </c>
      <c r="D261" s="58" t="s">
        <v>3557</v>
      </c>
      <c r="J261" s="70" t="str">
        <f t="shared" ref="J261:L261" si="414">LEFT(B261,LEN(B261)-LEN(RIGHT(B261,27)))</f>
        <v>Men</v>
      </c>
      <c r="K261" s="70" t="str">
        <f t="shared" si="414"/>
        <v>Suits &amp; Blazers</v>
      </c>
      <c r="L261" s="70" t="str">
        <f t="shared" si="414"/>
        <v>Sport Coats &amp; Blazers</v>
      </c>
    </row>
    <row r="262" ht="12.75" customHeight="1">
      <c r="B262" s="70" t="s">
        <v>3252</v>
      </c>
      <c r="C262" s="58" t="s">
        <v>3296</v>
      </c>
      <c r="D262" s="58" t="s">
        <v>3558</v>
      </c>
      <c r="J262" s="70" t="str">
        <f t="shared" ref="J262:L262" si="415">LEFT(B262,LEN(B262)-LEN(RIGHT(B262,27)))</f>
        <v>Men</v>
      </c>
      <c r="K262" s="70" t="str">
        <f t="shared" si="415"/>
        <v>Suits &amp; Blazers</v>
      </c>
      <c r="L262" s="70" t="str">
        <f t="shared" si="415"/>
        <v>Suits</v>
      </c>
    </row>
    <row r="263" ht="12.75" customHeight="1">
      <c r="B263" s="70" t="s">
        <v>3252</v>
      </c>
      <c r="C263" s="58" t="s">
        <v>3296</v>
      </c>
      <c r="D263" s="58" t="s">
        <v>3559</v>
      </c>
      <c r="J263" s="70" t="str">
        <f t="shared" ref="J263:L263" si="416">LEFT(B263,LEN(B263)-LEN(RIGHT(B263,27)))</f>
        <v>Men</v>
      </c>
      <c r="K263" s="70" t="str">
        <f t="shared" si="416"/>
        <v>Suits &amp; Blazers</v>
      </c>
      <c r="L263" s="70" t="str">
        <f t="shared" si="416"/>
        <v>Tuxedos</v>
      </c>
    </row>
    <row r="264" ht="12.75" customHeight="1">
      <c r="B264" s="70" t="s">
        <v>3252</v>
      </c>
      <c r="C264" s="58" t="s">
        <v>3296</v>
      </c>
      <c r="D264" s="58" t="s">
        <v>3560</v>
      </c>
      <c r="J264" s="70" t="str">
        <f t="shared" ref="J264:L264" si="417">LEFT(B264,LEN(B264)-LEN(RIGHT(B264,27)))</f>
        <v>Men</v>
      </c>
      <c r="K264" s="70" t="str">
        <f t="shared" si="417"/>
        <v>Suits &amp; Blazers</v>
      </c>
      <c r="L264" s="70" t="str">
        <f t="shared" si="417"/>
        <v>Vests</v>
      </c>
    </row>
    <row r="265" ht="12.75" customHeight="1">
      <c r="B265" s="70" t="s">
        <v>3252</v>
      </c>
      <c r="C265" s="58" t="s">
        <v>3298</v>
      </c>
      <c r="D265" s="58" t="s">
        <v>3561</v>
      </c>
      <c r="J265" s="70" t="str">
        <f t="shared" ref="J265:L265" si="418">LEFT(B265,LEN(B265)-LEN(RIGHT(B265,27)))</f>
        <v>Men</v>
      </c>
      <c r="K265" s="70" t="str">
        <f t="shared" si="418"/>
        <v>Sweaters</v>
      </c>
      <c r="L265" s="70" t="str">
        <f t="shared" si="418"/>
        <v>Cardigan</v>
      </c>
    </row>
    <row r="266" ht="12.75" customHeight="1">
      <c r="B266" s="70" t="s">
        <v>3252</v>
      </c>
      <c r="C266" s="58" t="s">
        <v>3298</v>
      </c>
      <c r="D266" s="58" t="s">
        <v>3562</v>
      </c>
      <c r="J266" s="70" t="str">
        <f t="shared" ref="J266:L266" si="419">LEFT(B266,LEN(B266)-LEN(RIGHT(B266,27)))</f>
        <v>Men</v>
      </c>
      <c r="K266" s="70" t="str">
        <f t="shared" si="419"/>
        <v>Sweaters</v>
      </c>
      <c r="L266" s="70" t="str">
        <f t="shared" si="419"/>
        <v>Crewneck</v>
      </c>
    </row>
    <row r="267" ht="12.75" customHeight="1">
      <c r="B267" s="70" t="s">
        <v>3252</v>
      </c>
      <c r="C267" s="58" t="s">
        <v>3298</v>
      </c>
      <c r="D267" s="58" t="s">
        <v>3563</v>
      </c>
      <c r="J267" s="70" t="str">
        <f t="shared" ref="J267:L267" si="420">LEFT(B267,LEN(B267)-LEN(RIGHT(B267,27)))</f>
        <v>Men</v>
      </c>
      <c r="K267" s="70" t="str">
        <f t="shared" si="420"/>
        <v>Sweaters</v>
      </c>
      <c r="L267" s="70" t="str">
        <f t="shared" si="420"/>
        <v>Turtleneck</v>
      </c>
    </row>
    <row r="268" ht="12.75" customHeight="1">
      <c r="B268" s="70" t="s">
        <v>3252</v>
      </c>
      <c r="C268" s="58" t="s">
        <v>3298</v>
      </c>
      <c r="D268" s="58" t="s">
        <v>3564</v>
      </c>
      <c r="J268" s="70" t="str">
        <f t="shared" ref="J268:L268" si="421">LEFT(B268,LEN(B268)-LEN(RIGHT(B268,27)))</f>
        <v>Men</v>
      </c>
      <c r="K268" s="70" t="str">
        <f t="shared" si="421"/>
        <v>Sweaters</v>
      </c>
      <c r="L268" s="70" t="str">
        <f t="shared" si="421"/>
        <v>V-Neck</v>
      </c>
    </row>
    <row r="269" ht="12.75" customHeight="1">
      <c r="B269" s="70" t="s">
        <v>3252</v>
      </c>
      <c r="C269" s="58" t="s">
        <v>3298</v>
      </c>
      <c r="D269" s="58" t="s">
        <v>3565</v>
      </c>
      <c r="J269" s="70" t="str">
        <f t="shared" ref="J269:L269" si="422">LEFT(B269,LEN(B269)-LEN(RIGHT(B269,27)))</f>
        <v>Men</v>
      </c>
      <c r="K269" s="70" t="str">
        <f t="shared" si="422"/>
        <v>Sweaters</v>
      </c>
      <c r="L269" s="70" t="str">
        <f t="shared" si="422"/>
        <v>Zip Up</v>
      </c>
    </row>
    <row r="270" ht="12.75" customHeight="1">
      <c r="B270" s="70" t="s">
        <v>3252</v>
      </c>
      <c r="C270" s="58" t="s">
        <v>3300</v>
      </c>
      <c r="D270" s="58" t="s">
        <v>3566</v>
      </c>
      <c r="J270" s="70" t="str">
        <f t="shared" ref="J270:L270" si="423">LEFT(B270,LEN(B270)-LEN(RIGHT(B270,27)))</f>
        <v>Men</v>
      </c>
      <c r="K270" s="70" t="str">
        <f t="shared" si="423"/>
        <v>Swim</v>
      </c>
      <c r="L270" s="70" t="str">
        <f t="shared" si="423"/>
        <v>Board Shorts</v>
      </c>
    </row>
    <row r="271" ht="12.75" customHeight="1">
      <c r="B271" s="70" t="s">
        <v>3252</v>
      </c>
      <c r="C271" s="58" t="s">
        <v>3300</v>
      </c>
      <c r="D271" s="58" t="s">
        <v>3567</v>
      </c>
      <c r="J271" s="70" t="str">
        <f t="shared" ref="J271:L271" si="424">LEFT(B271,LEN(B271)-LEN(RIGHT(B271,27)))</f>
        <v>Men</v>
      </c>
      <c r="K271" s="70" t="str">
        <f t="shared" si="424"/>
        <v>Swim</v>
      </c>
      <c r="L271" s="70" t="str">
        <f t="shared" si="424"/>
        <v>Hybrids</v>
      </c>
    </row>
    <row r="272" ht="12.75" customHeight="1">
      <c r="B272" s="70" t="s">
        <v>3252</v>
      </c>
      <c r="C272" s="58" t="s">
        <v>3300</v>
      </c>
      <c r="D272" s="58" t="s">
        <v>3568</v>
      </c>
      <c r="J272" s="70" t="str">
        <f t="shared" ref="J272:L272" si="425">LEFT(B272,LEN(B272)-LEN(RIGHT(B272,27)))</f>
        <v>Men</v>
      </c>
      <c r="K272" s="70" t="str">
        <f t="shared" si="425"/>
        <v>Swim</v>
      </c>
      <c r="L272" s="70" t="str">
        <f t="shared" si="425"/>
        <v>Rash Guards</v>
      </c>
    </row>
    <row r="273" ht="12.75" customHeight="1">
      <c r="B273" s="70" t="s">
        <v>3252</v>
      </c>
      <c r="C273" s="58" t="s">
        <v>3300</v>
      </c>
      <c r="D273" s="58" t="s">
        <v>3569</v>
      </c>
      <c r="J273" s="70" t="str">
        <f t="shared" ref="J273:L273" si="426">LEFT(B273,LEN(B273)-LEN(RIGHT(B273,27)))</f>
        <v>Men</v>
      </c>
      <c r="K273" s="70" t="str">
        <f t="shared" si="426"/>
        <v>Swim</v>
      </c>
      <c r="L273" s="70" t="str">
        <f t="shared" si="426"/>
        <v>Swim Trunks</v>
      </c>
    </row>
    <row r="274" ht="12.75" customHeight="1">
      <c r="B274" s="70" t="s">
        <v>3252</v>
      </c>
      <c r="C274" s="58" t="s">
        <v>3302</v>
      </c>
      <c r="D274" s="58" t="s">
        <v>3570</v>
      </c>
      <c r="J274" s="70" t="str">
        <f t="shared" ref="J274:L274" si="427">LEFT(B274,LEN(B274)-LEN(RIGHT(B274,27)))</f>
        <v>Men</v>
      </c>
      <c r="K274" s="70" t="str">
        <f t="shared" si="427"/>
        <v>Underwear &amp; Socks</v>
      </c>
      <c r="L274" s="70" t="str">
        <f t="shared" si="427"/>
        <v>Athletic Socks</v>
      </c>
    </row>
    <row r="275" ht="12.75" customHeight="1">
      <c r="B275" s="70" t="s">
        <v>3252</v>
      </c>
      <c r="C275" s="58" t="s">
        <v>3302</v>
      </c>
      <c r="D275" s="58" t="s">
        <v>3571</v>
      </c>
      <c r="J275" s="70" t="str">
        <f t="shared" ref="J275:L275" si="428">LEFT(B275,LEN(B275)-LEN(RIGHT(B275,27)))</f>
        <v>Men</v>
      </c>
      <c r="K275" s="70" t="str">
        <f t="shared" si="428"/>
        <v>Underwear &amp; Socks</v>
      </c>
      <c r="L275" s="70" t="str">
        <f t="shared" si="428"/>
        <v>Boxer Briefs</v>
      </c>
    </row>
    <row r="276" ht="12.75" customHeight="1">
      <c r="B276" s="70" t="s">
        <v>3252</v>
      </c>
      <c r="C276" s="58" t="s">
        <v>3302</v>
      </c>
      <c r="D276" s="58" t="s">
        <v>3572</v>
      </c>
      <c r="J276" s="70" t="str">
        <f t="shared" ref="J276:L276" si="429">LEFT(B276,LEN(B276)-LEN(RIGHT(B276,27)))</f>
        <v>Men</v>
      </c>
      <c r="K276" s="70" t="str">
        <f t="shared" si="429"/>
        <v>Underwear &amp; Socks</v>
      </c>
      <c r="L276" s="70" t="str">
        <f t="shared" si="429"/>
        <v>Boxers</v>
      </c>
    </row>
    <row r="277" ht="12.75" customHeight="1">
      <c r="B277" s="70" t="s">
        <v>3252</v>
      </c>
      <c r="C277" s="58" t="s">
        <v>3302</v>
      </c>
      <c r="D277" s="58" t="s">
        <v>3573</v>
      </c>
      <c r="J277" s="70" t="str">
        <f t="shared" ref="J277:L277" si="430">LEFT(B277,LEN(B277)-LEN(RIGHT(B277,27)))</f>
        <v>Men</v>
      </c>
      <c r="K277" s="70" t="str">
        <f t="shared" si="430"/>
        <v>Underwear &amp; Socks</v>
      </c>
      <c r="L277" s="70" t="str">
        <f t="shared" si="430"/>
        <v>Briefs</v>
      </c>
    </row>
    <row r="278" ht="12.75" customHeight="1">
      <c r="B278" s="70" t="s">
        <v>3252</v>
      </c>
      <c r="C278" s="58" t="s">
        <v>3302</v>
      </c>
      <c r="D278" s="58" t="s">
        <v>3574</v>
      </c>
      <c r="J278" s="70" t="str">
        <f t="shared" ref="J278:L278" si="431">LEFT(B278,LEN(B278)-LEN(RIGHT(B278,27)))</f>
        <v>Men</v>
      </c>
      <c r="K278" s="70" t="str">
        <f t="shared" si="431"/>
        <v>Underwear &amp; Socks</v>
      </c>
      <c r="L278" s="70" t="str">
        <f t="shared" si="431"/>
        <v>Casual Socks</v>
      </c>
    </row>
    <row r="279" ht="12.75" customHeight="1">
      <c r="B279" s="70" t="s">
        <v>3252</v>
      </c>
      <c r="C279" s="58" t="s">
        <v>3302</v>
      </c>
      <c r="D279" s="58" t="s">
        <v>3575</v>
      </c>
      <c r="J279" s="70" t="str">
        <f t="shared" ref="J279:L279" si="432">LEFT(B279,LEN(B279)-LEN(RIGHT(B279,27)))</f>
        <v>Men</v>
      </c>
      <c r="K279" s="70" t="str">
        <f t="shared" si="432"/>
        <v>Underwear &amp; Socks</v>
      </c>
      <c r="L279" s="70" t="str">
        <f t="shared" si="432"/>
        <v>Dress Socks</v>
      </c>
    </row>
    <row r="280" ht="12.75" customHeight="1">
      <c r="B280" s="70" t="s">
        <v>3252</v>
      </c>
      <c r="C280" s="58" t="s">
        <v>3302</v>
      </c>
      <c r="D280" s="58" t="s">
        <v>3576</v>
      </c>
      <c r="J280" s="70" t="str">
        <f t="shared" ref="J280:L280" si="433">LEFT(B280,LEN(B280)-LEN(RIGHT(B280,27)))</f>
        <v>Men</v>
      </c>
      <c r="K280" s="70" t="str">
        <f t="shared" si="433"/>
        <v>Underwear &amp; Socks</v>
      </c>
      <c r="L280" s="70" t="str">
        <f t="shared" si="433"/>
        <v>Undershirts</v>
      </c>
    </row>
    <row r="281" ht="12.75" customHeight="1">
      <c r="B281" s="70" t="s">
        <v>3252</v>
      </c>
      <c r="C281" s="58" t="s">
        <v>3304</v>
      </c>
      <c r="D281" s="58" t="s">
        <v>3577</v>
      </c>
      <c r="J281" s="70" t="str">
        <f t="shared" ref="J281:L281" si="434">LEFT(B281,LEN(B281)-LEN(RIGHT(B281,27)))</f>
        <v>Men</v>
      </c>
      <c r="K281" s="70" t="str">
        <f t="shared" si="434"/>
        <v>Grooming</v>
      </c>
      <c r="L281" s="70" t="str">
        <f t="shared" si="434"/>
        <v>Cleanser</v>
      </c>
    </row>
    <row r="282" ht="12.75" customHeight="1">
      <c r="B282" s="70" t="s">
        <v>3252</v>
      </c>
      <c r="C282" s="58" t="s">
        <v>3304</v>
      </c>
      <c r="D282" s="58" t="s">
        <v>3578</v>
      </c>
      <c r="J282" s="70" t="str">
        <f t="shared" ref="J282:L282" si="435">LEFT(B282,LEN(B282)-LEN(RIGHT(B282,27)))</f>
        <v>Men</v>
      </c>
      <c r="K282" s="70" t="str">
        <f t="shared" si="435"/>
        <v>Grooming</v>
      </c>
      <c r="L282" s="70" t="str">
        <f t="shared" si="435"/>
        <v>Grooming Tools</v>
      </c>
    </row>
    <row r="283" ht="12.75" customHeight="1">
      <c r="B283" s="70" t="s">
        <v>3252</v>
      </c>
      <c r="C283" s="58" t="s">
        <v>3304</v>
      </c>
      <c r="D283" s="58" t="s">
        <v>3579</v>
      </c>
      <c r="J283" s="70" t="str">
        <f t="shared" ref="J283:L283" si="436">LEFT(B283,LEN(B283)-LEN(RIGHT(B283,27)))</f>
        <v>Men</v>
      </c>
      <c r="K283" s="70" t="str">
        <f t="shared" si="436"/>
        <v>Grooming</v>
      </c>
      <c r="L283" s="70" t="str">
        <f t="shared" si="436"/>
        <v>Hair Care</v>
      </c>
    </row>
    <row r="284" ht="12.75" customHeight="1">
      <c r="B284" s="70" t="s">
        <v>3252</v>
      </c>
      <c r="C284" s="58" t="s">
        <v>3304</v>
      </c>
      <c r="D284" s="58" t="s">
        <v>3580</v>
      </c>
      <c r="J284" s="70" t="str">
        <f t="shared" ref="J284:L284" si="437">LEFT(B284,LEN(B284)-LEN(RIGHT(B284,27)))</f>
        <v>Men</v>
      </c>
      <c r="K284" s="70" t="str">
        <f t="shared" si="437"/>
        <v>Grooming</v>
      </c>
      <c r="L284" s="70" t="str">
        <f t="shared" si="437"/>
        <v>Moisturizer</v>
      </c>
    </row>
    <row r="285" ht="12.75" customHeight="1">
      <c r="B285" s="70" t="s">
        <v>3252</v>
      </c>
      <c r="C285" s="58" t="s">
        <v>3304</v>
      </c>
      <c r="D285" s="58" t="s">
        <v>3581</v>
      </c>
      <c r="J285" s="70" t="str">
        <f t="shared" ref="J285:L285" si="438">LEFT(B285,LEN(B285)-LEN(RIGHT(B285,27)))</f>
        <v>Men</v>
      </c>
      <c r="K285" s="70" t="str">
        <f t="shared" si="438"/>
        <v>Grooming</v>
      </c>
      <c r="L285" s="70" t="str">
        <f t="shared" si="438"/>
        <v>Shaving</v>
      </c>
    </row>
    <row r="286" ht="12.75" customHeight="1">
      <c r="B286" s="70" t="s">
        <v>3252</v>
      </c>
      <c r="C286" s="58" t="s">
        <v>3304</v>
      </c>
      <c r="D286" s="58" t="s">
        <v>3582</v>
      </c>
      <c r="J286" s="70" t="str">
        <f t="shared" ref="J286:L286" si="439">LEFT(B286,LEN(B286)-LEN(RIGHT(B286,27)))</f>
        <v>Men</v>
      </c>
      <c r="K286" s="70" t="str">
        <f t="shared" si="439"/>
        <v>Grooming</v>
      </c>
      <c r="L286" s="70" t="str">
        <f t="shared" si="439"/>
        <v>Suncare</v>
      </c>
    </row>
    <row r="287" ht="12.75" customHeight="1">
      <c r="B287" s="70" t="s">
        <v>3252</v>
      </c>
      <c r="C287" s="58" t="s">
        <v>3304</v>
      </c>
      <c r="D287" s="58" t="s">
        <v>3583</v>
      </c>
      <c r="J287" s="70" t="str">
        <f t="shared" ref="J287:L287" si="440">LEFT(B287,LEN(B287)-LEN(RIGHT(B287,27)))</f>
        <v>Men</v>
      </c>
      <c r="K287" s="70" t="str">
        <f t="shared" si="440"/>
        <v>Grooming</v>
      </c>
      <c r="L287" s="70" t="str">
        <f t="shared" si="440"/>
        <v>Treatments</v>
      </c>
    </row>
    <row r="288" ht="12.75" customHeight="1">
      <c r="B288" s="70" t="s">
        <v>3309</v>
      </c>
      <c r="C288" s="58" t="s">
        <v>3308</v>
      </c>
      <c r="D288" s="58" t="s">
        <v>3584</v>
      </c>
      <c r="J288" s="70" t="str">
        <f t="shared" ref="J288:L288" si="441">LEFT(B288,LEN(B288)-LEN(RIGHT(B288,27)))</f>
        <v>Kids</v>
      </c>
      <c r="K288" s="70" t="str">
        <f t="shared" si="441"/>
        <v>Accessories</v>
      </c>
      <c r="L288" s="70" t="str">
        <f t="shared" si="441"/>
        <v>Bags</v>
      </c>
    </row>
    <row r="289" ht="12.75" customHeight="1">
      <c r="B289" s="70" t="s">
        <v>3309</v>
      </c>
      <c r="C289" s="58" t="s">
        <v>3308</v>
      </c>
      <c r="D289" s="58" t="s">
        <v>3585</v>
      </c>
      <c r="J289" s="70" t="str">
        <f t="shared" ref="J289:L289" si="442">LEFT(B289,LEN(B289)-LEN(RIGHT(B289,27)))</f>
        <v>Kids</v>
      </c>
      <c r="K289" s="70" t="str">
        <f t="shared" si="442"/>
        <v>Accessories</v>
      </c>
      <c r="L289" s="70" t="str">
        <f t="shared" si="442"/>
        <v>Belts</v>
      </c>
    </row>
    <row r="290" ht="12.75" customHeight="1">
      <c r="B290" s="70" t="s">
        <v>3309</v>
      </c>
      <c r="C290" s="58" t="s">
        <v>3308</v>
      </c>
      <c r="D290" s="58" t="s">
        <v>3586</v>
      </c>
      <c r="J290" s="70" t="str">
        <f t="shared" ref="J290:L290" si="443">LEFT(B290,LEN(B290)-LEN(RIGHT(B290,27)))</f>
        <v>Kids</v>
      </c>
      <c r="K290" s="70" t="str">
        <f t="shared" si="443"/>
        <v>Accessories</v>
      </c>
      <c r="L290" s="70" t="str">
        <f t="shared" si="443"/>
        <v>Bibs</v>
      </c>
    </row>
    <row r="291" ht="12.75" customHeight="1">
      <c r="B291" s="70" t="s">
        <v>3309</v>
      </c>
      <c r="C291" s="58" t="s">
        <v>3308</v>
      </c>
      <c r="D291" s="58" t="s">
        <v>3587</v>
      </c>
      <c r="J291" s="70" t="str">
        <f t="shared" ref="J291:L291" si="444">LEFT(B291,LEN(B291)-LEN(RIGHT(B291,27)))</f>
        <v>Kids</v>
      </c>
      <c r="K291" s="70" t="str">
        <f t="shared" si="444"/>
        <v>Accessories</v>
      </c>
      <c r="L291" s="70" t="str">
        <f t="shared" si="444"/>
        <v>Diaper Covers</v>
      </c>
    </row>
    <row r="292" ht="12.75" customHeight="1">
      <c r="B292" s="70" t="s">
        <v>3309</v>
      </c>
      <c r="C292" s="58" t="s">
        <v>3308</v>
      </c>
      <c r="D292" s="58" t="s">
        <v>3588</v>
      </c>
      <c r="J292" s="70" t="str">
        <f t="shared" ref="J292:L292" si="445">LEFT(B292,LEN(B292)-LEN(RIGHT(B292,27)))</f>
        <v>Kids</v>
      </c>
      <c r="K292" s="70" t="str">
        <f t="shared" si="445"/>
        <v>Accessories</v>
      </c>
      <c r="L292" s="70" t="str">
        <f t="shared" si="445"/>
        <v>Face Masks</v>
      </c>
    </row>
    <row r="293" ht="12.75" customHeight="1">
      <c r="B293" s="70" t="s">
        <v>3309</v>
      </c>
      <c r="C293" s="58" t="s">
        <v>3308</v>
      </c>
      <c r="D293" s="58" t="s">
        <v>3589</v>
      </c>
      <c r="J293" s="70" t="str">
        <f t="shared" ref="J293:L293" si="446">LEFT(B293,LEN(B293)-LEN(RIGHT(B293,27)))</f>
        <v>Kids</v>
      </c>
      <c r="K293" s="70" t="str">
        <f t="shared" si="446"/>
        <v>Accessories</v>
      </c>
      <c r="L293" s="70" t="str">
        <f t="shared" si="446"/>
        <v>Hair Accessories</v>
      </c>
    </row>
    <row r="294" ht="12.75" customHeight="1">
      <c r="B294" s="70" t="s">
        <v>3309</v>
      </c>
      <c r="C294" s="58" t="s">
        <v>3308</v>
      </c>
      <c r="D294" s="58" t="s">
        <v>3590</v>
      </c>
      <c r="J294" s="70" t="str">
        <f t="shared" ref="J294:L294" si="447">LEFT(B294,LEN(B294)-LEN(RIGHT(B294,27)))</f>
        <v>Kids</v>
      </c>
      <c r="K294" s="70" t="str">
        <f t="shared" si="447"/>
        <v>Accessories</v>
      </c>
      <c r="L294" s="70" t="str">
        <f t="shared" si="447"/>
        <v>Hats</v>
      </c>
    </row>
    <row r="295" ht="12.75" customHeight="1">
      <c r="B295" s="70" t="s">
        <v>3309</v>
      </c>
      <c r="C295" s="58" t="s">
        <v>3308</v>
      </c>
      <c r="D295" s="58" t="s">
        <v>3591</v>
      </c>
      <c r="J295" s="70" t="str">
        <f t="shared" ref="J295:L295" si="448">LEFT(B295,LEN(B295)-LEN(RIGHT(B295,27)))</f>
        <v>Kids</v>
      </c>
      <c r="K295" s="70" t="str">
        <f t="shared" si="448"/>
        <v>Accessories</v>
      </c>
      <c r="L295" s="70" t="str">
        <f t="shared" si="448"/>
        <v>Jewelry</v>
      </c>
    </row>
    <row r="296" ht="12.75" customHeight="1">
      <c r="B296" s="70" t="s">
        <v>3309</v>
      </c>
      <c r="C296" s="58" t="s">
        <v>3308</v>
      </c>
      <c r="D296" s="58" t="s">
        <v>3592</v>
      </c>
      <c r="J296" s="70" t="str">
        <f t="shared" ref="J296:L296" si="449">LEFT(B296,LEN(B296)-LEN(RIGHT(B296,27)))</f>
        <v>Kids</v>
      </c>
      <c r="K296" s="70" t="str">
        <f t="shared" si="449"/>
        <v>Accessories</v>
      </c>
      <c r="L296" s="70" t="str">
        <f t="shared" si="449"/>
        <v>Mittens</v>
      </c>
    </row>
    <row r="297" ht="12.75" customHeight="1">
      <c r="B297" s="70" t="s">
        <v>3309</v>
      </c>
      <c r="C297" s="58" t="s">
        <v>3308</v>
      </c>
      <c r="D297" s="58" t="s">
        <v>3593</v>
      </c>
      <c r="J297" s="70" t="str">
        <f t="shared" ref="J297:L297" si="450">LEFT(B297,LEN(B297)-LEN(RIGHT(B297,27)))</f>
        <v>Kids</v>
      </c>
      <c r="K297" s="70" t="str">
        <f t="shared" si="450"/>
        <v>Accessories</v>
      </c>
      <c r="L297" s="70" t="str">
        <f t="shared" si="450"/>
        <v>Socks &amp; Tights</v>
      </c>
    </row>
    <row r="298" ht="12.75" customHeight="1">
      <c r="B298" s="70" t="s">
        <v>3309</v>
      </c>
      <c r="C298" s="58" t="s">
        <v>3308</v>
      </c>
      <c r="D298" s="58" t="s">
        <v>3594</v>
      </c>
      <c r="J298" s="70" t="str">
        <f t="shared" ref="J298:L298" si="451">LEFT(B298,LEN(B298)-LEN(RIGHT(B298,27)))</f>
        <v>Kids</v>
      </c>
      <c r="K298" s="70" t="str">
        <f t="shared" si="451"/>
        <v>Accessories</v>
      </c>
      <c r="L298" s="70" t="str">
        <f t="shared" si="451"/>
        <v>Sunglasses</v>
      </c>
    </row>
    <row r="299" ht="12.75" customHeight="1">
      <c r="B299" s="70" t="s">
        <v>3309</v>
      </c>
      <c r="C299" s="58" t="s">
        <v>3308</v>
      </c>
      <c r="D299" s="58" t="s">
        <v>3595</v>
      </c>
      <c r="J299" s="70" t="str">
        <f t="shared" ref="J299:L299" si="452">LEFT(B299,LEN(B299)-LEN(RIGHT(B299,27)))</f>
        <v>Kids</v>
      </c>
      <c r="K299" s="70" t="str">
        <f t="shared" si="452"/>
        <v>Accessories</v>
      </c>
      <c r="L299" s="70" t="str">
        <f t="shared" si="452"/>
        <v>Suspenders</v>
      </c>
    </row>
    <row r="300" ht="12.75" customHeight="1">
      <c r="B300" s="70" t="s">
        <v>3309</v>
      </c>
      <c r="C300" s="58" t="s">
        <v>3308</v>
      </c>
      <c r="D300" s="58" t="s">
        <v>3596</v>
      </c>
      <c r="J300" s="70" t="str">
        <f t="shared" ref="J300:L300" si="453">LEFT(B300,LEN(B300)-LEN(RIGHT(B300,27)))</f>
        <v>Kids</v>
      </c>
      <c r="K300" s="70" t="str">
        <f t="shared" si="453"/>
        <v>Accessories</v>
      </c>
      <c r="L300" s="70" t="str">
        <f t="shared" si="453"/>
        <v>Ties</v>
      </c>
    </row>
    <row r="301" ht="12.75" customHeight="1">
      <c r="B301" s="70" t="s">
        <v>3309</v>
      </c>
      <c r="C301" s="58" t="s">
        <v>3308</v>
      </c>
      <c r="D301" s="58" t="s">
        <v>3597</v>
      </c>
      <c r="J301" s="70" t="str">
        <f t="shared" ref="J301:L301" si="454">LEFT(B301,LEN(B301)-LEN(RIGHT(B301,27)))</f>
        <v>Kids</v>
      </c>
      <c r="K301" s="70" t="str">
        <f t="shared" si="454"/>
        <v>Accessories</v>
      </c>
      <c r="L301" s="70" t="str">
        <f t="shared" si="454"/>
        <v>Underwear</v>
      </c>
    </row>
    <row r="302" ht="12.75" customHeight="1">
      <c r="B302" s="70" t="s">
        <v>3309</v>
      </c>
      <c r="C302" s="58" t="s">
        <v>3308</v>
      </c>
      <c r="D302" s="58" t="s">
        <v>3598</v>
      </c>
      <c r="J302" s="70" t="str">
        <f t="shared" ref="J302:L302" si="455">LEFT(B302,LEN(B302)-LEN(RIGHT(B302,27)))</f>
        <v>Kids</v>
      </c>
      <c r="K302" s="70" t="str">
        <f t="shared" si="455"/>
        <v>Accessories</v>
      </c>
      <c r="L302" s="70" t="str">
        <f t="shared" si="455"/>
        <v>Watches</v>
      </c>
    </row>
    <row r="303" ht="12.75" customHeight="1">
      <c r="B303" s="70" t="s">
        <v>3309</v>
      </c>
      <c r="C303" s="58" t="s">
        <v>3311</v>
      </c>
      <c r="D303" s="58" t="s">
        <v>3599</v>
      </c>
      <c r="J303" s="70" t="str">
        <f t="shared" ref="J303:L303" si="456">LEFT(B303,LEN(B303)-LEN(RIGHT(B303,27)))</f>
        <v>Kids</v>
      </c>
      <c r="K303" s="70" t="str">
        <f t="shared" si="456"/>
        <v>Bottoms</v>
      </c>
      <c r="L303" s="70" t="str">
        <f t="shared" si="456"/>
        <v>Casual</v>
      </c>
    </row>
    <row r="304" ht="12.75" customHeight="1">
      <c r="B304" s="70" t="s">
        <v>3309</v>
      </c>
      <c r="C304" s="58" t="s">
        <v>3311</v>
      </c>
      <c r="D304" s="58" t="s">
        <v>3600</v>
      </c>
      <c r="J304" s="70" t="str">
        <f t="shared" ref="J304:L304" si="457">LEFT(B304,LEN(B304)-LEN(RIGHT(B304,27)))</f>
        <v>Kids</v>
      </c>
      <c r="K304" s="70" t="str">
        <f t="shared" si="457"/>
        <v>Bottoms</v>
      </c>
      <c r="L304" s="70" t="str">
        <f t="shared" si="457"/>
        <v>Formal</v>
      </c>
    </row>
    <row r="305" ht="12.75" customHeight="1">
      <c r="B305" s="70" t="s">
        <v>3309</v>
      </c>
      <c r="C305" s="58" t="s">
        <v>3311</v>
      </c>
      <c r="D305" s="58" t="s">
        <v>3601</v>
      </c>
      <c r="J305" s="70" t="str">
        <f t="shared" ref="J305:L305" si="458">LEFT(B305,LEN(B305)-LEN(RIGHT(B305,27)))</f>
        <v>Kids</v>
      </c>
      <c r="K305" s="70" t="str">
        <f t="shared" si="458"/>
        <v>Bottoms</v>
      </c>
      <c r="L305" s="70" t="str">
        <f t="shared" si="458"/>
        <v>Jeans</v>
      </c>
    </row>
    <row r="306" ht="12.75" customHeight="1">
      <c r="B306" s="70" t="s">
        <v>3309</v>
      </c>
      <c r="C306" s="58" t="s">
        <v>3311</v>
      </c>
      <c r="D306" s="58" t="s">
        <v>3602</v>
      </c>
      <c r="J306" s="70" t="str">
        <f t="shared" ref="J306:L306" si="459">LEFT(B306,LEN(B306)-LEN(RIGHT(B306,27)))</f>
        <v>Kids</v>
      </c>
      <c r="K306" s="70" t="str">
        <f t="shared" si="459"/>
        <v>Bottoms</v>
      </c>
      <c r="L306" s="70" t="str">
        <f t="shared" si="459"/>
        <v>Jumpsuits &amp; Rompers</v>
      </c>
    </row>
    <row r="307" ht="12.75" customHeight="1">
      <c r="B307" s="70" t="s">
        <v>3309</v>
      </c>
      <c r="C307" s="58" t="s">
        <v>3311</v>
      </c>
      <c r="D307" s="58" t="s">
        <v>3603</v>
      </c>
      <c r="J307" s="70" t="str">
        <f t="shared" ref="J307:L307" si="460">LEFT(B307,LEN(B307)-LEN(RIGHT(B307,27)))</f>
        <v>Kids</v>
      </c>
      <c r="K307" s="70" t="str">
        <f t="shared" si="460"/>
        <v>Bottoms</v>
      </c>
      <c r="L307" s="70" t="str">
        <f t="shared" si="460"/>
        <v>Leggings</v>
      </c>
    </row>
    <row r="308" ht="12.75" customHeight="1">
      <c r="B308" s="70" t="s">
        <v>3309</v>
      </c>
      <c r="C308" s="58" t="s">
        <v>3311</v>
      </c>
      <c r="D308" s="58" t="s">
        <v>3604</v>
      </c>
      <c r="J308" s="70" t="str">
        <f t="shared" ref="J308:L308" si="461">LEFT(B308,LEN(B308)-LEN(RIGHT(B308,27)))</f>
        <v>Kids</v>
      </c>
      <c r="K308" s="70" t="str">
        <f t="shared" si="461"/>
        <v>Bottoms</v>
      </c>
      <c r="L308" s="70" t="str">
        <f t="shared" si="461"/>
        <v>Overalls</v>
      </c>
    </row>
    <row r="309" ht="12.75" customHeight="1">
      <c r="B309" s="70" t="s">
        <v>3309</v>
      </c>
      <c r="C309" s="58" t="s">
        <v>3311</v>
      </c>
      <c r="D309" s="58" t="s">
        <v>3605</v>
      </c>
      <c r="J309" s="70" t="str">
        <f t="shared" ref="J309:L309" si="462">LEFT(B309,LEN(B309)-LEN(RIGHT(B309,27)))</f>
        <v>Kids</v>
      </c>
      <c r="K309" s="70" t="str">
        <f t="shared" si="462"/>
        <v>Bottoms</v>
      </c>
      <c r="L309" s="70" t="str">
        <f t="shared" si="462"/>
        <v>Shorts</v>
      </c>
    </row>
    <row r="310" ht="12.75" customHeight="1">
      <c r="B310" s="70" t="s">
        <v>3309</v>
      </c>
      <c r="C310" s="58" t="s">
        <v>3311</v>
      </c>
      <c r="D310" s="58" t="s">
        <v>3606</v>
      </c>
      <c r="J310" s="70" t="str">
        <f t="shared" ref="J310:L310" si="463">LEFT(B310,LEN(B310)-LEN(RIGHT(B310,27)))</f>
        <v>Kids</v>
      </c>
      <c r="K310" s="70" t="str">
        <f t="shared" si="463"/>
        <v>Bottoms</v>
      </c>
      <c r="L310" s="70" t="str">
        <f t="shared" si="463"/>
        <v>Skirts</v>
      </c>
    </row>
    <row r="311" ht="12.75" customHeight="1">
      <c r="B311" s="70" t="s">
        <v>3309</v>
      </c>
      <c r="C311" s="58" t="s">
        <v>3311</v>
      </c>
      <c r="D311" s="58" t="s">
        <v>3607</v>
      </c>
      <c r="J311" s="70" t="str">
        <f t="shared" ref="J311:L311" si="464">LEFT(B311,LEN(B311)-LEN(RIGHT(B311,27)))</f>
        <v>Kids</v>
      </c>
      <c r="K311" s="70" t="str">
        <f t="shared" si="464"/>
        <v>Bottoms</v>
      </c>
      <c r="L311" s="70" t="str">
        <f t="shared" si="464"/>
        <v>Skorts</v>
      </c>
    </row>
    <row r="312" ht="12.75" customHeight="1">
      <c r="B312" s="70" t="s">
        <v>3309</v>
      </c>
      <c r="C312" s="58" t="s">
        <v>3311</v>
      </c>
      <c r="D312" s="58" t="s">
        <v>3608</v>
      </c>
      <c r="J312" s="70" t="str">
        <f t="shared" ref="J312:L312" si="465">LEFT(B312,LEN(B312)-LEN(RIGHT(B312,27)))</f>
        <v>Kids</v>
      </c>
      <c r="K312" s="70" t="str">
        <f t="shared" si="465"/>
        <v>Bottoms</v>
      </c>
      <c r="L312" s="70" t="str">
        <f t="shared" si="465"/>
        <v>Sweatpants &amp; Joggers</v>
      </c>
    </row>
    <row r="313" ht="12.75" customHeight="1">
      <c r="B313" s="70" t="s">
        <v>3309</v>
      </c>
      <c r="C313" s="58" t="s">
        <v>3313</v>
      </c>
      <c r="D313" s="58" t="s">
        <v>3609</v>
      </c>
      <c r="J313" s="70" t="str">
        <f t="shared" ref="J313:L313" si="466">LEFT(B313,LEN(B313)-LEN(RIGHT(B313,27)))</f>
        <v>Kids</v>
      </c>
      <c r="K313" s="70" t="str">
        <f t="shared" si="466"/>
        <v>Dresses</v>
      </c>
      <c r="L313" s="70" t="str">
        <f t="shared" si="466"/>
        <v>Casual</v>
      </c>
    </row>
    <row r="314" ht="12.75" customHeight="1">
      <c r="B314" s="70" t="s">
        <v>3309</v>
      </c>
      <c r="C314" s="58" t="s">
        <v>3313</v>
      </c>
      <c r="D314" s="58" t="s">
        <v>3610</v>
      </c>
      <c r="J314" s="70" t="str">
        <f t="shared" ref="J314:L314" si="467">LEFT(B314,LEN(B314)-LEN(RIGHT(B314,27)))</f>
        <v>Kids</v>
      </c>
      <c r="K314" s="70" t="str">
        <f t="shared" si="467"/>
        <v>Dresses</v>
      </c>
      <c r="L314" s="70" t="str">
        <f t="shared" si="467"/>
        <v>Formal</v>
      </c>
    </row>
    <row r="315" ht="12.75" customHeight="1">
      <c r="B315" s="70" t="s">
        <v>3309</v>
      </c>
      <c r="C315" s="58" t="s">
        <v>3315</v>
      </c>
      <c r="D315" s="58" t="s">
        <v>3611</v>
      </c>
      <c r="J315" s="70" t="str">
        <f t="shared" ref="J315:L315" si="468">LEFT(B315,LEN(B315)-LEN(RIGHT(B315,27)))</f>
        <v>Kids</v>
      </c>
      <c r="K315" s="70" t="str">
        <f t="shared" si="468"/>
        <v>Jackets &amp; Coats</v>
      </c>
      <c r="L315" s="70" t="str">
        <f t="shared" si="468"/>
        <v>Blazers</v>
      </c>
    </row>
    <row r="316" ht="12.75" customHeight="1">
      <c r="B316" s="70" t="s">
        <v>3309</v>
      </c>
      <c r="C316" s="58" t="s">
        <v>3315</v>
      </c>
      <c r="D316" s="58" t="s">
        <v>3612</v>
      </c>
      <c r="J316" s="70" t="str">
        <f t="shared" ref="J316:L316" si="469">LEFT(B316,LEN(B316)-LEN(RIGHT(B316,27)))</f>
        <v>Kids</v>
      </c>
      <c r="K316" s="70" t="str">
        <f t="shared" si="469"/>
        <v>Jackets &amp; Coats</v>
      </c>
      <c r="L316" s="70" t="str">
        <f t="shared" si="469"/>
        <v>Capes</v>
      </c>
    </row>
    <row r="317" ht="12.75" customHeight="1">
      <c r="B317" s="70" t="s">
        <v>3309</v>
      </c>
      <c r="C317" s="58" t="s">
        <v>3315</v>
      </c>
      <c r="D317" s="58" t="s">
        <v>3613</v>
      </c>
      <c r="J317" s="70" t="str">
        <f t="shared" ref="J317:L317" si="470">LEFT(B317,LEN(B317)-LEN(RIGHT(B317,27)))</f>
        <v>Kids</v>
      </c>
      <c r="K317" s="70" t="str">
        <f t="shared" si="470"/>
        <v>Jackets &amp; Coats</v>
      </c>
      <c r="L317" s="70" t="str">
        <f t="shared" si="470"/>
        <v>Jean Jackets</v>
      </c>
    </row>
    <row r="318" ht="12.75" customHeight="1">
      <c r="B318" s="70" t="s">
        <v>3309</v>
      </c>
      <c r="C318" s="58" t="s">
        <v>3315</v>
      </c>
      <c r="D318" s="58" t="s">
        <v>3614</v>
      </c>
      <c r="J318" s="70" t="str">
        <f t="shared" ref="J318:L318" si="471">LEFT(B318,LEN(B318)-LEN(RIGHT(B318,27)))</f>
        <v>Kids</v>
      </c>
      <c r="K318" s="70" t="str">
        <f t="shared" si="471"/>
        <v>Jackets &amp; Coats</v>
      </c>
      <c r="L318" s="70" t="str">
        <f t="shared" si="471"/>
        <v>Pea Coats</v>
      </c>
    </row>
    <row r="319" ht="12.75" customHeight="1">
      <c r="B319" s="70" t="s">
        <v>3309</v>
      </c>
      <c r="C319" s="58" t="s">
        <v>3315</v>
      </c>
      <c r="D319" s="58" t="s">
        <v>3615</v>
      </c>
      <c r="J319" s="70" t="str">
        <f t="shared" ref="J319:L319" si="472">LEFT(B319,LEN(B319)-LEN(RIGHT(B319,27)))</f>
        <v>Kids</v>
      </c>
      <c r="K319" s="70" t="str">
        <f t="shared" si="472"/>
        <v>Jackets &amp; Coats</v>
      </c>
      <c r="L319" s="70" t="str">
        <f t="shared" si="472"/>
        <v>Puffers</v>
      </c>
    </row>
    <row r="320" ht="12.75" customHeight="1">
      <c r="B320" s="70" t="s">
        <v>3309</v>
      </c>
      <c r="C320" s="58" t="s">
        <v>3315</v>
      </c>
      <c r="D320" s="58" t="s">
        <v>3616</v>
      </c>
      <c r="J320" s="70" t="str">
        <f t="shared" ref="J320:L320" si="473">LEFT(B320,LEN(B320)-LEN(RIGHT(B320,27)))</f>
        <v>Kids</v>
      </c>
      <c r="K320" s="70" t="str">
        <f t="shared" si="473"/>
        <v>Jackets &amp; Coats</v>
      </c>
      <c r="L320" s="70" t="str">
        <f t="shared" si="473"/>
        <v>Raincoats</v>
      </c>
    </row>
    <row r="321" ht="12.75" customHeight="1">
      <c r="B321" s="70" t="s">
        <v>3309</v>
      </c>
      <c r="C321" s="58" t="s">
        <v>3315</v>
      </c>
      <c r="D321" s="58" t="s">
        <v>3617</v>
      </c>
      <c r="J321" s="70" t="str">
        <f t="shared" ref="J321:L321" si="474">LEFT(B321,LEN(B321)-LEN(RIGHT(B321,27)))</f>
        <v>Kids</v>
      </c>
      <c r="K321" s="70" t="str">
        <f t="shared" si="474"/>
        <v>Jackets &amp; Coats</v>
      </c>
      <c r="L321" s="70" t="str">
        <f t="shared" si="474"/>
        <v>Vests</v>
      </c>
    </row>
    <row r="322" ht="12.75" customHeight="1">
      <c r="B322" s="70" t="s">
        <v>3309</v>
      </c>
      <c r="C322" s="58" t="s">
        <v>3319</v>
      </c>
      <c r="D322" s="58" t="s">
        <v>3618</v>
      </c>
      <c r="J322" s="70" t="str">
        <f t="shared" ref="J322:L322" si="475">LEFT(B322,LEN(B322)-LEN(RIGHT(B322,27)))</f>
        <v>Kids</v>
      </c>
      <c r="K322" s="70" t="str">
        <f t="shared" si="475"/>
        <v>One Pieces</v>
      </c>
      <c r="L322" s="70" t="str">
        <f t="shared" si="475"/>
        <v>Bodysuits</v>
      </c>
    </row>
    <row r="323" ht="12.75" customHeight="1">
      <c r="B323" s="70" t="s">
        <v>3309</v>
      </c>
      <c r="C323" s="58" t="s">
        <v>3319</v>
      </c>
      <c r="D323" s="58" t="s">
        <v>3619</v>
      </c>
      <c r="J323" s="70" t="str">
        <f t="shared" ref="J323:L323" si="476">LEFT(B323,LEN(B323)-LEN(RIGHT(B323,27)))</f>
        <v>Kids</v>
      </c>
      <c r="K323" s="70" t="str">
        <f t="shared" si="476"/>
        <v>One Pieces</v>
      </c>
      <c r="L323" s="70" t="str">
        <f t="shared" si="476"/>
        <v>Footies</v>
      </c>
    </row>
    <row r="324" ht="12.75" customHeight="1">
      <c r="B324" s="70" t="s">
        <v>3309</v>
      </c>
      <c r="C324" s="58" t="s">
        <v>3321</v>
      </c>
      <c r="D324" s="58" t="s">
        <v>3620</v>
      </c>
      <c r="J324" s="70" t="str">
        <f t="shared" ref="J324:L324" si="477">LEFT(B324,LEN(B324)-LEN(RIGHT(B324,27)))</f>
        <v>Kids</v>
      </c>
      <c r="K324" s="70" t="str">
        <f t="shared" si="477"/>
        <v>Pajamas</v>
      </c>
      <c r="L324" s="70" t="str">
        <f t="shared" si="477"/>
        <v>Nightgowns</v>
      </c>
    </row>
    <row r="325" ht="12.75" customHeight="1">
      <c r="B325" s="70" t="s">
        <v>3309</v>
      </c>
      <c r="C325" s="58" t="s">
        <v>3321</v>
      </c>
      <c r="D325" s="58" t="s">
        <v>3621</v>
      </c>
      <c r="J325" s="70" t="str">
        <f t="shared" ref="J325:L325" si="478">LEFT(B325,LEN(B325)-LEN(RIGHT(B325,27)))</f>
        <v>Kids</v>
      </c>
      <c r="K325" s="70" t="str">
        <f t="shared" si="478"/>
        <v>Pajamas</v>
      </c>
      <c r="L325" s="70" t="str">
        <f t="shared" si="478"/>
        <v>Pajama Bottoms</v>
      </c>
    </row>
    <row r="326" ht="12.75" customHeight="1">
      <c r="B326" s="70" t="s">
        <v>3309</v>
      </c>
      <c r="C326" s="58" t="s">
        <v>3321</v>
      </c>
      <c r="D326" s="58" t="s">
        <v>3622</v>
      </c>
      <c r="J326" s="70" t="str">
        <f t="shared" ref="J326:L326" si="479">LEFT(B326,LEN(B326)-LEN(RIGHT(B326,27)))</f>
        <v>Kids</v>
      </c>
      <c r="K326" s="70" t="str">
        <f t="shared" si="479"/>
        <v>Pajamas</v>
      </c>
      <c r="L326" s="70" t="str">
        <f t="shared" si="479"/>
        <v>Pajama Sets</v>
      </c>
    </row>
    <row r="327" ht="12.75" customHeight="1">
      <c r="B327" s="70" t="s">
        <v>3309</v>
      </c>
      <c r="C327" s="58" t="s">
        <v>3321</v>
      </c>
      <c r="D327" s="58" t="s">
        <v>3623</v>
      </c>
      <c r="J327" s="70" t="str">
        <f t="shared" ref="J327:L327" si="480">LEFT(B327,LEN(B327)-LEN(RIGHT(B327,27)))</f>
        <v>Kids</v>
      </c>
      <c r="K327" s="70" t="str">
        <f t="shared" si="480"/>
        <v>Pajamas</v>
      </c>
      <c r="L327" s="70" t="str">
        <f t="shared" si="480"/>
        <v>Pajama Tops</v>
      </c>
    </row>
    <row r="328" ht="12.75" customHeight="1">
      <c r="B328" s="70" t="s">
        <v>3309</v>
      </c>
      <c r="C328" s="58" t="s">
        <v>3321</v>
      </c>
      <c r="D328" s="58" t="s">
        <v>3624</v>
      </c>
      <c r="J328" s="70" t="str">
        <f t="shared" ref="J328:L328" si="481">LEFT(B328,LEN(B328)-LEN(RIGHT(B328,27)))</f>
        <v>Kids</v>
      </c>
      <c r="K328" s="70" t="str">
        <f t="shared" si="481"/>
        <v>Pajamas</v>
      </c>
      <c r="L328" s="70" t="str">
        <f t="shared" si="481"/>
        <v>Robes</v>
      </c>
    </row>
    <row r="329" ht="12.75" customHeight="1">
      <c r="B329" s="70" t="s">
        <v>3309</v>
      </c>
      <c r="C329" s="58" t="s">
        <v>3321</v>
      </c>
      <c r="D329" s="58" t="s">
        <v>3625</v>
      </c>
      <c r="J329" s="70" t="str">
        <f t="shared" ref="J329:L329" si="482">LEFT(B329,LEN(B329)-LEN(RIGHT(B329,27)))</f>
        <v>Kids</v>
      </c>
      <c r="K329" s="70" t="str">
        <f t="shared" si="482"/>
        <v>Pajamas</v>
      </c>
      <c r="L329" s="70" t="str">
        <f t="shared" si="482"/>
        <v>Sleep Sacks</v>
      </c>
    </row>
    <row r="330" ht="12.75" customHeight="1">
      <c r="B330" s="70" t="s">
        <v>3309</v>
      </c>
      <c r="C330" s="58" t="s">
        <v>3323</v>
      </c>
      <c r="D330" s="58" t="s">
        <v>3626</v>
      </c>
      <c r="J330" s="70" t="str">
        <f t="shared" ref="J330:L330" si="483">LEFT(B330,LEN(B330)-LEN(RIGHT(B330,27)))</f>
        <v>Kids</v>
      </c>
      <c r="K330" s="70" t="str">
        <f t="shared" si="483"/>
        <v>Shirts &amp; Tops</v>
      </c>
      <c r="L330" s="70" t="str">
        <f t="shared" si="483"/>
        <v>Blouses</v>
      </c>
    </row>
    <row r="331" ht="12.75" customHeight="1">
      <c r="B331" s="70" t="s">
        <v>3309</v>
      </c>
      <c r="C331" s="58" t="s">
        <v>3323</v>
      </c>
      <c r="D331" s="58" t="s">
        <v>3627</v>
      </c>
      <c r="J331" s="70" t="str">
        <f t="shared" ref="J331:L331" si="484">LEFT(B331,LEN(B331)-LEN(RIGHT(B331,27)))</f>
        <v>Kids</v>
      </c>
      <c r="K331" s="70" t="str">
        <f t="shared" si="484"/>
        <v>Shirts &amp; Tops</v>
      </c>
      <c r="L331" s="70" t="str">
        <f t="shared" si="484"/>
        <v>Button Down Shirts</v>
      </c>
    </row>
    <row r="332" ht="12.75" customHeight="1">
      <c r="B332" s="70" t="s">
        <v>3309</v>
      </c>
      <c r="C332" s="58" t="s">
        <v>3323</v>
      </c>
      <c r="D332" s="58" t="s">
        <v>3628</v>
      </c>
      <c r="J332" s="70" t="str">
        <f t="shared" ref="J332:L332" si="485">LEFT(B332,LEN(B332)-LEN(RIGHT(B332,27)))</f>
        <v>Kids</v>
      </c>
      <c r="K332" s="70" t="str">
        <f t="shared" si="485"/>
        <v>Shirts &amp; Tops</v>
      </c>
      <c r="L332" s="70" t="str">
        <f t="shared" si="485"/>
        <v>Camisoles</v>
      </c>
    </row>
    <row r="333" ht="12.75" customHeight="1">
      <c r="B333" s="70" t="s">
        <v>3309</v>
      </c>
      <c r="C333" s="58" t="s">
        <v>3323</v>
      </c>
      <c r="D333" s="58" t="s">
        <v>3629</v>
      </c>
      <c r="J333" s="70" t="str">
        <f t="shared" ref="J333:L333" si="486">LEFT(B333,LEN(B333)-LEN(RIGHT(B333,27)))</f>
        <v>Kids</v>
      </c>
      <c r="K333" s="70" t="str">
        <f t="shared" si="486"/>
        <v>Shirts &amp; Tops</v>
      </c>
      <c r="L333" s="70" t="str">
        <f t="shared" si="486"/>
        <v>Jerseys</v>
      </c>
    </row>
    <row r="334" ht="12.75" customHeight="1">
      <c r="B334" s="70" t="s">
        <v>3309</v>
      </c>
      <c r="C334" s="58" t="s">
        <v>3323</v>
      </c>
      <c r="D334" s="58" t="s">
        <v>3630</v>
      </c>
      <c r="J334" s="70" t="str">
        <f t="shared" ref="J334:L334" si="487">LEFT(B334,LEN(B334)-LEN(RIGHT(B334,27)))</f>
        <v>Kids</v>
      </c>
      <c r="K334" s="70" t="str">
        <f t="shared" si="487"/>
        <v>Shirts &amp; Tops</v>
      </c>
      <c r="L334" s="70" t="str">
        <f t="shared" si="487"/>
        <v>Polos</v>
      </c>
    </row>
    <row r="335" ht="12.75" customHeight="1">
      <c r="B335" s="70" t="s">
        <v>3309</v>
      </c>
      <c r="C335" s="58" t="s">
        <v>3323</v>
      </c>
      <c r="D335" s="58" t="s">
        <v>3631</v>
      </c>
      <c r="J335" s="70" t="str">
        <f t="shared" ref="J335:L335" si="488">LEFT(B335,LEN(B335)-LEN(RIGHT(B335,27)))</f>
        <v>Kids</v>
      </c>
      <c r="K335" s="70" t="str">
        <f t="shared" si="488"/>
        <v>Shirts &amp; Tops</v>
      </c>
      <c r="L335" s="70" t="str">
        <f t="shared" si="488"/>
        <v>Sweaters</v>
      </c>
    </row>
    <row r="336" ht="12.75" customHeight="1">
      <c r="B336" s="70" t="s">
        <v>3309</v>
      </c>
      <c r="C336" s="58" t="s">
        <v>3323</v>
      </c>
      <c r="D336" s="58" t="s">
        <v>3632</v>
      </c>
      <c r="J336" s="70" t="str">
        <f t="shared" ref="J336:L336" si="489">LEFT(B336,LEN(B336)-LEN(RIGHT(B336,27)))</f>
        <v>Kids</v>
      </c>
      <c r="K336" s="70" t="str">
        <f t="shared" si="489"/>
        <v>Shirts &amp; Tops</v>
      </c>
      <c r="L336" s="70" t="str">
        <f t="shared" si="489"/>
        <v>Sweatshirts &amp; Hoodies</v>
      </c>
    </row>
    <row r="337" ht="12.75" customHeight="1">
      <c r="B337" s="70" t="s">
        <v>3309</v>
      </c>
      <c r="C337" s="58" t="s">
        <v>3323</v>
      </c>
      <c r="D337" s="58" t="s">
        <v>3633</v>
      </c>
      <c r="J337" s="70" t="str">
        <f t="shared" ref="J337:L337" si="490">LEFT(B337,LEN(B337)-LEN(RIGHT(B337,27)))</f>
        <v>Kids</v>
      </c>
      <c r="K337" s="70" t="str">
        <f t="shared" si="490"/>
        <v>Shirts &amp; Tops</v>
      </c>
      <c r="L337" s="70" t="str">
        <f t="shared" si="490"/>
        <v>Tank Tops</v>
      </c>
    </row>
    <row r="338" ht="12.75" customHeight="1">
      <c r="B338" s="70" t="s">
        <v>3309</v>
      </c>
      <c r="C338" s="58" t="s">
        <v>3323</v>
      </c>
      <c r="D338" s="58" t="s">
        <v>3634</v>
      </c>
      <c r="J338" s="70" t="str">
        <f t="shared" ref="J338:L338" si="491">LEFT(B338,LEN(B338)-LEN(RIGHT(B338,27)))</f>
        <v>Kids</v>
      </c>
      <c r="K338" s="70" t="str">
        <f t="shared" si="491"/>
        <v>Shirts &amp; Tops</v>
      </c>
      <c r="L338" s="70" t="str">
        <f t="shared" si="491"/>
        <v>Tees - Long Sleeve</v>
      </c>
    </row>
    <row r="339" ht="12.75" customHeight="1">
      <c r="B339" s="70" t="s">
        <v>3309</v>
      </c>
      <c r="C339" s="58" t="s">
        <v>3323</v>
      </c>
      <c r="D339" s="58" t="s">
        <v>3635</v>
      </c>
      <c r="J339" s="70" t="str">
        <f t="shared" ref="J339:L339" si="492">LEFT(B339,LEN(B339)-LEN(RIGHT(B339,27)))</f>
        <v>Kids</v>
      </c>
      <c r="K339" s="70" t="str">
        <f t="shared" si="492"/>
        <v>Shirts &amp; Tops</v>
      </c>
      <c r="L339" s="70" t="str">
        <f t="shared" si="492"/>
        <v>Tees - Short Sleeve</v>
      </c>
    </row>
    <row r="340" ht="12.75" customHeight="1">
      <c r="B340" s="70" t="s">
        <v>3309</v>
      </c>
      <c r="C340" s="58" t="s">
        <v>3325</v>
      </c>
      <c r="D340" s="58" t="s">
        <v>3636</v>
      </c>
      <c r="J340" s="70" t="str">
        <f t="shared" ref="J340:L340" si="493">LEFT(B340,LEN(B340)-LEN(RIGHT(B340,27)))</f>
        <v>Kids</v>
      </c>
      <c r="K340" s="70" t="str">
        <f t="shared" si="493"/>
        <v>Shoes</v>
      </c>
      <c r="L340" s="70" t="str">
        <f t="shared" si="493"/>
        <v>Baby &amp; Walker</v>
      </c>
    </row>
    <row r="341" ht="12.75" customHeight="1">
      <c r="B341" s="70" t="s">
        <v>3309</v>
      </c>
      <c r="C341" s="58" t="s">
        <v>3325</v>
      </c>
      <c r="D341" s="58" t="s">
        <v>3637</v>
      </c>
      <c r="J341" s="70" t="str">
        <f t="shared" ref="J341:L341" si="494">LEFT(B341,LEN(B341)-LEN(RIGHT(B341,27)))</f>
        <v>Kids</v>
      </c>
      <c r="K341" s="70" t="str">
        <f t="shared" si="494"/>
        <v>Shoes</v>
      </c>
      <c r="L341" s="70" t="str">
        <f t="shared" si="494"/>
        <v>Boots</v>
      </c>
    </row>
    <row r="342" ht="12.75" customHeight="1">
      <c r="B342" s="70" t="s">
        <v>3309</v>
      </c>
      <c r="C342" s="58" t="s">
        <v>3325</v>
      </c>
      <c r="D342" s="58" t="s">
        <v>3638</v>
      </c>
      <c r="J342" s="70" t="str">
        <f t="shared" ref="J342:L342" si="495">LEFT(B342,LEN(B342)-LEN(RIGHT(B342,27)))</f>
        <v>Kids</v>
      </c>
      <c r="K342" s="70" t="str">
        <f t="shared" si="495"/>
        <v>Shoes</v>
      </c>
      <c r="L342" s="70" t="str">
        <f t="shared" si="495"/>
        <v>Dress Shoes</v>
      </c>
    </row>
    <row r="343" ht="12.75" customHeight="1">
      <c r="B343" s="70" t="s">
        <v>3309</v>
      </c>
      <c r="C343" s="58" t="s">
        <v>3325</v>
      </c>
      <c r="D343" s="58" t="s">
        <v>3639</v>
      </c>
      <c r="J343" s="70" t="str">
        <f t="shared" ref="J343:L343" si="496">LEFT(B343,LEN(B343)-LEN(RIGHT(B343,27)))</f>
        <v>Kids</v>
      </c>
      <c r="K343" s="70" t="str">
        <f t="shared" si="496"/>
        <v>Shoes</v>
      </c>
      <c r="L343" s="70" t="str">
        <f t="shared" si="496"/>
        <v>Moccasins</v>
      </c>
    </row>
    <row r="344" ht="12.75" customHeight="1">
      <c r="B344" s="70" t="s">
        <v>3309</v>
      </c>
      <c r="C344" s="58" t="s">
        <v>3325</v>
      </c>
      <c r="D344" s="58" t="s">
        <v>3640</v>
      </c>
      <c r="J344" s="70" t="str">
        <f t="shared" ref="J344:L344" si="497">LEFT(B344,LEN(B344)-LEN(RIGHT(B344,27)))</f>
        <v>Kids</v>
      </c>
      <c r="K344" s="70" t="str">
        <f t="shared" si="497"/>
        <v>Shoes</v>
      </c>
      <c r="L344" s="70" t="str">
        <f t="shared" si="497"/>
        <v>Rain &amp; Snow Boots</v>
      </c>
    </row>
    <row r="345" ht="12.75" customHeight="1">
      <c r="B345" s="70" t="s">
        <v>3309</v>
      </c>
      <c r="C345" s="58" t="s">
        <v>3325</v>
      </c>
      <c r="D345" s="58" t="s">
        <v>3641</v>
      </c>
      <c r="J345" s="70" t="str">
        <f t="shared" ref="J345:L345" si="498">LEFT(B345,LEN(B345)-LEN(RIGHT(B345,27)))</f>
        <v>Kids</v>
      </c>
      <c r="K345" s="70" t="str">
        <f t="shared" si="498"/>
        <v>Shoes</v>
      </c>
      <c r="L345" s="70" t="str">
        <f t="shared" si="498"/>
        <v>Sandals &amp; Flip Flops</v>
      </c>
    </row>
    <row r="346" ht="12.75" customHeight="1">
      <c r="B346" s="70" t="s">
        <v>3309</v>
      </c>
      <c r="C346" s="58" t="s">
        <v>3325</v>
      </c>
      <c r="D346" s="58" t="s">
        <v>3642</v>
      </c>
      <c r="J346" s="70" t="str">
        <f t="shared" ref="J346:L346" si="499">LEFT(B346,LEN(B346)-LEN(RIGHT(B346,27)))</f>
        <v>Kids</v>
      </c>
      <c r="K346" s="70" t="str">
        <f t="shared" si="499"/>
        <v>Shoes</v>
      </c>
      <c r="L346" s="70" t="str">
        <f t="shared" si="499"/>
        <v>Slippers</v>
      </c>
    </row>
    <row r="347" ht="12.75" customHeight="1">
      <c r="B347" s="70" t="s">
        <v>3309</v>
      </c>
      <c r="C347" s="58" t="s">
        <v>3325</v>
      </c>
      <c r="D347" s="58" t="s">
        <v>3643</v>
      </c>
      <c r="J347" s="70" t="str">
        <f t="shared" ref="J347:L347" si="500">LEFT(B347,LEN(B347)-LEN(RIGHT(B347,27)))</f>
        <v>Kids</v>
      </c>
      <c r="K347" s="70" t="str">
        <f t="shared" si="500"/>
        <v>Shoes</v>
      </c>
      <c r="L347" s="70" t="str">
        <f t="shared" si="500"/>
        <v>Sneakers</v>
      </c>
    </row>
    <row r="348" ht="12.75" customHeight="1">
      <c r="B348" s="70" t="s">
        <v>3309</v>
      </c>
      <c r="C348" s="58" t="s">
        <v>3325</v>
      </c>
      <c r="D348" s="58" t="s">
        <v>3644</v>
      </c>
      <c r="J348" s="70" t="str">
        <f t="shared" ref="J348:L348" si="501">LEFT(B348,LEN(B348)-LEN(RIGHT(B348,27)))</f>
        <v>Kids</v>
      </c>
      <c r="K348" s="70" t="str">
        <f t="shared" si="501"/>
        <v>Shoes</v>
      </c>
      <c r="L348" s="70" t="str">
        <f t="shared" si="501"/>
        <v>Water Shoes</v>
      </c>
    </row>
    <row r="349" ht="12.75" customHeight="1">
      <c r="B349" s="70" t="s">
        <v>3309</v>
      </c>
      <c r="C349" s="58" t="s">
        <v>3327</v>
      </c>
      <c r="D349" s="58" t="s">
        <v>3645</v>
      </c>
      <c r="J349" s="70" t="str">
        <f t="shared" ref="J349:L349" si="502">LEFT(B349,LEN(B349)-LEN(RIGHT(B349,27)))</f>
        <v>Kids</v>
      </c>
      <c r="K349" s="70" t="str">
        <f t="shared" si="502"/>
        <v>Swim</v>
      </c>
      <c r="L349" s="70" t="str">
        <f t="shared" si="502"/>
        <v>Bikinis</v>
      </c>
    </row>
    <row r="350" ht="12.75" customHeight="1">
      <c r="B350" s="70" t="s">
        <v>3309</v>
      </c>
      <c r="C350" s="58" t="s">
        <v>3327</v>
      </c>
      <c r="D350" s="58" t="s">
        <v>3646</v>
      </c>
      <c r="J350" s="70" t="str">
        <f t="shared" ref="J350:L350" si="503">LEFT(B350,LEN(B350)-LEN(RIGHT(B350,27)))</f>
        <v>Kids</v>
      </c>
      <c r="K350" s="70" t="str">
        <f t="shared" si="503"/>
        <v>Swim</v>
      </c>
      <c r="L350" s="70" t="str">
        <f t="shared" si="503"/>
        <v>Coverups</v>
      </c>
    </row>
    <row r="351" ht="12.75" customHeight="1">
      <c r="B351" s="70" t="s">
        <v>3309</v>
      </c>
      <c r="C351" s="58" t="s">
        <v>3327</v>
      </c>
      <c r="D351" s="58" t="s">
        <v>3647</v>
      </c>
      <c r="J351" s="70" t="str">
        <f t="shared" ref="J351:L351" si="504">LEFT(B351,LEN(B351)-LEN(RIGHT(B351,27)))</f>
        <v>Kids</v>
      </c>
      <c r="K351" s="70" t="str">
        <f t="shared" si="504"/>
        <v>Swim</v>
      </c>
      <c r="L351" s="70" t="str">
        <f t="shared" si="504"/>
        <v>One Piece</v>
      </c>
    </row>
    <row r="352" ht="12.75" customHeight="1">
      <c r="B352" s="70" t="s">
        <v>3309</v>
      </c>
      <c r="C352" s="58" t="s">
        <v>3327</v>
      </c>
      <c r="D352" s="58" t="s">
        <v>3648</v>
      </c>
      <c r="J352" s="70" t="str">
        <f t="shared" ref="J352:L352" si="505">LEFT(B352,LEN(B352)-LEN(RIGHT(B352,27)))</f>
        <v>Kids</v>
      </c>
      <c r="K352" s="70" t="str">
        <f t="shared" si="505"/>
        <v>Swim</v>
      </c>
      <c r="L352" s="70" t="str">
        <f t="shared" si="505"/>
        <v>Rashguards</v>
      </c>
    </row>
    <row r="353" ht="12.75" customHeight="1">
      <c r="B353" s="70" t="s">
        <v>3309</v>
      </c>
      <c r="C353" s="58" t="s">
        <v>3327</v>
      </c>
      <c r="D353" s="58" t="s">
        <v>3649</v>
      </c>
      <c r="J353" s="70" t="str">
        <f t="shared" ref="J353:L353" si="506">LEFT(B353,LEN(B353)-LEN(RIGHT(B353,27)))</f>
        <v>Kids</v>
      </c>
      <c r="K353" s="70" t="str">
        <f t="shared" si="506"/>
        <v>Swim</v>
      </c>
      <c r="L353" s="70" t="str">
        <f t="shared" si="506"/>
        <v>Swim Trunks</v>
      </c>
    </row>
    <row r="354" ht="12.75" customHeight="1">
      <c r="B354" s="70" t="s">
        <v>3309</v>
      </c>
      <c r="C354" s="58" t="s">
        <v>3329</v>
      </c>
      <c r="D354" s="58" t="s">
        <v>3650</v>
      </c>
      <c r="J354" s="70" t="str">
        <f t="shared" ref="J354:L354" si="507">LEFT(B354,LEN(B354)-LEN(RIGHT(B354,27)))</f>
        <v>Kids</v>
      </c>
      <c r="K354" s="70" t="str">
        <f t="shared" si="507"/>
        <v>Costumes</v>
      </c>
      <c r="L354" s="70" t="str">
        <f t="shared" si="507"/>
        <v>Dance</v>
      </c>
    </row>
    <row r="355" ht="12.75" customHeight="1">
      <c r="B355" s="70" t="s">
        <v>3309</v>
      </c>
      <c r="C355" s="58" t="s">
        <v>3329</v>
      </c>
      <c r="D355" s="58" t="s">
        <v>3651</v>
      </c>
      <c r="J355" s="70" t="str">
        <f t="shared" ref="J355:L355" si="508">LEFT(B355,LEN(B355)-LEN(RIGHT(B355,27)))</f>
        <v>Kids</v>
      </c>
      <c r="K355" s="70" t="str">
        <f t="shared" si="508"/>
        <v>Costumes</v>
      </c>
      <c r="L355" s="70" t="str">
        <f t="shared" si="508"/>
        <v>Halloween</v>
      </c>
    </row>
    <row r="356" ht="12.75" customHeight="1">
      <c r="B356" s="70" t="s">
        <v>3309</v>
      </c>
      <c r="C356" s="58" t="s">
        <v>3329</v>
      </c>
      <c r="D356" s="58" t="s">
        <v>3652</v>
      </c>
      <c r="J356" s="70" t="str">
        <f t="shared" ref="J356:L356" si="509">LEFT(B356,LEN(B356)-LEN(RIGHT(B356,27)))</f>
        <v>Kids</v>
      </c>
      <c r="K356" s="70" t="str">
        <f t="shared" si="509"/>
        <v>Costumes</v>
      </c>
      <c r="L356" s="70" t="str">
        <f t="shared" si="509"/>
        <v>Seasonal</v>
      </c>
    </row>
    <row r="357" ht="12.75" customHeight="1">
      <c r="B357" s="70" t="s">
        <v>3309</v>
      </c>
      <c r="C357" s="58" t="s">
        <v>3329</v>
      </c>
      <c r="D357" s="58" t="s">
        <v>3653</v>
      </c>
      <c r="J357" s="70" t="str">
        <f t="shared" ref="J357:L357" si="510">LEFT(B357,LEN(B357)-LEN(RIGHT(B357,27)))</f>
        <v>Kids</v>
      </c>
      <c r="K357" s="70" t="str">
        <f t="shared" si="510"/>
        <v>Costumes</v>
      </c>
      <c r="L357" s="70" t="str">
        <f t="shared" si="510"/>
        <v>Superhero</v>
      </c>
    </row>
    <row r="358" ht="12.75" customHeight="1">
      <c r="B358" s="70" t="s">
        <v>3309</v>
      </c>
      <c r="C358" s="58" t="s">
        <v>3329</v>
      </c>
      <c r="D358" s="58" t="s">
        <v>3654</v>
      </c>
      <c r="J358" s="70" t="str">
        <f t="shared" ref="J358:L358" si="511">LEFT(B358,LEN(B358)-LEN(RIGHT(B358,27)))</f>
        <v>Kids</v>
      </c>
      <c r="K358" s="70" t="str">
        <f t="shared" si="511"/>
        <v>Costumes</v>
      </c>
      <c r="L358" s="70" t="str">
        <f t="shared" si="511"/>
        <v>Theater</v>
      </c>
    </row>
    <row r="359" ht="12.75" customHeight="1">
      <c r="B359" s="70" t="s">
        <v>3309</v>
      </c>
      <c r="C359" s="58" t="s">
        <v>3331</v>
      </c>
      <c r="D359" s="58" t="s">
        <v>3655</v>
      </c>
      <c r="J359" s="70" t="str">
        <f t="shared" ref="J359:L359" si="512">LEFT(B359,LEN(B359)-LEN(RIGHT(B359,27)))</f>
        <v>Kids</v>
      </c>
      <c r="K359" s="70" t="str">
        <f t="shared" si="512"/>
        <v>Bath, Skin &amp; Hair</v>
      </c>
      <c r="L359" s="70" t="str">
        <f t="shared" si="512"/>
        <v>Bath &amp; Body</v>
      </c>
    </row>
    <row r="360" ht="12.75" customHeight="1">
      <c r="B360" s="70" t="s">
        <v>3309</v>
      </c>
      <c r="C360" s="58" t="s">
        <v>3331</v>
      </c>
      <c r="D360" s="58" t="s">
        <v>3656</v>
      </c>
      <c r="J360" s="70" t="str">
        <f t="shared" ref="J360:L360" si="513">LEFT(B360,LEN(B360)-LEN(RIGHT(B360,27)))</f>
        <v>Kids</v>
      </c>
      <c r="K360" s="70" t="str">
        <f t="shared" si="513"/>
        <v>Bath, Skin &amp; Hair</v>
      </c>
      <c r="L360" s="70" t="str">
        <f t="shared" si="513"/>
        <v>Hair Care</v>
      </c>
    </row>
    <row r="361" ht="12.75" customHeight="1">
      <c r="B361" s="70" t="s">
        <v>3309</v>
      </c>
      <c r="C361" s="58" t="s">
        <v>3331</v>
      </c>
      <c r="D361" s="58" t="s">
        <v>3657</v>
      </c>
      <c r="J361" s="70" t="str">
        <f t="shared" ref="J361:L361" si="514">LEFT(B361,LEN(B361)-LEN(RIGHT(B361,27)))</f>
        <v>Kids</v>
      </c>
      <c r="K361" s="70" t="str">
        <f t="shared" si="514"/>
        <v>Bath, Skin &amp; Hair</v>
      </c>
      <c r="L361" s="70" t="str">
        <f t="shared" si="514"/>
        <v>Moisturizer</v>
      </c>
    </row>
    <row r="362" ht="12.75" customHeight="1">
      <c r="B362" s="70" t="s">
        <v>3309</v>
      </c>
      <c r="C362" s="58" t="s">
        <v>3331</v>
      </c>
      <c r="D362" s="58" t="s">
        <v>3658</v>
      </c>
      <c r="J362" s="70" t="str">
        <f t="shared" ref="J362:L362" si="515">LEFT(B362,LEN(B362)-LEN(RIGHT(B362,27)))</f>
        <v>Kids</v>
      </c>
      <c r="K362" s="70" t="str">
        <f t="shared" si="515"/>
        <v>Bath, Skin &amp; Hair</v>
      </c>
      <c r="L362" s="70" t="str">
        <f t="shared" si="515"/>
        <v>Suncare</v>
      </c>
    </row>
    <row r="363" ht="12.75" customHeight="1">
      <c r="B363" s="70" t="s">
        <v>3309</v>
      </c>
      <c r="C363" s="58" t="s">
        <v>3331</v>
      </c>
      <c r="D363" s="58" t="s">
        <v>3659</v>
      </c>
      <c r="J363" s="70" t="str">
        <f t="shared" ref="J363:L363" si="516">LEFT(B363,LEN(B363)-LEN(RIGHT(B363,27)))</f>
        <v>Kids</v>
      </c>
      <c r="K363" s="70" t="str">
        <f t="shared" si="516"/>
        <v>Bath, Skin &amp; Hair</v>
      </c>
      <c r="L363" s="70" t="str">
        <f t="shared" si="516"/>
        <v>Tools</v>
      </c>
    </row>
    <row r="364" ht="12.75" customHeight="1">
      <c r="B364" s="70" t="s">
        <v>3309</v>
      </c>
      <c r="C364" s="58" t="s">
        <v>3333</v>
      </c>
      <c r="D364" s="58" t="s">
        <v>3660</v>
      </c>
      <c r="J364" s="70" t="str">
        <f t="shared" ref="J364:L364" si="517">LEFT(B364,LEN(B364)-LEN(RIGHT(B364,27)))</f>
        <v>Kids</v>
      </c>
      <c r="K364" s="70" t="str">
        <f t="shared" si="517"/>
        <v>Toys</v>
      </c>
      <c r="L364" s="70" t="str">
        <f t="shared" si="517"/>
        <v>Action Figures &amp; Playsets</v>
      </c>
    </row>
    <row r="365" ht="12.75" customHeight="1">
      <c r="B365" s="70" t="s">
        <v>3309</v>
      </c>
      <c r="C365" s="58" t="s">
        <v>3333</v>
      </c>
      <c r="D365" s="58" t="s">
        <v>3661</v>
      </c>
      <c r="J365" s="70" t="str">
        <f t="shared" ref="J365:L365" si="518">LEFT(B365,LEN(B365)-LEN(RIGHT(B365,27)))</f>
        <v>Kids</v>
      </c>
      <c r="K365" s="70" t="str">
        <f t="shared" si="518"/>
        <v>Toys</v>
      </c>
      <c r="L365" s="70" t="str">
        <f t="shared" si="518"/>
        <v>Building Sets &amp; Blocks</v>
      </c>
    </row>
    <row r="366" ht="12.75" customHeight="1">
      <c r="B366" s="70" t="s">
        <v>3309</v>
      </c>
      <c r="C366" s="58" t="s">
        <v>3333</v>
      </c>
      <c r="D366" s="58" t="s">
        <v>3662</v>
      </c>
      <c r="J366" s="70" t="str">
        <f t="shared" ref="J366:L366" si="519">LEFT(B366,LEN(B366)-LEN(RIGHT(B366,27)))</f>
        <v>Kids</v>
      </c>
      <c r="K366" s="70" t="str">
        <f t="shared" si="519"/>
        <v>Toys</v>
      </c>
      <c r="L366" s="70" t="str">
        <f t="shared" si="519"/>
        <v>Cars &amp; Vehicles</v>
      </c>
    </row>
    <row r="367" ht="12.75" customHeight="1">
      <c r="B367" s="70" t="s">
        <v>3309</v>
      </c>
      <c r="C367" s="58" t="s">
        <v>3333</v>
      </c>
      <c r="D367" s="58" t="s">
        <v>3663</v>
      </c>
      <c r="J367" s="70" t="str">
        <f t="shared" ref="J367:L367" si="520">LEFT(B367,LEN(B367)-LEN(RIGHT(B367,27)))</f>
        <v>Kids</v>
      </c>
      <c r="K367" s="70" t="str">
        <f t="shared" si="520"/>
        <v>Toys</v>
      </c>
      <c r="L367" s="70" t="str">
        <f t="shared" si="520"/>
        <v>Dolls &amp; Accessories</v>
      </c>
    </row>
    <row r="368" ht="12.75" customHeight="1">
      <c r="B368" s="70" t="s">
        <v>3309</v>
      </c>
      <c r="C368" s="58" t="s">
        <v>3333</v>
      </c>
      <c r="D368" s="58" t="s">
        <v>3664</v>
      </c>
      <c r="J368" s="70" t="str">
        <f t="shared" ref="J368:L368" si="521">LEFT(B368,LEN(B368)-LEN(RIGHT(B368,27)))</f>
        <v>Kids</v>
      </c>
      <c r="K368" s="70" t="str">
        <f t="shared" si="521"/>
        <v>Toys</v>
      </c>
      <c r="L368" s="70" t="str">
        <f t="shared" si="521"/>
        <v>Learning Toys</v>
      </c>
    </row>
    <row r="369" ht="12.75" customHeight="1">
      <c r="B369" s="70" t="s">
        <v>3309</v>
      </c>
      <c r="C369" s="58" t="s">
        <v>3333</v>
      </c>
      <c r="D369" s="58" t="s">
        <v>3665</v>
      </c>
      <c r="J369" s="70" t="str">
        <f t="shared" ref="J369:L369" si="522">LEFT(B369,LEN(B369)-LEN(RIGHT(B369,27)))</f>
        <v>Kids</v>
      </c>
      <c r="K369" s="70" t="str">
        <f t="shared" si="522"/>
        <v>Toys</v>
      </c>
      <c r="L369" s="70" t="str">
        <f t="shared" si="522"/>
        <v>Puzzles &amp; Games</v>
      </c>
    </row>
    <row r="370" ht="12.75" customHeight="1">
      <c r="B370" s="70" t="s">
        <v>3309</v>
      </c>
      <c r="C370" s="58" t="s">
        <v>3333</v>
      </c>
      <c r="D370" s="58" t="s">
        <v>3666</v>
      </c>
      <c r="J370" s="70" t="str">
        <f t="shared" ref="J370:L370" si="523">LEFT(B370,LEN(B370)-LEN(RIGHT(B370,27)))</f>
        <v>Kids</v>
      </c>
      <c r="K370" s="70" t="str">
        <f t="shared" si="523"/>
        <v>Toys</v>
      </c>
      <c r="L370" s="70" t="str">
        <f t="shared" si="523"/>
        <v>Stuffed Animals</v>
      </c>
    </row>
    <row r="371" ht="12.75" customHeight="1">
      <c r="B371" s="70" t="s">
        <v>3309</v>
      </c>
      <c r="C371" s="58" t="s">
        <v>3333</v>
      </c>
      <c r="D371" s="58" t="s">
        <v>3667</v>
      </c>
      <c r="J371" s="70" t="str">
        <f t="shared" ref="J371:L371" si="524">LEFT(B371,LEN(B371)-LEN(RIGHT(B371,27)))</f>
        <v>Kids</v>
      </c>
      <c r="K371" s="70" t="str">
        <f t="shared" si="524"/>
        <v>Toys</v>
      </c>
      <c r="L371" s="70" t="str">
        <f t="shared" si="524"/>
        <v>Trading Cards</v>
      </c>
    </row>
    <row r="372" ht="12.75" customHeight="1">
      <c r="B372" s="70" t="s">
        <v>3338</v>
      </c>
      <c r="C372" s="58" t="s">
        <v>3337</v>
      </c>
      <c r="D372" s="58" t="s">
        <v>3668</v>
      </c>
      <c r="J372" s="70" t="str">
        <f t="shared" ref="J372:L372" si="525">LEFT(B372,LEN(B372)-LEN(RIGHT(B372,27)))</f>
        <v>Home</v>
      </c>
      <c r="K372" s="70" t="str">
        <f t="shared" si="525"/>
        <v>Accents</v>
      </c>
      <c r="L372" s="70" t="str">
        <f t="shared" si="525"/>
        <v>Accent Pillows</v>
      </c>
    </row>
    <row r="373" ht="12.75" customHeight="1">
      <c r="B373" s="70" t="s">
        <v>3338</v>
      </c>
      <c r="C373" s="58" t="s">
        <v>3337</v>
      </c>
      <c r="D373" s="58" t="s">
        <v>3669</v>
      </c>
      <c r="J373" s="70" t="str">
        <f t="shared" ref="J373:L373" si="526">LEFT(B373,LEN(B373)-LEN(RIGHT(B373,27)))</f>
        <v>Home</v>
      </c>
      <c r="K373" s="70" t="str">
        <f t="shared" si="526"/>
        <v>Accents</v>
      </c>
      <c r="L373" s="70" t="str">
        <f t="shared" si="526"/>
        <v>Baskets &amp; Bins</v>
      </c>
    </row>
    <row r="374" ht="12.75" customHeight="1">
      <c r="B374" s="70" t="s">
        <v>3338</v>
      </c>
      <c r="C374" s="58" t="s">
        <v>3337</v>
      </c>
      <c r="D374" s="58" t="s">
        <v>3670</v>
      </c>
      <c r="J374" s="70" t="str">
        <f t="shared" ref="J374:L374" si="527">LEFT(B374,LEN(B374)-LEN(RIGHT(B374,27)))</f>
        <v>Home</v>
      </c>
      <c r="K374" s="70" t="str">
        <f t="shared" si="527"/>
        <v>Accents</v>
      </c>
      <c r="L374" s="70" t="str">
        <f t="shared" si="527"/>
        <v>Candles &amp; Holders</v>
      </c>
    </row>
    <row r="375" ht="12.75" customHeight="1">
      <c r="B375" s="70" t="s">
        <v>3338</v>
      </c>
      <c r="C375" s="58" t="s">
        <v>3337</v>
      </c>
      <c r="D375" s="58" t="s">
        <v>3671</v>
      </c>
      <c r="J375" s="70" t="str">
        <f t="shared" ref="J375:L375" si="528">LEFT(B375,LEN(B375)-LEN(RIGHT(B375,27)))</f>
        <v>Home</v>
      </c>
      <c r="K375" s="70" t="str">
        <f t="shared" si="528"/>
        <v>Accents</v>
      </c>
      <c r="L375" s="70" t="str">
        <f t="shared" si="528"/>
        <v>Coffee Table Books</v>
      </c>
    </row>
    <row r="376" ht="12.75" customHeight="1">
      <c r="B376" s="70" t="s">
        <v>3338</v>
      </c>
      <c r="C376" s="58" t="s">
        <v>3337</v>
      </c>
      <c r="D376" s="58" t="s">
        <v>3672</v>
      </c>
      <c r="J376" s="70" t="str">
        <f t="shared" ref="J376:L376" si="529">LEFT(B376,LEN(B376)-LEN(RIGHT(B376,27)))</f>
        <v>Home</v>
      </c>
      <c r="K376" s="70" t="str">
        <f t="shared" si="529"/>
        <v>Accents</v>
      </c>
      <c r="L376" s="70" t="str">
        <f t="shared" si="529"/>
        <v>Curtains &amp; Drapes</v>
      </c>
    </row>
    <row r="377" ht="12.75" customHeight="1">
      <c r="B377" s="70" t="s">
        <v>3338</v>
      </c>
      <c r="C377" s="58" t="s">
        <v>3337</v>
      </c>
      <c r="D377" s="58" t="s">
        <v>3673</v>
      </c>
      <c r="J377" s="70" t="str">
        <f t="shared" ref="J377:L377" si="530">LEFT(B377,LEN(B377)-LEN(RIGHT(B377,27)))</f>
        <v>Home</v>
      </c>
      <c r="K377" s="70" t="str">
        <f t="shared" si="530"/>
        <v>Accents</v>
      </c>
      <c r="L377" s="70" t="str">
        <f t="shared" si="530"/>
        <v>Decor</v>
      </c>
    </row>
    <row r="378" ht="12.75" customHeight="1">
      <c r="B378" s="70" t="s">
        <v>3338</v>
      </c>
      <c r="C378" s="58" t="s">
        <v>3337</v>
      </c>
      <c r="D378" s="58" t="s">
        <v>3674</v>
      </c>
      <c r="J378" s="70" t="str">
        <f t="shared" ref="J378:L378" si="531">LEFT(B378,LEN(B378)-LEN(RIGHT(B378,27)))</f>
        <v>Home</v>
      </c>
      <c r="K378" s="70" t="str">
        <f t="shared" si="531"/>
        <v>Accents</v>
      </c>
      <c r="L378" s="70" t="str">
        <f t="shared" si="531"/>
        <v>Door Mats</v>
      </c>
    </row>
    <row r="379" ht="12.75" customHeight="1">
      <c r="B379" s="70" t="s">
        <v>3338</v>
      </c>
      <c r="C379" s="58" t="s">
        <v>3337</v>
      </c>
      <c r="D379" s="58" t="s">
        <v>3675</v>
      </c>
      <c r="J379" s="70" t="str">
        <f t="shared" ref="J379:L379" si="532">LEFT(B379,LEN(B379)-LEN(RIGHT(B379,27)))</f>
        <v>Home</v>
      </c>
      <c r="K379" s="70" t="str">
        <f t="shared" si="532"/>
        <v>Accents</v>
      </c>
      <c r="L379" s="70" t="str">
        <f t="shared" si="532"/>
        <v>Faux Florals</v>
      </c>
    </row>
    <row r="380" ht="12.75" customHeight="1">
      <c r="B380" s="70" t="s">
        <v>3338</v>
      </c>
      <c r="C380" s="58" t="s">
        <v>3337</v>
      </c>
      <c r="D380" s="58" t="s">
        <v>3676</v>
      </c>
      <c r="J380" s="70" t="str">
        <f t="shared" ref="J380:L380" si="533">LEFT(B380,LEN(B380)-LEN(RIGHT(B380,27)))</f>
        <v>Home</v>
      </c>
      <c r="K380" s="70" t="str">
        <f t="shared" si="533"/>
        <v>Accents</v>
      </c>
      <c r="L380" s="70" t="str">
        <f t="shared" si="533"/>
        <v>Furniture Covers</v>
      </c>
    </row>
    <row r="381" ht="12.75" customHeight="1">
      <c r="B381" s="70" t="s">
        <v>3338</v>
      </c>
      <c r="C381" s="58" t="s">
        <v>3337</v>
      </c>
      <c r="D381" s="58" t="s">
        <v>3677</v>
      </c>
      <c r="J381" s="70" t="str">
        <f t="shared" ref="J381:L381" si="534">LEFT(B381,LEN(B381)-LEN(RIGHT(B381,27)))</f>
        <v>Home</v>
      </c>
      <c r="K381" s="70" t="str">
        <f t="shared" si="534"/>
        <v>Accents</v>
      </c>
      <c r="L381" s="70" t="str">
        <f t="shared" si="534"/>
        <v>Lanterns</v>
      </c>
    </row>
    <row r="382" ht="12.75" customHeight="1">
      <c r="B382" s="70" t="s">
        <v>3338</v>
      </c>
      <c r="C382" s="58" t="s">
        <v>3337</v>
      </c>
      <c r="D382" s="58" t="s">
        <v>3678</v>
      </c>
      <c r="J382" s="70" t="str">
        <f t="shared" ref="J382:L382" si="535">LEFT(B382,LEN(B382)-LEN(RIGHT(B382,27)))</f>
        <v>Home</v>
      </c>
      <c r="K382" s="70" t="str">
        <f t="shared" si="535"/>
        <v>Accents</v>
      </c>
      <c r="L382" s="70" t="str">
        <f t="shared" si="535"/>
        <v>Picture Frames</v>
      </c>
    </row>
    <row r="383" ht="12.75" customHeight="1">
      <c r="B383" s="70" t="s">
        <v>3338</v>
      </c>
      <c r="C383" s="58" t="s">
        <v>3337</v>
      </c>
      <c r="D383" s="58" t="s">
        <v>3679</v>
      </c>
      <c r="J383" s="70" t="str">
        <f t="shared" ref="J383:L383" si="536">LEFT(B383,LEN(B383)-LEN(RIGHT(B383,27)))</f>
        <v>Home</v>
      </c>
      <c r="K383" s="70" t="str">
        <f t="shared" si="536"/>
        <v>Accents</v>
      </c>
      <c r="L383" s="70" t="str">
        <f t="shared" si="536"/>
        <v>Vases</v>
      </c>
    </row>
    <row r="384" ht="12.75" customHeight="1">
      <c r="B384" s="70" t="s">
        <v>3338</v>
      </c>
      <c r="C384" s="58" t="s">
        <v>3340</v>
      </c>
      <c r="D384" s="58" t="s">
        <v>3680</v>
      </c>
      <c r="J384" s="70" t="str">
        <f t="shared" ref="J384:L384" si="537">LEFT(B384,LEN(B384)-LEN(RIGHT(B384,27)))</f>
        <v>Home</v>
      </c>
      <c r="K384" s="70" t="str">
        <f t="shared" si="537"/>
        <v>Art</v>
      </c>
      <c r="L384" s="70" t="str">
        <f t="shared" si="537"/>
        <v>Ceramics</v>
      </c>
    </row>
    <row r="385" ht="12.75" customHeight="1">
      <c r="B385" s="70" t="s">
        <v>3338</v>
      </c>
      <c r="C385" s="58" t="s">
        <v>3340</v>
      </c>
      <c r="D385" s="58" t="s">
        <v>3681</v>
      </c>
      <c r="J385" s="70" t="str">
        <f t="shared" ref="J385:L385" si="538">LEFT(B385,LEN(B385)-LEN(RIGHT(B385,27)))</f>
        <v>Home</v>
      </c>
      <c r="K385" s="70" t="str">
        <f t="shared" si="538"/>
        <v>Art</v>
      </c>
      <c r="L385" s="70" t="str">
        <f t="shared" si="538"/>
        <v>Drawing &amp; Illustrations</v>
      </c>
    </row>
    <row r="386" ht="12.75" customHeight="1">
      <c r="B386" s="70" t="s">
        <v>3338</v>
      </c>
      <c r="C386" s="58" t="s">
        <v>3340</v>
      </c>
      <c r="D386" s="58" t="s">
        <v>3682</v>
      </c>
      <c r="J386" s="70" t="str">
        <f t="shared" ref="J386:L386" si="539">LEFT(B386,LEN(B386)-LEN(RIGHT(B386,27)))</f>
        <v>Home</v>
      </c>
      <c r="K386" s="70" t="str">
        <f t="shared" si="539"/>
        <v>Art</v>
      </c>
      <c r="L386" s="70" t="str">
        <f t="shared" si="539"/>
        <v>Fiber Arts</v>
      </c>
    </row>
    <row r="387" ht="12.75" customHeight="1">
      <c r="B387" s="70" t="s">
        <v>3338</v>
      </c>
      <c r="C387" s="58" t="s">
        <v>3340</v>
      </c>
      <c r="D387" s="58" t="s">
        <v>3683</v>
      </c>
      <c r="J387" s="70" t="str">
        <f t="shared" ref="J387:L387" si="540">LEFT(B387,LEN(B387)-LEN(RIGHT(B387,27)))</f>
        <v>Home</v>
      </c>
      <c r="K387" s="70" t="str">
        <f t="shared" si="540"/>
        <v>Art</v>
      </c>
      <c r="L387" s="70" t="str">
        <f t="shared" si="540"/>
        <v>Glass Art</v>
      </c>
    </row>
    <row r="388" ht="12.75" customHeight="1">
      <c r="B388" s="70" t="s">
        <v>3338</v>
      </c>
      <c r="C388" s="58" t="s">
        <v>3340</v>
      </c>
      <c r="D388" s="58" t="s">
        <v>3684</v>
      </c>
      <c r="J388" s="70" t="str">
        <f t="shared" ref="J388:L388" si="541">LEFT(B388,LEN(B388)-LEN(RIGHT(B388,27)))</f>
        <v>Home</v>
      </c>
      <c r="K388" s="70" t="str">
        <f t="shared" si="541"/>
        <v>Art</v>
      </c>
      <c r="L388" s="70" t="str">
        <f t="shared" si="541"/>
        <v>Mixed Media</v>
      </c>
    </row>
    <row r="389" ht="12.75" customHeight="1">
      <c r="B389" s="70" t="s">
        <v>3338</v>
      </c>
      <c r="C389" s="58" t="s">
        <v>3340</v>
      </c>
      <c r="D389" s="58" t="s">
        <v>3685</v>
      </c>
      <c r="J389" s="70" t="str">
        <f t="shared" ref="J389:L389" si="542">LEFT(B389,LEN(B389)-LEN(RIGHT(B389,27)))</f>
        <v>Home</v>
      </c>
      <c r="K389" s="70" t="str">
        <f t="shared" si="542"/>
        <v>Art</v>
      </c>
      <c r="L389" s="70" t="str">
        <f t="shared" si="542"/>
        <v>Painting</v>
      </c>
    </row>
    <row r="390" ht="12.75" customHeight="1">
      <c r="B390" s="70" t="s">
        <v>3338</v>
      </c>
      <c r="C390" s="58" t="s">
        <v>3340</v>
      </c>
      <c r="D390" s="58" t="s">
        <v>3686</v>
      </c>
      <c r="J390" s="70" t="str">
        <f t="shared" ref="J390:L390" si="543">LEFT(B390,LEN(B390)-LEN(RIGHT(B390,27)))</f>
        <v>Home</v>
      </c>
      <c r="K390" s="70" t="str">
        <f t="shared" si="543"/>
        <v>Art</v>
      </c>
      <c r="L390" s="70" t="str">
        <f t="shared" si="543"/>
        <v>Photography</v>
      </c>
    </row>
    <row r="391" ht="12.75" customHeight="1">
      <c r="B391" s="70" t="s">
        <v>3338</v>
      </c>
      <c r="C391" s="58" t="s">
        <v>3340</v>
      </c>
      <c r="D391" s="58" t="s">
        <v>3687</v>
      </c>
      <c r="J391" s="70" t="str">
        <f t="shared" ref="J391:L391" si="544">LEFT(B391,LEN(B391)-LEN(RIGHT(B391,27)))</f>
        <v>Home</v>
      </c>
      <c r="K391" s="70" t="str">
        <f t="shared" si="544"/>
        <v>Art</v>
      </c>
      <c r="L391" s="70" t="str">
        <f t="shared" si="544"/>
        <v>Posters</v>
      </c>
    </row>
    <row r="392" ht="12.75" customHeight="1">
      <c r="B392" s="70" t="s">
        <v>3338</v>
      </c>
      <c r="C392" s="58" t="s">
        <v>3340</v>
      </c>
      <c r="D392" s="58" t="s">
        <v>3688</v>
      </c>
      <c r="J392" s="70" t="str">
        <f t="shared" ref="J392:L392" si="545">LEFT(B392,LEN(B392)-LEN(RIGHT(B392,27)))</f>
        <v>Home</v>
      </c>
      <c r="K392" s="70" t="str">
        <f t="shared" si="545"/>
        <v>Art</v>
      </c>
      <c r="L392" s="70" t="str">
        <f t="shared" si="545"/>
        <v>Prints</v>
      </c>
    </row>
    <row r="393" ht="12.75" customHeight="1">
      <c r="B393" s="70" t="s">
        <v>3338</v>
      </c>
      <c r="C393" s="58" t="s">
        <v>3340</v>
      </c>
      <c r="D393" s="58" t="s">
        <v>3689</v>
      </c>
      <c r="J393" s="70" t="str">
        <f t="shared" ref="J393:L393" si="546">LEFT(B393,LEN(B393)-LEN(RIGHT(B393,27)))</f>
        <v>Home</v>
      </c>
      <c r="K393" s="70" t="str">
        <f t="shared" si="546"/>
        <v>Art</v>
      </c>
      <c r="L393" s="70" t="str">
        <f t="shared" si="546"/>
        <v>Sculpture</v>
      </c>
    </row>
    <row r="394" ht="12.75" customHeight="1">
      <c r="B394" s="70" t="s">
        <v>3338</v>
      </c>
      <c r="C394" s="58" t="s">
        <v>3342</v>
      </c>
      <c r="D394" s="58" t="s">
        <v>3690</v>
      </c>
      <c r="J394" s="70" t="str">
        <f t="shared" ref="J394:L394" si="547">LEFT(B394,LEN(B394)-LEN(RIGHT(B394,27)))</f>
        <v>Home</v>
      </c>
      <c r="K394" s="70" t="str">
        <f t="shared" si="547"/>
        <v>Bath</v>
      </c>
      <c r="L394" s="70" t="str">
        <f t="shared" si="547"/>
        <v>Bath Accessories</v>
      </c>
    </row>
    <row r="395" ht="12.75" customHeight="1">
      <c r="B395" s="70" t="s">
        <v>3338</v>
      </c>
      <c r="C395" s="58" t="s">
        <v>3342</v>
      </c>
      <c r="D395" s="58" t="s">
        <v>3691</v>
      </c>
      <c r="J395" s="70" t="str">
        <f t="shared" ref="J395:L395" si="548">LEFT(B395,LEN(B395)-LEN(RIGHT(B395,27)))</f>
        <v>Home</v>
      </c>
      <c r="K395" s="70" t="str">
        <f t="shared" si="548"/>
        <v>Bath</v>
      </c>
      <c r="L395" s="70" t="str">
        <f t="shared" si="548"/>
        <v>Bath Storage</v>
      </c>
    </row>
    <row r="396" ht="12.75" customHeight="1">
      <c r="B396" s="70" t="s">
        <v>3338</v>
      </c>
      <c r="C396" s="58" t="s">
        <v>3342</v>
      </c>
      <c r="D396" s="58" t="s">
        <v>3692</v>
      </c>
      <c r="J396" s="70" t="str">
        <f t="shared" ref="J396:L396" si="549">LEFT(B396,LEN(B396)-LEN(RIGHT(B396,27)))</f>
        <v>Home</v>
      </c>
      <c r="K396" s="70" t="str">
        <f t="shared" si="549"/>
        <v>Bath</v>
      </c>
      <c r="L396" s="70" t="str">
        <f t="shared" si="549"/>
        <v>Bath Towels</v>
      </c>
    </row>
    <row r="397" ht="12.75" customHeight="1">
      <c r="B397" s="70" t="s">
        <v>3338</v>
      </c>
      <c r="C397" s="58" t="s">
        <v>3342</v>
      </c>
      <c r="D397" s="58" t="s">
        <v>3693</v>
      </c>
      <c r="J397" s="70" t="str">
        <f t="shared" ref="J397:L397" si="550">LEFT(B397,LEN(B397)-LEN(RIGHT(B397,27)))</f>
        <v>Home</v>
      </c>
      <c r="K397" s="70" t="str">
        <f t="shared" si="550"/>
        <v>Bath</v>
      </c>
      <c r="L397" s="70" t="str">
        <f t="shared" si="550"/>
        <v>Beach Towels</v>
      </c>
    </row>
    <row r="398" ht="12.75" customHeight="1">
      <c r="B398" s="70" t="s">
        <v>3338</v>
      </c>
      <c r="C398" s="58" t="s">
        <v>3342</v>
      </c>
      <c r="D398" s="58" t="s">
        <v>3694</v>
      </c>
      <c r="J398" s="70" t="str">
        <f t="shared" ref="J398:L398" si="551">LEFT(B398,LEN(B398)-LEN(RIGHT(B398,27)))</f>
        <v>Home</v>
      </c>
      <c r="K398" s="70" t="str">
        <f t="shared" si="551"/>
        <v>Bath</v>
      </c>
      <c r="L398" s="70" t="str">
        <f t="shared" si="551"/>
        <v>Hand Towels</v>
      </c>
    </row>
    <row r="399" ht="12.75" customHeight="1">
      <c r="B399" s="70" t="s">
        <v>3338</v>
      </c>
      <c r="C399" s="58" t="s">
        <v>3342</v>
      </c>
      <c r="D399" s="58" t="s">
        <v>3695</v>
      </c>
      <c r="J399" s="70" t="str">
        <f t="shared" ref="J399:L399" si="552">LEFT(B399,LEN(B399)-LEN(RIGHT(B399,27)))</f>
        <v>Home</v>
      </c>
      <c r="K399" s="70" t="str">
        <f t="shared" si="552"/>
        <v>Bath</v>
      </c>
      <c r="L399" s="70" t="str">
        <f t="shared" si="552"/>
        <v>Mats</v>
      </c>
    </row>
    <row r="400" ht="12.75" customHeight="1">
      <c r="B400" s="70" t="s">
        <v>3338</v>
      </c>
      <c r="C400" s="58" t="s">
        <v>3342</v>
      </c>
      <c r="D400" s="58" t="s">
        <v>3696</v>
      </c>
      <c r="J400" s="70" t="str">
        <f t="shared" ref="J400:L400" si="553">LEFT(B400,LEN(B400)-LEN(RIGHT(B400,27)))</f>
        <v>Home</v>
      </c>
      <c r="K400" s="70" t="str">
        <f t="shared" si="553"/>
        <v>Bath</v>
      </c>
      <c r="L400" s="70" t="str">
        <f t="shared" si="553"/>
        <v>Shower Curtains</v>
      </c>
    </row>
    <row r="401" ht="12.75" customHeight="1">
      <c r="B401" s="70" t="s">
        <v>3338</v>
      </c>
      <c r="C401" s="58" t="s">
        <v>3342</v>
      </c>
      <c r="D401" s="58" t="s">
        <v>3697</v>
      </c>
      <c r="J401" s="70" t="str">
        <f t="shared" ref="J401:L401" si="554">LEFT(B401,LEN(B401)-LEN(RIGHT(B401,27)))</f>
        <v>Home</v>
      </c>
      <c r="K401" s="70" t="str">
        <f t="shared" si="554"/>
        <v>Bath</v>
      </c>
      <c r="L401" s="70" t="str">
        <f t="shared" si="554"/>
        <v>Vanity Mirrors</v>
      </c>
    </row>
    <row r="402" ht="12.75" customHeight="1">
      <c r="B402" s="70" t="s">
        <v>3338</v>
      </c>
      <c r="C402" s="58" t="s">
        <v>3342</v>
      </c>
      <c r="D402" s="58" t="s">
        <v>3698</v>
      </c>
      <c r="J402" s="70" t="str">
        <f t="shared" ref="J402:L402" si="555">LEFT(B402,LEN(B402)-LEN(RIGHT(B402,27)))</f>
        <v>Home</v>
      </c>
      <c r="K402" s="70" t="str">
        <f t="shared" si="555"/>
        <v>Bath</v>
      </c>
      <c r="L402" s="70" t="str">
        <f t="shared" si="555"/>
        <v>Vanity Trays</v>
      </c>
    </row>
    <row r="403" ht="12.75" customHeight="1">
      <c r="B403" s="70" t="s">
        <v>3338</v>
      </c>
      <c r="C403" s="58" t="s">
        <v>3342</v>
      </c>
      <c r="D403" s="58" t="s">
        <v>3699</v>
      </c>
      <c r="J403" s="70" t="str">
        <f t="shared" ref="J403:L403" si="556">LEFT(B403,LEN(B403)-LEN(RIGHT(B403,27)))</f>
        <v>Home</v>
      </c>
      <c r="K403" s="70" t="str">
        <f t="shared" si="556"/>
        <v>Bath</v>
      </c>
      <c r="L403" s="70" t="str">
        <f t="shared" si="556"/>
        <v>Wash Cloths</v>
      </c>
    </row>
    <row r="404" ht="12.75" customHeight="1">
      <c r="B404" s="70" t="s">
        <v>3338</v>
      </c>
      <c r="C404" s="58" t="s">
        <v>3344</v>
      </c>
      <c r="D404" s="58" t="s">
        <v>3700</v>
      </c>
      <c r="J404" s="70" t="str">
        <f t="shared" ref="J404:L404" si="557">LEFT(B404,LEN(B404)-LEN(RIGHT(B404,27)))</f>
        <v>Home</v>
      </c>
      <c r="K404" s="70" t="str">
        <f t="shared" si="557"/>
        <v>Bedding</v>
      </c>
      <c r="L404" s="70" t="str">
        <f t="shared" si="557"/>
        <v>Blankets &amp; Throws</v>
      </c>
    </row>
    <row r="405" ht="12.75" customHeight="1">
      <c r="B405" s="70" t="s">
        <v>3338</v>
      </c>
      <c r="C405" s="58" t="s">
        <v>3344</v>
      </c>
      <c r="D405" s="58" t="s">
        <v>3701</v>
      </c>
      <c r="J405" s="70" t="str">
        <f t="shared" ref="J405:L405" si="558">LEFT(B405,LEN(B405)-LEN(RIGHT(B405,27)))</f>
        <v>Home</v>
      </c>
      <c r="K405" s="70" t="str">
        <f t="shared" si="558"/>
        <v>Bedding</v>
      </c>
      <c r="L405" s="70" t="str">
        <f t="shared" si="558"/>
        <v>Comforters</v>
      </c>
    </row>
    <row r="406" ht="12.75" customHeight="1">
      <c r="B406" s="70" t="s">
        <v>3338</v>
      </c>
      <c r="C406" s="58" t="s">
        <v>3344</v>
      </c>
      <c r="D406" s="58" t="s">
        <v>3702</v>
      </c>
      <c r="J406" s="70" t="str">
        <f t="shared" ref="J406:L406" si="559">LEFT(B406,LEN(B406)-LEN(RIGHT(B406,27)))</f>
        <v>Home</v>
      </c>
      <c r="K406" s="70" t="str">
        <f t="shared" si="559"/>
        <v>Bedding</v>
      </c>
      <c r="L406" s="70" t="str">
        <f t="shared" si="559"/>
        <v>Duvet Covers</v>
      </c>
    </row>
    <row r="407" ht="12.75" customHeight="1">
      <c r="B407" s="70" t="s">
        <v>3338</v>
      </c>
      <c r="C407" s="58" t="s">
        <v>3344</v>
      </c>
      <c r="D407" s="58" t="s">
        <v>3703</v>
      </c>
      <c r="J407" s="70" t="str">
        <f t="shared" ref="J407:L407" si="560">LEFT(B407,LEN(B407)-LEN(RIGHT(B407,27)))</f>
        <v>Home</v>
      </c>
      <c r="K407" s="70" t="str">
        <f t="shared" si="560"/>
        <v>Bedding</v>
      </c>
      <c r="L407" s="70" t="str">
        <f t="shared" si="560"/>
        <v>Mattress Covers</v>
      </c>
    </row>
    <row r="408" ht="12.75" customHeight="1">
      <c r="B408" s="70" t="s">
        <v>3338</v>
      </c>
      <c r="C408" s="58" t="s">
        <v>3344</v>
      </c>
      <c r="D408" s="58" t="s">
        <v>3704</v>
      </c>
      <c r="J408" s="70" t="str">
        <f t="shared" ref="J408:L408" si="561">LEFT(B408,LEN(B408)-LEN(RIGHT(B408,27)))</f>
        <v>Home</v>
      </c>
      <c r="K408" s="70" t="str">
        <f t="shared" si="561"/>
        <v>Bedding</v>
      </c>
      <c r="L408" s="70" t="str">
        <f t="shared" si="561"/>
        <v>Pillows</v>
      </c>
    </row>
    <row r="409" ht="12.75" customHeight="1">
      <c r="B409" s="70" t="s">
        <v>3338</v>
      </c>
      <c r="C409" s="58" t="s">
        <v>3344</v>
      </c>
      <c r="D409" s="58" t="s">
        <v>3705</v>
      </c>
      <c r="J409" s="70" t="str">
        <f t="shared" ref="J409:L409" si="562">LEFT(B409,LEN(B409)-LEN(RIGHT(B409,27)))</f>
        <v>Home</v>
      </c>
      <c r="K409" s="70" t="str">
        <f t="shared" si="562"/>
        <v>Bedding</v>
      </c>
      <c r="L409" s="70" t="str">
        <f t="shared" si="562"/>
        <v>Quilts</v>
      </c>
    </row>
    <row r="410" ht="12.75" customHeight="1">
      <c r="B410" s="70" t="s">
        <v>3338</v>
      </c>
      <c r="C410" s="58" t="s">
        <v>3344</v>
      </c>
      <c r="D410" s="58" t="s">
        <v>3706</v>
      </c>
      <c r="J410" s="70" t="str">
        <f t="shared" ref="J410:L410" si="563">LEFT(B410,LEN(B410)-LEN(RIGHT(B410,27)))</f>
        <v>Home</v>
      </c>
      <c r="K410" s="70" t="str">
        <f t="shared" si="563"/>
        <v>Bedding</v>
      </c>
      <c r="L410" s="70" t="str">
        <f t="shared" si="563"/>
        <v>Sheets</v>
      </c>
    </row>
    <row r="411" ht="12.75" customHeight="1">
      <c r="B411" s="70" t="s">
        <v>3338</v>
      </c>
      <c r="C411" s="58" t="s">
        <v>3346</v>
      </c>
      <c r="D411" s="58" t="s">
        <v>3707</v>
      </c>
      <c r="J411" s="70" t="str">
        <f t="shared" ref="J411:L411" si="564">LEFT(B411,LEN(B411)-LEN(RIGHT(B411,27)))</f>
        <v>Home</v>
      </c>
      <c r="K411" s="70" t="str">
        <f t="shared" si="564"/>
        <v>Design</v>
      </c>
      <c r="L411" s="70" t="str">
        <f t="shared" si="564"/>
        <v>Birthday Cards</v>
      </c>
    </row>
    <row r="412" ht="12.75" customHeight="1">
      <c r="B412" s="70" t="s">
        <v>3338</v>
      </c>
      <c r="C412" s="58" t="s">
        <v>3346</v>
      </c>
      <c r="D412" s="58" t="s">
        <v>3708</v>
      </c>
      <c r="J412" s="70" t="str">
        <f t="shared" ref="J412:L412" si="565">LEFT(B412,LEN(B412)-LEN(RIGHT(B412,27)))</f>
        <v>Home</v>
      </c>
      <c r="K412" s="70" t="str">
        <f t="shared" si="565"/>
        <v>Design</v>
      </c>
      <c r="L412" s="70" t="str">
        <f t="shared" si="565"/>
        <v>Business Cards</v>
      </c>
    </row>
    <row r="413" ht="12.75" customHeight="1">
      <c r="B413" s="70" t="s">
        <v>3338</v>
      </c>
      <c r="C413" s="58" t="s">
        <v>3346</v>
      </c>
      <c r="D413" s="58" t="s">
        <v>3709</v>
      </c>
      <c r="J413" s="70" t="str">
        <f t="shared" ref="J413:L413" si="566">LEFT(B413,LEN(B413)-LEN(RIGHT(B413,27)))</f>
        <v>Home</v>
      </c>
      <c r="K413" s="70" t="str">
        <f t="shared" si="566"/>
        <v>Design</v>
      </c>
      <c r="L413" s="70" t="str">
        <f t="shared" si="566"/>
        <v>Planners</v>
      </c>
    </row>
    <row r="414" ht="12.75" customHeight="1">
      <c r="B414" s="70" t="s">
        <v>3338</v>
      </c>
      <c r="C414" s="58" t="s">
        <v>3346</v>
      </c>
      <c r="D414" s="58" t="s">
        <v>3710</v>
      </c>
      <c r="J414" s="70" t="str">
        <f t="shared" ref="J414:L414" si="567">LEFT(B414,LEN(B414)-LEN(RIGHT(B414,27)))</f>
        <v>Home</v>
      </c>
      <c r="K414" s="70" t="str">
        <f t="shared" si="567"/>
        <v>Design</v>
      </c>
      <c r="L414" s="70" t="str">
        <f t="shared" si="567"/>
        <v>Stamps</v>
      </c>
    </row>
    <row r="415" ht="12.75" customHeight="1">
      <c r="B415" s="70" t="s">
        <v>3338</v>
      </c>
      <c r="C415" s="58" t="s">
        <v>3346</v>
      </c>
      <c r="D415" s="58" t="s">
        <v>3711</v>
      </c>
      <c r="J415" s="70" t="str">
        <f t="shared" ref="J415:L415" si="568">LEFT(B415,LEN(B415)-LEN(RIGHT(B415,27)))</f>
        <v>Home</v>
      </c>
      <c r="K415" s="70" t="str">
        <f t="shared" si="568"/>
        <v>Design</v>
      </c>
      <c r="L415" s="70" t="str">
        <f t="shared" si="568"/>
        <v>Stickers</v>
      </c>
    </row>
    <row r="416" ht="12.75" customHeight="1">
      <c r="B416" s="70" t="s">
        <v>3338</v>
      </c>
      <c r="C416" s="58" t="s">
        <v>3346</v>
      </c>
      <c r="D416" s="58" t="s">
        <v>3712</v>
      </c>
      <c r="J416" s="70" t="str">
        <f t="shared" ref="J416:L416" si="569">LEFT(B416,LEN(B416)-LEN(RIGHT(B416,27)))</f>
        <v>Home</v>
      </c>
      <c r="K416" s="70" t="str">
        <f t="shared" si="569"/>
        <v>Design</v>
      </c>
      <c r="L416" s="70" t="str">
        <f t="shared" si="569"/>
        <v>Thank You Cards</v>
      </c>
    </row>
    <row r="417" ht="12.75" customHeight="1">
      <c r="B417" s="70" t="s">
        <v>3338</v>
      </c>
      <c r="C417" s="58" t="s">
        <v>3348</v>
      </c>
      <c r="D417" s="58" t="s">
        <v>3713</v>
      </c>
      <c r="J417" s="70" t="str">
        <f t="shared" ref="J417:L417" si="570">LEFT(B417,LEN(B417)-LEN(RIGHT(B417,27)))</f>
        <v>Home</v>
      </c>
      <c r="K417" s="70" t="str">
        <f t="shared" si="570"/>
        <v>Dining</v>
      </c>
      <c r="L417" s="70" t="str">
        <f t="shared" si="570"/>
        <v>Bar Accessories</v>
      </c>
    </row>
    <row r="418" ht="12.75" customHeight="1">
      <c r="B418" s="70" t="s">
        <v>3338</v>
      </c>
      <c r="C418" s="58" t="s">
        <v>3348</v>
      </c>
      <c r="D418" s="58" t="s">
        <v>3714</v>
      </c>
      <c r="J418" s="70" t="str">
        <f t="shared" ref="J418:L418" si="571">LEFT(B418,LEN(B418)-LEN(RIGHT(B418,27)))</f>
        <v>Home</v>
      </c>
      <c r="K418" s="70" t="str">
        <f t="shared" si="571"/>
        <v>Dining</v>
      </c>
      <c r="L418" s="70" t="str">
        <f t="shared" si="571"/>
        <v>Dinnerware</v>
      </c>
    </row>
    <row r="419" ht="12.75" customHeight="1">
      <c r="B419" s="70" t="s">
        <v>3338</v>
      </c>
      <c r="C419" s="58" t="s">
        <v>3348</v>
      </c>
      <c r="D419" s="58" t="s">
        <v>3715</v>
      </c>
      <c r="J419" s="70" t="str">
        <f t="shared" ref="J419:L419" si="572">LEFT(B419,LEN(B419)-LEN(RIGHT(B419,27)))</f>
        <v>Home</v>
      </c>
      <c r="K419" s="70" t="str">
        <f t="shared" si="572"/>
        <v>Dining</v>
      </c>
      <c r="L419" s="70" t="str">
        <f t="shared" si="572"/>
        <v>Drinkware</v>
      </c>
    </row>
    <row r="420" ht="12.75" customHeight="1">
      <c r="B420" s="70" t="s">
        <v>3338</v>
      </c>
      <c r="C420" s="58" t="s">
        <v>3348</v>
      </c>
      <c r="D420" s="58" t="s">
        <v>3716</v>
      </c>
      <c r="J420" s="70" t="str">
        <f t="shared" ref="J420:L420" si="573">LEFT(B420,LEN(B420)-LEN(RIGHT(B420,27)))</f>
        <v>Home</v>
      </c>
      <c r="K420" s="70" t="str">
        <f t="shared" si="573"/>
        <v>Dining</v>
      </c>
      <c r="L420" s="70" t="str">
        <f t="shared" si="573"/>
        <v>Flatware</v>
      </c>
    </row>
    <row r="421" ht="12.75" customHeight="1">
      <c r="B421" s="70" t="s">
        <v>3338</v>
      </c>
      <c r="C421" s="58" t="s">
        <v>3348</v>
      </c>
      <c r="D421" s="58" t="s">
        <v>3717</v>
      </c>
      <c r="J421" s="70" t="str">
        <f t="shared" ref="J421:L421" si="574">LEFT(B421,LEN(B421)-LEN(RIGHT(B421,27)))</f>
        <v>Home</v>
      </c>
      <c r="K421" s="70" t="str">
        <f t="shared" si="574"/>
        <v>Dining</v>
      </c>
      <c r="L421" s="70" t="str">
        <f t="shared" si="574"/>
        <v>Mugs</v>
      </c>
    </row>
    <row r="422" ht="12.75" customHeight="1">
      <c r="B422" s="70" t="s">
        <v>3338</v>
      </c>
      <c r="C422" s="58" t="s">
        <v>3348</v>
      </c>
      <c r="D422" s="58" t="s">
        <v>3718</v>
      </c>
      <c r="J422" s="70" t="str">
        <f t="shared" ref="J422:L422" si="575">LEFT(B422,LEN(B422)-LEN(RIGHT(B422,27)))</f>
        <v>Home</v>
      </c>
      <c r="K422" s="70" t="str">
        <f t="shared" si="575"/>
        <v>Dining</v>
      </c>
      <c r="L422" s="70" t="str">
        <f t="shared" si="575"/>
        <v>Serveware</v>
      </c>
    </row>
    <row r="423" ht="12.75" customHeight="1">
      <c r="B423" s="70" t="s">
        <v>3338</v>
      </c>
      <c r="C423" s="58" t="s">
        <v>3348</v>
      </c>
      <c r="D423" s="58" t="s">
        <v>3719</v>
      </c>
      <c r="J423" s="70" t="str">
        <f t="shared" ref="J423:L423" si="576">LEFT(B423,LEN(B423)-LEN(RIGHT(B423,27)))</f>
        <v>Home</v>
      </c>
      <c r="K423" s="70" t="str">
        <f t="shared" si="576"/>
        <v>Dining</v>
      </c>
      <c r="L423" s="70" t="str">
        <f t="shared" si="576"/>
        <v>Serving Utensils</v>
      </c>
    </row>
    <row r="424" ht="12.75" customHeight="1">
      <c r="B424" s="70" t="s">
        <v>3338</v>
      </c>
      <c r="C424" s="58" t="s">
        <v>3348</v>
      </c>
      <c r="D424" s="58" t="s">
        <v>3720</v>
      </c>
      <c r="J424" s="70" t="str">
        <f t="shared" ref="J424:L424" si="577">LEFT(B424,LEN(B424)-LEN(RIGHT(B424,27)))</f>
        <v>Home</v>
      </c>
      <c r="K424" s="70" t="str">
        <f t="shared" si="577"/>
        <v>Dining</v>
      </c>
      <c r="L424" s="70" t="str">
        <f t="shared" si="577"/>
        <v>Table Linens</v>
      </c>
    </row>
    <row r="425" ht="12.75" customHeight="1">
      <c r="B425" s="70" t="s">
        <v>3338</v>
      </c>
      <c r="C425" s="58" t="s">
        <v>3348</v>
      </c>
      <c r="D425" s="58" t="s">
        <v>3721</v>
      </c>
      <c r="J425" s="70" t="str">
        <f t="shared" ref="J425:L425" si="578">LEFT(B425,LEN(B425)-LEN(RIGHT(B425,27)))</f>
        <v>Home</v>
      </c>
      <c r="K425" s="70" t="str">
        <f t="shared" si="578"/>
        <v>Dining</v>
      </c>
      <c r="L425" s="70" t="str">
        <f t="shared" si="578"/>
        <v>Water Bottles &amp; Thermoses</v>
      </c>
    </row>
    <row r="426" ht="12.75" customHeight="1">
      <c r="B426" s="70" t="s">
        <v>3338</v>
      </c>
      <c r="C426" s="58" t="s">
        <v>3350</v>
      </c>
      <c r="D426" s="58" t="s">
        <v>3722</v>
      </c>
      <c r="J426" s="70" t="str">
        <f t="shared" ref="J426:L426" si="579">LEFT(B426,LEN(B426)-LEN(RIGHT(B426,27)))</f>
        <v>Home</v>
      </c>
      <c r="K426" s="70" t="str">
        <f t="shared" si="579"/>
        <v>Games</v>
      </c>
      <c r="L426" s="70" t="str">
        <f t="shared" si="579"/>
        <v>Board Games</v>
      </c>
    </row>
    <row r="427" ht="12.75" customHeight="1">
      <c r="B427" s="70" t="s">
        <v>3338</v>
      </c>
      <c r="C427" s="58" t="s">
        <v>3350</v>
      </c>
      <c r="D427" s="58" t="s">
        <v>3723</v>
      </c>
      <c r="J427" s="70" t="str">
        <f t="shared" ref="J427:L427" si="580">LEFT(B427,LEN(B427)-LEN(RIGHT(B427,27)))</f>
        <v>Home</v>
      </c>
      <c r="K427" s="70" t="str">
        <f t="shared" si="580"/>
        <v>Games</v>
      </c>
      <c r="L427" s="70" t="str">
        <f t="shared" si="580"/>
        <v>Card Games</v>
      </c>
    </row>
    <row r="428" ht="12.75" customHeight="1">
      <c r="B428" s="70" t="s">
        <v>3338</v>
      </c>
      <c r="C428" s="58" t="s">
        <v>3350</v>
      </c>
      <c r="D428" s="58" t="s">
        <v>3724</v>
      </c>
      <c r="J428" s="70" t="str">
        <f t="shared" ref="J428:L428" si="581">LEFT(B428,LEN(B428)-LEN(RIGHT(B428,27)))</f>
        <v>Home</v>
      </c>
      <c r="K428" s="70" t="str">
        <f t="shared" si="581"/>
        <v>Games</v>
      </c>
      <c r="L428" s="70" t="str">
        <f t="shared" si="581"/>
        <v>Outdoor Games</v>
      </c>
    </row>
    <row r="429" ht="12.75" customHeight="1">
      <c r="B429" s="70" t="s">
        <v>3338</v>
      </c>
      <c r="C429" s="58" t="s">
        <v>3350</v>
      </c>
      <c r="D429" s="58" t="s">
        <v>3725</v>
      </c>
      <c r="J429" s="70" t="str">
        <f t="shared" ref="J429:L429" si="582">LEFT(B429,LEN(B429)-LEN(RIGHT(B429,27)))</f>
        <v>Home</v>
      </c>
      <c r="K429" s="70" t="str">
        <f t="shared" si="582"/>
        <v>Games</v>
      </c>
      <c r="L429" s="70" t="str">
        <f t="shared" si="582"/>
        <v>Puzzles</v>
      </c>
    </row>
    <row r="430" ht="12.75" customHeight="1">
      <c r="B430" s="70" t="s">
        <v>3338</v>
      </c>
      <c r="C430" s="58" t="s">
        <v>3352</v>
      </c>
      <c r="D430" s="58" t="s">
        <v>3726</v>
      </c>
      <c r="J430" s="70" t="str">
        <f t="shared" ref="J430:L430" si="583">LEFT(B430,LEN(B430)-LEN(RIGHT(B430,27)))</f>
        <v>Home</v>
      </c>
      <c r="K430" s="70" t="str">
        <f t="shared" si="583"/>
        <v>Holiday</v>
      </c>
      <c r="L430" s="70" t="str">
        <f t="shared" si="583"/>
        <v>Garland</v>
      </c>
    </row>
    <row r="431" ht="12.75" customHeight="1">
      <c r="B431" s="70" t="s">
        <v>3338</v>
      </c>
      <c r="C431" s="58" t="s">
        <v>3352</v>
      </c>
      <c r="D431" s="58" t="s">
        <v>3727</v>
      </c>
      <c r="J431" s="70" t="str">
        <f t="shared" ref="J431:L431" si="584">LEFT(B431,LEN(B431)-LEN(RIGHT(B431,27)))</f>
        <v>Home</v>
      </c>
      <c r="K431" s="70" t="str">
        <f t="shared" si="584"/>
        <v>Holiday</v>
      </c>
      <c r="L431" s="70" t="str">
        <f t="shared" si="584"/>
        <v>Holiday Blankets &amp; Throws</v>
      </c>
    </row>
    <row r="432" ht="12.75" customHeight="1">
      <c r="B432" s="70" t="s">
        <v>3338</v>
      </c>
      <c r="C432" s="58" t="s">
        <v>3352</v>
      </c>
      <c r="D432" s="58" t="s">
        <v>3728</v>
      </c>
      <c r="J432" s="70" t="str">
        <f t="shared" ref="J432:L432" si="585">LEFT(B432,LEN(B432)-LEN(RIGHT(B432,27)))</f>
        <v>Home</v>
      </c>
      <c r="K432" s="70" t="str">
        <f t="shared" si="585"/>
        <v>Holiday</v>
      </c>
      <c r="L432" s="70" t="str">
        <f t="shared" si="585"/>
        <v>Holiday Decor</v>
      </c>
    </row>
    <row r="433" ht="12.75" customHeight="1">
      <c r="B433" s="70" t="s">
        <v>3338</v>
      </c>
      <c r="C433" s="58" t="s">
        <v>3352</v>
      </c>
      <c r="D433" s="58" t="s">
        <v>3729</v>
      </c>
      <c r="J433" s="70" t="str">
        <f t="shared" ref="J433:L433" si="586">LEFT(B433,LEN(B433)-LEN(RIGHT(B433,27)))</f>
        <v>Home</v>
      </c>
      <c r="K433" s="70" t="str">
        <f t="shared" si="586"/>
        <v>Holiday</v>
      </c>
      <c r="L433" s="70" t="str">
        <f t="shared" si="586"/>
        <v>Holiday Pillows</v>
      </c>
    </row>
    <row r="434" ht="12.75" customHeight="1">
      <c r="B434" s="70" t="s">
        <v>3338</v>
      </c>
      <c r="C434" s="58" t="s">
        <v>3352</v>
      </c>
      <c r="D434" s="58" t="s">
        <v>3730</v>
      </c>
      <c r="J434" s="70" t="str">
        <f t="shared" ref="J434:L434" si="587">LEFT(B434,LEN(B434)-LEN(RIGHT(B434,27)))</f>
        <v>Home</v>
      </c>
      <c r="K434" s="70" t="str">
        <f t="shared" si="587"/>
        <v>Holiday</v>
      </c>
      <c r="L434" s="70" t="str">
        <f t="shared" si="587"/>
        <v>Ornaments</v>
      </c>
    </row>
    <row r="435" ht="12.75" customHeight="1">
      <c r="B435" s="70" t="s">
        <v>3338</v>
      </c>
      <c r="C435" s="58" t="s">
        <v>3352</v>
      </c>
      <c r="D435" s="58" t="s">
        <v>3731</v>
      </c>
      <c r="J435" s="70" t="str">
        <f t="shared" ref="J435:L435" si="588">LEFT(B435,LEN(B435)-LEN(RIGHT(B435,27)))</f>
        <v>Home</v>
      </c>
      <c r="K435" s="70" t="str">
        <f t="shared" si="588"/>
        <v>Holiday</v>
      </c>
      <c r="L435" s="70" t="str">
        <f t="shared" si="588"/>
        <v>String Lights</v>
      </c>
    </row>
    <row r="436" ht="12.75" customHeight="1">
      <c r="B436" s="70" t="s">
        <v>3338</v>
      </c>
      <c r="C436" s="58" t="s">
        <v>3352</v>
      </c>
      <c r="D436" s="58" t="s">
        <v>3732</v>
      </c>
      <c r="J436" s="70" t="str">
        <f t="shared" ref="J436:L436" si="589">LEFT(B436,LEN(B436)-LEN(RIGHT(B436,27)))</f>
        <v>Home</v>
      </c>
      <c r="K436" s="70" t="str">
        <f t="shared" si="589"/>
        <v>Holiday</v>
      </c>
      <c r="L436" s="70" t="str">
        <f t="shared" si="589"/>
        <v>Wreaths</v>
      </c>
    </row>
    <row r="437" ht="12.75" customHeight="1">
      <c r="B437" s="70" t="s">
        <v>3338</v>
      </c>
      <c r="C437" s="58" t="s">
        <v>3354</v>
      </c>
      <c r="D437" s="58" t="s">
        <v>3733</v>
      </c>
      <c r="J437" s="70" t="str">
        <f t="shared" ref="J437:L437" si="590">LEFT(B437,LEN(B437)-LEN(RIGHT(B437,27)))</f>
        <v>Home</v>
      </c>
      <c r="K437" s="70" t="str">
        <f t="shared" si="590"/>
        <v>Kitchen</v>
      </c>
      <c r="L437" s="70" t="str">
        <f t="shared" si="590"/>
        <v>BBQ &amp; Grilling Tools</v>
      </c>
    </row>
    <row r="438" ht="12.75" customHeight="1">
      <c r="B438" s="70" t="s">
        <v>3338</v>
      </c>
      <c r="C438" s="58" t="s">
        <v>3354</v>
      </c>
      <c r="D438" s="58" t="s">
        <v>3734</v>
      </c>
      <c r="J438" s="70" t="str">
        <f t="shared" ref="J438:L438" si="591">LEFT(B438,LEN(B438)-LEN(RIGHT(B438,27)))</f>
        <v>Home</v>
      </c>
      <c r="K438" s="70" t="str">
        <f t="shared" si="591"/>
        <v>Kitchen</v>
      </c>
      <c r="L438" s="70" t="str">
        <f t="shared" si="591"/>
        <v>Bakeware</v>
      </c>
    </row>
    <row r="439" ht="12.75" customHeight="1">
      <c r="B439" s="70" t="s">
        <v>3338</v>
      </c>
      <c r="C439" s="58" t="s">
        <v>3354</v>
      </c>
      <c r="D439" s="58" t="s">
        <v>3735</v>
      </c>
      <c r="J439" s="70" t="str">
        <f t="shared" ref="J439:L439" si="592">LEFT(B439,LEN(B439)-LEN(RIGHT(B439,27)))</f>
        <v>Home</v>
      </c>
      <c r="K439" s="70" t="str">
        <f t="shared" si="592"/>
        <v>Kitchen</v>
      </c>
      <c r="L439" s="70" t="str">
        <f t="shared" si="592"/>
        <v>Coffee &amp; Tea Accessories</v>
      </c>
    </row>
    <row r="440" ht="12.75" customHeight="1">
      <c r="B440" s="70" t="s">
        <v>3338</v>
      </c>
      <c r="C440" s="58" t="s">
        <v>3354</v>
      </c>
      <c r="D440" s="58" t="s">
        <v>3736</v>
      </c>
      <c r="J440" s="70" t="str">
        <f t="shared" ref="J440:L440" si="593">LEFT(B440,LEN(B440)-LEN(RIGHT(B440,27)))</f>
        <v>Home</v>
      </c>
      <c r="K440" s="70" t="str">
        <f t="shared" si="593"/>
        <v>Kitchen</v>
      </c>
      <c r="L440" s="70" t="str">
        <f t="shared" si="593"/>
        <v>Cookbooks</v>
      </c>
    </row>
    <row r="441" ht="12.75" customHeight="1">
      <c r="B441" s="70" t="s">
        <v>3338</v>
      </c>
      <c r="C441" s="58" t="s">
        <v>3354</v>
      </c>
      <c r="D441" s="58" t="s">
        <v>3737</v>
      </c>
      <c r="J441" s="70" t="str">
        <f t="shared" ref="J441:L441" si="594">LEFT(B441,LEN(B441)-LEN(RIGHT(B441,27)))</f>
        <v>Home</v>
      </c>
      <c r="K441" s="70" t="str">
        <f t="shared" si="594"/>
        <v>Kitchen</v>
      </c>
      <c r="L441" s="70" t="str">
        <f t="shared" si="594"/>
        <v>Cooking Utensils</v>
      </c>
    </row>
    <row r="442" ht="12.75" customHeight="1">
      <c r="B442" s="70" t="s">
        <v>3338</v>
      </c>
      <c r="C442" s="58" t="s">
        <v>3354</v>
      </c>
      <c r="D442" s="58" t="s">
        <v>3738</v>
      </c>
      <c r="J442" s="70" t="str">
        <f t="shared" ref="J442:L442" si="595">LEFT(B442,LEN(B442)-LEN(RIGHT(B442,27)))</f>
        <v>Home</v>
      </c>
      <c r="K442" s="70" t="str">
        <f t="shared" si="595"/>
        <v>Kitchen</v>
      </c>
      <c r="L442" s="70" t="str">
        <f t="shared" si="595"/>
        <v>Cookware</v>
      </c>
    </row>
    <row r="443" ht="12.75" customHeight="1">
      <c r="B443" s="70" t="s">
        <v>3338</v>
      </c>
      <c r="C443" s="58" t="s">
        <v>3354</v>
      </c>
      <c r="D443" s="58" t="s">
        <v>3739</v>
      </c>
      <c r="J443" s="70" t="str">
        <f t="shared" ref="J443:L443" si="596">LEFT(B443,LEN(B443)-LEN(RIGHT(B443,27)))</f>
        <v>Home</v>
      </c>
      <c r="K443" s="70" t="str">
        <f t="shared" si="596"/>
        <v>Kitchen</v>
      </c>
      <c r="L443" s="70" t="str">
        <f t="shared" si="596"/>
        <v>Food Storage</v>
      </c>
    </row>
    <row r="444" ht="12.75" customHeight="1">
      <c r="B444" s="70" t="s">
        <v>3338</v>
      </c>
      <c r="C444" s="58" t="s">
        <v>3354</v>
      </c>
      <c r="D444" s="58" t="s">
        <v>3740</v>
      </c>
      <c r="J444" s="70" t="str">
        <f t="shared" ref="J444:L444" si="597">LEFT(B444,LEN(B444)-LEN(RIGHT(B444,27)))</f>
        <v>Home</v>
      </c>
      <c r="K444" s="70" t="str">
        <f t="shared" si="597"/>
        <v>Kitchen</v>
      </c>
      <c r="L444" s="70" t="str">
        <f t="shared" si="597"/>
        <v>Kitchen Linens</v>
      </c>
    </row>
    <row r="445" ht="12.75" customHeight="1">
      <c r="B445" s="70" t="s">
        <v>3338</v>
      </c>
      <c r="C445" s="58" t="s">
        <v>3354</v>
      </c>
      <c r="D445" s="58" t="s">
        <v>3741</v>
      </c>
      <c r="J445" s="70" t="str">
        <f t="shared" ref="J445:L445" si="598">LEFT(B445,LEN(B445)-LEN(RIGHT(B445,27)))</f>
        <v>Home</v>
      </c>
      <c r="K445" s="70" t="str">
        <f t="shared" si="598"/>
        <v>Kitchen</v>
      </c>
      <c r="L445" s="70" t="str">
        <f t="shared" si="598"/>
        <v>Kitchen Tools</v>
      </c>
    </row>
    <row r="446" ht="12.75" customHeight="1">
      <c r="B446" s="70" t="s">
        <v>3338</v>
      </c>
      <c r="C446" s="58" t="s">
        <v>3354</v>
      </c>
      <c r="D446" s="58" t="s">
        <v>3742</v>
      </c>
      <c r="J446" s="70" t="str">
        <f t="shared" ref="J446:L446" si="599">LEFT(B446,LEN(B446)-LEN(RIGHT(B446,27)))</f>
        <v>Home</v>
      </c>
      <c r="K446" s="70" t="str">
        <f t="shared" si="599"/>
        <v>Kitchen</v>
      </c>
      <c r="L446" s="70" t="str">
        <f t="shared" si="599"/>
        <v>Knives &amp; Cutlery</v>
      </c>
    </row>
    <row r="447" ht="12.75" customHeight="1">
      <c r="B447" s="70" t="s">
        <v>3338</v>
      </c>
      <c r="C447" s="58" t="s">
        <v>3356</v>
      </c>
      <c r="D447" s="58" t="s">
        <v>3743</v>
      </c>
      <c r="J447" s="70" t="str">
        <f t="shared" ref="J447:L447" si="600">LEFT(B447,LEN(B447)-LEN(RIGHT(B447,27)))</f>
        <v>Home</v>
      </c>
      <c r="K447" s="70" t="str">
        <f t="shared" si="600"/>
        <v>Office</v>
      </c>
      <c r="L447" s="70" t="str">
        <f t="shared" si="600"/>
        <v>Arts &amp; Crafts</v>
      </c>
    </row>
    <row r="448" ht="12.75" customHeight="1">
      <c r="B448" s="70" t="s">
        <v>3338</v>
      </c>
      <c r="C448" s="58" t="s">
        <v>3356</v>
      </c>
      <c r="D448" s="58" t="s">
        <v>3744</v>
      </c>
      <c r="J448" s="70" t="str">
        <f t="shared" ref="J448:L448" si="601">LEFT(B448,LEN(B448)-LEN(RIGHT(B448,27)))</f>
        <v>Home</v>
      </c>
      <c r="K448" s="70" t="str">
        <f t="shared" si="601"/>
        <v>Office</v>
      </c>
      <c r="L448" s="70" t="str">
        <f t="shared" si="601"/>
        <v>Binders &amp; Folders</v>
      </c>
    </row>
    <row r="449" ht="12.75" customHeight="1">
      <c r="B449" s="70" t="s">
        <v>3338</v>
      </c>
      <c r="C449" s="58" t="s">
        <v>3356</v>
      </c>
      <c r="D449" s="58" t="s">
        <v>3745</v>
      </c>
      <c r="J449" s="70" t="str">
        <f t="shared" ref="J449:L449" si="602">LEFT(B449,LEN(B449)-LEN(RIGHT(B449,27)))</f>
        <v>Home</v>
      </c>
      <c r="K449" s="70" t="str">
        <f t="shared" si="602"/>
        <v>Office</v>
      </c>
      <c r="L449" s="70" t="str">
        <f t="shared" si="602"/>
        <v>Calendars</v>
      </c>
    </row>
    <row r="450" ht="12.75" customHeight="1">
      <c r="B450" s="70" t="s">
        <v>3338</v>
      </c>
      <c r="C450" s="58" t="s">
        <v>3356</v>
      </c>
      <c r="D450" s="58" t="s">
        <v>3746</v>
      </c>
      <c r="J450" s="70" t="str">
        <f t="shared" ref="J450:L450" si="603">LEFT(B450,LEN(B450)-LEN(RIGHT(B450,27)))</f>
        <v>Home</v>
      </c>
      <c r="K450" s="70" t="str">
        <f t="shared" si="603"/>
        <v>Office</v>
      </c>
      <c r="L450" s="70" t="str">
        <f t="shared" si="603"/>
        <v>Labels &amp; Label Makers</v>
      </c>
    </row>
    <row r="451" ht="12.75" customHeight="1">
      <c r="B451" s="70" t="s">
        <v>3338</v>
      </c>
      <c r="C451" s="58" t="s">
        <v>3356</v>
      </c>
      <c r="D451" s="58" t="s">
        <v>3747</v>
      </c>
      <c r="J451" s="70" t="str">
        <f t="shared" ref="J451:L451" si="604">LEFT(B451,LEN(B451)-LEN(RIGHT(B451,27)))</f>
        <v>Home</v>
      </c>
      <c r="K451" s="70" t="str">
        <f t="shared" si="604"/>
        <v>Office</v>
      </c>
      <c r="L451" s="70" t="str">
        <f t="shared" si="604"/>
        <v>Notebooks &amp; Journals</v>
      </c>
    </row>
    <row r="452" ht="12.75" customHeight="1">
      <c r="B452" s="70" t="s">
        <v>3338</v>
      </c>
      <c r="C452" s="58" t="s">
        <v>3356</v>
      </c>
      <c r="D452" s="58" t="s">
        <v>3748</v>
      </c>
      <c r="J452" s="70" t="str">
        <f t="shared" ref="J452:L452" si="605">LEFT(B452,LEN(B452)-LEN(RIGHT(B452,27)))</f>
        <v>Home</v>
      </c>
      <c r="K452" s="70" t="str">
        <f t="shared" si="605"/>
        <v>Office</v>
      </c>
      <c r="L452" s="70" t="str">
        <f t="shared" si="605"/>
        <v>Pencil Cases</v>
      </c>
    </row>
    <row r="453" ht="12.75" customHeight="1">
      <c r="B453" s="70" t="s">
        <v>3338</v>
      </c>
      <c r="C453" s="58" t="s">
        <v>3356</v>
      </c>
      <c r="D453" s="58" t="s">
        <v>3749</v>
      </c>
      <c r="J453" s="70" t="str">
        <f t="shared" ref="J453:L453" si="606">LEFT(B453,LEN(B453)-LEN(RIGHT(B453,27)))</f>
        <v>Home</v>
      </c>
      <c r="K453" s="70" t="str">
        <f t="shared" si="606"/>
        <v>Office</v>
      </c>
      <c r="L453" s="70" t="str">
        <f t="shared" si="606"/>
        <v>Planners</v>
      </c>
    </row>
    <row r="454" ht="12.75" customHeight="1">
      <c r="B454" s="70" t="s">
        <v>3338</v>
      </c>
      <c r="C454" s="58" t="s">
        <v>3356</v>
      </c>
      <c r="D454" s="58" t="s">
        <v>3750</v>
      </c>
      <c r="J454" s="70" t="str">
        <f t="shared" ref="J454:L454" si="607">LEFT(B454,LEN(B454)-LEN(RIGHT(B454,27)))</f>
        <v>Home</v>
      </c>
      <c r="K454" s="70" t="str">
        <f t="shared" si="607"/>
        <v>Office</v>
      </c>
      <c r="L454" s="70" t="str">
        <f t="shared" si="607"/>
        <v>Shipping Supplies</v>
      </c>
    </row>
    <row r="455" ht="12.75" customHeight="1">
      <c r="B455" s="70" t="s">
        <v>3338</v>
      </c>
      <c r="C455" s="58" t="s">
        <v>3356</v>
      </c>
      <c r="D455" s="58" t="s">
        <v>3751</v>
      </c>
      <c r="J455" s="70" t="str">
        <f t="shared" ref="J455:L455" si="608">LEFT(B455,LEN(B455)-LEN(RIGHT(B455,27)))</f>
        <v>Home</v>
      </c>
      <c r="K455" s="70" t="str">
        <f t="shared" si="608"/>
        <v>Office</v>
      </c>
      <c r="L455" s="70" t="str">
        <f t="shared" si="608"/>
        <v>Stationery</v>
      </c>
    </row>
    <row r="456" ht="12.75" customHeight="1">
      <c r="B456" s="70" t="s">
        <v>3338</v>
      </c>
      <c r="C456" s="58" t="s">
        <v>3358</v>
      </c>
      <c r="D456" s="58" t="s">
        <v>3752</v>
      </c>
      <c r="J456" s="70" t="str">
        <f t="shared" ref="J456:L456" si="609">LEFT(B456,LEN(B456)-LEN(RIGHT(B456,27)))</f>
        <v>Home</v>
      </c>
      <c r="K456" s="70" t="str">
        <f t="shared" si="609"/>
        <v>Party Supplies</v>
      </c>
      <c r="L456" s="70" t="str">
        <f t="shared" si="609"/>
        <v>Cake Candles</v>
      </c>
    </row>
    <row r="457" ht="12.75" customHeight="1">
      <c r="B457" s="70" t="s">
        <v>3338</v>
      </c>
      <c r="C457" s="58" t="s">
        <v>3358</v>
      </c>
      <c r="D457" s="58" t="s">
        <v>3753</v>
      </c>
      <c r="J457" s="70" t="str">
        <f t="shared" ref="J457:L457" si="610">LEFT(B457,LEN(B457)-LEN(RIGHT(B457,27)))</f>
        <v>Home</v>
      </c>
      <c r="K457" s="70" t="str">
        <f t="shared" si="610"/>
        <v>Party Supplies</v>
      </c>
      <c r="L457" s="70" t="str">
        <f t="shared" si="610"/>
        <v>Cake Toppers</v>
      </c>
    </row>
    <row r="458" ht="12.75" customHeight="1">
      <c r="B458" s="70" t="s">
        <v>3338</v>
      </c>
      <c r="C458" s="58" t="s">
        <v>3358</v>
      </c>
      <c r="D458" s="58" t="s">
        <v>3754</v>
      </c>
      <c r="J458" s="70" t="str">
        <f t="shared" ref="J458:L458" si="611">LEFT(B458,LEN(B458)-LEN(RIGHT(B458,27)))</f>
        <v>Home</v>
      </c>
      <c r="K458" s="70" t="str">
        <f t="shared" si="611"/>
        <v>Party Supplies</v>
      </c>
      <c r="L458" s="70" t="str">
        <f t="shared" si="611"/>
        <v>Cards &amp; Invitations</v>
      </c>
    </row>
    <row r="459" ht="12.75" customHeight="1">
      <c r="B459" s="70" t="s">
        <v>3338</v>
      </c>
      <c r="C459" s="58" t="s">
        <v>3358</v>
      </c>
      <c r="D459" s="58" t="s">
        <v>3755</v>
      </c>
      <c r="J459" s="70" t="str">
        <f t="shared" ref="J459:L459" si="612">LEFT(B459,LEN(B459)-LEN(RIGHT(B459,27)))</f>
        <v>Home</v>
      </c>
      <c r="K459" s="70" t="str">
        <f t="shared" si="612"/>
        <v>Party Supplies</v>
      </c>
      <c r="L459" s="70" t="str">
        <f t="shared" si="612"/>
        <v>Decorations</v>
      </c>
    </row>
    <row r="460" ht="12.75" customHeight="1">
      <c r="B460" s="70" t="s">
        <v>3338</v>
      </c>
      <c r="C460" s="58" t="s">
        <v>3358</v>
      </c>
      <c r="D460" s="58" t="s">
        <v>3756</v>
      </c>
      <c r="J460" s="70" t="str">
        <f t="shared" ref="J460:L460" si="613">LEFT(B460,LEN(B460)-LEN(RIGHT(B460,27)))</f>
        <v>Home</v>
      </c>
      <c r="K460" s="70" t="str">
        <f t="shared" si="613"/>
        <v>Party Supplies</v>
      </c>
      <c r="L460" s="70" t="str">
        <f t="shared" si="613"/>
        <v>Disposable Tableware</v>
      </c>
    </row>
    <row r="461" ht="12.75" customHeight="1">
      <c r="B461" s="70" t="s">
        <v>3338</v>
      </c>
      <c r="C461" s="58" t="s">
        <v>3358</v>
      </c>
      <c r="D461" s="58" t="s">
        <v>3757</v>
      </c>
      <c r="J461" s="70" t="str">
        <f t="shared" ref="J461:L461" si="614">LEFT(B461,LEN(B461)-LEN(RIGHT(B461,27)))</f>
        <v>Home</v>
      </c>
      <c r="K461" s="70" t="str">
        <f t="shared" si="614"/>
        <v>Party Supplies</v>
      </c>
      <c r="L461" s="70" t="str">
        <f t="shared" si="614"/>
        <v>Favors</v>
      </c>
    </row>
    <row r="462" ht="12.75" customHeight="1">
      <c r="B462" s="70" t="s">
        <v>3338</v>
      </c>
      <c r="C462" s="58" t="s">
        <v>3358</v>
      </c>
      <c r="D462" s="58" t="s">
        <v>3758</v>
      </c>
      <c r="J462" s="70" t="str">
        <f t="shared" ref="J462:L462" si="615">LEFT(B462,LEN(B462)-LEN(RIGHT(B462,27)))</f>
        <v>Home</v>
      </c>
      <c r="K462" s="70" t="str">
        <f t="shared" si="615"/>
        <v>Party Supplies</v>
      </c>
      <c r="L462" s="70" t="str">
        <f t="shared" si="615"/>
        <v>Gift Wrap</v>
      </c>
    </row>
    <row r="463" ht="12.75" customHeight="1">
      <c r="B463" s="70" t="s">
        <v>3338</v>
      </c>
      <c r="C463" s="58" t="s">
        <v>3358</v>
      </c>
      <c r="D463" s="58" t="s">
        <v>3759</v>
      </c>
      <c r="J463" s="70" t="str">
        <f t="shared" ref="J463:L463" si="616">LEFT(B463,LEN(B463)-LEN(RIGHT(B463,27)))</f>
        <v>Home</v>
      </c>
      <c r="K463" s="70" t="str">
        <f t="shared" si="616"/>
        <v>Party Supplies</v>
      </c>
      <c r="L463" s="70" t="str">
        <f t="shared" si="616"/>
        <v>Hats</v>
      </c>
    </row>
    <row r="464" ht="12.75" customHeight="1">
      <c r="B464" s="70" t="s">
        <v>3338</v>
      </c>
      <c r="C464" s="58" t="s">
        <v>3358</v>
      </c>
      <c r="D464" s="58" t="s">
        <v>3760</v>
      </c>
      <c r="J464" s="70" t="str">
        <f t="shared" ref="J464:L464" si="617">LEFT(B464,LEN(B464)-LEN(RIGHT(B464,27)))</f>
        <v>Home</v>
      </c>
      <c r="K464" s="70" t="str">
        <f t="shared" si="617"/>
        <v>Party Supplies</v>
      </c>
      <c r="L464" s="70" t="str">
        <f t="shared" si="617"/>
        <v>Party Lights</v>
      </c>
    </row>
    <row r="465" ht="12.75" customHeight="1">
      <c r="B465" s="70" t="s">
        <v>3338</v>
      </c>
      <c r="C465" s="58" t="s">
        <v>3360</v>
      </c>
      <c r="D465" s="58" t="s">
        <v>3761</v>
      </c>
      <c r="J465" s="70" t="str">
        <f t="shared" ref="J465:L465" si="618">LEFT(B465,LEN(B465)-LEN(RIGHT(B465,27)))</f>
        <v>Home</v>
      </c>
      <c r="K465" s="70" t="str">
        <f t="shared" si="618"/>
        <v>Storage &amp; Organization</v>
      </c>
      <c r="L465" s="70" t="str">
        <f t="shared" si="618"/>
        <v>Closet Accessories</v>
      </c>
    </row>
    <row r="466" ht="12.75" customHeight="1">
      <c r="B466" s="70" t="s">
        <v>3338</v>
      </c>
      <c r="C466" s="58" t="s">
        <v>3360</v>
      </c>
      <c r="D466" s="58" t="s">
        <v>3762</v>
      </c>
      <c r="J466" s="70" t="str">
        <f t="shared" ref="J466:L466" si="619">LEFT(B466,LEN(B466)-LEN(RIGHT(B466,27)))</f>
        <v>Home</v>
      </c>
      <c r="K466" s="70" t="str">
        <f t="shared" si="619"/>
        <v>Storage &amp; Organization</v>
      </c>
      <c r="L466" s="70" t="str">
        <f t="shared" si="619"/>
        <v>Drawer Liners</v>
      </c>
    </row>
    <row r="467" ht="12.75" customHeight="1">
      <c r="B467" s="70" t="s">
        <v>3338</v>
      </c>
      <c r="C467" s="58" t="s">
        <v>3360</v>
      </c>
      <c r="D467" s="58" t="s">
        <v>3763</v>
      </c>
      <c r="J467" s="70" t="str">
        <f t="shared" ref="J467:L467" si="620">LEFT(B467,LEN(B467)-LEN(RIGHT(B467,27)))</f>
        <v>Home</v>
      </c>
      <c r="K467" s="70" t="str">
        <f t="shared" si="620"/>
        <v>Storage &amp; Organization</v>
      </c>
      <c r="L467" s="70" t="str">
        <f t="shared" si="620"/>
        <v>Garment Bags</v>
      </c>
    </row>
    <row r="468" ht="12.75" customHeight="1">
      <c r="B468" s="70" t="s">
        <v>3338</v>
      </c>
      <c r="C468" s="58" t="s">
        <v>3360</v>
      </c>
      <c r="D468" s="58" t="s">
        <v>3764</v>
      </c>
      <c r="J468" s="70" t="str">
        <f t="shared" ref="J468:L468" si="621">LEFT(B468,LEN(B468)-LEN(RIGHT(B468,27)))</f>
        <v>Home</v>
      </c>
      <c r="K468" s="70" t="str">
        <f t="shared" si="621"/>
        <v>Storage &amp; Organization</v>
      </c>
      <c r="L468" s="70" t="str">
        <f t="shared" si="621"/>
        <v>Jewelry Organizers</v>
      </c>
    </row>
    <row r="469" ht="12.75" customHeight="1">
      <c r="B469" s="70" t="s">
        <v>3338</v>
      </c>
      <c r="C469" s="58" t="s">
        <v>3360</v>
      </c>
      <c r="D469" s="58" t="s">
        <v>3765</v>
      </c>
      <c r="J469" s="70" t="str">
        <f t="shared" ref="J469:L469" si="622">LEFT(B469,LEN(B469)-LEN(RIGHT(B469,27)))</f>
        <v>Home</v>
      </c>
      <c r="K469" s="70" t="str">
        <f t="shared" si="622"/>
        <v>Storage &amp; Organization</v>
      </c>
      <c r="L469" s="70" t="str">
        <f t="shared" si="622"/>
        <v>Makeup Organizers</v>
      </c>
    </row>
    <row r="470" ht="12.75" customHeight="1">
      <c r="B470" s="70" t="s">
        <v>3338</v>
      </c>
      <c r="C470" s="58" t="s">
        <v>3360</v>
      </c>
      <c r="D470" s="58" t="s">
        <v>3766</v>
      </c>
      <c r="J470" s="70" t="str">
        <f t="shared" ref="J470:L470" si="623">LEFT(B470,LEN(B470)-LEN(RIGHT(B470,27)))</f>
        <v>Home</v>
      </c>
      <c r="K470" s="70" t="str">
        <f t="shared" si="623"/>
        <v>Storage &amp; Organization</v>
      </c>
      <c r="L470" s="70" t="str">
        <f t="shared" si="623"/>
        <v>Storage</v>
      </c>
    </row>
    <row r="471" ht="12.75" customHeight="1">
      <c r="B471" s="70" t="s">
        <v>3338</v>
      </c>
      <c r="C471" s="58" t="s">
        <v>3362</v>
      </c>
      <c r="D471" s="58" t="s">
        <v>3767</v>
      </c>
      <c r="J471" s="70" t="str">
        <f t="shared" ref="J471:L471" si="624">LEFT(B471,LEN(B471)-LEN(RIGHT(B471,27)))</f>
        <v>Home</v>
      </c>
      <c r="K471" s="70" t="str">
        <f t="shared" si="624"/>
        <v>Wall Decor</v>
      </c>
      <c r="L471" s="70" t="str">
        <f t="shared" si="624"/>
        <v>Art &amp; Decals</v>
      </c>
    </row>
    <row r="472" ht="12.75" customHeight="1">
      <c r="B472" s="70" t="s">
        <v>3338</v>
      </c>
      <c r="C472" s="58" t="s">
        <v>3362</v>
      </c>
      <c r="D472" s="58" t="s">
        <v>3768</v>
      </c>
      <c r="J472" s="70" t="str">
        <f t="shared" ref="J472:L472" si="625">LEFT(B472,LEN(B472)-LEN(RIGHT(B472,27)))</f>
        <v>Home</v>
      </c>
      <c r="K472" s="70" t="str">
        <f t="shared" si="625"/>
        <v>Wall Decor</v>
      </c>
      <c r="L472" s="70" t="str">
        <f t="shared" si="625"/>
        <v>Clocks</v>
      </c>
    </row>
    <row r="473" ht="12.75" customHeight="1">
      <c r="B473" s="70" t="s">
        <v>3338</v>
      </c>
      <c r="C473" s="58" t="s">
        <v>3362</v>
      </c>
      <c r="D473" s="58" t="s">
        <v>3769</v>
      </c>
      <c r="J473" s="70" t="str">
        <f t="shared" ref="J473:L473" si="626">LEFT(B473,LEN(B473)-LEN(RIGHT(B473,27)))</f>
        <v>Home</v>
      </c>
      <c r="K473" s="70" t="str">
        <f t="shared" si="626"/>
        <v>Wall Decor</v>
      </c>
      <c r="L473" s="70" t="str">
        <f t="shared" si="626"/>
        <v>Display Shelves</v>
      </c>
    </row>
    <row r="474" ht="12.75" customHeight="1">
      <c r="B474" s="70" t="s">
        <v>3338</v>
      </c>
      <c r="C474" s="58" t="s">
        <v>3362</v>
      </c>
      <c r="D474" s="58" t="s">
        <v>3770</v>
      </c>
      <c r="J474" s="70" t="str">
        <f t="shared" ref="J474:L474" si="627">LEFT(B474,LEN(B474)-LEN(RIGHT(B474,27)))</f>
        <v>Home</v>
      </c>
      <c r="K474" s="70" t="str">
        <f t="shared" si="627"/>
        <v>Wall Decor</v>
      </c>
      <c r="L474" s="70" t="str">
        <f t="shared" si="627"/>
        <v>Hooks</v>
      </c>
    </row>
    <row r="475" ht="12.75" customHeight="1">
      <c r="B475" s="70" t="s">
        <v>3338</v>
      </c>
      <c r="C475" s="58" t="s">
        <v>3362</v>
      </c>
      <c r="D475" s="58" t="s">
        <v>3771</v>
      </c>
      <c r="J475" s="70" t="str">
        <f t="shared" ref="J475:L475" si="628">LEFT(B475,LEN(B475)-LEN(RIGHT(B475,27)))</f>
        <v>Home</v>
      </c>
      <c r="K475" s="70" t="str">
        <f t="shared" si="628"/>
        <v>Wall Decor</v>
      </c>
      <c r="L475" s="70" t="str">
        <f t="shared" si="628"/>
        <v>Mirrors</v>
      </c>
    </row>
    <row r="476" ht="12.75" customHeight="1">
      <c r="B476" s="70" t="s">
        <v>3338</v>
      </c>
      <c r="C476" s="58" t="s">
        <v>3362</v>
      </c>
      <c r="D476" s="58" t="s">
        <v>3772</v>
      </c>
      <c r="J476" s="70" t="str">
        <f t="shared" ref="J476:L476" si="629">LEFT(B476,LEN(B476)-LEN(RIGHT(B476,27)))</f>
        <v>Home</v>
      </c>
      <c r="K476" s="70" t="str">
        <f t="shared" si="629"/>
        <v>Wall Decor</v>
      </c>
      <c r="L476" s="70" t="str">
        <f t="shared" si="629"/>
        <v>Tapestries</v>
      </c>
    </row>
    <row r="477" ht="12.75" customHeight="1">
      <c r="B477" s="70" t="s">
        <v>3338</v>
      </c>
      <c r="C477" s="58" t="s">
        <v>3362</v>
      </c>
      <c r="D477" s="58" t="s">
        <v>3773</v>
      </c>
      <c r="J477" s="70" t="str">
        <f t="shared" ref="J477:L477" si="630">LEFT(B477,LEN(B477)-LEN(RIGHT(B477,27)))</f>
        <v>Home</v>
      </c>
      <c r="K477" s="70" t="str">
        <f t="shared" si="630"/>
        <v>Wall Decor</v>
      </c>
      <c r="L477" s="70" t="str">
        <f t="shared" si="630"/>
        <v>Wallpaper</v>
      </c>
    </row>
    <row r="478" ht="12.75" customHeight="1">
      <c r="B478" s="70" t="s">
        <v>3367</v>
      </c>
      <c r="C478" s="58" t="s">
        <v>3366</v>
      </c>
      <c r="D478" s="58" t="s">
        <v>3774</v>
      </c>
      <c r="J478" s="70" t="str">
        <f t="shared" ref="J478:L478" si="631">LEFT(B478,LEN(B478)-LEN(RIGHT(B478,27)))</f>
        <v>Pets</v>
      </c>
      <c r="K478" s="70" t="str">
        <f t="shared" si="631"/>
        <v>Dog</v>
      </c>
      <c r="L478" s="70" t="str">
        <f t="shared" si="631"/>
        <v>Bedding &amp; Blankets</v>
      </c>
    </row>
    <row r="479" ht="12.75" customHeight="1">
      <c r="B479" s="70" t="s">
        <v>3367</v>
      </c>
      <c r="C479" s="58" t="s">
        <v>3366</v>
      </c>
      <c r="D479" s="58" t="s">
        <v>3775</v>
      </c>
      <c r="J479" s="70" t="str">
        <f t="shared" ref="J479:L479" si="632">LEFT(B479,LEN(B479)-LEN(RIGHT(B479,27)))</f>
        <v>Pets</v>
      </c>
      <c r="K479" s="70" t="str">
        <f t="shared" si="632"/>
        <v>Dog</v>
      </c>
      <c r="L479" s="70" t="str">
        <f t="shared" si="632"/>
        <v>Bowls &amp; Feeders</v>
      </c>
    </row>
    <row r="480" ht="12.75" customHeight="1">
      <c r="B480" s="70" t="s">
        <v>3367</v>
      </c>
      <c r="C480" s="58" t="s">
        <v>3366</v>
      </c>
      <c r="D480" s="58" t="s">
        <v>3776</v>
      </c>
      <c r="J480" s="70" t="str">
        <f t="shared" ref="J480:L480" si="633">LEFT(B480,LEN(B480)-LEN(RIGHT(B480,27)))</f>
        <v>Pets</v>
      </c>
      <c r="K480" s="70" t="str">
        <f t="shared" si="633"/>
        <v>Dog</v>
      </c>
      <c r="L480" s="70" t="str">
        <f t="shared" si="633"/>
        <v>Carriers &amp; Travel</v>
      </c>
    </row>
    <row r="481" ht="12.75" customHeight="1">
      <c r="B481" s="70" t="s">
        <v>3367</v>
      </c>
      <c r="C481" s="58" t="s">
        <v>3366</v>
      </c>
      <c r="D481" s="58" t="s">
        <v>3777</v>
      </c>
      <c r="J481" s="70" t="str">
        <f t="shared" ref="J481:L481" si="634">LEFT(B481,LEN(B481)-LEN(RIGHT(B481,27)))</f>
        <v>Pets</v>
      </c>
      <c r="K481" s="70" t="str">
        <f t="shared" si="634"/>
        <v>Dog</v>
      </c>
      <c r="L481" s="70" t="str">
        <f t="shared" si="634"/>
        <v>Clothing &amp; Accessories</v>
      </c>
    </row>
    <row r="482" ht="12.75" customHeight="1">
      <c r="B482" s="70" t="s">
        <v>3367</v>
      </c>
      <c r="C482" s="58" t="s">
        <v>3366</v>
      </c>
      <c r="D482" s="58" t="s">
        <v>3778</v>
      </c>
      <c r="J482" s="70" t="str">
        <f t="shared" ref="J482:L482" si="635">LEFT(B482,LEN(B482)-LEN(RIGHT(B482,27)))</f>
        <v>Pets</v>
      </c>
      <c r="K482" s="70" t="str">
        <f t="shared" si="635"/>
        <v>Dog</v>
      </c>
      <c r="L482" s="70" t="str">
        <f t="shared" si="635"/>
        <v>Collars, Leashes &amp; Harnesses</v>
      </c>
    </row>
    <row r="483" ht="12.75" customHeight="1">
      <c r="B483" s="70" t="s">
        <v>3367</v>
      </c>
      <c r="C483" s="58" t="s">
        <v>3366</v>
      </c>
      <c r="D483" s="58" t="s">
        <v>3779</v>
      </c>
      <c r="J483" s="70" t="str">
        <f t="shared" ref="J483:L483" si="636">LEFT(B483,LEN(B483)-LEN(RIGHT(B483,27)))</f>
        <v>Pets</v>
      </c>
      <c r="K483" s="70" t="str">
        <f t="shared" si="636"/>
        <v>Dog</v>
      </c>
      <c r="L483" s="70" t="str">
        <f t="shared" si="636"/>
        <v>Grooming</v>
      </c>
    </row>
    <row r="484" ht="12.75" customHeight="1">
      <c r="B484" s="70" t="s">
        <v>3367</v>
      </c>
      <c r="C484" s="58" t="s">
        <v>3366</v>
      </c>
      <c r="D484" s="58" t="s">
        <v>3780</v>
      </c>
      <c r="J484" s="70" t="str">
        <f t="shared" ref="J484:L484" si="637">LEFT(B484,LEN(B484)-LEN(RIGHT(B484,27)))</f>
        <v>Pets</v>
      </c>
      <c r="K484" s="70" t="str">
        <f t="shared" si="637"/>
        <v>Dog</v>
      </c>
      <c r="L484" s="70" t="str">
        <f t="shared" si="637"/>
        <v>Housebreaking</v>
      </c>
    </row>
    <row r="485" ht="12.75" customHeight="1">
      <c r="B485" s="70" t="s">
        <v>3367</v>
      </c>
      <c r="C485" s="58" t="s">
        <v>3366</v>
      </c>
      <c r="D485" s="58" t="s">
        <v>3781</v>
      </c>
      <c r="J485" s="70" t="str">
        <f t="shared" ref="J485:L485" si="638">LEFT(B485,LEN(B485)-LEN(RIGHT(B485,27)))</f>
        <v>Pets</v>
      </c>
      <c r="K485" s="70" t="str">
        <f t="shared" si="638"/>
        <v>Dog</v>
      </c>
      <c r="L485" s="70" t="str">
        <f t="shared" si="638"/>
        <v>Toys</v>
      </c>
    </row>
    <row r="486" ht="12.75" customHeight="1">
      <c r="B486" s="70" t="s">
        <v>3367</v>
      </c>
      <c r="C486" s="58" t="s">
        <v>3369</v>
      </c>
      <c r="D486" s="58" t="s">
        <v>3782</v>
      </c>
      <c r="J486" s="70" t="str">
        <f t="shared" ref="J486:L486" si="639">LEFT(B486,LEN(B486)-LEN(RIGHT(B486,27)))</f>
        <v>Pets</v>
      </c>
      <c r="K486" s="70" t="str">
        <f t="shared" si="639"/>
        <v>Cat</v>
      </c>
      <c r="L486" s="70" t="str">
        <f t="shared" si="639"/>
        <v>Beds</v>
      </c>
    </row>
    <row r="487" ht="12.75" customHeight="1">
      <c r="B487" s="70" t="s">
        <v>3367</v>
      </c>
      <c r="C487" s="58" t="s">
        <v>3369</v>
      </c>
      <c r="D487" s="58" t="s">
        <v>3783</v>
      </c>
      <c r="J487" s="70" t="str">
        <f t="shared" ref="J487:L487" si="640">LEFT(B487,LEN(B487)-LEN(RIGHT(B487,27)))</f>
        <v>Pets</v>
      </c>
      <c r="K487" s="70" t="str">
        <f t="shared" si="640"/>
        <v>Cat</v>
      </c>
      <c r="L487" s="70" t="str">
        <f t="shared" si="640"/>
        <v>Bowls &amp; Feeders</v>
      </c>
    </row>
    <row r="488" ht="12.75" customHeight="1">
      <c r="B488" s="70" t="s">
        <v>3367</v>
      </c>
      <c r="C488" s="58" t="s">
        <v>3369</v>
      </c>
      <c r="D488" s="58" t="s">
        <v>3784</v>
      </c>
      <c r="J488" s="70" t="str">
        <f t="shared" ref="J488:L488" si="641">LEFT(B488,LEN(B488)-LEN(RIGHT(B488,27)))</f>
        <v>Pets</v>
      </c>
      <c r="K488" s="70" t="str">
        <f t="shared" si="641"/>
        <v>Cat</v>
      </c>
      <c r="L488" s="70" t="str">
        <f t="shared" si="641"/>
        <v>Carriers &amp; Travel</v>
      </c>
    </row>
    <row r="489" ht="12.75" customHeight="1">
      <c r="B489" s="70" t="s">
        <v>3367</v>
      </c>
      <c r="C489" s="58" t="s">
        <v>3369</v>
      </c>
      <c r="D489" s="58" t="s">
        <v>3785</v>
      </c>
      <c r="J489" s="70" t="str">
        <f t="shared" ref="J489:L489" si="642">LEFT(B489,LEN(B489)-LEN(RIGHT(B489,27)))</f>
        <v>Pets</v>
      </c>
      <c r="K489" s="70" t="str">
        <f t="shared" si="642"/>
        <v>Cat</v>
      </c>
      <c r="L489" s="70" t="str">
        <f t="shared" si="642"/>
        <v>Clothing &amp; Accessories</v>
      </c>
    </row>
    <row r="490" ht="12.75" customHeight="1">
      <c r="B490" s="70" t="s">
        <v>3367</v>
      </c>
      <c r="C490" s="58" t="s">
        <v>3369</v>
      </c>
      <c r="D490" s="58" t="s">
        <v>3786</v>
      </c>
      <c r="J490" s="70" t="str">
        <f t="shared" ref="J490:L490" si="643">LEFT(B490,LEN(B490)-LEN(RIGHT(B490,27)))</f>
        <v>Pets</v>
      </c>
      <c r="K490" s="70" t="str">
        <f t="shared" si="643"/>
        <v>Cat</v>
      </c>
      <c r="L490" s="70" t="str">
        <f t="shared" si="643"/>
        <v>Collars, Leashes &amp; Harnesses</v>
      </c>
    </row>
    <row r="491" ht="12.75" customHeight="1">
      <c r="B491" s="70" t="s">
        <v>3367</v>
      </c>
      <c r="C491" s="58" t="s">
        <v>3369</v>
      </c>
      <c r="D491" s="58" t="s">
        <v>3787</v>
      </c>
      <c r="J491" s="70" t="str">
        <f t="shared" ref="J491:L491" si="644">LEFT(B491,LEN(B491)-LEN(RIGHT(B491,27)))</f>
        <v>Pets</v>
      </c>
      <c r="K491" s="70" t="str">
        <f t="shared" si="644"/>
        <v>Cat</v>
      </c>
      <c r="L491" s="70" t="str">
        <f t="shared" si="644"/>
        <v>Grooming</v>
      </c>
    </row>
    <row r="492" ht="12.75" customHeight="1">
      <c r="B492" s="70" t="s">
        <v>3367</v>
      </c>
      <c r="C492" s="58" t="s">
        <v>3369</v>
      </c>
      <c r="D492" s="58" t="s">
        <v>3788</v>
      </c>
      <c r="J492" s="70" t="str">
        <f t="shared" ref="J492:L492" si="645">LEFT(B492,LEN(B492)-LEN(RIGHT(B492,27)))</f>
        <v>Pets</v>
      </c>
      <c r="K492" s="70" t="str">
        <f t="shared" si="645"/>
        <v>Cat</v>
      </c>
      <c r="L492" s="70" t="str">
        <f t="shared" si="645"/>
        <v>Scratchers</v>
      </c>
    </row>
    <row r="493" ht="12.75" customHeight="1">
      <c r="B493" s="70" t="s">
        <v>3367</v>
      </c>
      <c r="C493" s="58" t="s">
        <v>3369</v>
      </c>
      <c r="D493" s="58" t="s">
        <v>3789</v>
      </c>
      <c r="J493" s="70" t="str">
        <f t="shared" ref="J493:L493" si="646">LEFT(B493,LEN(B493)-LEN(RIGHT(B493,27)))</f>
        <v>Pets</v>
      </c>
      <c r="K493" s="70" t="str">
        <f t="shared" si="646"/>
        <v>Cat</v>
      </c>
      <c r="L493" s="70" t="str">
        <f t="shared" si="646"/>
        <v>Toys</v>
      </c>
    </row>
    <row r="494" ht="12.75" customHeight="1">
      <c r="B494" s="70" t="s">
        <v>3367</v>
      </c>
      <c r="C494" s="58" t="s">
        <v>3371</v>
      </c>
      <c r="D494" s="58" t="s">
        <v>3790</v>
      </c>
      <c r="J494" s="70" t="str">
        <f t="shared" ref="J494:L494" si="647">LEFT(B494,LEN(B494)-LEN(RIGHT(B494,27)))</f>
        <v>Pets</v>
      </c>
      <c r="K494" s="70" t="str">
        <f t="shared" si="647"/>
        <v>Bird</v>
      </c>
      <c r="L494" s="70" t="str">
        <f t="shared" si="647"/>
        <v>Cages &amp; Covers</v>
      </c>
    </row>
    <row r="495" ht="12.75" customHeight="1">
      <c r="B495" s="70" t="s">
        <v>3367</v>
      </c>
      <c r="C495" s="58" t="s">
        <v>3371</v>
      </c>
      <c r="D495" s="58" t="s">
        <v>3791</v>
      </c>
      <c r="J495" s="70" t="str">
        <f t="shared" ref="J495:L495" si="648">LEFT(B495,LEN(B495)-LEN(RIGHT(B495,27)))</f>
        <v>Pets</v>
      </c>
      <c r="K495" s="70" t="str">
        <f t="shared" si="648"/>
        <v>Bird</v>
      </c>
      <c r="L495" s="70" t="str">
        <f t="shared" si="648"/>
        <v>Feeders &amp; Waterers</v>
      </c>
    </row>
    <row r="496" ht="12.75" customHeight="1">
      <c r="B496" s="70" t="s">
        <v>3367</v>
      </c>
      <c r="C496" s="58" t="s">
        <v>3371</v>
      </c>
      <c r="D496" s="58" t="s">
        <v>3792</v>
      </c>
      <c r="J496" s="70" t="str">
        <f t="shared" ref="J496:L496" si="649">LEFT(B496,LEN(B496)-LEN(RIGHT(B496,27)))</f>
        <v>Pets</v>
      </c>
      <c r="K496" s="70" t="str">
        <f t="shared" si="649"/>
        <v>Bird</v>
      </c>
      <c r="L496" s="70" t="str">
        <f t="shared" si="649"/>
        <v>Perches &amp; Swings</v>
      </c>
    </row>
    <row r="497" ht="12.75" customHeight="1">
      <c r="B497" s="70" t="s">
        <v>3367</v>
      </c>
      <c r="C497" s="58" t="s">
        <v>3371</v>
      </c>
      <c r="D497" s="58" t="s">
        <v>3793</v>
      </c>
      <c r="J497" s="70" t="str">
        <f t="shared" ref="J497:L497" si="650">LEFT(B497,LEN(B497)-LEN(RIGHT(B497,27)))</f>
        <v>Pets</v>
      </c>
      <c r="K497" s="70" t="str">
        <f t="shared" si="650"/>
        <v>Bird</v>
      </c>
      <c r="L497" s="70" t="str">
        <f t="shared" si="650"/>
        <v>Toys</v>
      </c>
    </row>
    <row r="498" ht="12.75" customHeight="1">
      <c r="B498" s="70" t="s">
        <v>3367</v>
      </c>
      <c r="C498" s="58" t="s">
        <v>3373</v>
      </c>
      <c r="D498" s="58" t="s">
        <v>3794</v>
      </c>
      <c r="J498" s="70" t="str">
        <f t="shared" ref="J498:L498" si="651">LEFT(B498,LEN(B498)-LEN(RIGHT(B498,27)))</f>
        <v>Pets</v>
      </c>
      <c r="K498" s="70" t="str">
        <f t="shared" si="651"/>
        <v>Fish</v>
      </c>
      <c r="L498" s="70" t="str">
        <f t="shared" si="651"/>
        <v>Aquarium Kits</v>
      </c>
    </row>
    <row r="499" ht="12.75" customHeight="1">
      <c r="B499" s="70" t="s">
        <v>3367</v>
      </c>
      <c r="C499" s="58" t="s">
        <v>3373</v>
      </c>
      <c r="D499" s="58" t="s">
        <v>3795</v>
      </c>
      <c r="J499" s="70" t="str">
        <f t="shared" ref="J499:L499" si="652">LEFT(B499,LEN(B499)-LEN(RIGHT(B499,27)))</f>
        <v>Pets</v>
      </c>
      <c r="K499" s="70" t="str">
        <f t="shared" si="652"/>
        <v>Fish</v>
      </c>
      <c r="L499" s="70" t="str">
        <f t="shared" si="652"/>
        <v>Cleaning &amp; Maintenance</v>
      </c>
    </row>
    <row r="500" ht="12.75" customHeight="1">
      <c r="B500" s="70" t="s">
        <v>3367</v>
      </c>
      <c r="C500" s="58" t="s">
        <v>3373</v>
      </c>
      <c r="D500" s="58" t="s">
        <v>3796</v>
      </c>
      <c r="J500" s="70" t="str">
        <f t="shared" ref="J500:L500" si="653">LEFT(B500,LEN(B500)-LEN(RIGHT(B500,27)))</f>
        <v>Pets</v>
      </c>
      <c r="K500" s="70" t="str">
        <f t="shared" si="653"/>
        <v>Fish</v>
      </c>
      <c r="L500" s="70" t="str">
        <f t="shared" si="653"/>
        <v>Decor &amp; Accessories</v>
      </c>
    </row>
    <row r="501" ht="12.75" customHeight="1">
      <c r="B501" s="70" t="s">
        <v>3367</v>
      </c>
      <c r="C501" s="58" t="s">
        <v>3375</v>
      </c>
      <c r="D501" s="58" t="s">
        <v>3797</v>
      </c>
      <c r="J501" s="70" t="str">
        <f t="shared" ref="J501:L501" si="654">LEFT(B501,LEN(B501)-LEN(RIGHT(B501,27)))</f>
        <v>Pets</v>
      </c>
      <c r="K501" s="70" t="str">
        <f t="shared" si="654"/>
        <v>Reptile</v>
      </c>
      <c r="L501" s="70" t="str">
        <f t="shared" si="654"/>
        <v>Cleaning &amp; Maintenance</v>
      </c>
    </row>
    <row r="502" ht="12.75" customHeight="1">
      <c r="B502" s="70" t="s">
        <v>3367</v>
      </c>
      <c r="C502" s="58" t="s">
        <v>3375</v>
      </c>
      <c r="D502" s="58" t="s">
        <v>3798</v>
      </c>
      <c r="J502" s="70" t="str">
        <f t="shared" ref="J502:L502" si="655">LEFT(B502,LEN(B502)-LEN(RIGHT(B502,27)))</f>
        <v>Pets</v>
      </c>
      <c r="K502" s="70" t="str">
        <f t="shared" si="655"/>
        <v>Reptile</v>
      </c>
      <c r="L502" s="70" t="str">
        <f t="shared" si="655"/>
        <v>Habitats</v>
      </c>
    </row>
    <row r="503" ht="12.75" customHeight="1">
      <c r="B503" s="70" t="s">
        <v>3367</v>
      </c>
      <c r="C503" s="58" t="s">
        <v>3375</v>
      </c>
      <c r="D503" s="58" t="s">
        <v>3799</v>
      </c>
      <c r="J503" s="70" t="str">
        <f t="shared" ref="J503:L503" si="656">LEFT(B503,LEN(B503)-LEN(RIGHT(B503,27)))</f>
        <v>Pets</v>
      </c>
      <c r="K503" s="70" t="str">
        <f t="shared" si="656"/>
        <v>Reptile</v>
      </c>
      <c r="L503" s="70" t="str">
        <f t="shared" si="656"/>
        <v>Habitat Accessories</v>
      </c>
    </row>
    <row r="504" ht="12.75" customHeight="1">
      <c r="B504" s="70" t="s">
        <v>3367</v>
      </c>
      <c r="C504" s="58" t="s">
        <v>3375</v>
      </c>
      <c r="D504" s="58" t="s">
        <v>3800</v>
      </c>
      <c r="J504" s="70" t="str">
        <f t="shared" ref="J504:L504" si="657">LEFT(B504,LEN(B504)-LEN(RIGHT(B504,27)))</f>
        <v>Pets</v>
      </c>
      <c r="K504" s="70" t="str">
        <f t="shared" si="657"/>
        <v>Reptile</v>
      </c>
      <c r="L504" s="70" t="str">
        <f t="shared" si="657"/>
        <v>Heating &amp; Lights</v>
      </c>
    </row>
    <row r="505" ht="12.75" customHeight="1">
      <c r="B505" s="70" t="s">
        <v>3367</v>
      </c>
      <c r="C505" s="58" t="s">
        <v>3377</v>
      </c>
      <c r="D505" s="58" t="s">
        <v>3801</v>
      </c>
      <c r="J505" s="70" t="str">
        <f t="shared" ref="J505:L505" si="658">LEFT(B505,LEN(B505)-LEN(RIGHT(B505,27)))</f>
        <v>Pets</v>
      </c>
      <c r="K505" s="70" t="str">
        <f t="shared" si="658"/>
        <v>Small Pets</v>
      </c>
      <c r="L505" s="70" t="str">
        <f t="shared" si="658"/>
        <v>Bedding</v>
      </c>
    </row>
    <row r="506" ht="12.75" customHeight="1">
      <c r="B506" s="70" t="s">
        <v>3367</v>
      </c>
      <c r="C506" s="58" t="s">
        <v>3377</v>
      </c>
      <c r="D506" s="58" t="s">
        <v>3802</v>
      </c>
      <c r="J506" s="70" t="str">
        <f t="shared" ref="J506:L506" si="659">LEFT(B506,LEN(B506)-LEN(RIGHT(B506,27)))</f>
        <v>Pets</v>
      </c>
      <c r="K506" s="70" t="str">
        <f t="shared" si="659"/>
        <v>Small Pets</v>
      </c>
      <c r="L506" s="70" t="str">
        <f t="shared" si="659"/>
        <v>Bowls &amp; Feeders</v>
      </c>
    </row>
    <row r="507" ht="12.75" customHeight="1">
      <c r="B507" s="70" t="s">
        <v>3367</v>
      </c>
      <c r="C507" s="58" t="s">
        <v>3377</v>
      </c>
      <c r="D507" s="58" t="s">
        <v>3803</v>
      </c>
      <c r="J507" s="70" t="str">
        <f t="shared" ref="J507:L507" si="660">LEFT(B507,LEN(B507)-LEN(RIGHT(B507,27)))</f>
        <v>Pets</v>
      </c>
      <c r="K507" s="70" t="str">
        <f t="shared" si="660"/>
        <v>Small Pets</v>
      </c>
      <c r="L507" s="70" t="str">
        <f t="shared" si="660"/>
        <v>Cages &amp; Habitats</v>
      </c>
    </row>
    <row r="508" ht="12.75" customHeight="1">
      <c r="B508" s="70" t="s">
        <v>3367</v>
      </c>
      <c r="C508" s="58" t="s">
        <v>3377</v>
      </c>
      <c r="D508" s="58" t="s">
        <v>3804</v>
      </c>
      <c r="J508" s="70" t="str">
        <f t="shared" ref="J508:L508" si="661">LEFT(B508,LEN(B508)-LEN(RIGHT(B508,27)))</f>
        <v>Pets</v>
      </c>
      <c r="K508" s="70" t="str">
        <f t="shared" si="661"/>
        <v>Small Pets</v>
      </c>
      <c r="L508" s="70" t="str">
        <f t="shared" si="661"/>
        <v>Carriers</v>
      </c>
    </row>
    <row r="509" ht="12.75" customHeight="1">
      <c r="B509" s="70" t="s">
        <v>3367</v>
      </c>
      <c r="C509" s="58" t="s">
        <v>3377</v>
      </c>
      <c r="D509" s="58" t="s">
        <v>3805</v>
      </c>
      <c r="J509" s="70" t="str">
        <f t="shared" ref="J509:L509" si="662">LEFT(B509,LEN(B509)-LEN(RIGHT(B509,27)))</f>
        <v>Pets</v>
      </c>
      <c r="K509" s="70" t="str">
        <f t="shared" si="662"/>
        <v>Small Pets</v>
      </c>
      <c r="L509" s="70" t="str">
        <f t="shared" si="662"/>
        <v>Grooming</v>
      </c>
    </row>
    <row r="510" ht="12.75" customHeight="1">
      <c r="B510" s="70" t="s">
        <v>3367</v>
      </c>
      <c r="C510" s="58" t="s">
        <v>3377</v>
      </c>
      <c r="D510" s="58" t="s">
        <v>3806</v>
      </c>
      <c r="J510" s="70" t="str">
        <f t="shared" ref="J510:L510" si="663">LEFT(B510,LEN(B510)-LEN(RIGHT(B510,27)))</f>
        <v>Pets</v>
      </c>
      <c r="K510" s="70" t="str">
        <f t="shared" si="663"/>
        <v>Small Pets</v>
      </c>
      <c r="L510" s="70" t="str">
        <f t="shared" si="663"/>
        <v>Habitat Accessories</v>
      </c>
    </row>
    <row r="511" ht="12.75" customHeight="1">
      <c r="B511" s="70" t="s">
        <v>3367</v>
      </c>
      <c r="C511" s="58" t="s">
        <v>3377</v>
      </c>
      <c r="D511" s="58" t="s">
        <v>3807</v>
      </c>
      <c r="J511" s="70" t="str">
        <f t="shared" ref="J511:L511" si="664">LEFT(B511,LEN(B511)-LEN(RIGHT(B511,27)))</f>
        <v>Pets</v>
      </c>
      <c r="K511" s="70" t="str">
        <f t="shared" si="664"/>
        <v>Small Pets</v>
      </c>
      <c r="L511" s="70" t="str">
        <f t="shared" si="664"/>
        <v>Toys</v>
      </c>
    </row>
    <row r="512" ht="12.75" customHeight="1">
      <c r="B512" s="70" t="s">
        <v>3382</v>
      </c>
      <c r="C512" s="58" t="s">
        <v>3381</v>
      </c>
      <c r="D512" s="58" t="s">
        <v>3808</v>
      </c>
      <c r="J512" s="70" t="str">
        <f t="shared" ref="J512:L512" si="665">LEFT(B512,LEN(B512)-LEN(RIGHT(B512,27)))</f>
        <v>Electronics</v>
      </c>
      <c r="K512" s="70" t="str">
        <f t="shared" si="665"/>
        <v>Camera, Photo &amp; Video</v>
      </c>
      <c r="L512" s="70" t="str">
        <f t="shared" si="665"/>
        <v>Digital Cameras</v>
      </c>
    </row>
    <row r="513" ht="12.75" customHeight="1">
      <c r="B513" s="70" t="s">
        <v>3382</v>
      </c>
      <c r="C513" s="58" t="s">
        <v>3381</v>
      </c>
      <c r="D513" s="58" t="s">
        <v>3809</v>
      </c>
      <c r="J513" s="70" t="str">
        <f t="shared" ref="J513:L513" si="666">LEFT(B513,LEN(B513)-LEN(RIGHT(B513,27)))</f>
        <v>Electronics</v>
      </c>
      <c r="K513" s="70" t="str">
        <f t="shared" si="666"/>
        <v>Camera, Photo &amp; Video</v>
      </c>
      <c r="L513" s="70" t="str">
        <f t="shared" si="666"/>
        <v>Bags &amp; Cases</v>
      </c>
    </row>
    <row r="514" ht="12.75" customHeight="1">
      <c r="B514" s="70" t="s">
        <v>3382</v>
      </c>
      <c r="C514" s="58" t="s">
        <v>3381</v>
      </c>
      <c r="D514" s="58" t="s">
        <v>3810</v>
      </c>
      <c r="J514" s="70" t="str">
        <f t="shared" ref="J514:L514" si="667">LEFT(B514,LEN(B514)-LEN(RIGHT(B514,27)))</f>
        <v>Electronics</v>
      </c>
      <c r="K514" s="70" t="str">
        <f t="shared" si="667"/>
        <v>Camera, Photo &amp; Video</v>
      </c>
      <c r="L514" s="70" t="str">
        <f t="shared" si="667"/>
        <v>Binoculars &amp; Scopes</v>
      </c>
    </row>
    <row r="515" ht="12.75" customHeight="1">
      <c r="B515" s="70" t="s">
        <v>3382</v>
      </c>
      <c r="C515" s="58" t="s">
        <v>3381</v>
      </c>
      <c r="D515" s="58" t="s">
        <v>3811</v>
      </c>
      <c r="J515" s="70" t="str">
        <f t="shared" ref="J515:L515" si="668">LEFT(B515,LEN(B515)-LEN(RIGHT(B515,27)))</f>
        <v>Electronics</v>
      </c>
      <c r="K515" s="70" t="str">
        <f t="shared" si="668"/>
        <v>Camera, Photo &amp; Video</v>
      </c>
      <c r="L515" s="70" t="str">
        <f t="shared" si="668"/>
        <v>Film Photography</v>
      </c>
    </row>
    <row r="516" ht="12.75" customHeight="1">
      <c r="B516" s="70" t="s">
        <v>3382</v>
      </c>
      <c r="C516" s="58" t="s">
        <v>3381</v>
      </c>
      <c r="D516" s="58" t="s">
        <v>3812</v>
      </c>
      <c r="J516" s="70" t="str">
        <f t="shared" ref="J516:L516" si="669">LEFT(B516,LEN(B516)-LEN(RIGHT(B516,27)))</f>
        <v>Electronics</v>
      </c>
      <c r="K516" s="70" t="str">
        <f t="shared" si="669"/>
        <v>Camera, Photo &amp; Video</v>
      </c>
      <c r="L516" s="70" t="str">
        <f t="shared" si="669"/>
        <v>Flashes</v>
      </c>
    </row>
    <row r="517" ht="12.75" customHeight="1">
      <c r="B517" s="70" t="s">
        <v>3382</v>
      </c>
      <c r="C517" s="58" t="s">
        <v>3381</v>
      </c>
      <c r="D517" s="58" t="s">
        <v>3813</v>
      </c>
      <c r="J517" s="70" t="str">
        <f t="shared" ref="J517:L517" si="670">LEFT(B517,LEN(B517)-LEN(RIGHT(B517,27)))</f>
        <v>Electronics</v>
      </c>
      <c r="K517" s="70" t="str">
        <f t="shared" si="670"/>
        <v>Camera, Photo &amp; Video</v>
      </c>
      <c r="L517" s="70" t="str">
        <f t="shared" si="670"/>
        <v>Lenses</v>
      </c>
    </row>
    <row r="518" ht="12.75" customHeight="1">
      <c r="B518" s="70" t="s">
        <v>3382</v>
      </c>
      <c r="C518" s="58" t="s">
        <v>3381</v>
      </c>
      <c r="D518" s="58" t="s">
        <v>3814</v>
      </c>
      <c r="J518" s="70" t="str">
        <f t="shared" ref="J518:L518" si="671">LEFT(B518,LEN(B518)-LEN(RIGHT(B518,27)))</f>
        <v>Electronics</v>
      </c>
      <c r="K518" s="70" t="str">
        <f t="shared" si="671"/>
        <v>Camera, Photo &amp; Video</v>
      </c>
      <c r="L518" s="70" t="str">
        <f t="shared" si="671"/>
        <v>Lighting &amp; Studio</v>
      </c>
    </row>
    <row r="519" ht="12.75" customHeight="1">
      <c r="B519" s="70" t="s">
        <v>3382</v>
      </c>
      <c r="C519" s="58" t="s">
        <v>3381</v>
      </c>
      <c r="D519" s="58" t="s">
        <v>3815</v>
      </c>
      <c r="J519" s="70" t="str">
        <f t="shared" ref="J519:L519" si="672">LEFT(B519,LEN(B519)-LEN(RIGHT(B519,27)))</f>
        <v>Electronics</v>
      </c>
      <c r="K519" s="70" t="str">
        <f t="shared" si="672"/>
        <v>Camera, Photo &amp; Video</v>
      </c>
      <c r="L519" s="70" t="str">
        <f t="shared" si="672"/>
        <v>Memory Cards</v>
      </c>
    </row>
    <row r="520" ht="12.75" customHeight="1">
      <c r="B520" s="70" t="s">
        <v>3382</v>
      </c>
      <c r="C520" s="58" t="s">
        <v>3381</v>
      </c>
      <c r="D520" s="58" t="s">
        <v>3816</v>
      </c>
      <c r="J520" s="70" t="str">
        <f t="shared" ref="J520:L520" si="673">LEFT(B520,LEN(B520)-LEN(RIGHT(B520,27)))</f>
        <v>Electronics</v>
      </c>
      <c r="K520" s="70" t="str">
        <f t="shared" si="673"/>
        <v>Camera, Photo &amp; Video</v>
      </c>
      <c r="L520" s="70" t="str">
        <f t="shared" si="673"/>
        <v>Simulated Cameras</v>
      </c>
    </row>
    <row r="521" ht="12.75" customHeight="1">
      <c r="B521" s="70" t="s">
        <v>3382</v>
      </c>
      <c r="C521" s="58" t="s">
        <v>3381</v>
      </c>
      <c r="D521" s="58" t="s">
        <v>3817</v>
      </c>
      <c r="J521" s="70" t="str">
        <f t="shared" ref="J521:L521" si="674">LEFT(B521,LEN(B521)-LEN(RIGHT(B521,27)))</f>
        <v>Electronics</v>
      </c>
      <c r="K521" s="70" t="str">
        <f t="shared" si="674"/>
        <v>Camera, Photo &amp; Video</v>
      </c>
      <c r="L521" s="70" t="str">
        <f t="shared" si="674"/>
        <v>Tripods &amp; Monopods</v>
      </c>
    </row>
    <row r="522" ht="12.75" customHeight="1">
      <c r="B522" s="70" t="s">
        <v>3382</v>
      </c>
      <c r="C522" s="58" t="s">
        <v>3381</v>
      </c>
      <c r="D522" s="58" t="s">
        <v>3818</v>
      </c>
      <c r="J522" s="70" t="str">
        <f t="shared" ref="J522:L522" si="675">LEFT(B522,LEN(B522)-LEN(RIGHT(B522,27)))</f>
        <v>Electronics</v>
      </c>
      <c r="K522" s="70" t="str">
        <f t="shared" si="675"/>
        <v>Camera, Photo &amp; Video</v>
      </c>
      <c r="L522" s="70" t="str">
        <f t="shared" si="675"/>
        <v>Underwater Photography</v>
      </c>
    </row>
    <row r="523" ht="12.75" customHeight="1">
      <c r="B523" s="70" t="s">
        <v>3382</v>
      </c>
      <c r="C523" s="58" t="s">
        <v>3381</v>
      </c>
      <c r="D523" s="58" t="s">
        <v>3819</v>
      </c>
      <c r="J523" s="70" t="str">
        <f t="shared" ref="J523:L523" si="676">LEFT(B523,LEN(B523)-LEN(RIGHT(B523,27)))</f>
        <v>Electronics</v>
      </c>
      <c r="K523" s="70" t="str">
        <f t="shared" si="676"/>
        <v>Camera, Photo &amp; Video</v>
      </c>
      <c r="L523" s="70" t="str">
        <f t="shared" si="676"/>
        <v>Video</v>
      </c>
    </row>
    <row r="524" ht="12.75" customHeight="1">
      <c r="B524" s="70" t="s">
        <v>3382</v>
      </c>
      <c r="C524" s="58" t="s">
        <v>3381</v>
      </c>
      <c r="D524" s="58" t="s">
        <v>3820</v>
      </c>
      <c r="J524" s="70" t="str">
        <f t="shared" ref="J524:L524" si="677">LEFT(B524,LEN(B524)-LEN(RIGHT(B524,27)))</f>
        <v>Electronics</v>
      </c>
      <c r="K524" s="70" t="str">
        <f t="shared" si="677"/>
        <v>Camera, Photo &amp; Video</v>
      </c>
      <c r="L524" s="70" t="str">
        <f t="shared" si="677"/>
        <v>Camera Straps</v>
      </c>
    </row>
    <row r="525" ht="12.75" customHeight="1">
      <c r="B525" s="70" t="s">
        <v>3382</v>
      </c>
      <c r="C525" s="58" t="s">
        <v>3384</v>
      </c>
      <c r="D525" s="101" t="s">
        <v>3821</v>
      </c>
      <c r="J525" s="70" t="str">
        <f t="shared" ref="J525:L525" si="678">LEFT(B525,LEN(B525)-LEN(RIGHT(B525,27)))</f>
        <v>Electronics</v>
      </c>
      <c r="K525" s="70" t="str">
        <f t="shared" si="678"/>
        <v>Computers, Laptops &amp; Accessories</v>
      </c>
      <c r="L525" s="70" t="str">
        <f t="shared" si="678"/>
        <v>Laptops</v>
      </c>
    </row>
    <row r="526" ht="12.75" customHeight="1">
      <c r="B526" s="70" t="s">
        <v>3382</v>
      </c>
      <c r="C526" s="58" t="s">
        <v>3384</v>
      </c>
      <c r="D526" s="101" t="s">
        <v>3822</v>
      </c>
      <c r="J526" s="70" t="str">
        <f t="shared" ref="J526:L526" si="679">LEFT(B526,LEN(B526)-LEN(RIGHT(B526,27)))</f>
        <v>Electronics</v>
      </c>
      <c r="K526" s="70" t="str">
        <f t="shared" si="679"/>
        <v>Computers, Laptops &amp; Accessories</v>
      </c>
      <c r="L526" s="70" t="str">
        <f t="shared" si="679"/>
        <v>Cables &amp; Interconnects</v>
      </c>
    </row>
    <row r="527" ht="12.75" customHeight="1">
      <c r="B527" s="70" t="s">
        <v>3382</v>
      </c>
      <c r="C527" s="58" t="s">
        <v>3384</v>
      </c>
      <c r="D527" s="101" t="s">
        <v>3823</v>
      </c>
      <c r="J527" s="70" t="str">
        <f t="shared" ref="J527:L527" si="680">LEFT(B527,LEN(B527)-LEN(RIGHT(B527,27)))</f>
        <v>Electronics</v>
      </c>
      <c r="K527" s="70" t="str">
        <f t="shared" si="680"/>
        <v>Computers, Laptops &amp; Accessories</v>
      </c>
      <c r="L527" s="70" t="str">
        <f t="shared" si="680"/>
        <v>Camera Privacy Covers</v>
      </c>
    </row>
    <row r="528" ht="12.75" customHeight="1">
      <c r="B528" s="70" t="s">
        <v>3382</v>
      </c>
      <c r="C528" s="58" t="s">
        <v>3384</v>
      </c>
      <c r="D528" s="101" t="s">
        <v>3824</v>
      </c>
      <c r="J528" s="70" t="str">
        <f t="shared" ref="J528:L528" si="681">LEFT(B528,LEN(B528)-LEN(RIGHT(B528,27)))</f>
        <v>Electronics</v>
      </c>
      <c r="K528" s="70" t="str">
        <f t="shared" si="681"/>
        <v>Computers, Laptops &amp; Accessories</v>
      </c>
      <c r="L528" s="70" t="str">
        <f t="shared" si="681"/>
        <v>Computer Cable Adapters</v>
      </c>
    </row>
    <row r="529" ht="12.75" customHeight="1">
      <c r="B529" s="70" t="s">
        <v>3382</v>
      </c>
      <c r="C529" s="58" t="s">
        <v>3384</v>
      </c>
      <c r="D529" s="101" t="s">
        <v>3825</v>
      </c>
      <c r="J529" s="70" t="str">
        <f t="shared" ref="J529:L529" si="682">LEFT(B529,LEN(B529)-LEN(RIGHT(B529,27)))</f>
        <v>Electronics</v>
      </c>
      <c r="K529" s="70" t="str">
        <f t="shared" si="682"/>
        <v>Computers, Laptops &amp; Accessories</v>
      </c>
      <c r="L529" s="70" t="str">
        <f t="shared" si="682"/>
        <v>Computer Headsets</v>
      </c>
    </row>
    <row r="530" ht="12.75" customHeight="1">
      <c r="B530" s="70" t="s">
        <v>3382</v>
      </c>
      <c r="C530" s="58" t="s">
        <v>3384</v>
      </c>
      <c r="D530" s="101" t="s">
        <v>3826</v>
      </c>
      <c r="J530" s="70" t="str">
        <f t="shared" ref="J530:L530" si="683">LEFT(B530,LEN(B530)-LEN(RIGHT(B530,27)))</f>
        <v>Electronics</v>
      </c>
      <c r="K530" s="70" t="str">
        <f t="shared" si="683"/>
        <v>Computers, Laptops &amp; Accessories</v>
      </c>
      <c r="L530" s="70" t="str">
        <f t="shared" si="683"/>
        <v>Computer Microphones</v>
      </c>
    </row>
    <row r="531" ht="12.75" customHeight="1">
      <c r="B531" s="70" t="s">
        <v>3382</v>
      </c>
      <c r="C531" s="58" t="s">
        <v>3384</v>
      </c>
      <c r="D531" s="101" t="s">
        <v>3827</v>
      </c>
      <c r="J531" s="70" t="str">
        <f t="shared" ref="J531:L531" si="684">LEFT(B531,LEN(B531)-LEN(RIGHT(B531,27)))</f>
        <v>Electronics</v>
      </c>
      <c r="K531" s="70" t="str">
        <f t="shared" si="684"/>
        <v>Computers, Laptops &amp; Accessories</v>
      </c>
      <c r="L531" s="70" t="str">
        <f t="shared" si="684"/>
        <v>External Components</v>
      </c>
    </row>
    <row r="532" ht="12.75" customHeight="1">
      <c r="B532" s="70" t="s">
        <v>3382</v>
      </c>
      <c r="C532" s="58" t="s">
        <v>3384</v>
      </c>
      <c r="D532" s="101" t="s">
        <v>3828</v>
      </c>
      <c r="J532" s="70" t="str">
        <f t="shared" ref="J532:L532" si="685">LEFT(B532,LEN(B532)-LEN(RIGHT(B532,27)))</f>
        <v>Electronics</v>
      </c>
      <c r="K532" s="70" t="str">
        <f t="shared" si="685"/>
        <v>Computers, Laptops &amp; Accessories</v>
      </c>
      <c r="L532" s="70" t="str">
        <f t="shared" si="685"/>
        <v>Graphic Cards</v>
      </c>
    </row>
    <row r="533" ht="12.75" customHeight="1">
      <c r="B533" s="70" t="s">
        <v>3382</v>
      </c>
      <c r="C533" s="58" t="s">
        <v>3384</v>
      </c>
      <c r="D533" s="101" t="s">
        <v>3829</v>
      </c>
      <c r="J533" s="70" t="str">
        <f t="shared" ref="J533:L533" si="686">LEFT(B533,LEN(B533)-LEN(RIGHT(B533,27)))</f>
        <v>Electronics</v>
      </c>
      <c r="K533" s="70" t="str">
        <f t="shared" si="686"/>
        <v>Computers, Laptops &amp; Accessories</v>
      </c>
      <c r="L533" s="70" t="str">
        <f t="shared" si="686"/>
        <v>Internal Components</v>
      </c>
    </row>
    <row r="534" ht="12.75" customHeight="1">
      <c r="B534" s="70" t="s">
        <v>3382</v>
      </c>
      <c r="C534" s="58" t="s">
        <v>3384</v>
      </c>
      <c r="D534" s="101" t="s">
        <v>3830</v>
      </c>
      <c r="J534" s="70" t="str">
        <f t="shared" ref="J534:L534" si="687">LEFT(B534,LEN(B534)-LEN(RIGHT(B534,27)))</f>
        <v>Electronics</v>
      </c>
      <c r="K534" s="70" t="str">
        <f t="shared" si="687"/>
        <v>Computers, Laptops &amp; Accessories</v>
      </c>
      <c r="L534" s="70" t="str">
        <f t="shared" si="687"/>
        <v>Keyboards</v>
      </c>
    </row>
    <row r="535" ht="12.75" customHeight="1">
      <c r="B535" s="70" t="s">
        <v>3382</v>
      </c>
      <c r="C535" s="58" t="s">
        <v>3384</v>
      </c>
      <c r="D535" s="101" t="s">
        <v>3831</v>
      </c>
      <c r="J535" s="70" t="str">
        <f t="shared" ref="J535:L535" si="688">LEFT(B535,LEN(B535)-LEN(RIGHT(B535,27)))</f>
        <v>Electronics</v>
      </c>
      <c r="K535" s="70" t="str">
        <f t="shared" si="688"/>
        <v>Computers, Laptops &amp; Accessories</v>
      </c>
      <c r="L535" s="70" t="str">
        <f t="shared" si="688"/>
        <v>Memory Card Readers</v>
      </c>
    </row>
    <row r="536" ht="12.75" customHeight="1">
      <c r="B536" s="70" t="s">
        <v>3382</v>
      </c>
      <c r="C536" s="58" t="s">
        <v>3384</v>
      </c>
      <c r="D536" s="101" t="s">
        <v>3832</v>
      </c>
      <c r="J536" s="70" t="str">
        <f t="shared" ref="J536:L536" si="689">LEFT(B536,LEN(B536)-LEN(RIGHT(B536,27)))</f>
        <v>Electronics</v>
      </c>
      <c r="K536" s="70" t="str">
        <f t="shared" si="689"/>
        <v>Computers, Laptops &amp; Accessories</v>
      </c>
      <c r="L536" s="70" t="str">
        <f t="shared" si="689"/>
        <v>Mice</v>
      </c>
    </row>
    <row r="537" ht="12.75" customHeight="1">
      <c r="B537" s="70" t="s">
        <v>3382</v>
      </c>
      <c r="C537" s="58" t="s">
        <v>3384</v>
      </c>
      <c r="D537" s="101" t="s">
        <v>3833</v>
      </c>
      <c r="J537" s="70" t="str">
        <f t="shared" ref="J537:L537" si="690">LEFT(B537,LEN(B537)-LEN(RIGHT(B537,27)))</f>
        <v>Electronics</v>
      </c>
      <c r="K537" s="70" t="str">
        <f t="shared" si="690"/>
        <v>Computers, Laptops &amp; Accessories</v>
      </c>
      <c r="L537" s="70" t="str">
        <f t="shared" si="690"/>
        <v>Mounts &amp; Stands</v>
      </c>
    </row>
    <row r="538" ht="12.75" customHeight="1">
      <c r="B538" s="70" t="s">
        <v>3382</v>
      </c>
      <c r="C538" s="58" t="s">
        <v>3384</v>
      </c>
      <c r="D538" s="101" t="s">
        <v>3834</v>
      </c>
      <c r="J538" s="70" t="str">
        <f t="shared" ref="J538:L538" si="691">LEFT(B538,LEN(B538)-LEN(RIGHT(B538,27)))</f>
        <v>Electronics</v>
      </c>
      <c r="K538" s="70" t="str">
        <f t="shared" si="691"/>
        <v>Computers, Laptops &amp; Accessories</v>
      </c>
      <c r="L538" s="70" t="str">
        <f t="shared" si="691"/>
        <v>Surge Protectors</v>
      </c>
    </row>
    <row r="539" ht="12.75" customHeight="1">
      <c r="B539" s="70" t="s">
        <v>3382</v>
      </c>
      <c r="C539" s="58" t="s">
        <v>3384</v>
      </c>
      <c r="D539" s="101" t="s">
        <v>3835</v>
      </c>
      <c r="J539" s="70" t="str">
        <f t="shared" ref="J539:L539" si="692">LEFT(B539,LEN(B539)-LEN(RIGHT(B539,27)))</f>
        <v>Electronics</v>
      </c>
      <c r="K539" s="70" t="str">
        <f t="shared" si="692"/>
        <v>Computers, Laptops &amp; Accessories</v>
      </c>
      <c r="L539" s="70" t="str">
        <f t="shared" si="692"/>
        <v>Single Board Computers</v>
      </c>
    </row>
    <row r="540" ht="12.75" customHeight="1">
      <c r="B540" s="70" t="s">
        <v>3382</v>
      </c>
      <c r="C540" s="58" t="s">
        <v>3384</v>
      </c>
      <c r="D540" s="101" t="s">
        <v>3836</v>
      </c>
      <c r="J540" s="70" t="str">
        <f t="shared" ref="J540:L540" si="693">LEFT(B540,LEN(B540)-LEN(RIGHT(B540,27)))</f>
        <v>Electronics</v>
      </c>
      <c r="K540" s="70" t="str">
        <f t="shared" si="693"/>
        <v>Computers, Laptops &amp; Accessories</v>
      </c>
      <c r="L540" s="70" t="str">
        <f t="shared" si="693"/>
        <v>USB Hubs</v>
      </c>
    </row>
    <row r="541" ht="12.75" customHeight="1">
      <c r="B541" s="70" t="s">
        <v>3382</v>
      </c>
      <c r="C541" s="58" t="s">
        <v>3384</v>
      </c>
      <c r="D541" s="101" t="s">
        <v>3837</v>
      </c>
      <c r="J541" s="70" t="str">
        <f t="shared" ref="J541:L541" si="694">LEFT(B541,LEN(B541)-LEN(RIGHT(B541,27)))</f>
        <v>Electronics</v>
      </c>
      <c r="K541" s="70" t="str">
        <f t="shared" si="694"/>
        <v>Computers, Laptops &amp; Accessories</v>
      </c>
      <c r="L541" s="70" t="str">
        <f t="shared" si="694"/>
        <v>Webcams</v>
      </c>
    </row>
    <row r="542" ht="12.75" customHeight="1">
      <c r="B542" s="70" t="s">
        <v>3382</v>
      </c>
      <c r="C542" s="58" t="s">
        <v>3386</v>
      </c>
      <c r="D542" s="101" t="s">
        <v>3838</v>
      </c>
      <c r="J542" s="70" t="str">
        <f t="shared" ref="J542:L542" si="695">LEFT(B542,LEN(B542)-LEN(RIGHT(B542,27)))</f>
        <v>Electronics</v>
      </c>
      <c r="K542" s="70" t="str">
        <f t="shared" si="695"/>
        <v>Cell Phones &amp; Accessories</v>
      </c>
      <c r="L542" s="70" t="str">
        <f t="shared" si="695"/>
        <v>Cell Phones</v>
      </c>
    </row>
    <row r="543" ht="12.75" customHeight="1">
      <c r="B543" s="70" t="s">
        <v>3382</v>
      </c>
      <c r="C543" s="58" t="s">
        <v>3386</v>
      </c>
      <c r="D543" s="101" t="s">
        <v>3839</v>
      </c>
      <c r="J543" s="70" t="str">
        <f t="shared" ref="J543:L543" si="696">LEFT(B543,LEN(B543)-LEN(RIGHT(B543,27)))</f>
        <v>Electronics</v>
      </c>
      <c r="K543" s="70" t="str">
        <f t="shared" si="696"/>
        <v>Cell Phones &amp; Accessories</v>
      </c>
      <c r="L543" s="70" t="str">
        <f t="shared" si="696"/>
        <v>Holsters &amp; Clips</v>
      </c>
    </row>
    <row r="544" ht="12.75" customHeight="1">
      <c r="B544" s="70" t="s">
        <v>3382</v>
      </c>
      <c r="C544" s="58" t="s">
        <v>3386</v>
      </c>
      <c r="D544" s="101" t="s">
        <v>3840</v>
      </c>
      <c r="J544" s="70" t="str">
        <f t="shared" ref="J544:L544" si="697">LEFT(B544,LEN(B544)-LEN(RIGHT(B544,27)))</f>
        <v>Electronics</v>
      </c>
      <c r="K544" s="70" t="str">
        <f t="shared" si="697"/>
        <v>Cell Phones &amp; Accessories</v>
      </c>
      <c r="L544" s="70" t="str">
        <f t="shared" si="697"/>
        <v>Headsets</v>
      </c>
    </row>
    <row r="545" ht="12.75" customHeight="1">
      <c r="B545" s="70" t="s">
        <v>3382</v>
      </c>
      <c r="C545" s="58" t="s">
        <v>3386</v>
      </c>
      <c r="D545" s="101" t="s">
        <v>3841</v>
      </c>
      <c r="J545" s="70" t="str">
        <f t="shared" ref="J545:L545" si="698">LEFT(B545,LEN(B545)-LEN(RIGHT(B545,27)))</f>
        <v>Electronics</v>
      </c>
      <c r="K545" s="70" t="str">
        <f t="shared" si="698"/>
        <v>Cell Phones &amp; Accessories</v>
      </c>
      <c r="L545" s="70" t="str">
        <f t="shared" si="698"/>
        <v>Screen Protectors</v>
      </c>
    </row>
    <row r="546" ht="12.75" customHeight="1">
      <c r="B546" s="70" t="s">
        <v>3382</v>
      </c>
      <c r="C546" s="58" t="s">
        <v>3386</v>
      </c>
      <c r="D546" s="101" t="s">
        <v>3842</v>
      </c>
      <c r="J546" s="70" t="str">
        <f t="shared" ref="J546:L546" si="699">LEFT(B546,LEN(B546)-LEN(RIGHT(B546,27)))</f>
        <v>Electronics</v>
      </c>
      <c r="K546" s="70" t="str">
        <f t="shared" si="699"/>
        <v>Cell Phones &amp; Accessories</v>
      </c>
      <c r="L546" s="70" t="str">
        <f t="shared" si="699"/>
        <v>Cases</v>
      </c>
    </row>
    <row r="547" ht="12.75" customHeight="1">
      <c r="B547" s="70" t="s">
        <v>3382</v>
      </c>
      <c r="C547" s="58" t="s">
        <v>3386</v>
      </c>
      <c r="D547" s="101" t="s">
        <v>3843</v>
      </c>
      <c r="J547" s="70" t="str">
        <f t="shared" ref="J547:L547" si="700">LEFT(B547,LEN(B547)-LEN(RIGHT(B547,27)))</f>
        <v>Electronics</v>
      </c>
      <c r="K547" s="70" t="str">
        <f t="shared" si="700"/>
        <v>Cell Phones &amp; Accessories</v>
      </c>
      <c r="L547" s="70" t="str">
        <f t="shared" si="700"/>
        <v>Covers</v>
      </c>
    </row>
    <row r="548" ht="12.75" customHeight="1">
      <c r="B548" s="70" t="s">
        <v>3382</v>
      </c>
      <c r="C548" s="58" t="s">
        <v>3386</v>
      </c>
      <c r="D548" s="101" t="s">
        <v>3844</v>
      </c>
      <c r="J548" s="70" t="str">
        <f t="shared" ref="J548:L548" si="701">LEFT(B548,LEN(B548)-LEN(RIGHT(B548,27)))</f>
        <v>Electronics</v>
      </c>
      <c r="K548" s="70" t="str">
        <f t="shared" si="701"/>
        <v>Cell Phones &amp; Accessories</v>
      </c>
      <c r="L548" s="70" t="str">
        <f t="shared" si="701"/>
        <v>Skins &amp; Bumpers</v>
      </c>
    </row>
    <row r="549" ht="12.75" customHeight="1">
      <c r="B549" s="70" t="s">
        <v>3382</v>
      </c>
      <c r="C549" s="58" t="s">
        <v>3386</v>
      </c>
      <c r="D549" s="101" t="s">
        <v>3845</v>
      </c>
      <c r="J549" s="70" t="str">
        <f t="shared" ref="J549:L549" si="702">LEFT(B549,LEN(B549)-LEN(RIGHT(B549,27)))</f>
        <v>Electronics</v>
      </c>
      <c r="K549" s="70" t="str">
        <f t="shared" si="702"/>
        <v>Cell Phones &amp; Accessories</v>
      </c>
      <c r="L549" s="70" t="str">
        <f t="shared" si="702"/>
        <v>Chargers</v>
      </c>
    </row>
    <row r="550" ht="12.75" customHeight="1">
      <c r="B550" s="70" t="s">
        <v>3382</v>
      </c>
      <c r="C550" s="58" t="s">
        <v>3386</v>
      </c>
      <c r="D550" s="101" t="s">
        <v>3846</v>
      </c>
      <c r="J550" s="70" t="str">
        <f t="shared" ref="J550:L550" si="703">LEFT(B550,LEN(B550)-LEN(RIGHT(B550,27)))</f>
        <v>Electronics</v>
      </c>
      <c r="K550" s="70" t="str">
        <f t="shared" si="703"/>
        <v>Cell Phones &amp; Accessories</v>
      </c>
      <c r="L550" s="70" t="str">
        <f t="shared" si="703"/>
        <v>Adapters</v>
      </c>
    </row>
    <row r="551" ht="12.75" customHeight="1">
      <c r="B551" s="70" t="s">
        <v>3382</v>
      </c>
      <c r="C551" s="58" t="s">
        <v>3386</v>
      </c>
      <c r="D551" s="101" t="s">
        <v>3847</v>
      </c>
      <c r="J551" s="70" t="str">
        <f t="shared" ref="J551:L551" si="704">LEFT(B551,LEN(B551)-LEN(RIGHT(B551,27)))</f>
        <v>Electronics</v>
      </c>
      <c r="K551" s="70" t="str">
        <f t="shared" si="704"/>
        <v>Cell Phones &amp; Accessories</v>
      </c>
      <c r="L551" s="70" t="str">
        <f t="shared" si="704"/>
        <v>Cables</v>
      </c>
    </row>
    <row r="552" ht="12.75" customHeight="1">
      <c r="B552" s="70" t="s">
        <v>3382</v>
      </c>
      <c r="C552" s="58" t="s">
        <v>3388</v>
      </c>
      <c r="D552" s="101" t="s">
        <v>3848</v>
      </c>
      <c r="J552" s="70" t="str">
        <f t="shared" ref="J552:L552" si="705">LEFT(B552,LEN(B552)-LEN(RIGHT(B552,27)))</f>
        <v>Electronics</v>
      </c>
      <c r="K552" s="70" t="str">
        <f t="shared" si="705"/>
        <v>TV &amp; Video</v>
      </c>
      <c r="L552" s="70" t="str">
        <f t="shared" si="705"/>
        <v>GPS &amp; Navigation</v>
      </c>
    </row>
    <row r="553" ht="12.75" customHeight="1">
      <c r="B553" s="70" t="s">
        <v>3382</v>
      </c>
      <c r="C553" s="58" t="s">
        <v>3388</v>
      </c>
      <c r="D553" s="101" t="s">
        <v>3849</v>
      </c>
      <c r="J553" s="70" t="str">
        <f t="shared" ref="J553:L553" si="706">LEFT(B553,LEN(B553)-LEN(RIGHT(B553,27)))</f>
        <v>Electronics</v>
      </c>
      <c r="K553" s="70" t="str">
        <f t="shared" si="706"/>
        <v>TV &amp; Video</v>
      </c>
      <c r="L553" s="70" t="str">
        <f t="shared" si="706"/>
        <v>Amplifiers</v>
      </c>
    </row>
    <row r="554" ht="12.75" customHeight="1">
      <c r="B554" s="70" t="s">
        <v>3382</v>
      </c>
      <c r="C554" s="58" t="s">
        <v>3388</v>
      </c>
      <c r="D554" s="101" t="s">
        <v>3850</v>
      </c>
      <c r="J554" s="70" t="str">
        <f t="shared" ref="J554:L554" si="707">LEFT(B554,LEN(B554)-LEN(RIGHT(B554,27)))</f>
        <v>Electronics</v>
      </c>
      <c r="K554" s="70" t="str">
        <f t="shared" si="707"/>
        <v>TV &amp; Video</v>
      </c>
      <c r="L554" s="70" t="str">
        <f t="shared" si="707"/>
        <v>Car Stereo Receivers</v>
      </c>
    </row>
    <row r="555" ht="12.75" customHeight="1">
      <c r="B555" s="70" t="s">
        <v>3382</v>
      </c>
      <c r="C555" s="58" t="s">
        <v>3388</v>
      </c>
      <c r="D555" s="101" t="s">
        <v>3851</v>
      </c>
      <c r="J555" s="70" t="str">
        <f t="shared" ref="J555:L555" si="708">LEFT(B555,LEN(B555)-LEN(RIGHT(B555,27)))</f>
        <v>Electronics</v>
      </c>
      <c r="K555" s="70" t="str">
        <f t="shared" si="708"/>
        <v>TV &amp; Video</v>
      </c>
      <c r="L555" s="70" t="str">
        <f t="shared" si="708"/>
        <v>Changers</v>
      </c>
    </row>
    <row r="556" ht="12.75" customHeight="1">
      <c r="B556" s="70" t="s">
        <v>3382</v>
      </c>
      <c r="C556" s="58" t="s">
        <v>3388</v>
      </c>
      <c r="D556" s="101" t="s">
        <v>3852</v>
      </c>
      <c r="J556" s="70" t="str">
        <f t="shared" ref="J556:L556" si="709">LEFT(B556,LEN(B556)-LEN(RIGHT(B556,27)))</f>
        <v>Electronics</v>
      </c>
      <c r="K556" s="70" t="str">
        <f t="shared" si="709"/>
        <v>TV &amp; Video</v>
      </c>
      <c r="L556" s="70" t="str">
        <f t="shared" si="709"/>
        <v>Digital Media Receivers</v>
      </c>
    </row>
    <row r="557" ht="12.75" customHeight="1">
      <c r="B557" s="70" t="s">
        <v>3382</v>
      </c>
      <c r="C557" s="58" t="s">
        <v>3388</v>
      </c>
      <c r="D557" s="101" t="s">
        <v>3853</v>
      </c>
      <c r="J557" s="70" t="str">
        <f t="shared" ref="J557:L557" si="710">LEFT(B557,LEN(B557)-LEN(RIGHT(B557,27)))</f>
        <v>Electronics</v>
      </c>
      <c r="K557" s="70" t="str">
        <f t="shared" si="710"/>
        <v>TV &amp; Video</v>
      </c>
      <c r="L557" s="70" t="str">
        <f t="shared" si="710"/>
        <v>Equalizers</v>
      </c>
    </row>
    <row r="558" ht="12.75" customHeight="1">
      <c r="B558" s="70" t="s">
        <v>3382</v>
      </c>
      <c r="C558" s="58" t="s">
        <v>3388</v>
      </c>
      <c r="D558" s="101" t="s">
        <v>3854</v>
      </c>
      <c r="J558" s="70" t="str">
        <f t="shared" ref="J558:L558" si="711">LEFT(B558,LEN(B558)-LEN(RIGHT(B558,27)))</f>
        <v>Electronics</v>
      </c>
      <c r="K558" s="70" t="str">
        <f t="shared" si="711"/>
        <v>TV &amp; Video</v>
      </c>
      <c r="L558" s="70" t="str">
        <f t="shared" si="711"/>
        <v>Satellite Radio</v>
      </c>
    </row>
    <row r="559" ht="12.75" customHeight="1">
      <c r="B559" s="70" t="s">
        <v>3382</v>
      </c>
      <c r="C559" s="58" t="s">
        <v>3388</v>
      </c>
      <c r="D559" s="101" t="s">
        <v>3855</v>
      </c>
      <c r="J559" s="70" t="str">
        <f t="shared" ref="J559:L559" si="712">LEFT(B559,LEN(B559)-LEN(RIGHT(B559,27)))</f>
        <v>Electronics</v>
      </c>
      <c r="K559" s="70" t="str">
        <f t="shared" si="712"/>
        <v>TV &amp; Video</v>
      </c>
      <c r="L559" s="70" t="str">
        <f t="shared" si="712"/>
        <v>Car Headphones</v>
      </c>
    </row>
    <row r="560" ht="12.75" customHeight="1">
      <c r="B560" s="70" t="s">
        <v>3382</v>
      </c>
      <c r="C560" s="58" t="s">
        <v>3388</v>
      </c>
      <c r="D560" s="101" t="s">
        <v>3856</v>
      </c>
      <c r="J560" s="70" t="str">
        <f t="shared" ref="J560:L560" si="713">LEFT(B560,LEN(B560)-LEN(RIGHT(B560,27)))</f>
        <v>Electronics</v>
      </c>
      <c r="K560" s="70" t="str">
        <f t="shared" si="713"/>
        <v>TV &amp; Video</v>
      </c>
      <c r="L560" s="70" t="str">
        <f t="shared" si="713"/>
        <v>In-Mirror Video</v>
      </c>
    </row>
    <row r="561" ht="12.75" customHeight="1">
      <c r="B561" s="70" t="s">
        <v>3382</v>
      </c>
      <c r="C561" s="58" t="s">
        <v>3388</v>
      </c>
      <c r="D561" s="101" t="s">
        <v>3857</v>
      </c>
      <c r="J561" s="70" t="str">
        <f t="shared" ref="J561:L561" si="714">LEFT(B561,LEN(B561)-LEN(RIGHT(B561,27)))</f>
        <v>Electronics</v>
      </c>
      <c r="K561" s="70" t="str">
        <f t="shared" si="714"/>
        <v>TV &amp; Video</v>
      </c>
      <c r="L561" s="70" t="str">
        <f t="shared" si="714"/>
        <v>In-Visor Video</v>
      </c>
    </row>
    <row r="562" ht="12.75" customHeight="1">
      <c r="B562" s="70" t="s">
        <v>3382</v>
      </c>
      <c r="C562" s="58" t="s">
        <v>3388</v>
      </c>
      <c r="D562" s="101" t="s">
        <v>3858</v>
      </c>
      <c r="J562" s="70" t="str">
        <f t="shared" ref="J562:L562" si="715">LEFT(B562,LEN(B562)-LEN(RIGHT(B562,27)))</f>
        <v>Electronics</v>
      </c>
      <c r="K562" s="70" t="str">
        <f t="shared" si="715"/>
        <v>TV &amp; Video</v>
      </c>
      <c r="L562" s="70" t="str">
        <f t="shared" si="715"/>
        <v>On-Dash Cameras</v>
      </c>
    </row>
    <row r="563" ht="12.75" customHeight="1">
      <c r="B563" s="70" t="s">
        <v>3382</v>
      </c>
      <c r="C563" s="58" t="s">
        <v>3388</v>
      </c>
      <c r="D563" s="101" t="s">
        <v>3859</v>
      </c>
      <c r="J563" s="70" t="str">
        <f t="shared" ref="J563:L563" si="716">LEFT(B563,LEN(B563)-LEN(RIGHT(B563,27)))</f>
        <v>Electronics</v>
      </c>
      <c r="K563" s="70" t="str">
        <f t="shared" si="716"/>
        <v>TV &amp; Video</v>
      </c>
      <c r="L563" s="70" t="str">
        <f t="shared" si="716"/>
        <v>Overhead Video</v>
      </c>
    </row>
    <row r="564" ht="12.75" customHeight="1">
      <c r="B564" s="70" t="s">
        <v>3382</v>
      </c>
      <c r="C564" s="58" t="s">
        <v>3388</v>
      </c>
      <c r="D564" s="101" t="s">
        <v>3860</v>
      </c>
      <c r="J564" s="70" t="str">
        <f t="shared" ref="J564:L564" si="717">LEFT(B564,LEN(B564)-LEN(RIGHT(B564,27)))</f>
        <v>Electronics</v>
      </c>
      <c r="K564" s="70" t="str">
        <f t="shared" si="717"/>
        <v>TV &amp; Video</v>
      </c>
      <c r="L564" s="70" t="str">
        <f t="shared" si="717"/>
        <v>Surround Processors</v>
      </c>
    </row>
    <row r="565" ht="12.75" customHeight="1">
      <c r="B565" s="70" t="s">
        <v>3382</v>
      </c>
      <c r="C565" s="58" t="s">
        <v>3388</v>
      </c>
      <c r="D565" s="101" t="s">
        <v>3861</v>
      </c>
      <c r="J565" s="70" t="str">
        <f t="shared" ref="J565:L565" si="718">LEFT(B565,LEN(B565)-LEN(RIGHT(B565,27)))</f>
        <v>Electronics</v>
      </c>
      <c r="K565" s="70" t="str">
        <f t="shared" si="718"/>
        <v>TV &amp; Video</v>
      </c>
      <c r="L565" s="70" t="str">
        <f t="shared" si="718"/>
        <v>TV Tuners</v>
      </c>
    </row>
    <row r="566" ht="12.75" customHeight="1">
      <c r="B566" s="70" t="s">
        <v>3382</v>
      </c>
      <c r="C566" s="58" t="s">
        <v>3388</v>
      </c>
      <c r="D566" s="101" t="s">
        <v>3862</v>
      </c>
      <c r="J566" s="70" t="str">
        <f t="shared" ref="J566:L566" si="719">LEFT(B566,LEN(B566)-LEN(RIGHT(B566,27)))</f>
        <v>Electronics</v>
      </c>
      <c r="K566" s="70" t="str">
        <f t="shared" si="719"/>
        <v>TV &amp; Video</v>
      </c>
      <c r="L566" s="70" t="str">
        <f t="shared" si="719"/>
        <v>Vehicle Backup Cameras</v>
      </c>
    </row>
    <row r="567" ht="12.75" customHeight="1">
      <c r="B567" s="70" t="s">
        <v>3382</v>
      </c>
      <c r="C567" s="58" t="s">
        <v>3390</v>
      </c>
      <c r="D567" s="101" t="s">
        <v>3863</v>
      </c>
      <c r="J567" s="70" t="str">
        <f t="shared" ref="J567:L567" si="720">LEFT(B567,LEN(B567)-LEN(RIGHT(B567,27)))</f>
        <v>Electronics</v>
      </c>
      <c r="K567" s="70" t="str">
        <f t="shared" si="720"/>
        <v>Video Games &amp; Consoles</v>
      </c>
      <c r="L567" s="70" t="str">
        <f t="shared" si="720"/>
        <v>Smartwatches</v>
      </c>
    </row>
    <row r="568" ht="12.75" customHeight="1">
      <c r="B568" s="70" t="s">
        <v>3382</v>
      </c>
      <c r="C568" s="58" t="s">
        <v>3390</v>
      </c>
      <c r="D568" s="101" t="s">
        <v>3864</v>
      </c>
      <c r="J568" s="70" t="str">
        <f t="shared" ref="J568:L568" si="721">LEFT(B568,LEN(B568)-LEN(RIGHT(B568,27)))</f>
        <v>Electronics</v>
      </c>
      <c r="K568" s="70" t="str">
        <f t="shared" si="721"/>
        <v>Video Games &amp; Consoles</v>
      </c>
      <c r="L568" s="70" t="str">
        <f t="shared" si="721"/>
        <v>Body Mounted Cameras</v>
      </c>
    </row>
    <row r="569" ht="12.75" customHeight="1">
      <c r="B569" s="70" t="s">
        <v>3382</v>
      </c>
      <c r="C569" s="58" t="s">
        <v>3390</v>
      </c>
      <c r="D569" s="101" t="s">
        <v>3865</v>
      </c>
      <c r="J569" s="70" t="str">
        <f t="shared" ref="J569:L569" si="722">LEFT(B569,LEN(B569)-LEN(RIGHT(B569,27)))</f>
        <v>Electronics</v>
      </c>
      <c r="K569" s="70" t="str">
        <f t="shared" si="722"/>
        <v>Video Games &amp; Consoles</v>
      </c>
      <c r="L569" s="70" t="str">
        <f t="shared" si="722"/>
        <v>Clips, Arm &amp; Wristbands</v>
      </c>
    </row>
    <row r="570" ht="12.75" customHeight="1">
      <c r="B570" s="70" t="s">
        <v>3382</v>
      </c>
      <c r="C570" s="58" t="s">
        <v>3390</v>
      </c>
      <c r="D570" s="101" t="s">
        <v>3866</v>
      </c>
      <c r="J570" s="70" t="str">
        <f t="shared" ref="J570:L570" si="723">LEFT(B570,LEN(B570)-LEN(RIGHT(B570,27)))</f>
        <v>Electronics</v>
      </c>
      <c r="K570" s="70" t="str">
        <f t="shared" si="723"/>
        <v>Video Games &amp; Consoles</v>
      </c>
      <c r="L570" s="70" t="str">
        <f t="shared" si="723"/>
        <v>Glasses</v>
      </c>
    </row>
    <row r="571" ht="12.75" customHeight="1">
      <c r="B571" s="70" t="s">
        <v>3382</v>
      </c>
      <c r="C571" s="58" t="s">
        <v>3390</v>
      </c>
      <c r="D571" s="101" t="s">
        <v>3867</v>
      </c>
      <c r="J571" s="70" t="str">
        <f t="shared" ref="J571:L571" si="724">LEFT(B571,LEN(B571)-LEN(RIGHT(B571,27)))</f>
        <v>Electronics</v>
      </c>
      <c r="K571" s="70" t="str">
        <f t="shared" si="724"/>
        <v>Video Games &amp; Consoles</v>
      </c>
      <c r="L571" s="70" t="str">
        <f t="shared" si="724"/>
        <v>Rings</v>
      </c>
    </row>
    <row r="572" ht="12.75" customHeight="1">
      <c r="B572" s="70" t="s">
        <v>3382</v>
      </c>
      <c r="C572" s="58" t="s">
        <v>3390</v>
      </c>
      <c r="D572" s="101" t="s">
        <v>3868</v>
      </c>
      <c r="J572" s="70" t="str">
        <f t="shared" ref="J572:L572" si="725">LEFT(B572,LEN(B572)-LEN(RIGHT(B572,27)))</f>
        <v>Electronics</v>
      </c>
      <c r="K572" s="70" t="str">
        <f t="shared" si="725"/>
        <v>Video Games &amp; Consoles</v>
      </c>
      <c r="L572" s="70" t="str">
        <f t="shared" si="725"/>
        <v>Smartwatch Cases</v>
      </c>
    </row>
    <row r="573" ht="12.75" customHeight="1">
      <c r="B573" s="70" t="s">
        <v>3382</v>
      </c>
      <c r="C573" s="58" t="s">
        <v>3390</v>
      </c>
      <c r="D573" s="101" t="s">
        <v>3869</v>
      </c>
      <c r="J573" s="70" t="str">
        <f t="shared" ref="J573:L573" si="726">LEFT(B573,LEN(B573)-LEN(RIGHT(B573,27)))</f>
        <v>Electronics</v>
      </c>
      <c r="K573" s="70" t="str">
        <f t="shared" si="726"/>
        <v>Video Games &amp; Consoles</v>
      </c>
      <c r="L573" s="70" t="str">
        <f t="shared" si="726"/>
        <v>Wearables Chargers</v>
      </c>
    </row>
    <row r="574" ht="12.75" customHeight="1">
      <c r="B574" s="70" t="s">
        <v>3382</v>
      </c>
      <c r="C574" s="58" t="s">
        <v>3406</v>
      </c>
      <c r="D574" s="101" t="s">
        <v>3870</v>
      </c>
      <c r="J574" s="70" t="str">
        <f t="shared" ref="J574:L574" si="727">LEFT(B574,LEN(B574)-LEN(RIGHT(B574,27)))</f>
        <v>Electronics</v>
      </c>
      <c r="K574" s="70" t="str">
        <f t="shared" si="727"/>
        <v>Tablets, E-Readers &amp; Accessories</v>
      </c>
      <c r="L574" s="70" t="str">
        <f t="shared" si="727"/>
        <v>Tablets</v>
      </c>
    </row>
    <row r="575" ht="12.75" customHeight="1">
      <c r="B575" s="70" t="s">
        <v>3382</v>
      </c>
      <c r="C575" s="58" t="s">
        <v>3406</v>
      </c>
      <c r="D575" s="101" t="s">
        <v>3871</v>
      </c>
      <c r="J575" s="70" t="str">
        <f t="shared" ref="J575:L575" si="728">LEFT(B575,LEN(B575)-LEN(RIGHT(B575,27)))</f>
        <v>Electronics</v>
      </c>
      <c r="K575" s="70" t="str">
        <f t="shared" si="728"/>
        <v>Tablets, E-Readers &amp; Accessories</v>
      </c>
      <c r="L575" s="70" t="str">
        <f t="shared" si="728"/>
        <v>eBook Readers</v>
      </c>
    </row>
    <row r="576" ht="12.75" customHeight="1">
      <c r="B576" s="70" t="s">
        <v>3382</v>
      </c>
      <c r="C576" s="58" t="s">
        <v>3406</v>
      </c>
      <c r="D576" s="101" t="s">
        <v>3872</v>
      </c>
      <c r="J576" s="70" t="str">
        <f t="shared" ref="J576:L576" si="729">LEFT(B576,LEN(B576)-LEN(RIGHT(B576,27)))</f>
        <v>Electronics</v>
      </c>
      <c r="K576" s="70" t="str">
        <f t="shared" si="729"/>
        <v>Tablets, E-Readers &amp; Accessories</v>
      </c>
      <c r="L576" s="70" t="str">
        <f t="shared" si="729"/>
        <v>Cases</v>
      </c>
    </row>
    <row r="577" ht="12.75" customHeight="1">
      <c r="B577" s="70" t="s">
        <v>3382</v>
      </c>
      <c r="C577" s="58" t="s">
        <v>3406</v>
      </c>
      <c r="D577" s="101" t="s">
        <v>3873</v>
      </c>
      <c r="J577" s="70" t="str">
        <f t="shared" ref="J577:L577" si="730">LEFT(B577,LEN(B577)-LEN(RIGHT(B577,27)))</f>
        <v>Electronics</v>
      </c>
      <c r="K577" s="70" t="str">
        <f t="shared" si="730"/>
        <v>Tablets, E-Readers &amp; Accessories</v>
      </c>
      <c r="L577" s="70" t="str">
        <f t="shared" si="730"/>
        <v>Chargers</v>
      </c>
    </row>
    <row r="578" ht="12.75" customHeight="1">
      <c r="B578" s="70" t="s">
        <v>3382</v>
      </c>
      <c r="C578" s="58" t="s">
        <v>3406</v>
      </c>
      <c r="D578" s="101" t="s">
        <v>3874</v>
      </c>
      <c r="J578" s="70" t="str">
        <f t="shared" ref="J578:L578" si="731">LEFT(B578,LEN(B578)-LEN(RIGHT(B578,27)))</f>
        <v>Electronics</v>
      </c>
      <c r="K578" s="70" t="str">
        <f t="shared" si="731"/>
        <v>Tablets, E-Readers &amp; Accessories</v>
      </c>
      <c r="L578" s="70" t="str">
        <f t="shared" si="731"/>
        <v>Covers</v>
      </c>
    </row>
    <row r="579" ht="12.75" customHeight="1">
      <c r="B579" s="70" t="s">
        <v>3382</v>
      </c>
      <c r="C579" s="58" t="s">
        <v>3406</v>
      </c>
      <c r="D579" s="101" t="s">
        <v>3875</v>
      </c>
      <c r="J579" s="70" t="str">
        <f t="shared" ref="J579:L579" si="732">LEFT(B579,LEN(B579)-LEN(RIGHT(B579,27)))</f>
        <v>Electronics</v>
      </c>
      <c r="K579" s="70" t="str">
        <f t="shared" si="732"/>
        <v>Tablets, E-Readers &amp; Accessories</v>
      </c>
      <c r="L579" s="70" t="str">
        <f t="shared" si="732"/>
        <v>Power Adapters</v>
      </c>
    </row>
    <row r="580" ht="12.75" customHeight="1">
      <c r="B580" s="70" t="s">
        <v>3382</v>
      </c>
      <c r="C580" s="58" t="s">
        <v>3406</v>
      </c>
      <c r="D580" s="101" t="s">
        <v>3876</v>
      </c>
      <c r="J580" s="70" t="str">
        <f t="shared" ref="J580:L580" si="733">LEFT(B580,LEN(B580)-LEN(RIGHT(B580,27)))</f>
        <v>Electronics</v>
      </c>
      <c r="K580" s="70" t="str">
        <f t="shared" si="733"/>
        <v>Tablets, E-Readers &amp; Accessories</v>
      </c>
      <c r="L580" s="70" t="str">
        <f t="shared" si="733"/>
        <v>Power Cables</v>
      </c>
    </row>
    <row r="581" ht="12.75" customHeight="1">
      <c r="B581" s="70" t="s">
        <v>3382</v>
      </c>
      <c r="C581" s="58" t="s">
        <v>3406</v>
      </c>
      <c r="D581" s="101" t="s">
        <v>3877</v>
      </c>
      <c r="J581" s="70" t="str">
        <f t="shared" ref="J581:L581" si="734">LEFT(B581,LEN(B581)-LEN(RIGHT(B581,27)))</f>
        <v>Electronics</v>
      </c>
      <c r="K581" s="70" t="str">
        <f t="shared" si="734"/>
        <v>Tablets, E-Readers &amp; Accessories</v>
      </c>
      <c r="L581" s="70" t="str">
        <f t="shared" si="734"/>
        <v>Reading Lights</v>
      </c>
    </row>
    <row r="582" ht="12.75" customHeight="1">
      <c r="B582" s="70" t="s">
        <v>3382</v>
      </c>
      <c r="C582" s="58" t="s">
        <v>3406</v>
      </c>
      <c r="D582" s="101" t="s">
        <v>3878</v>
      </c>
      <c r="J582" s="70" t="str">
        <f t="shared" ref="J582:L582" si="735">LEFT(B582,LEN(B582)-LEN(RIGHT(B582,27)))</f>
        <v>Electronics</v>
      </c>
      <c r="K582" s="70" t="str">
        <f t="shared" si="735"/>
        <v>Tablets, E-Readers &amp; Accessories</v>
      </c>
      <c r="L582" s="70" t="str">
        <f t="shared" si="735"/>
        <v>Screen Protectors</v>
      </c>
    </row>
    <row r="583" ht="12.75" customHeight="1">
      <c r="B583" s="70" t="s">
        <v>3382</v>
      </c>
      <c r="C583" s="58" t="s">
        <v>3406</v>
      </c>
      <c r="D583" s="101" t="s">
        <v>3879</v>
      </c>
      <c r="J583" s="70" t="str">
        <f t="shared" ref="J583:L583" si="736">LEFT(B583,LEN(B583)-LEN(RIGHT(B583,27)))</f>
        <v>Electronics</v>
      </c>
      <c r="K583" s="70" t="str">
        <f t="shared" si="736"/>
        <v>Tablets, E-Readers &amp; Accessories</v>
      </c>
      <c r="L583" s="70" t="str">
        <f t="shared" si="736"/>
        <v>Skins</v>
      </c>
    </row>
    <row r="584" ht="12.75" customHeight="1">
      <c r="B584" s="70" t="s">
        <v>3382</v>
      </c>
      <c r="C584" s="58" t="s">
        <v>3406</v>
      </c>
      <c r="D584" s="101" t="s">
        <v>3880</v>
      </c>
      <c r="J584" s="70" t="str">
        <f t="shared" ref="J584:L584" si="737">LEFT(B584,LEN(B584)-LEN(RIGHT(B584,27)))</f>
        <v>Electronics</v>
      </c>
      <c r="K584" s="70" t="str">
        <f t="shared" si="737"/>
        <v>Tablets, E-Readers &amp; Accessories</v>
      </c>
      <c r="L584" s="70" t="str">
        <f t="shared" si="737"/>
        <v>Sleeves</v>
      </c>
    </row>
    <row r="585" ht="12.75" customHeight="1">
      <c r="B585" s="70" t="s">
        <v>3382</v>
      </c>
      <c r="C585" s="58" t="s">
        <v>3406</v>
      </c>
      <c r="D585" s="101" t="s">
        <v>3881</v>
      </c>
      <c r="J585" s="70" t="str">
        <f t="shared" ref="J585:L585" si="738">LEFT(B585,LEN(B585)-LEN(RIGHT(B585,27)))</f>
        <v>Electronics</v>
      </c>
      <c r="K585" s="70" t="str">
        <f t="shared" si="738"/>
        <v>Tablets, E-Readers &amp; Accessories</v>
      </c>
      <c r="L585" s="70" t="str">
        <f t="shared" si="738"/>
        <v>Stands</v>
      </c>
    </row>
    <row r="586" ht="12.75" customHeight="1">
      <c r="B586" s="70" t="s">
        <v>3382</v>
      </c>
      <c r="C586" s="58" t="s">
        <v>3406</v>
      </c>
      <c r="D586" s="101" t="s">
        <v>3882</v>
      </c>
      <c r="J586" s="70" t="str">
        <f t="shared" ref="J586:L586" si="739">LEFT(B586,LEN(B586)-LEN(RIGHT(B586,27)))</f>
        <v>Electronics</v>
      </c>
      <c r="K586" s="70" t="str">
        <f t="shared" si="739"/>
        <v>Tablets, E-Readers &amp; Accessories</v>
      </c>
      <c r="L586" s="70" t="str">
        <f t="shared" si="739"/>
        <v>Tablet Keyboards</v>
      </c>
    </row>
    <row r="587" ht="12.75" customHeight="1">
      <c r="B587" s="70" t="s">
        <v>3382</v>
      </c>
      <c r="C587" s="58" t="s">
        <v>3390</v>
      </c>
      <c r="D587" s="101" t="s">
        <v>3883</v>
      </c>
      <c r="J587" s="70" t="str">
        <f t="shared" ref="J587:L587" si="740">LEFT(B587,LEN(B587)-LEN(RIGHT(B587,27)))</f>
        <v>Electronics</v>
      </c>
      <c r="K587" s="70" t="str">
        <f t="shared" si="740"/>
        <v>Video Games &amp; Consoles</v>
      </c>
      <c r="L587" s="70" t="str">
        <f t="shared" si="740"/>
        <v>Consoles</v>
      </c>
    </row>
    <row r="588" ht="12.75" customHeight="1">
      <c r="B588" s="70" t="s">
        <v>3382</v>
      </c>
      <c r="C588" s="58" t="s">
        <v>3390</v>
      </c>
      <c r="D588" s="101" t="s">
        <v>3884</v>
      </c>
      <c r="J588" s="70" t="str">
        <f t="shared" ref="J588:L588" si="741">LEFT(B588,LEN(B588)-LEN(RIGHT(B588,27)))</f>
        <v>Electronics</v>
      </c>
      <c r="K588" s="70" t="str">
        <f t="shared" si="741"/>
        <v>Video Games &amp; Consoles</v>
      </c>
      <c r="L588" s="70" t="str">
        <f t="shared" si="741"/>
        <v>Handheld Consoles</v>
      </c>
    </row>
    <row r="589" ht="12.75" customHeight="1">
      <c r="B589" s="70" t="s">
        <v>3382</v>
      </c>
      <c r="C589" s="58" t="s">
        <v>3390</v>
      </c>
      <c r="D589" s="101" t="s">
        <v>3885</v>
      </c>
      <c r="J589" s="70" t="str">
        <f t="shared" ref="J589:L589" si="742">LEFT(B589,LEN(B589)-LEN(RIGHT(B589,27)))</f>
        <v>Electronics</v>
      </c>
      <c r="K589" s="70" t="str">
        <f t="shared" si="742"/>
        <v>Video Games &amp; Consoles</v>
      </c>
      <c r="L589" s="70" t="str">
        <f t="shared" si="742"/>
        <v>Batteries &amp; Chargers</v>
      </c>
    </row>
    <row r="590" ht="12.75" customHeight="1">
      <c r="B590" s="70" t="s">
        <v>3382</v>
      </c>
      <c r="C590" s="58" t="s">
        <v>3390</v>
      </c>
      <c r="D590" s="101" t="s">
        <v>3886</v>
      </c>
      <c r="J590" s="70" t="str">
        <f t="shared" ref="J590:L590" si="743">LEFT(B590,LEN(B590)-LEN(RIGHT(B590,27)))</f>
        <v>Electronics</v>
      </c>
      <c r="K590" s="70" t="str">
        <f t="shared" si="743"/>
        <v>Video Games &amp; Consoles</v>
      </c>
      <c r="L590" s="70" t="str">
        <f t="shared" si="743"/>
        <v>Cables</v>
      </c>
    </row>
    <row r="591" ht="12.75" customHeight="1">
      <c r="B591" s="70" t="s">
        <v>3382</v>
      </c>
      <c r="C591" s="58" t="s">
        <v>3390</v>
      </c>
      <c r="D591" s="101" t="s">
        <v>3887</v>
      </c>
      <c r="J591" s="70" t="str">
        <f t="shared" ref="J591:L591" si="744">LEFT(B591,LEN(B591)-LEN(RIGHT(B591,27)))</f>
        <v>Electronics</v>
      </c>
      <c r="K591" s="70" t="str">
        <f t="shared" si="744"/>
        <v>Video Games &amp; Consoles</v>
      </c>
      <c r="L591" s="70" t="str">
        <f t="shared" si="744"/>
        <v>Controllers</v>
      </c>
    </row>
    <row r="592" ht="12.75" customHeight="1">
      <c r="B592" s="70" t="s">
        <v>3382</v>
      </c>
      <c r="C592" s="58" t="s">
        <v>3390</v>
      </c>
      <c r="D592" s="101" t="s">
        <v>3888</v>
      </c>
      <c r="J592" s="70" t="str">
        <f t="shared" ref="J592:L592" si="745">LEFT(B592,LEN(B592)-LEN(RIGHT(B592,27)))</f>
        <v>Electronics</v>
      </c>
      <c r="K592" s="70" t="str">
        <f t="shared" si="745"/>
        <v>Video Games &amp; Consoles</v>
      </c>
      <c r="L592" s="70" t="str">
        <f t="shared" si="745"/>
        <v>Headsets</v>
      </c>
    </row>
    <row r="593" ht="12.75" customHeight="1">
      <c r="B593" s="70" t="s">
        <v>3382</v>
      </c>
      <c r="C593" s="58" t="s">
        <v>3390</v>
      </c>
      <c r="D593" s="101" t="s">
        <v>3889</v>
      </c>
      <c r="J593" s="70" t="str">
        <f t="shared" ref="J593:L593" si="746">LEFT(B593,LEN(B593)-LEN(RIGHT(B593,27)))</f>
        <v>Electronics</v>
      </c>
      <c r="K593" s="70" t="str">
        <f t="shared" si="746"/>
        <v>Video Games &amp; Consoles</v>
      </c>
      <c r="L593" s="70" t="str">
        <f t="shared" si="746"/>
        <v>Gaming Guides</v>
      </c>
    </row>
    <row r="594" ht="12.75" customHeight="1">
      <c r="B594" s="70" t="s">
        <v>3382</v>
      </c>
      <c r="C594" s="58" t="s">
        <v>3390</v>
      </c>
      <c r="D594" s="101" t="s">
        <v>3890</v>
      </c>
      <c r="J594" s="70" t="str">
        <f t="shared" ref="J594:L594" si="747">LEFT(B594,LEN(B594)-LEN(RIGHT(B594,27)))</f>
        <v>Electronics</v>
      </c>
      <c r="K594" s="70" t="str">
        <f t="shared" si="747"/>
        <v>Video Games &amp; Consoles</v>
      </c>
      <c r="L594" s="70" t="str">
        <f t="shared" si="747"/>
        <v>Keyboards</v>
      </c>
    </row>
    <row r="595" ht="12.75" customHeight="1">
      <c r="B595" s="70" t="s">
        <v>3382</v>
      </c>
      <c r="C595" s="58" t="s">
        <v>3390</v>
      </c>
      <c r="D595" s="101" t="s">
        <v>3891</v>
      </c>
      <c r="J595" s="70" t="str">
        <f t="shared" ref="J595:L595" si="748">LEFT(B595,LEN(B595)-LEN(RIGHT(B595,27)))</f>
        <v>Electronics</v>
      </c>
      <c r="K595" s="70" t="str">
        <f t="shared" si="748"/>
        <v>Video Games &amp; Consoles</v>
      </c>
      <c r="L595" s="70" t="str">
        <f t="shared" si="748"/>
        <v>Digital Games</v>
      </c>
    </row>
    <row r="596" ht="12.75" customHeight="1">
      <c r="B596" s="70" t="s">
        <v>3382</v>
      </c>
      <c r="C596" s="58" t="s">
        <v>3390</v>
      </c>
      <c r="D596" s="101" t="s">
        <v>3892</v>
      </c>
      <c r="J596" s="70" t="str">
        <f t="shared" ref="J596:L596" si="749">LEFT(B596,LEN(B596)-LEN(RIGHT(B596,27)))</f>
        <v>Electronics</v>
      </c>
      <c r="K596" s="70" t="str">
        <f t="shared" si="749"/>
        <v>Video Games &amp; Consoles</v>
      </c>
      <c r="L596" s="70" t="str">
        <f t="shared" si="749"/>
        <v>PC Games</v>
      </c>
    </row>
    <row r="597" ht="12.75" customHeight="1">
      <c r="B597" s="70" t="s">
        <v>3382</v>
      </c>
      <c r="C597" s="58" t="s">
        <v>3390</v>
      </c>
      <c r="D597" s="101" t="s">
        <v>3893</v>
      </c>
      <c r="J597" s="70" t="str">
        <f t="shared" ref="J597:L597" si="750">LEFT(B597,LEN(B597)-LEN(RIGHT(B597,27)))</f>
        <v>Electronics</v>
      </c>
      <c r="K597" s="70" t="str">
        <f t="shared" si="750"/>
        <v>Video Games &amp; Consoles</v>
      </c>
      <c r="L597" s="70" t="str">
        <f t="shared" si="750"/>
        <v>Video Games</v>
      </c>
    </row>
    <row r="598" ht="12.75" customHeight="1">
      <c r="B598" s="70" t="s">
        <v>3382</v>
      </c>
      <c r="C598" s="58" t="s">
        <v>3410</v>
      </c>
      <c r="D598" s="101" t="s">
        <v>3894</v>
      </c>
      <c r="J598" s="70" t="str">
        <f t="shared" ref="J598:L598" si="751">LEFT(B598,LEN(B598)-LEN(RIGHT(B598,27)))</f>
        <v>Electronics</v>
      </c>
      <c r="K598" s="70" t="str">
        <f t="shared" si="751"/>
        <v>VR, AR &amp; Accessories</v>
      </c>
      <c r="L598" s="70" t="str">
        <f t="shared" si="751"/>
        <v>PC &amp; Console VR Headsets</v>
      </c>
    </row>
    <row r="599" ht="12.75" customHeight="1">
      <c r="B599" s="70" t="s">
        <v>3382</v>
      </c>
      <c r="C599" s="58" t="s">
        <v>3410</v>
      </c>
      <c r="D599" s="101" t="s">
        <v>3895</v>
      </c>
      <c r="J599" s="70" t="str">
        <f t="shared" ref="J599:L599" si="752">LEFT(B599,LEN(B599)-LEN(RIGHT(B599,27)))</f>
        <v>Electronics</v>
      </c>
      <c r="K599" s="70" t="str">
        <f t="shared" si="752"/>
        <v>VR, AR &amp; Accessories</v>
      </c>
      <c r="L599" s="70" t="str">
        <f t="shared" si="752"/>
        <v>Smartphone VR Headsets</v>
      </c>
    </row>
    <row r="600" ht="12.75" customHeight="1">
      <c r="B600" s="70" t="s">
        <v>3382</v>
      </c>
      <c r="C600" s="58" t="s">
        <v>3410</v>
      </c>
      <c r="D600" s="101" t="s">
        <v>3896</v>
      </c>
      <c r="J600" s="70" t="str">
        <f t="shared" ref="J600:L600" si="753">LEFT(B600,LEN(B600)-LEN(RIGHT(B600,27)))</f>
        <v>Electronics</v>
      </c>
      <c r="K600" s="70" t="str">
        <f t="shared" si="753"/>
        <v>VR, AR &amp; Accessories</v>
      </c>
      <c r="L600" s="70" t="str">
        <f t="shared" si="753"/>
        <v>Standalone VR Headsets</v>
      </c>
    </row>
    <row r="601" ht="12.75" customHeight="1">
      <c r="B601" s="70" t="s">
        <v>3382</v>
      </c>
      <c r="C601" s="58" t="s">
        <v>3410</v>
      </c>
      <c r="D601" s="101" t="s">
        <v>3897</v>
      </c>
      <c r="J601" s="70" t="str">
        <f t="shared" ref="J601:L601" si="754">LEFT(B601,LEN(B601)-LEN(RIGHT(B601,27)))</f>
        <v>Electronics</v>
      </c>
      <c r="K601" s="70" t="str">
        <f t="shared" si="754"/>
        <v>VR, AR &amp; Accessories</v>
      </c>
      <c r="L601" s="70" t="str">
        <f t="shared" si="754"/>
        <v>Cases, Covers &amp; Skins</v>
      </c>
    </row>
    <row r="602" ht="12.75" customHeight="1">
      <c r="B602" s="70" t="s">
        <v>3382</v>
      </c>
      <c r="C602" s="58" t="s">
        <v>3410</v>
      </c>
      <c r="D602" s="101" t="s">
        <v>3898</v>
      </c>
      <c r="J602" s="70" t="str">
        <f t="shared" ref="J602:L602" si="755">LEFT(B602,LEN(B602)-LEN(RIGHT(B602,27)))</f>
        <v>Electronics</v>
      </c>
      <c r="K602" s="70" t="str">
        <f t="shared" si="755"/>
        <v>VR, AR &amp; Accessories</v>
      </c>
      <c r="L602" s="70" t="str">
        <f t="shared" si="755"/>
        <v>Controllers &amp; Motion Sensors</v>
      </c>
    </row>
    <row r="603" ht="12.75" customHeight="1">
      <c r="B603" s="70" t="s">
        <v>3382</v>
      </c>
      <c r="C603" s="58" t="s">
        <v>3410</v>
      </c>
      <c r="D603" s="101" t="s">
        <v>3899</v>
      </c>
      <c r="J603" s="70" t="str">
        <f t="shared" ref="J603:L603" si="756">LEFT(B603,LEN(B603)-LEN(RIGHT(B603,27)))</f>
        <v>Electronics</v>
      </c>
      <c r="K603" s="70" t="str">
        <f t="shared" si="756"/>
        <v>VR, AR &amp; Accessories</v>
      </c>
      <c r="L603" s="70" t="str">
        <f t="shared" si="756"/>
        <v>Parts</v>
      </c>
    </row>
    <row r="604" ht="12.75" customHeight="1">
      <c r="B604" s="70" t="s">
        <v>3382</v>
      </c>
      <c r="C604" s="58" t="s">
        <v>3394</v>
      </c>
      <c r="D604" s="101" t="s">
        <v>3900</v>
      </c>
      <c r="J604" s="70" t="str">
        <f t="shared" ref="J604:L604" si="757">LEFT(B604,LEN(B604)-LEN(RIGHT(B604,27)))</f>
        <v>Electronics</v>
      </c>
      <c r="K604" s="70" t="str">
        <f t="shared" si="757"/>
        <v>Media</v>
      </c>
      <c r="L604" s="70" t="str">
        <f t="shared" si="757"/>
        <v>Blank Media</v>
      </c>
    </row>
    <row r="605" ht="12.75" customHeight="1">
      <c r="B605" s="70" t="s">
        <v>3382</v>
      </c>
      <c r="C605" s="58" t="s">
        <v>3394</v>
      </c>
      <c r="D605" s="101" t="s">
        <v>3901</v>
      </c>
      <c r="J605" s="70" t="str">
        <f t="shared" ref="J605:L605" si="758">LEFT(B605,LEN(B605)-LEN(RIGHT(B605,27)))</f>
        <v>Electronics</v>
      </c>
      <c r="K605" s="70" t="str">
        <f t="shared" si="758"/>
        <v>Media</v>
      </c>
      <c r="L605" s="70" t="str">
        <f t="shared" si="758"/>
        <v>CDs</v>
      </c>
    </row>
    <row r="606" ht="12.75" customHeight="1">
      <c r="B606" s="70" t="s">
        <v>3382</v>
      </c>
      <c r="C606" s="58" t="s">
        <v>3394</v>
      </c>
      <c r="D606" s="101" t="s">
        <v>3902</v>
      </c>
      <c r="J606" s="70" t="str">
        <f t="shared" ref="J606:L606" si="759">LEFT(B606,LEN(B606)-LEN(RIGHT(B606,27)))</f>
        <v>Electronics</v>
      </c>
      <c r="K606" s="70" t="str">
        <f t="shared" si="759"/>
        <v>Media</v>
      </c>
      <c r="L606" s="70" t="str">
        <f t="shared" si="759"/>
        <v>DVDs &amp; Blu-ray Discs</v>
      </c>
    </row>
    <row r="607" ht="12.75" customHeight="1">
      <c r="B607" s="70" t="s">
        <v>3382</v>
      </c>
      <c r="C607" s="58" t="s">
        <v>3394</v>
      </c>
      <c r="D607" s="101" t="s">
        <v>3903</v>
      </c>
      <c r="J607" s="70" t="str">
        <f t="shared" ref="J607:L607" si="760">LEFT(B607,LEN(B607)-LEN(RIGHT(B607,27)))</f>
        <v>Electronics</v>
      </c>
      <c r="K607" s="70" t="str">
        <f t="shared" si="760"/>
        <v>Media</v>
      </c>
      <c r="L607" s="70" t="str">
        <f t="shared" si="760"/>
        <v>Media Streamers</v>
      </c>
    </row>
    <row r="608" ht="12.75" customHeight="1">
      <c r="B608" s="70" t="s">
        <v>3382</v>
      </c>
      <c r="C608" s="58" t="s">
        <v>3394</v>
      </c>
      <c r="D608" s="101" t="s">
        <v>3904</v>
      </c>
      <c r="J608" s="70" t="str">
        <f t="shared" ref="J608:L608" si="761">LEFT(B608,LEN(B608)-LEN(RIGHT(B608,27)))</f>
        <v>Electronics</v>
      </c>
      <c r="K608" s="70" t="str">
        <f t="shared" si="761"/>
        <v>Media</v>
      </c>
      <c r="L608" s="70" t="str">
        <f t="shared" si="761"/>
        <v>Media Cases &amp; Storage Solutions</v>
      </c>
    </row>
    <row r="609" ht="12.75" customHeight="1">
      <c r="B609" s="70" t="s">
        <v>3382</v>
      </c>
      <c r="C609" s="58" t="s">
        <v>3394</v>
      </c>
      <c r="D609" s="101" t="s">
        <v>3905</v>
      </c>
      <c r="J609" s="70" t="str">
        <f t="shared" ref="J609:L609" si="762">LEFT(B609,LEN(B609)-LEN(RIGHT(B609,27)))</f>
        <v>Electronics</v>
      </c>
      <c r="K609" s="70" t="str">
        <f t="shared" si="762"/>
        <v>Media</v>
      </c>
      <c r="L609" s="70" t="str">
        <f t="shared" si="762"/>
        <v>Vinyl Records</v>
      </c>
    </row>
    <row r="610" ht="12.75" customHeight="1">
      <c r="B610" s="70" t="s">
        <v>3382</v>
      </c>
      <c r="C610" s="58" t="s">
        <v>3412</v>
      </c>
      <c r="D610" s="101" t="s">
        <v>3906</v>
      </c>
      <c r="J610" s="70" t="str">
        <f t="shared" ref="J610:L610" si="763">LEFT(B610,LEN(B610)-LEN(RIGHT(B610,27)))</f>
        <v>Electronics</v>
      </c>
      <c r="K610" s="70" t="str">
        <f t="shared" si="763"/>
        <v>Networking</v>
      </c>
      <c r="L610" s="70" t="str">
        <f t="shared" si="763"/>
        <v>Boosters, Extenders &amp; Antennas</v>
      </c>
    </row>
    <row r="611" ht="12.75" customHeight="1">
      <c r="B611" s="70" t="s">
        <v>3382</v>
      </c>
      <c r="C611" s="58" t="s">
        <v>3412</v>
      </c>
      <c r="D611" s="101" t="s">
        <v>3907</v>
      </c>
      <c r="J611" s="70" t="str">
        <f t="shared" ref="J611:L611" si="764">LEFT(B611,LEN(B611)-LEN(RIGHT(B611,27)))</f>
        <v>Electronics</v>
      </c>
      <c r="K611" s="70" t="str">
        <f t="shared" si="764"/>
        <v>Networking</v>
      </c>
      <c r="L611" s="70" t="str">
        <f t="shared" si="764"/>
        <v>Mobile Broadband Devices</v>
      </c>
    </row>
    <row r="612" ht="12.75" customHeight="1">
      <c r="B612" s="70" t="s">
        <v>3382</v>
      </c>
      <c r="C612" s="58" t="s">
        <v>3412</v>
      </c>
      <c r="D612" s="101" t="s">
        <v>3908</v>
      </c>
      <c r="J612" s="70" t="str">
        <f t="shared" ref="J612:L612" si="765">LEFT(B612,LEN(B612)-LEN(RIGHT(B612,27)))</f>
        <v>Electronics</v>
      </c>
      <c r="K612" s="70" t="str">
        <f t="shared" si="765"/>
        <v>Networking</v>
      </c>
      <c r="L612" s="70" t="str">
        <f t="shared" si="765"/>
        <v>Modems</v>
      </c>
    </row>
    <row r="613" ht="12.75" customHeight="1">
      <c r="B613" s="70" t="s">
        <v>3382</v>
      </c>
      <c r="C613" s="58" t="s">
        <v>3412</v>
      </c>
      <c r="D613" s="101" t="s">
        <v>3909</v>
      </c>
      <c r="J613" s="70" t="str">
        <f t="shared" ref="J613:L613" si="766">LEFT(B613,LEN(B613)-LEN(RIGHT(B613,27)))</f>
        <v>Electronics</v>
      </c>
      <c r="K613" s="70" t="str">
        <f t="shared" si="766"/>
        <v>Networking</v>
      </c>
      <c r="L613" s="70" t="str">
        <f t="shared" si="766"/>
        <v>Modem-Router Combos</v>
      </c>
    </row>
    <row r="614" ht="12.75" customHeight="1">
      <c r="B614" s="70" t="s">
        <v>3382</v>
      </c>
      <c r="C614" s="58" t="s">
        <v>3412</v>
      </c>
      <c r="D614" s="101" t="s">
        <v>3910</v>
      </c>
      <c r="J614" s="70" t="str">
        <f t="shared" ref="J614:L614" si="767">LEFT(B614,LEN(B614)-LEN(RIGHT(B614,27)))</f>
        <v>Electronics</v>
      </c>
      <c r="K614" s="70" t="str">
        <f t="shared" si="767"/>
        <v>Networking</v>
      </c>
      <c r="L614" s="70" t="str">
        <f t="shared" si="767"/>
        <v>Powerline Networking</v>
      </c>
    </row>
    <row r="615" ht="12.75" customHeight="1">
      <c r="B615" s="70" t="s">
        <v>3382</v>
      </c>
      <c r="C615" s="58" t="s">
        <v>3412</v>
      </c>
      <c r="D615" s="101" t="s">
        <v>3911</v>
      </c>
      <c r="J615" s="70" t="str">
        <f t="shared" ref="J615:L615" si="768">LEFT(B615,LEN(B615)-LEN(RIGHT(B615,27)))</f>
        <v>Electronics</v>
      </c>
      <c r="K615" s="70" t="str">
        <f t="shared" si="768"/>
        <v>Networking</v>
      </c>
      <c r="L615" s="70" t="str">
        <f t="shared" si="768"/>
        <v>USB Bluetooth Adapters/Dongles</v>
      </c>
    </row>
    <row r="616" ht="12.75" customHeight="1">
      <c r="B616" s="70" t="s">
        <v>3382</v>
      </c>
      <c r="C616" s="58" t="s">
        <v>3412</v>
      </c>
      <c r="D616" s="101" t="s">
        <v>3912</v>
      </c>
      <c r="J616" s="70" t="str">
        <f t="shared" ref="J616:L616" si="769">LEFT(B616,LEN(B616)-LEN(RIGHT(B616,27)))</f>
        <v>Electronics</v>
      </c>
      <c r="K616" s="70" t="str">
        <f t="shared" si="769"/>
        <v>Networking</v>
      </c>
      <c r="L616" s="70" t="str">
        <f t="shared" si="769"/>
        <v>USB Wi-Fi Adapters/Dongles</v>
      </c>
    </row>
    <row r="617" ht="12.75" customHeight="1">
      <c r="B617" s="70" t="s">
        <v>3382</v>
      </c>
      <c r="C617" s="58" t="s">
        <v>3412</v>
      </c>
      <c r="D617" s="101" t="s">
        <v>3913</v>
      </c>
      <c r="J617" s="70" t="str">
        <f t="shared" ref="J617:L617" si="770">LEFT(B617,LEN(B617)-LEN(RIGHT(B617,27)))</f>
        <v>Electronics</v>
      </c>
      <c r="K617" s="70" t="str">
        <f t="shared" si="770"/>
        <v>Networking</v>
      </c>
      <c r="L617" s="70" t="str">
        <f t="shared" si="770"/>
        <v>VoIP Home Phones</v>
      </c>
    </row>
    <row r="618" ht="12.75" customHeight="1">
      <c r="B618" s="70" t="s">
        <v>3382</v>
      </c>
      <c r="C618" s="58" t="s">
        <v>3412</v>
      </c>
      <c r="D618" s="101" t="s">
        <v>3914</v>
      </c>
      <c r="J618" s="70" t="str">
        <f t="shared" ref="J618:L618" si="771">LEFT(B618,LEN(B618)-LEN(RIGHT(B618,27)))</f>
        <v>Electronics</v>
      </c>
      <c r="K618" s="70" t="str">
        <f t="shared" si="771"/>
        <v>Networking</v>
      </c>
      <c r="L618" s="70" t="str">
        <f t="shared" si="771"/>
        <v>VoIP Phone Adapters</v>
      </c>
    </row>
    <row r="619" ht="12.75" customHeight="1">
      <c r="B619" s="70" t="s">
        <v>3382</v>
      </c>
      <c r="C619" s="58" t="s">
        <v>3412</v>
      </c>
      <c r="D619" s="101" t="s">
        <v>3915</v>
      </c>
      <c r="J619" s="70" t="str">
        <f t="shared" ref="J619:L619" si="772">LEFT(B619,LEN(B619)-LEN(RIGHT(B619,27)))</f>
        <v>Electronics</v>
      </c>
      <c r="K619" s="70" t="str">
        <f t="shared" si="772"/>
        <v>Networking</v>
      </c>
      <c r="L619" s="70" t="str">
        <f t="shared" si="772"/>
        <v>Wired Routers</v>
      </c>
    </row>
    <row r="620" ht="12.75" customHeight="1">
      <c r="B620" s="70" t="s">
        <v>3382</v>
      </c>
      <c r="C620" s="58" t="s">
        <v>3412</v>
      </c>
      <c r="D620" s="101" t="s">
        <v>3916</v>
      </c>
      <c r="J620" s="70" t="str">
        <f t="shared" ref="J620:L620" si="773">LEFT(B620,LEN(B620)-LEN(RIGHT(B620,27)))</f>
        <v>Electronics</v>
      </c>
      <c r="K620" s="70" t="str">
        <f t="shared" si="773"/>
        <v>Networking</v>
      </c>
      <c r="L620" s="70" t="str">
        <f t="shared" si="773"/>
        <v>Wireless Access Points</v>
      </c>
    </row>
    <row r="621" ht="12.75" customHeight="1">
      <c r="B621" s="70" t="s">
        <v>3382</v>
      </c>
      <c r="C621" s="58" t="s">
        <v>3412</v>
      </c>
      <c r="D621" s="101" t="s">
        <v>3917</v>
      </c>
      <c r="J621" s="70" t="str">
        <f t="shared" ref="J621:L621" si="774">LEFT(B621,LEN(B621)-LEN(RIGHT(B621,27)))</f>
        <v>Electronics</v>
      </c>
      <c r="K621" s="70" t="str">
        <f t="shared" si="774"/>
        <v>Networking</v>
      </c>
      <c r="L621" s="70" t="str">
        <f t="shared" si="774"/>
        <v>Wireless Routers</v>
      </c>
    </row>
    <row r="622" ht="12.75" customHeight="1">
      <c r="B622" s="70" t="s">
        <v>3382</v>
      </c>
      <c r="C622" s="58" t="s">
        <v>3402</v>
      </c>
      <c r="D622" s="101" t="s">
        <v>3918</v>
      </c>
      <c r="J622" s="70" t="str">
        <f t="shared" ref="J622:L622" si="775">LEFT(B622,LEN(B622)-LEN(RIGHT(B622,27)))</f>
        <v>Electronics</v>
      </c>
      <c r="K622" s="70" t="str">
        <f t="shared" si="775"/>
        <v>Headphones</v>
      </c>
      <c r="L622" s="70" t="str">
        <f t="shared" si="775"/>
        <v>Earbud Headphones</v>
      </c>
    </row>
    <row r="623" ht="12.75" customHeight="1">
      <c r="B623" s="70" t="s">
        <v>3382</v>
      </c>
      <c r="C623" s="58" t="s">
        <v>3402</v>
      </c>
      <c r="D623" s="101" t="s">
        <v>3919</v>
      </c>
      <c r="J623" s="70" t="str">
        <f t="shared" ref="J623:L623" si="776">LEFT(B623,LEN(B623)-LEN(RIGHT(B623,27)))</f>
        <v>Electronics</v>
      </c>
      <c r="K623" s="70" t="str">
        <f t="shared" si="776"/>
        <v>Headphones</v>
      </c>
      <c r="L623" s="70" t="str">
        <f t="shared" si="776"/>
        <v>On-Ear Headphones</v>
      </c>
    </row>
    <row r="624" ht="12.75" customHeight="1">
      <c r="B624" s="70" t="s">
        <v>3382</v>
      </c>
      <c r="C624" s="58" t="s">
        <v>3402</v>
      </c>
      <c r="D624" s="101" t="s">
        <v>3920</v>
      </c>
      <c r="J624" s="70" t="str">
        <f t="shared" ref="J624:L624" si="777">LEFT(B624,LEN(B624)-LEN(RIGHT(B624,27)))</f>
        <v>Electronics</v>
      </c>
      <c r="K624" s="70" t="str">
        <f t="shared" si="777"/>
        <v>Headphones</v>
      </c>
      <c r="L624" s="70" t="str">
        <f t="shared" si="777"/>
        <v>Over-Ear Headphones</v>
      </c>
    </row>
    <row r="625" ht="12.75" customHeight="1">
      <c r="B625" s="70" t="s">
        <v>3382</v>
      </c>
      <c r="C625" s="58" t="s">
        <v>3404</v>
      </c>
      <c r="D625" s="101" t="s">
        <v>3921</v>
      </c>
      <c r="J625" s="70" t="str">
        <f t="shared" ref="J625:L625" si="778">LEFT(B625,LEN(B625)-LEN(RIGHT(B625,27)))</f>
        <v>Electronics</v>
      </c>
      <c r="K625" s="70" t="str">
        <f t="shared" si="778"/>
        <v>Portable Audio &amp; Video</v>
      </c>
      <c r="L625" s="70" t="str">
        <f t="shared" si="778"/>
        <v>Boomboxes</v>
      </c>
    </row>
    <row r="626" ht="12.75" customHeight="1">
      <c r="B626" s="70" t="s">
        <v>3382</v>
      </c>
      <c r="C626" s="58" t="s">
        <v>3404</v>
      </c>
      <c r="D626" s="101" t="s">
        <v>3922</v>
      </c>
      <c r="J626" s="70" t="str">
        <f t="shared" ref="J626:L626" si="779">LEFT(B626,LEN(B626)-LEN(RIGHT(B626,27)))</f>
        <v>Electronics</v>
      </c>
      <c r="K626" s="70" t="str">
        <f t="shared" si="779"/>
        <v>Portable Audio &amp; Video</v>
      </c>
      <c r="L626" s="70" t="str">
        <f t="shared" si="779"/>
        <v>CB &amp; Two-Way Radios</v>
      </c>
    </row>
    <row r="627" ht="12.75" customHeight="1">
      <c r="B627" s="70" t="s">
        <v>3382</v>
      </c>
      <c r="C627" s="58" t="s">
        <v>3404</v>
      </c>
      <c r="D627" s="101" t="s">
        <v>3923</v>
      </c>
      <c r="J627" s="70" t="str">
        <f t="shared" ref="J627:L627" si="780">LEFT(B627,LEN(B627)-LEN(RIGHT(B627,27)))</f>
        <v>Electronics</v>
      </c>
      <c r="K627" s="70" t="str">
        <f t="shared" si="780"/>
        <v>Portable Audio &amp; Video</v>
      </c>
      <c r="L627" s="70" t="str">
        <f t="shared" si="780"/>
        <v>Cassette Players &amp; Recorders</v>
      </c>
    </row>
    <row r="628" ht="12.75" customHeight="1">
      <c r="B628" s="70" t="s">
        <v>3382</v>
      </c>
      <c r="C628" s="58" t="s">
        <v>3404</v>
      </c>
      <c r="D628" s="101" t="s">
        <v>3924</v>
      </c>
      <c r="J628" s="70" t="str">
        <f t="shared" ref="J628:L628" si="781">LEFT(B628,LEN(B628)-LEN(RIGHT(B628,27)))</f>
        <v>Electronics</v>
      </c>
      <c r="K628" s="70" t="str">
        <f t="shared" si="781"/>
        <v>Portable Audio &amp; Video</v>
      </c>
      <c r="L628" s="70" t="str">
        <f t="shared" si="781"/>
        <v>Digital Voice Recorders</v>
      </c>
    </row>
    <row r="629" ht="12.75" customHeight="1">
      <c r="B629" s="70" t="s">
        <v>3382</v>
      </c>
      <c r="C629" s="58" t="s">
        <v>3404</v>
      </c>
      <c r="D629" s="101" t="s">
        <v>3925</v>
      </c>
      <c r="J629" s="70" t="str">
        <f t="shared" ref="J629:L629" si="782">LEFT(B629,LEN(B629)-LEN(RIGHT(B629,27)))</f>
        <v>Electronics</v>
      </c>
      <c r="K629" s="70" t="str">
        <f t="shared" si="782"/>
        <v>Portable Audio &amp; Video</v>
      </c>
      <c r="L629" s="70" t="str">
        <f t="shared" si="782"/>
        <v>MP3 &amp; MP4 Players</v>
      </c>
    </row>
    <row r="630" ht="12.75" customHeight="1">
      <c r="B630" s="70" t="s">
        <v>3382</v>
      </c>
      <c r="C630" s="58" t="s">
        <v>3404</v>
      </c>
      <c r="D630" s="101" t="s">
        <v>3926</v>
      </c>
      <c r="J630" s="70" t="str">
        <f t="shared" ref="J630:L630" si="783">LEFT(B630,LEN(B630)-LEN(RIGHT(B630,27)))</f>
        <v>Electronics</v>
      </c>
      <c r="K630" s="70" t="str">
        <f t="shared" si="783"/>
        <v>Portable Audio &amp; Video</v>
      </c>
      <c r="L630" s="70" t="str">
        <f t="shared" si="783"/>
        <v>Microcassette Recorders</v>
      </c>
    </row>
    <row r="631" ht="12.75" customHeight="1">
      <c r="B631" s="70" t="s">
        <v>3382</v>
      </c>
      <c r="C631" s="58" t="s">
        <v>3404</v>
      </c>
      <c r="D631" s="101" t="s">
        <v>3927</v>
      </c>
      <c r="J631" s="70" t="str">
        <f t="shared" ref="J631:L631" si="784">LEFT(B631,LEN(B631)-LEN(RIGHT(B631,27)))</f>
        <v>Electronics</v>
      </c>
      <c r="K631" s="70" t="str">
        <f t="shared" si="784"/>
        <v>Portable Audio &amp; Video</v>
      </c>
      <c r="L631" s="70" t="str">
        <f t="shared" si="784"/>
        <v>Minidisc Players</v>
      </c>
    </row>
    <row r="632" ht="12.75" customHeight="1">
      <c r="B632" s="70" t="s">
        <v>3382</v>
      </c>
      <c r="C632" s="58" t="s">
        <v>3404</v>
      </c>
      <c r="D632" s="101" t="s">
        <v>3928</v>
      </c>
      <c r="J632" s="70" t="str">
        <f t="shared" ref="J632:L632" si="785">LEFT(B632,LEN(B632)-LEN(RIGHT(B632,27)))</f>
        <v>Electronics</v>
      </c>
      <c r="K632" s="70" t="str">
        <f t="shared" si="785"/>
        <v>Portable Audio &amp; Video</v>
      </c>
      <c r="L632" s="70" t="str">
        <f t="shared" si="785"/>
        <v>Portable &amp; Handheld TVs</v>
      </c>
    </row>
    <row r="633" ht="12.75" customHeight="1">
      <c r="B633" s="70" t="s">
        <v>3382</v>
      </c>
      <c r="C633" s="58" t="s">
        <v>3404</v>
      </c>
      <c r="D633" s="101" t="s">
        <v>3929</v>
      </c>
      <c r="J633" s="70" t="str">
        <f t="shared" ref="J633:L633" si="786">LEFT(B633,LEN(B633)-LEN(RIGHT(B633,27)))</f>
        <v>Electronics</v>
      </c>
      <c r="K633" s="70" t="str">
        <f t="shared" si="786"/>
        <v>Portable Audio &amp; Video</v>
      </c>
      <c r="L633" s="70" t="str">
        <f t="shared" si="786"/>
        <v>Portable CD Players</v>
      </c>
    </row>
    <row r="634" ht="12.75" customHeight="1">
      <c r="B634" s="70" t="s">
        <v>3382</v>
      </c>
      <c r="C634" s="58" t="s">
        <v>3404</v>
      </c>
      <c r="D634" s="101" t="s">
        <v>3930</v>
      </c>
      <c r="J634" s="70" t="str">
        <f t="shared" ref="J634:L634" si="787">LEFT(B634,LEN(B634)-LEN(RIGHT(B634,27)))</f>
        <v>Electronics</v>
      </c>
      <c r="K634" s="70" t="str">
        <f t="shared" si="787"/>
        <v>Portable Audio &amp; Video</v>
      </c>
      <c r="L634" s="70" t="str">
        <f t="shared" si="787"/>
        <v>Portable DVD Players</v>
      </c>
    </row>
    <row r="635" ht="12.75" customHeight="1">
      <c r="B635" s="70" t="s">
        <v>3382</v>
      </c>
      <c r="C635" s="58" t="s">
        <v>3404</v>
      </c>
      <c r="D635" s="101" t="s">
        <v>3931</v>
      </c>
      <c r="J635" s="70" t="str">
        <f t="shared" ref="J635:L635" si="788">LEFT(B635,LEN(B635)-LEN(RIGHT(B635,27)))</f>
        <v>Electronics</v>
      </c>
      <c r="K635" s="70" t="str">
        <f t="shared" si="788"/>
        <v>Portable Audio &amp; Video</v>
      </c>
      <c r="L635" s="70" t="str">
        <f t="shared" si="788"/>
        <v>Portable Speakers &amp; Docks</v>
      </c>
    </row>
    <row r="636" ht="12.75" customHeight="1">
      <c r="B636" s="70" t="s">
        <v>3382</v>
      </c>
      <c r="C636" s="58" t="s">
        <v>3404</v>
      </c>
      <c r="D636" s="101" t="s">
        <v>3932</v>
      </c>
      <c r="J636" s="70" t="str">
        <f t="shared" ref="J636:L636" si="789">LEFT(B636,LEN(B636)-LEN(RIGHT(B636,27)))</f>
        <v>Electronics</v>
      </c>
      <c r="K636" s="70" t="str">
        <f t="shared" si="789"/>
        <v>Portable Audio &amp; Video</v>
      </c>
      <c r="L636" s="70" t="str">
        <f t="shared" si="789"/>
        <v>Radios</v>
      </c>
    </row>
    <row r="637" ht="12.75" customHeight="1">
      <c r="B637" s="70" t="s">
        <v>3382</v>
      </c>
      <c r="C637" s="58" t="s">
        <v>3408</v>
      </c>
      <c r="D637" s="101" t="s">
        <v>3933</v>
      </c>
      <c r="J637" s="70" t="str">
        <f t="shared" ref="J637:L637" si="790">LEFT(B637,LEN(B637)-LEN(RIGHT(B637,27)))</f>
        <v>Electronics</v>
      </c>
      <c r="K637" s="70" t="str">
        <f t="shared" si="790"/>
        <v>Drones</v>
      </c>
      <c r="L637" s="70" t="str">
        <f t="shared" si="790"/>
        <v>Drones</v>
      </c>
    </row>
    <row r="638" ht="12.75" customHeight="1">
      <c r="B638" s="70" t="s">
        <v>3382</v>
      </c>
      <c r="C638" s="58" t="s">
        <v>3414</v>
      </c>
      <c r="D638" s="101" t="s">
        <v>3934</v>
      </c>
      <c r="J638" s="70" t="str">
        <f t="shared" ref="J638:L638" si="791">LEFT(B638,LEN(B638)-LEN(RIGHT(B638,27)))</f>
        <v>Electronics</v>
      </c>
      <c r="K638" s="70" t="str">
        <f t="shared" si="791"/>
        <v>Print, Copy, Scan &amp; Fax</v>
      </c>
      <c r="L638" s="70" t="str">
        <f t="shared" si="791"/>
        <v>Cable Organizer Bags &amp; Cases</v>
      </c>
    </row>
    <row r="639" ht="12.75" customHeight="1">
      <c r="B639" s="70" t="s">
        <v>3382</v>
      </c>
      <c r="C639" s="58" t="s">
        <v>3414</v>
      </c>
      <c r="D639" s="101" t="s">
        <v>3935</v>
      </c>
      <c r="J639" s="70" t="str">
        <f t="shared" ref="J639:L639" si="792">LEFT(B639,LEN(B639)-LEN(RIGHT(B639,27)))</f>
        <v>Electronics</v>
      </c>
      <c r="K639" s="70" t="str">
        <f t="shared" si="792"/>
        <v>Print, Copy, Scan &amp; Fax</v>
      </c>
      <c r="L639" s="70" t="str">
        <f t="shared" si="792"/>
        <v>Calculators</v>
      </c>
    </row>
    <row r="640" ht="12.75" customHeight="1">
      <c r="B640" s="70" t="s">
        <v>3382</v>
      </c>
      <c r="C640" s="58" t="s">
        <v>3414</v>
      </c>
      <c r="D640" s="101" t="s">
        <v>3936</v>
      </c>
      <c r="J640" s="70" t="str">
        <f t="shared" ref="J640:L640" si="793">LEFT(B640,LEN(B640)-LEN(RIGHT(B640,27)))</f>
        <v>Electronics</v>
      </c>
      <c r="K640" s="70" t="str">
        <f t="shared" si="793"/>
        <v>Print, Copy, Scan &amp; Fax</v>
      </c>
      <c r="L640" s="70" t="str">
        <f t="shared" si="793"/>
        <v>Copiers</v>
      </c>
    </row>
    <row r="641" ht="12.75" customHeight="1">
      <c r="B641" s="70" t="s">
        <v>3382</v>
      </c>
      <c r="C641" s="58" t="s">
        <v>3414</v>
      </c>
      <c r="D641" s="101" t="s">
        <v>3937</v>
      </c>
      <c r="J641" s="70" t="str">
        <f t="shared" ref="J641:L641" si="794">LEFT(B641,LEN(B641)-LEN(RIGHT(B641,27)))</f>
        <v>Electronics</v>
      </c>
      <c r="K641" s="70" t="str">
        <f t="shared" si="794"/>
        <v>Print, Copy, Scan &amp; Fax</v>
      </c>
      <c r="L641" s="70" t="str">
        <f t="shared" si="794"/>
        <v>Document Cameras</v>
      </c>
    </row>
    <row r="642" ht="12.75" customHeight="1">
      <c r="B642" s="70" t="s">
        <v>3382</v>
      </c>
      <c r="C642" s="58" t="s">
        <v>3414</v>
      </c>
      <c r="D642" s="101" t="s">
        <v>3938</v>
      </c>
      <c r="J642" s="70" t="str">
        <f t="shared" ref="J642:L642" si="795">LEFT(B642,LEN(B642)-LEN(RIGHT(B642,27)))</f>
        <v>Electronics</v>
      </c>
      <c r="K642" s="70" t="str">
        <f t="shared" si="795"/>
        <v>Print, Copy, Scan &amp; Fax</v>
      </c>
      <c r="L642" s="70" t="str">
        <f t="shared" si="795"/>
        <v>Electronic Dictionaries, Thesauri &amp; Translators</v>
      </c>
    </row>
    <row r="643" ht="12.75" customHeight="1">
      <c r="B643" s="70" t="s">
        <v>3382</v>
      </c>
      <c r="C643" s="58" t="s">
        <v>3414</v>
      </c>
      <c r="D643" s="101" t="s">
        <v>3939</v>
      </c>
      <c r="J643" s="70" t="str">
        <f t="shared" ref="J643:L643" si="796">LEFT(B643,LEN(B643)-LEN(RIGHT(B643,27)))</f>
        <v>Electronics</v>
      </c>
      <c r="K643" s="70" t="str">
        <f t="shared" si="796"/>
        <v>Print, Copy, Scan &amp; Fax</v>
      </c>
      <c r="L643" s="70" t="str">
        <f t="shared" si="796"/>
        <v>Fax Machines</v>
      </c>
    </row>
    <row r="644" ht="12.75" customHeight="1">
      <c r="B644" s="70" t="s">
        <v>3382</v>
      </c>
      <c r="C644" s="58" t="s">
        <v>3414</v>
      </c>
      <c r="D644" s="101" t="s">
        <v>3940</v>
      </c>
      <c r="J644" s="70" t="str">
        <f t="shared" ref="J644:L644" si="797">LEFT(B644,LEN(B644)-LEN(RIGHT(B644,27)))</f>
        <v>Electronics</v>
      </c>
      <c r="K644" s="70" t="str">
        <f t="shared" si="797"/>
        <v>Print, Copy, Scan &amp; Fax</v>
      </c>
      <c r="L644" s="70" t="str">
        <f t="shared" si="797"/>
        <v>Other Office Equipment</v>
      </c>
    </row>
    <row r="645" ht="12.75" customHeight="1">
      <c r="B645" s="70" t="s">
        <v>3382</v>
      </c>
      <c r="C645" s="58" t="s">
        <v>3414</v>
      </c>
      <c r="D645" s="101" t="s">
        <v>3941</v>
      </c>
      <c r="J645" s="70" t="str">
        <f t="shared" ref="J645:L645" si="798">LEFT(B645,LEN(B645)-LEN(RIGHT(B645,27)))</f>
        <v>Electronics</v>
      </c>
      <c r="K645" s="70" t="str">
        <f t="shared" si="798"/>
        <v>Print, Copy, Scan &amp; Fax</v>
      </c>
      <c r="L645" s="70" t="str">
        <f t="shared" si="798"/>
        <v>PDAs &amp; Handhelds</v>
      </c>
    </row>
    <row r="646" ht="12.75" customHeight="1">
      <c r="B646" s="70" t="s">
        <v>3382</v>
      </c>
      <c r="C646" s="58" t="s">
        <v>3414</v>
      </c>
      <c r="D646" s="101" t="s">
        <v>3942</v>
      </c>
      <c r="J646" s="70" t="str">
        <f t="shared" ref="J646:L646" si="799">LEFT(B646,LEN(B646)-LEN(RIGHT(B646,27)))</f>
        <v>Electronics</v>
      </c>
      <c r="K646" s="70" t="str">
        <f t="shared" si="799"/>
        <v>Print, Copy, Scan &amp; Fax</v>
      </c>
      <c r="L646" s="70" t="str">
        <f t="shared" si="799"/>
        <v>Point-of-Sale (POS) Equipment</v>
      </c>
    </row>
    <row r="647" ht="12.75" customHeight="1">
      <c r="B647" s="70" t="s">
        <v>3382</v>
      </c>
      <c r="C647" s="58" t="s">
        <v>3414</v>
      </c>
      <c r="D647" s="101" t="s">
        <v>3943</v>
      </c>
      <c r="J647" s="70" t="str">
        <f t="shared" ref="J647:L647" si="800">LEFT(B647,LEN(B647)-LEN(RIGHT(B647,27)))</f>
        <v>Electronics</v>
      </c>
      <c r="K647" s="70" t="str">
        <f t="shared" si="800"/>
        <v>Print, Copy, Scan &amp; Fax</v>
      </c>
      <c r="L647" s="70" t="str">
        <f t="shared" si="800"/>
        <v>Presentation Products</v>
      </c>
    </row>
    <row r="648" ht="12.75" customHeight="1">
      <c r="B648" s="70" t="s">
        <v>3382</v>
      </c>
      <c r="C648" s="58" t="s">
        <v>3414</v>
      </c>
      <c r="D648" s="101" t="s">
        <v>3944</v>
      </c>
      <c r="J648" s="70" t="str">
        <f t="shared" ref="J648:L648" si="801">LEFT(B648,LEN(B648)-LEN(RIGHT(B648,27)))</f>
        <v>Electronics</v>
      </c>
      <c r="K648" s="70" t="str">
        <f t="shared" si="801"/>
        <v>Print, Copy, Scan &amp; Fax</v>
      </c>
      <c r="L648" s="70" t="str">
        <f t="shared" si="801"/>
        <v>Printers &amp; Accessories</v>
      </c>
    </row>
    <row r="649" ht="12.75" customHeight="1">
      <c r="B649" s="70" t="s">
        <v>3382</v>
      </c>
      <c r="C649" s="58" t="s">
        <v>3414</v>
      </c>
      <c r="D649" s="101" t="s">
        <v>3945</v>
      </c>
      <c r="J649" s="70" t="str">
        <f t="shared" ref="J649:L649" si="802">LEFT(B649,LEN(B649)-LEN(RIGHT(B649,27)))</f>
        <v>Electronics</v>
      </c>
      <c r="K649" s="70" t="str">
        <f t="shared" si="802"/>
        <v>Print, Copy, Scan &amp; Fax</v>
      </c>
      <c r="L649" s="70" t="str">
        <f t="shared" si="802"/>
        <v>Scanners &amp; Accessories</v>
      </c>
    </row>
    <row r="650" ht="12.75" customHeight="1">
      <c r="B650" s="70" t="s">
        <v>3382</v>
      </c>
      <c r="C650" s="58" t="s">
        <v>3414</v>
      </c>
      <c r="D650" s="101" t="s">
        <v>3946</v>
      </c>
      <c r="J650" s="70" t="str">
        <f t="shared" ref="J650:L650" si="803">LEFT(B650,LEN(B650)-LEN(RIGHT(B650,27)))</f>
        <v>Electronics</v>
      </c>
      <c r="K650" s="70" t="str">
        <f t="shared" si="803"/>
        <v>Print, Copy, Scan &amp; Fax</v>
      </c>
      <c r="L650" s="70" t="str">
        <f t="shared" si="803"/>
        <v>Telephones &amp; Accessories</v>
      </c>
    </row>
    <row r="651" ht="12.75" customHeight="1">
      <c r="B651" s="70" t="s">
        <v>3382</v>
      </c>
      <c r="C651" s="58" t="s">
        <v>3414</v>
      </c>
      <c r="D651" s="101" t="s">
        <v>3947</v>
      </c>
      <c r="J651" s="70" t="str">
        <f t="shared" ref="J651:L651" si="804">LEFT(B651,LEN(B651)-LEN(RIGHT(B651,27)))</f>
        <v>Electronics</v>
      </c>
      <c r="K651" s="70" t="str">
        <f t="shared" si="804"/>
        <v>Print, Copy, Scan &amp; Fax</v>
      </c>
      <c r="L651" s="70" t="str">
        <f t="shared" si="804"/>
        <v>Video Projectors &amp; Accessories</v>
      </c>
    </row>
    <row r="652" ht="12.75" customHeight="1">
      <c r="B652" s="70" t="s">
        <v>3382</v>
      </c>
      <c r="C652" s="58" t="s">
        <v>3416</v>
      </c>
      <c r="D652" s="101" t="s">
        <v>3948</v>
      </c>
      <c r="J652" s="70" t="str">
        <f t="shared" ref="J652:L652" si="805">LEFT(B652,LEN(B652)-LEN(RIGHT(B652,27)))</f>
        <v>Electronics</v>
      </c>
      <c r="K652" s="70" t="str">
        <f t="shared" si="805"/>
        <v>Musical instruments</v>
      </c>
      <c r="L652" s="70" t="str">
        <f t="shared" si="805"/>
        <v>Electronic Keyboards</v>
      </c>
    </row>
    <row r="653" ht="12.75" customHeight="1">
      <c r="B653" s="70" t="s">
        <v>3382</v>
      </c>
      <c r="C653" s="58" t="s">
        <v>3416</v>
      </c>
      <c r="D653" s="101" t="s">
        <v>3949</v>
      </c>
      <c r="J653" s="70" t="str">
        <f t="shared" ref="J653:L653" si="806">LEFT(B653,LEN(B653)-LEN(RIGHT(B653,27)))</f>
        <v>Electronics</v>
      </c>
      <c r="K653" s="70" t="str">
        <f t="shared" si="806"/>
        <v>Musical instruments</v>
      </c>
      <c r="L653" s="70" t="str">
        <f t="shared" si="806"/>
        <v>Musical Instruments Wholesale Lots</v>
      </c>
    </row>
    <row r="654" ht="12.75" customHeight="1">
      <c r="B654" s="70" t="s">
        <v>3382</v>
      </c>
      <c r="C654" s="58" t="s">
        <v>3416</v>
      </c>
      <c r="D654" s="101" t="s">
        <v>3950</v>
      </c>
      <c r="J654" s="70" t="str">
        <f t="shared" ref="J654:L654" si="807">LEFT(B654,LEN(B654)-LEN(RIGHT(B654,27)))</f>
        <v>Electronics</v>
      </c>
      <c r="K654" s="70" t="str">
        <f t="shared" si="807"/>
        <v>Musical instruments</v>
      </c>
      <c r="L654" s="70" t="str">
        <f t="shared" si="807"/>
        <v>Electronic Drums</v>
      </c>
    </row>
    <row r="655" ht="12.75" customHeight="1">
      <c r="B655" s="70" t="s">
        <v>3382</v>
      </c>
      <c r="C655" s="58" t="s">
        <v>3416</v>
      </c>
      <c r="D655" s="101" t="s">
        <v>3951</v>
      </c>
      <c r="J655" s="70" t="str">
        <f t="shared" ref="J655:L655" si="808">LEFT(B655,LEN(B655)-LEN(RIGHT(B655,27)))</f>
        <v>Electronics</v>
      </c>
      <c r="K655" s="70" t="str">
        <f t="shared" si="808"/>
        <v>Musical instruments</v>
      </c>
      <c r="L655" s="70" t="str">
        <f t="shared" si="808"/>
        <v>Pro Audio Microphones &amp; Wireless Systems</v>
      </c>
    </row>
    <row r="656" ht="12.75" customHeight="1">
      <c r="B656" s="70" t="s">
        <v>3382</v>
      </c>
      <c r="C656" s="58" t="s">
        <v>3416</v>
      </c>
      <c r="D656" s="101" t="s">
        <v>3952</v>
      </c>
      <c r="J656" s="70" t="str">
        <f t="shared" ref="J656:L656" si="809">LEFT(B656,LEN(B656)-LEN(RIGHT(B656,27)))</f>
        <v>Electronics</v>
      </c>
      <c r="K656" s="70" t="str">
        <f t="shared" si="809"/>
        <v>Musical instruments</v>
      </c>
      <c r="L656" s="70" t="str">
        <f t="shared" si="809"/>
        <v>Other Guitar Effects Pedals</v>
      </c>
    </row>
    <row r="657" ht="12.75" customHeight="1">
      <c r="B657" s="70" t="s">
        <v>3382</v>
      </c>
      <c r="C657" s="58" t="s">
        <v>3416</v>
      </c>
      <c r="D657" s="101" t="s">
        <v>3953</v>
      </c>
      <c r="J657" s="70" t="str">
        <f t="shared" ref="J657:L657" si="810">LEFT(B657,LEN(B657)-LEN(RIGHT(B657,27)))</f>
        <v>Electronics</v>
      </c>
      <c r="K657" s="70" t="str">
        <f t="shared" si="810"/>
        <v>Musical instruments</v>
      </c>
      <c r="L657" s="70" t="str">
        <f t="shared" si="810"/>
        <v>Other Musical Instruments</v>
      </c>
    </row>
    <row r="658" ht="12.75" customHeight="1">
      <c r="B658" s="70" t="s">
        <v>3382</v>
      </c>
      <c r="C658" s="58" t="s">
        <v>3416</v>
      </c>
      <c r="D658" s="101" t="s">
        <v>3954</v>
      </c>
      <c r="J658" s="70" t="str">
        <f t="shared" ref="J658:L658" si="811">LEFT(B658,LEN(B658)-LEN(RIGHT(B658,27)))</f>
        <v>Electronics</v>
      </c>
      <c r="K658" s="70" t="str">
        <f t="shared" si="811"/>
        <v>Musical instruments</v>
      </c>
      <c r="L658" s="70" t="str">
        <f t="shared" si="811"/>
        <v>Other Pro Audio Equipment</v>
      </c>
    </row>
    <row r="659" ht="12.75" customHeight="1">
      <c r="J659" s="58" t="s">
        <v>163</v>
      </c>
      <c r="K659" s="58" t="s">
        <v>2878</v>
      </c>
    </row>
    <row r="660" ht="12.75" customHeight="1">
      <c r="J660" s="58" t="s">
        <v>163</v>
      </c>
      <c r="K660" s="58" t="s">
        <v>2879</v>
      </c>
    </row>
    <row r="661" ht="12.75" customHeight="1">
      <c r="J661" s="58" t="s">
        <v>163</v>
      </c>
      <c r="K661" s="58" t="s">
        <v>2881</v>
      </c>
    </row>
    <row r="662" ht="12.75" customHeight="1">
      <c r="J662" s="58" t="s">
        <v>163</v>
      </c>
      <c r="K662" s="58" t="s">
        <v>2867</v>
      </c>
    </row>
    <row r="663" ht="12.75" customHeight="1">
      <c r="J663" s="58" t="s">
        <v>163</v>
      </c>
      <c r="K663" s="58" t="s">
        <v>2880</v>
      </c>
    </row>
    <row r="664" ht="12.75" customHeight="1">
      <c r="J664" s="58" t="s">
        <v>163</v>
      </c>
      <c r="K664" s="58" t="s">
        <v>2868</v>
      </c>
    </row>
    <row r="665" ht="12.75" customHeight="1">
      <c r="J665" s="58" t="s">
        <v>163</v>
      </c>
      <c r="K665" s="58" t="s">
        <v>2885</v>
      </c>
    </row>
    <row r="666" ht="12.75" customHeight="1">
      <c r="J666" s="58" t="s">
        <v>163</v>
      </c>
      <c r="K666" s="58" t="s">
        <v>2882</v>
      </c>
    </row>
    <row r="667" ht="12.75" customHeight="1">
      <c r="J667" s="58" t="s">
        <v>163</v>
      </c>
      <c r="K667" s="58" t="s">
        <v>2883</v>
      </c>
    </row>
    <row r="668" ht="12.75" customHeight="1">
      <c r="J668" s="58" t="s">
        <v>163</v>
      </c>
      <c r="K668" s="58" t="s">
        <v>2884</v>
      </c>
    </row>
    <row r="669" ht="12.75" customHeight="1">
      <c r="J669" s="58" t="s">
        <v>163</v>
      </c>
      <c r="K669" s="58" t="s">
        <v>2870</v>
      </c>
    </row>
    <row r="670" ht="12.75" customHeight="1">
      <c r="J670" s="58" t="s">
        <v>163</v>
      </c>
      <c r="K670" s="58" t="s">
        <v>2869</v>
      </c>
    </row>
    <row r="671" ht="12.75" customHeight="1">
      <c r="J671" s="58" t="s">
        <v>163</v>
      </c>
      <c r="K671" s="58" t="s">
        <v>2871</v>
      </c>
    </row>
    <row r="672" ht="12.75" customHeight="1">
      <c r="J672" s="58" t="s">
        <v>163</v>
      </c>
      <c r="K672" s="58" t="s">
        <v>2872</v>
      </c>
    </row>
    <row r="673" ht="12.75" customHeight="1">
      <c r="J673" s="58" t="s">
        <v>163</v>
      </c>
      <c r="K673" s="58" t="s">
        <v>2873</v>
      </c>
    </row>
    <row r="674" ht="12.75" customHeight="1">
      <c r="J674" s="58" t="s">
        <v>163</v>
      </c>
      <c r="K674" s="58" t="s">
        <v>2874</v>
      </c>
    </row>
    <row r="675" ht="12.75" customHeight="1">
      <c r="J675" s="58" t="s">
        <v>163</v>
      </c>
      <c r="K675" s="58" t="s">
        <v>2875</v>
      </c>
    </row>
    <row r="676" ht="12.75" customHeight="1">
      <c r="J676" s="58" t="s">
        <v>163</v>
      </c>
      <c r="K676" s="58" t="s">
        <v>2876</v>
      </c>
    </row>
    <row r="677" ht="12.75" customHeight="1">
      <c r="J677" s="58" t="s">
        <v>163</v>
      </c>
      <c r="K677" s="58" t="s">
        <v>2877</v>
      </c>
    </row>
    <row r="678" ht="12.75" customHeight="1">
      <c r="J678" s="58" t="s">
        <v>163</v>
      </c>
      <c r="K678" s="58" t="s">
        <v>749</v>
      </c>
    </row>
    <row r="679" ht="12.75" customHeight="1">
      <c r="J679" s="58" t="s">
        <v>360</v>
      </c>
      <c r="K679" s="58" t="s">
        <v>2890</v>
      </c>
    </row>
    <row r="680" ht="12.75" customHeight="1">
      <c r="J680" s="58" t="s">
        <v>360</v>
      </c>
      <c r="K680" s="58" t="s">
        <v>2878</v>
      </c>
    </row>
    <row r="681" ht="12.75" customHeight="1">
      <c r="J681" s="58" t="s">
        <v>360</v>
      </c>
      <c r="K681" s="58" t="s">
        <v>2891</v>
      </c>
    </row>
    <row r="682" ht="12.75" customHeight="1">
      <c r="J682" s="58" t="s">
        <v>360</v>
      </c>
      <c r="K682" s="58" t="s">
        <v>2880</v>
      </c>
    </row>
    <row r="683" ht="12.75" customHeight="1">
      <c r="J683" s="58" t="s">
        <v>360</v>
      </c>
      <c r="K683" s="58" t="s">
        <v>2883</v>
      </c>
    </row>
    <row r="684" ht="12.75" customHeight="1">
      <c r="J684" s="58" t="s">
        <v>360</v>
      </c>
      <c r="K684" s="58" t="s">
        <v>2893</v>
      </c>
    </row>
    <row r="685" ht="12.75" customHeight="1">
      <c r="J685" s="58" t="s">
        <v>360</v>
      </c>
      <c r="K685" s="58" t="s">
        <v>2886</v>
      </c>
    </row>
    <row r="686" ht="12.75" customHeight="1">
      <c r="J686" s="58" t="s">
        <v>360</v>
      </c>
      <c r="K686" s="58" t="s">
        <v>2884</v>
      </c>
    </row>
    <row r="687" ht="12.75" customHeight="1">
      <c r="J687" s="58" t="s">
        <v>360</v>
      </c>
      <c r="K687" s="58" t="s">
        <v>2870</v>
      </c>
    </row>
    <row r="688" ht="12.75" customHeight="1">
      <c r="J688" s="58" t="s">
        <v>360</v>
      </c>
      <c r="K688" s="58" t="s">
        <v>2869</v>
      </c>
    </row>
    <row r="689" ht="12.75" customHeight="1">
      <c r="J689" s="58" t="s">
        <v>360</v>
      </c>
      <c r="K689" s="58" t="s">
        <v>2887</v>
      </c>
    </row>
    <row r="690" ht="12.75" customHeight="1">
      <c r="J690" s="58" t="s">
        <v>360</v>
      </c>
      <c r="K690" s="58" t="s">
        <v>2888</v>
      </c>
    </row>
    <row r="691" ht="12.75" customHeight="1">
      <c r="J691" s="58" t="s">
        <v>360</v>
      </c>
      <c r="K691" s="58" t="s">
        <v>2892</v>
      </c>
    </row>
    <row r="692" ht="12.75" customHeight="1">
      <c r="J692" s="58" t="s">
        <v>360</v>
      </c>
      <c r="K692" s="58" t="s">
        <v>2889</v>
      </c>
    </row>
    <row r="693" ht="12.75" customHeight="1">
      <c r="J693" s="58" t="s">
        <v>360</v>
      </c>
      <c r="K693" s="58" t="s">
        <v>749</v>
      </c>
    </row>
    <row r="694" ht="12.75" customHeight="1">
      <c r="J694" s="58" t="s">
        <v>433</v>
      </c>
      <c r="K694" s="58" t="s">
        <v>2834</v>
      </c>
      <c r="L694" s="58"/>
      <c r="M694" s="58"/>
    </row>
    <row r="695" ht="12.75" customHeight="1">
      <c r="J695" s="58" t="s">
        <v>433</v>
      </c>
      <c r="K695" s="58" t="s">
        <v>749</v>
      </c>
      <c r="L695" s="58"/>
      <c r="M695" s="58"/>
    </row>
    <row r="696" ht="12.75" customHeight="1">
      <c r="J696" s="70" t="s">
        <v>617</v>
      </c>
      <c r="K696" s="70" t="s">
        <v>3129</v>
      </c>
    </row>
    <row r="697" ht="12.75" customHeight="1">
      <c r="J697" s="70" t="s">
        <v>617</v>
      </c>
      <c r="K697" s="70" t="s">
        <v>676</v>
      </c>
    </row>
    <row r="698" ht="12.75" customHeight="1">
      <c r="J698" s="70" t="s">
        <v>617</v>
      </c>
      <c r="K698" s="70" t="s">
        <v>3163</v>
      </c>
    </row>
    <row r="699" ht="12.75" customHeight="1">
      <c r="J699" s="70" t="s">
        <v>617</v>
      </c>
      <c r="K699" s="70" t="s">
        <v>3133</v>
      </c>
    </row>
    <row r="700" ht="12.75" customHeight="1">
      <c r="J700" s="70" t="s">
        <v>617</v>
      </c>
      <c r="K700" s="70" t="s">
        <v>749</v>
      </c>
    </row>
    <row r="701" ht="12.75" customHeight="1">
      <c r="J701" s="70" t="s">
        <v>590</v>
      </c>
      <c r="K701" s="70" t="s">
        <v>749</v>
      </c>
    </row>
    <row r="702" ht="12.75" customHeight="1">
      <c r="J702" s="70" t="s">
        <v>472</v>
      </c>
      <c r="K702" s="70" t="s">
        <v>749</v>
      </c>
    </row>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c r="A1" s="58" t="s">
        <v>3955</v>
      </c>
      <c r="B1" s="58" t="s">
        <v>3956</v>
      </c>
      <c r="C1" s="58" t="s">
        <v>3957</v>
      </c>
    </row>
    <row r="2" ht="12.75" customHeight="1">
      <c r="A2" s="70" t="s">
        <v>294</v>
      </c>
      <c r="B2" s="70" t="s">
        <v>163</v>
      </c>
      <c r="C2" s="70" t="s">
        <v>294</v>
      </c>
      <c r="G2" s="102" t="s">
        <v>3127</v>
      </c>
    </row>
    <row r="3" ht="12.75" customHeight="1">
      <c r="A3" s="70" t="s">
        <v>2878</v>
      </c>
      <c r="B3" s="70" t="s">
        <v>163</v>
      </c>
      <c r="C3" s="70" t="e">
        <v>#N/A</v>
      </c>
      <c r="G3" s="103" t="s">
        <v>3129</v>
      </c>
    </row>
    <row r="4" ht="12.75" customHeight="1">
      <c r="A4" s="70" t="s">
        <v>256</v>
      </c>
      <c r="B4" s="70" t="s">
        <v>163</v>
      </c>
      <c r="C4" s="70" t="s">
        <v>256</v>
      </c>
      <c r="G4" s="102" t="s">
        <v>649</v>
      </c>
    </row>
    <row r="5" ht="12.75" customHeight="1">
      <c r="A5" s="70" t="s">
        <v>2879</v>
      </c>
      <c r="B5" s="70" t="s">
        <v>163</v>
      </c>
      <c r="C5" s="70" t="e">
        <v>#N/A</v>
      </c>
      <c r="G5" s="103" t="s">
        <v>3130</v>
      </c>
    </row>
    <row r="6" ht="12.75" customHeight="1">
      <c r="A6" s="70" t="s">
        <v>2881</v>
      </c>
      <c r="B6" s="70" t="s">
        <v>163</v>
      </c>
      <c r="C6" s="70" t="e">
        <v>#N/A</v>
      </c>
      <c r="G6" s="102" t="s">
        <v>3132</v>
      </c>
    </row>
    <row r="7" ht="12.75" customHeight="1">
      <c r="A7" s="70" t="s">
        <v>164</v>
      </c>
      <c r="B7" s="70" t="s">
        <v>163</v>
      </c>
      <c r="C7" s="70" t="s">
        <v>164</v>
      </c>
      <c r="G7" s="102" t="s">
        <v>728</v>
      </c>
    </row>
    <row r="8" ht="12.75" customHeight="1">
      <c r="A8" s="70" t="s">
        <v>2867</v>
      </c>
      <c r="B8" s="70" t="s">
        <v>163</v>
      </c>
      <c r="C8" s="70" t="e">
        <v>#N/A</v>
      </c>
      <c r="G8" s="103" t="s">
        <v>3133</v>
      </c>
    </row>
    <row r="9" ht="12.75" customHeight="1">
      <c r="A9" s="70" t="s">
        <v>2880</v>
      </c>
      <c r="B9" s="70" t="s">
        <v>163</v>
      </c>
      <c r="C9" s="70" t="e">
        <v>#N/A</v>
      </c>
      <c r="G9" s="102" t="s">
        <v>708</v>
      </c>
    </row>
    <row r="10" ht="12.75" customHeight="1">
      <c r="A10" s="70" t="s">
        <v>2868</v>
      </c>
      <c r="B10" s="70" t="s">
        <v>163</v>
      </c>
      <c r="C10" s="70" t="e">
        <v>#N/A</v>
      </c>
      <c r="G10" s="102" t="s">
        <v>3135</v>
      </c>
    </row>
    <row r="11" ht="12.75" customHeight="1">
      <c r="A11" s="70" t="s">
        <v>2885</v>
      </c>
      <c r="B11" s="70" t="s">
        <v>163</v>
      </c>
      <c r="C11" s="70" t="e">
        <v>#N/A</v>
      </c>
      <c r="G11" s="102" t="s">
        <v>715</v>
      </c>
    </row>
    <row r="12" ht="12.75" customHeight="1">
      <c r="A12" s="70" t="s">
        <v>2882</v>
      </c>
      <c r="B12" s="70" t="s">
        <v>163</v>
      </c>
      <c r="C12" s="70" t="e">
        <v>#N/A</v>
      </c>
      <c r="G12" s="103" t="s">
        <v>749</v>
      </c>
    </row>
    <row r="13" ht="12.75" customHeight="1">
      <c r="A13" s="70" t="s">
        <v>242</v>
      </c>
      <c r="B13" s="70" t="s">
        <v>163</v>
      </c>
      <c r="C13" s="70" t="s">
        <v>242</v>
      </c>
      <c r="G13" s="102" t="s">
        <v>732</v>
      </c>
    </row>
    <row r="14" ht="12.75" customHeight="1">
      <c r="A14" s="70" t="s">
        <v>181</v>
      </c>
      <c r="B14" s="70" t="s">
        <v>163</v>
      </c>
      <c r="C14" s="70" t="s">
        <v>181</v>
      </c>
      <c r="G14" s="102" t="s">
        <v>3148</v>
      </c>
    </row>
    <row r="15" ht="12.75" customHeight="1">
      <c r="A15" s="70" t="s">
        <v>215</v>
      </c>
      <c r="B15" s="70" t="s">
        <v>163</v>
      </c>
      <c r="C15" s="70" t="s">
        <v>215</v>
      </c>
      <c r="G15" s="103" t="s">
        <v>3163</v>
      </c>
    </row>
    <row r="16" ht="12.75" customHeight="1">
      <c r="A16" s="70" t="s">
        <v>288</v>
      </c>
      <c r="B16" s="70" t="s">
        <v>163</v>
      </c>
      <c r="C16" s="70" t="s">
        <v>288</v>
      </c>
      <c r="G16" s="102" t="s">
        <v>3164</v>
      </c>
    </row>
    <row r="17" ht="12.75" customHeight="1">
      <c r="A17" s="70" t="s">
        <v>2883</v>
      </c>
      <c r="B17" s="70" t="s">
        <v>163</v>
      </c>
      <c r="C17" s="70" t="e">
        <v>#N/A</v>
      </c>
      <c r="G17" s="102" t="s">
        <v>3165</v>
      </c>
    </row>
    <row r="18" ht="12.75" customHeight="1">
      <c r="A18" s="70" t="s">
        <v>2884</v>
      </c>
      <c r="B18" s="70" t="s">
        <v>163</v>
      </c>
      <c r="C18" s="70" t="e">
        <v>#N/A</v>
      </c>
      <c r="G18" s="102" t="s">
        <v>692</v>
      </c>
    </row>
    <row r="19" ht="12.75" customHeight="1">
      <c r="A19" s="70" t="s">
        <v>2870</v>
      </c>
      <c r="B19" s="70" t="s">
        <v>163</v>
      </c>
      <c r="C19" s="70" t="e">
        <v>#N/A</v>
      </c>
      <c r="G19" s="102" t="s">
        <v>701</v>
      </c>
    </row>
    <row r="20" ht="12.75" customHeight="1">
      <c r="A20" s="70" t="s">
        <v>2869</v>
      </c>
      <c r="B20" s="70" t="s">
        <v>163</v>
      </c>
      <c r="C20" s="70" t="e">
        <v>#N/A</v>
      </c>
      <c r="G20" s="103" t="s">
        <v>676</v>
      </c>
    </row>
    <row r="21" ht="12.75" customHeight="1">
      <c r="A21" s="70" t="s">
        <v>2871</v>
      </c>
      <c r="B21" s="70" t="s">
        <v>163</v>
      </c>
      <c r="C21" s="70" t="e">
        <v>#N/A</v>
      </c>
    </row>
    <row r="22" ht="12.75" customHeight="1">
      <c r="A22" s="70" t="s">
        <v>310</v>
      </c>
      <c r="B22" s="70" t="s">
        <v>163</v>
      </c>
      <c r="C22" s="70" t="s">
        <v>310</v>
      </c>
    </row>
    <row r="23" ht="12.75" customHeight="1">
      <c r="A23" s="70" t="s">
        <v>2872</v>
      </c>
      <c r="B23" s="70" t="s">
        <v>163</v>
      </c>
      <c r="C23" s="70" t="e">
        <v>#N/A</v>
      </c>
    </row>
    <row r="24" ht="12.75" customHeight="1">
      <c r="A24" s="70" t="s">
        <v>225</v>
      </c>
      <c r="B24" s="70" t="s">
        <v>163</v>
      </c>
      <c r="C24" s="70" t="s">
        <v>225</v>
      </c>
    </row>
    <row r="25" ht="12.75" customHeight="1">
      <c r="A25" s="70" t="s">
        <v>2873</v>
      </c>
      <c r="B25" s="70" t="s">
        <v>163</v>
      </c>
      <c r="C25" s="70" t="e">
        <v>#N/A</v>
      </c>
    </row>
    <row r="26" ht="12.75" customHeight="1">
      <c r="A26" s="70" t="s">
        <v>2874</v>
      </c>
      <c r="B26" s="70" t="s">
        <v>163</v>
      </c>
      <c r="C26" s="70" t="e">
        <v>#N/A</v>
      </c>
    </row>
    <row r="27" ht="12.75" customHeight="1">
      <c r="A27" s="70" t="s">
        <v>2875</v>
      </c>
      <c r="B27" s="70" t="s">
        <v>163</v>
      </c>
      <c r="C27" s="70" t="e">
        <v>#N/A</v>
      </c>
    </row>
    <row r="28" ht="12.75" customHeight="1">
      <c r="A28" s="70" t="s">
        <v>2876</v>
      </c>
      <c r="B28" s="70" t="s">
        <v>163</v>
      </c>
      <c r="C28" s="70" t="e">
        <v>#N/A</v>
      </c>
    </row>
    <row r="29" ht="12.75" customHeight="1">
      <c r="A29" s="70" t="s">
        <v>270</v>
      </c>
      <c r="B29" s="70" t="s">
        <v>163</v>
      </c>
      <c r="C29" s="70" t="s">
        <v>270</v>
      </c>
    </row>
    <row r="30" ht="12.75" customHeight="1">
      <c r="A30" s="70" t="s">
        <v>234</v>
      </c>
      <c r="B30" s="70" t="s">
        <v>163</v>
      </c>
      <c r="C30" s="70" t="s">
        <v>234</v>
      </c>
    </row>
    <row r="31" ht="12.75" customHeight="1">
      <c r="A31" s="70" t="s">
        <v>176</v>
      </c>
      <c r="B31" s="70" t="s">
        <v>163</v>
      </c>
      <c r="C31" s="70" t="s">
        <v>176</v>
      </c>
    </row>
    <row r="32" ht="12.75" customHeight="1">
      <c r="A32" s="70" t="s">
        <v>195</v>
      </c>
      <c r="B32" s="70" t="s">
        <v>163</v>
      </c>
      <c r="C32" s="70" t="s">
        <v>195</v>
      </c>
    </row>
    <row r="33" ht="12.75" customHeight="1">
      <c r="A33" s="70" t="s">
        <v>251</v>
      </c>
      <c r="B33" s="70" t="s">
        <v>163</v>
      </c>
      <c r="C33" s="70" t="s">
        <v>251</v>
      </c>
    </row>
    <row r="34" ht="12.75" customHeight="1">
      <c r="A34" s="70" t="s">
        <v>202</v>
      </c>
      <c r="B34" s="70" t="s">
        <v>163</v>
      </c>
      <c r="C34" s="70" t="s">
        <v>202</v>
      </c>
    </row>
    <row r="35" ht="12.75" customHeight="1">
      <c r="A35" s="70" t="s">
        <v>2877</v>
      </c>
      <c r="B35" s="70" t="s">
        <v>163</v>
      </c>
      <c r="C35" s="70" t="e">
        <v>#N/A</v>
      </c>
    </row>
    <row r="36" ht="12.75" customHeight="1">
      <c r="A36" s="70" t="s">
        <v>330</v>
      </c>
      <c r="B36" s="70" t="s">
        <v>163</v>
      </c>
      <c r="C36" s="70" t="s">
        <v>330</v>
      </c>
    </row>
    <row r="37" ht="12.75" customHeight="1">
      <c r="A37" s="70" t="s">
        <v>342</v>
      </c>
      <c r="B37" s="70" t="s">
        <v>163</v>
      </c>
      <c r="C37" s="70" t="s">
        <v>342</v>
      </c>
    </row>
    <row r="38" ht="12.75" customHeight="1">
      <c r="A38" s="70" t="s">
        <v>351</v>
      </c>
      <c r="B38" s="70" t="s">
        <v>163</v>
      </c>
      <c r="C38" s="70" t="s">
        <v>351</v>
      </c>
    </row>
    <row r="39" ht="12.75" customHeight="1">
      <c r="A39" s="70" t="s">
        <v>749</v>
      </c>
      <c r="B39" s="70" t="s">
        <v>163</v>
      </c>
      <c r="C39" s="70" t="e">
        <v>#N/A</v>
      </c>
    </row>
    <row r="40" ht="12.75" customHeight="1">
      <c r="A40" s="70" t="s">
        <v>294</v>
      </c>
      <c r="B40" s="70" t="s">
        <v>360</v>
      </c>
      <c r="C40" s="70" t="s">
        <v>294</v>
      </c>
    </row>
    <row r="41" ht="12.75" customHeight="1">
      <c r="A41" s="70" t="s">
        <v>2890</v>
      </c>
      <c r="B41" s="70" t="s">
        <v>360</v>
      </c>
      <c r="C41" s="70" t="e">
        <v>#N/A</v>
      </c>
    </row>
    <row r="42" ht="12.75" customHeight="1">
      <c r="A42" s="70" t="s">
        <v>2878</v>
      </c>
      <c r="B42" s="70" t="s">
        <v>360</v>
      </c>
      <c r="C42" s="70" t="e">
        <v>#N/A</v>
      </c>
    </row>
    <row r="43" ht="12.75" customHeight="1">
      <c r="A43" s="70" t="s">
        <v>256</v>
      </c>
      <c r="B43" s="70" t="s">
        <v>360</v>
      </c>
      <c r="C43" s="70" t="s">
        <v>256</v>
      </c>
    </row>
    <row r="44" ht="12.75" customHeight="1">
      <c r="A44" s="70" t="s">
        <v>2891</v>
      </c>
      <c r="B44" s="70" t="s">
        <v>360</v>
      </c>
      <c r="C44" s="70" t="e">
        <v>#N/A</v>
      </c>
    </row>
    <row r="45" ht="12.75" customHeight="1">
      <c r="A45" s="70" t="s">
        <v>2880</v>
      </c>
      <c r="B45" s="70" t="s">
        <v>360</v>
      </c>
      <c r="C45" s="70" t="e">
        <v>#N/A</v>
      </c>
    </row>
    <row r="46" ht="12.75" customHeight="1">
      <c r="A46" s="70" t="s">
        <v>181</v>
      </c>
      <c r="B46" s="70" t="s">
        <v>360</v>
      </c>
      <c r="C46" s="70" t="s">
        <v>181</v>
      </c>
    </row>
    <row r="47" ht="12.75" customHeight="1">
      <c r="A47" s="70" t="s">
        <v>215</v>
      </c>
      <c r="B47" s="70" t="s">
        <v>360</v>
      </c>
      <c r="C47" s="70" t="s">
        <v>215</v>
      </c>
    </row>
    <row r="48" ht="12.75" customHeight="1">
      <c r="A48" s="70" t="s">
        <v>2883</v>
      </c>
      <c r="B48" s="70" t="s">
        <v>360</v>
      </c>
      <c r="C48" s="70" t="e">
        <v>#N/A</v>
      </c>
    </row>
    <row r="49" ht="12.75" customHeight="1">
      <c r="A49" s="70" t="s">
        <v>2893</v>
      </c>
      <c r="B49" s="70" t="s">
        <v>360</v>
      </c>
      <c r="C49" s="70" t="e">
        <v>#N/A</v>
      </c>
    </row>
    <row r="50" ht="12.75" customHeight="1">
      <c r="A50" s="70" t="s">
        <v>2886</v>
      </c>
      <c r="B50" s="70" t="s">
        <v>360</v>
      </c>
      <c r="C50" s="70" t="e">
        <v>#N/A</v>
      </c>
    </row>
    <row r="51" ht="12.75" customHeight="1">
      <c r="A51" s="70" t="s">
        <v>2884</v>
      </c>
      <c r="B51" s="70" t="s">
        <v>360</v>
      </c>
      <c r="C51" s="70" t="e">
        <v>#N/A</v>
      </c>
    </row>
    <row r="52" ht="12.75" customHeight="1">
      <c r="A52" s="70" t="s">
        <v>2870</v>
      </c>
      <c r="B52" s="70" t="s">
        <v>360</v>
      </c>
      <c r="C52" s="70" t="e">
        <v>#N/A</v>
      </c>
    </row>
    <row r="53" ht="12.75" customHeight="1">
      <c r="A53" s="70" t="s">
        <v>2869</v>
      </c>
      <c r="B53" s="70" t="s">
        <v>360</v>
      </c>
      <c r="C53" s="70" t="e">
        <v>#N/A</v>
      </c>
    </row>
    <row r="54" ht="12.75" customHeight="1">
      <c r="A54" s="70" t="s">
        <v>2887</v>
      </c>
      <c r="B54" s="70" t="s">
        <v>360</v>
      </c>
      <c r="C54" s="70" t="e">
        <v>#N/A</v>
      </c>
    </row>
    <row r="55" ht="12.75" customHeight="1">
      <c r="A55" s="70" t="s">
        <v>2888</v>
      </c>
      <c r="B55" s="70" t="s">
        <v>360</v>
      </c>
      <c r="C55" s="70" t="e">
        <v>#N/A</v>
      </c>
    </row>
    <row r="56" ht="12.75" customHeight="1">
      <c r="A56" s="70" t="s">
        <v>386</v>
      </c>
      <c r="B56" s="70" t="s">
        <v>360</v>
      </c>
      <c r="C56" s="70" t="s">
        <v>386</v>
      </c>
    </row>
    <row r="57" ht="12.75" customHeight="1">
      <c r="A57" s="70" t="s">
        <v>2892</v>
      </c>
      <c r="B57" s="70" t="s">
        <v>360</v>
      </c>
      <c r="C57" s="70" t="e">
        <v>#N/A</v>
      </c>
    </row>
    <row r="58" ht="12.75" customHeight="1">
      <c r="A58" s="70" t="s">
        <v>2889</v>
      </c>
      <c r="B58" s="70" t="s">
        <v>360</v>
      </c>
      <c r="C58" s="70" t="e">
        <v>#N/A</v>
      </c>
    </row>
    <row r="59" ht="12.75" customHeight="1">
      <c r="A59" s="70" t="s">
        <v>392</v>
      </c>
      <c r="B59" s="70" t="s">
        <v>360</v>
      </c>
      <c r="C59" s="70" t="s">
        <v>392</v>
      </c>
    </row>
    <row r="60" ht="12.75" customHeight="1">
      <c r="A60" s="70" t="s">
        <v>270</v>
      </c>
      <c r="B60" s="70" t="s">
        <v>360</v>
      </c>
      <c r="C60" s="70" t="s">
        <v>270</v>
      </c>
    </row>
    <row r="61" ht="12.75" customHeight="1">
      <c r="A61" s="70" t="s">
        <v>234</v>
      </c>
      <c r="B61" s="70" t="s">
        <v>360</v>
      </c>
      <c r="C61" s="70" t="s">
        <v>234</v>
      </c>
    </row>
    <row r="62" ht="12.75" customHeight="1">
      <c r="A62" s="70" t="s">
        <v>407</v>
      </c>
      <c r="B62" s="70" t="s">
        <v>360</v>
      </c>
      <c r="C62" s="70" t="s">
        <v>407</v>
      </c>
    </row>
    <row r="63" ht="12.75" customHeight="1">
      <c r="A63" s="70" t="s">
        <v>195</v>
      </c>
      <c r="B63" s="70" t="s">
        <v>360</v>
      </c>
      <c r="C63" s="70" t="s">
        <v>195</v>
      </c>
    </row>
    <row r="64" ht="12.75" customHeight="1">
      <c r="A64" s="70" t="s">
        <v>251</v>
      </c>
      <c r="B64" s="70" t="s">
        <v>360</v>
      </c>
      <c r="C64" s="70" t="s">
        <v>251</v>
      </c>
    </row>
    <row r="65" ht="12.75" customHeight="1">
      <c r="A65" s="70" t="s">
        <v>419</v>
      </c>
      <c r="B65" s="70" t="s">
        <v>360</v>
      </c>
      <c r="C65" s="70" t="s">
        <v>419</v>
      </c>
    </row>
    <row r="66" ht="12.75" customHeight="1">
      <c r="A66" s="70" t="s">
        <v>427</v>
      </c>
      <c r="B66" s="70" t="s">
        <v>360</v>
      </c>
      <c r="C66" s="70" t="s">
        <v>427</v>
      </c>
    </row>
    <row r="67" ht="12.75" customHeight="1">
      <c r="A67" s="70" t="s">
        <v>749</v>
      </c>
      <c r="B67" s="70" t="s">
        <v>360</v>
      </c>
      <c r="C67" s="70" t="e">
        <v>#N/A</v>
      </c>
    </row>
    <row r="68" ht="12.75" customHeight="1">
      <c r="A68" s="70" t="s">
        <v>294</v>
      </c>
      <c r="B68" s="70" t="s">
        <v>433</v>
      </c>
      <c r="C68" s="70" t="s">
        <v>294</v>
      </c>
    </row>
    <row r="69" ht="12.75" customHeight="1">
      <c r="A69" s="70" t="s">
        <v>439</v>
      </c>
      <c r="B69" s="70" t="s">
        <v>433</v>
      </c>
      <c r="C69" s="70" t="s">
        <v>439</v>
      </c>
    </row>
    <row r="70" ht="12.75" customHeight="1">
      <c r="A70" s="70" t="s">
        <v>164</v>
      </c>
      <c r="B70" s="70" t="s">
        <v>433</v>
      </c>
      <c r="C70" s="70" t="s">
        <v>164</v>
      </c>
    </row>
    <row r="71" ht="12.75" customHeight="1">
      <c r="A71" s="70" t="s">
        <v>181</v>
      </c>
      <c r="B71" s="70" t="s">
        <v>433</v>
      </c>
      <c r="C71" s="70" t="s">
        <v>181</v>
      </c>
    </row>
    <row r="72" ht="12.75" customHeight="1">
      <c r="A72" s="70" t="s">
        <v>2834</v>
      </c>
      <c r="B72" s="70" t="s">
        <v>433</v>
      </c>
      <c r="C72" s="70" t="e">
        <v>#N/A</v>
      </c>
    </row>
    <row r="73" ht="12.75" customHeight="1">
      <c r="A73" s="70" t="s">
        <v>254</v>
      </c>
      <c r="B73" s="70" t="s">
        <v>433</v>
      </c>
      <c r="C73" s="70" t="s">
        <v>254</v>
      </c>
    </row>
    <row r="74" ht="12.75" customHeight="1">
      <c r="A74" s="70" t="s">
        <v>246</v>
      </c>
      <c r="B74" s="70" t="s">
        <v>433</v>
      </c>
      <c r="C74" s="70" t="s">
        <v>246</v>
      </c>
    </row>
    <row r="75" ht="12.75" customHeight="1">
      <c r="A75" s="70" t="s">
        <v>449</v>
      </c>
      <c r="B75" s="70" t="s">
        <v>433</v>
      </c>
      <c r="C75" s="70" t="s">
        <v>449</v>
      </c>
    </row>
    <row r="76" ht="12.75" customHeight="1">
      <c r="A76" s="70" t="s">
        <v>270</v>
      </c>
      <c r="B76" s="70" t="s">
        <v>433</v>
      </c>
      <c r="C76" s="70" t="s">
        <v>270</v>
      </c>
    </row>
    <row r="77" ht="12.75" customHeight="1">
      <c r="A77" s="70" t="s">
        <v>251</v>
      </c>
      <c r="B77" s="70" t="s">
        <v>433</v>
      </c>
      <c r="C77" s="70" t="s">
        <v>251</v>
      </c>
    </row>
    <row r="78" ht="12.75" customHeight="1">
      <c r="A78" s="70" t="s">
        <v>456</v>
      </c>
      <c r="B78" s="70" t="s">
        <v>433</v>
      </c>
      <c r="C78" s="70" t="s">
        <v>456</v>
      </c>
    </row>
    <row r="79" ht="12.75" customHeight="1">
      <c r="A79" s="70" t="s">
        <v>462</v>
      </c>
      <c r="B79" s="70" t="s">
        <v>433</v>
      </c>
      <c r="C79" s="70" t="s">
        <v>462</v>
      </c>
    </row>
    <row r="80" ht="12.75" customHeight="1">
      <c r="A80" s="70" t="s">
        <v>463</v>
      </c>
      <c r="B80" s="70" t="s">
        <v>433</v>
      </c>
      <c r="C80" s="70" t="s">
        <v>463</v>
      </c>
    </row>
    <row r="81" ht="12.75" customHeight="1">
      <c r="A81" s="70" t="s">
        <v>749</v>
      </c>
      <c r="B81" s="70" t="s">
        <v>433</v>
      </c>
      <c r="C81" s="70" t="e">
        <v>#N/A</v>
      </c>
    </row>
    <row r="82" ht="12.75" customHeight="1">
      <c r="A82" s="70" t="s">
        <v>473</v>
      </c>
      <c r="B82" s="70" t="s">
        <v>472</v>
      </c>
      <c r="C82" s="70" t="s">
        <v>473</v>
      </c>
    </row>
    <row r="83" ht="12.75" customHeight="1">
      <c r="A83" s="70" t="s">
        <v>486</v>
      </c>
      <c r="B83" s="70" t="s">
        <v>472</v>
      </c>
      <c r="C83" s="70" t="s">
        <v>486</v>
      </c>
    </row>
    <row r="84" ht="12.75" customHeight="1">
      <c r="A84" s="70" t="s">
        <v>497</v>
      </c>
      <c r="B84" s="70" t="s">
        <v>472</v>
      </c>
      <c r="C84" s="70" t="s">
        <v>497</v>
      </c>
    </row>
    <row r="85" ht="12.75" customHeight="1">
      <c r="A85" s="70" t="s">
        <v>508</v>
      </c>
      <c r="B85" s="70" t="s">
        <v>472</v>
      </c>
      <c r="C85" s="70" t="s">
        <v>508</v>
      </c>
    </row>
    <row r="86" ht="12.75" customHeight="1">
      <c r="A86" s="70" t="s">
        <v>516</v>
      </c>
      <c r="B86" s="70" t="s">
        <v>472</v>
      </c>
      <c r="C86" s="70" t="s">
        <v>516</v>
      </c>
    </row>
    <row r="87" ht="12.75" customHeight="1">
      <c r="A87" s="70" t="s">
        <v>523</v>
      </c>
      <c r="B87" s="70" t="s">
        <v>472</v>
      </c>
      <c r="C87" s="70" t="s">
        <v>523</v>
      </c>
    </row>
    <row r="88" ht="12.75" customHeight="1">
      <c r="A88" s="70" t="s">
        <v>533</v>
      </c>
      <c r="B88" s="70" t="s">
        <v>472</v>
      </c>
      <c r="C88" s="70" t="s">
        <v>533</v>
      </c>
    </row>
    <row r="89" ht="12.75" customHeight="1">
      <c r="A89" s="70" t="s">
        <v>538</v>
      </c>
      <c r="B89" s="70" t="s">
        <v>472</v>
      </c>
      <c r="C89" s="70" t="s">
        <v>538</v>
      </c>
    </row>
    <row r="90" ht="12.75" customHeight="1">
      <c r="A90" s="70" t="s">
        <v>546</v>
      </c>
      <c r="B90" s="70" t="s">
        <v>472</v>
      </c>
      <c r="C90" s="70" t="s">
        <v>546</v>
      </c>
    </row>
    <row r="91" ht="12.75" customHeight="1">
      <c r="A91" s="70" t="s">
        <v>557</v>
      </c>
      <c r="B91" s="70" t="s">
        <v>472</v>
      </c>
      <c r="C91" s="70" t="s">
        <v>557</v>
      </c>
    </row>
    <row r="92" ht="12.75" customHeight="1">
      <c r="A92" s="70" t="s">
        <v>566</v>
      </c>
      <c r="B92" s="70" t="s">
        <v>472</v>
      </c>
      <c r="C92" s="70" t="s">
        <v>566</v>
      </c>
    </row>
    <row r="93" ht="12.75" customHeight="1">
      <c r="A93" s="70" t="s">
        <v>575</v>
      </c>
      <c r="B93" s="70" t="s">
        <v>472</v>
      </c>
      <c r="C93" s="70" t="s">
        <v>575</v>
      </c>
    </row>
    <row r="94" ht="12.75" customHeight="1">
      <c r="A94" s="70" t="s">
        <v>582</v>
      </c>
      <c r="B94" s="70" t="s">
        <v>472</v>
      </c>
      <c r="C94" s="70" t="s">
        <v>582</v>
      </c>
    </row>
    <row r="95" ht="12.75" customHeight="1">
      <c r="A95" s="70" t="s">
        <v>749</v>
      </c>
      <c r="B95" s="70" t="s">
        <v>472</v>
      </c>
      <c r="C95" s="70" t="e">
        <v>#N/A</v>
      </c>
    </row>
    <row r="96" ht="12.75" customHeight="1">
      <c r="A96" s="70" t="s">
        <v>591</v>
      </c>
      <c r="B96" s="70" t="s">
        <v>590</v>
      </c>
      <c r="C96" s="70" t="s">
        <v>591</v>
      </c>
    </row>
    <row r="97" ht="12.75" customHeight="1">
      <c r="A97" s="70" t="s">
        <v>598</v>
      </c>
      <c r="B97" s="70" t="s">
        <v>590</v>
      </c>
      <c r="C97" s="70" t="s">
        <v>598</v>
      </c>
    </row>
    <row r="98" ht="12.75" customHeight="1">
      <c r="A98" s="70" t="s">
        <v>602</v>
      </c>
      <c r="B98" s="70" t="s">
        <v>590</v>
      </c>
      <c r="C98" s="70" t="s">
        <v>602</v>
      </c>
    </row>
    <row r="99" ht="12.75" customHeight="1">
      <c r="A99" s="70" t="s">
        <v>606</v>
      </c>
      <c r="B99" s="70" t="s">
        <v>590</v>
      </c>
      <c r="C99" s="70" t="s">
        <v>606</v>
      </c>
    </row>
    <row r="100" ht="12.75" customHeight="1">
      <c r="A100" s="70" t="s">
        <v>610</v>
      </c>
      <c r="B100" s="70" t="s">
        <v>590</v>
      </c>
      <c r="C100" s="70" t="s">
        <v>610</v>
      </c>
    </row>
    <row r="101" ht="12.75" customHeight="1">
      <c r="A101" s="70" t="s">
        <v>614</v>
      </c>
      <c r="B101" s="70" t="s">
        <v>590</v>
      </c>
      <c r="C101" s="70" t="s">
        <v>614</v>
      </c>
    </row>
    <row r="102" ht="12.75" customHeight="1">
      <c r="A102" s="70" t="s">
        <v>749</v>
      </c>
      <c r="B102" s="70" t="s">
        <v>590</v>
      </c>
      <c r="C102" s="70" t="e">
        <v>#N/A</v>
      </c>
    </row>
    <row r="103" ht="12.75" customHeight="1">
      <c r="A103" s="70" t="s">
        <v>3127</v>
      </c>
      <c r="B103" s="70" t="s">
        <v>617</v>
      </c>
      <c r="C103" s="70" t="s">
        <v>3127</v>
      </c>
    </row>
    <row r="104" ht="12.75" customHeight="1">
      <c r="A104" s="70" t="s">
        <v>3130</v>
      </c>
      <c r="B104" s="70" t="s">
        <v>617</v>
      </c>
      <c r="C104" s="70" t="s">
        <v>3130</v>
      </c>
    </row>
    <row r="105" ht="12.75" customHeight="1">
      <c r="A105" s="70" t="s">
        <v>649</v>
      </c>
      <c r="B105" s="70" t="s">
        <v>617</v>
      </c>
      <c r="C105" s="70" t="s">
        <v>649</v>
      </c>
    </row>
    <row r="106" ht="12.75" customHeight="1">
      <c r="A106" s="70" t="s">
        <v>3165</v>
      </c>
      <c r="B106" s="70" t="s">
        <v>617</v>
      </c>
      <c r="C106" s="70" t="s">
        <v>3165</v>
      </c>
    </row>
    <row r="107" ht="12.75" customHeight="1">
      <c r="A107" s="70" t="s">
        <v>692</v>
      </c>
      <c r="B107" s="70" t="s">
        <v>617</v>
      </c>
      <c r="C107" s="70" t="s">
        <v>692</v>
      </c>
    </row>
    <row r="108" ht="12.75" customHeight="1">
      <c r="A108" s="70" t="s">
        <v>3129</v>
      </c>
      <c r="B108" s="70" t="s">
        <v>617</v>
      </c>
      <c r="C108" s="70" t="e">
        <v>#N/A</v>
      </c>
    </row>
    <row r="109" ht="12.75" customHeight="1">
      <c r="A109" s="70" t="s">
        <v>708</v>
      </c>
      <c r="B109" s="70" t="s">
        <v>617</v>
      </c>
      <c r="C109" s="70" t="s">
        <v>708</v>
      </c>
    </row>
    <row r="110" ht="12.75" customHeight="1">
      <c r="A110" s="70" t="s">
        <v>676</v>
      </c>
      <c r="B110" s="70" t="s">
        <v>617</v>
      </c>
      <c r="C110" s="70" t="e">
        <v>#N/A</v>
      </c>
    </row>
    <row r="111" ht="12.75" customHeight="1">
      <c r="A111" s="70" t="s">
        <v>3163</v>
      </c>
      <c r="B111" s="70" t="s">
        <v>617</v>
      </c>
      <c r="C111" s="70" t="e">
        <v>#N/A</v>
      </c>
    </row>
    <row r="112" ht="12.75" customHeight="1">
      <c r="A112" s="70" t="s">
        <v>3133</v>
      </c>
      <c r="B112" s="70" t="s">
        <v>617</v>
      </c>
      <c r="C112" s="70" t="e">
        <v>#N/A</v>
      </c>
    </row>
    <row r="113" ht="12.75" customHeight="1">
      <c r="A113" s="70" t="s">
        <v>728</v>
      </c>
      <c r="B113" s="70" t="s">
        <v>617</v>
      </c>
      <c r="C113" s="70" t="s">
        <v>728</v>
      </c>
    </row>
    <row r="114" ht="12.75" customHeight="1">
      <c r="A114" s="70" t="s">
        <v>732</v>
      </c>
      <c r="B114" s="70" t="s">
        <v>617</v>
      </c>
      <c r="C114" s="70" t="s">
        <v>732</v>
      </c>
    </row>
    <row r="115" ht="12.75" customHeight="1">
      <c r="A115" s="70" t="s">
        <v>3164</v>
      </c>
      <c r="B115" s="70" t="s">
        <v>617</v>
      </c>
      <c r="C115" s="70" t="s">
        <v>3164</v>
      </c>
    </row>
    <row r="116" ht="12.75" customHeight="1">
      <c r="A116" s="70" t="s">
        <v>3132</v>
      </c>
      <c r="B116" s="70" t="s">
        <v>617</v>
      </c>
      <c r="C116" s="70" t="s">
        <v>3132</v>
      </c>
    </row>
    <row r="117" ht="12.75" customHeight="1">
      <c r="A117" s="70" t="s">
        <v>701</v>
      </c>
      <c r="B117" s="70" t="s">
        <v>617</v>
      </c>
      <c r="C117" s="70" t="s">
        <v>701</v>
      </c>
    </row>
    <row r="118" ht="12.75" customHeight="1">
      <c r="A118" s="70" t="s">
        <v>715</v>
      </c>
      <c r="B118" s="70" t="s">
        <v>617</v>
      </c>
      <c r="C118" s="70" t="s">
        <v>715</v>
      </c>
    </row>
    <row r="119" ht="12.75" customHeight="1">
      <c r="A119" s="70" t="s">
        <v>3148</v>
      </c>
      <c r="B119" s="70" t="s">
        <v>617</v>
      </c>
      <c r="C119" s="70" t="s">
        <v>3148</v>
      </c>
    </row>
    <row r="120" ht="12.75" customHeight="1">
      <c r="A120" s="70" t="s">
        <v>3135</v>
      </c>
      <c r="B120" s="70" t="s">
        <v>617</v>
      </c>
      <c r="C120" s="70" t="s">
        <v>3135</v>
      </c>
    </row>
    <row r="121" ht="12.75" customHeight="1">
      <c r="A121" s="70" t="s">
        <v>749</v>
      </c>
      <c r="B121" s="70" t="s">
        <v>617</v>
      </c>
      <c r="C121" s="70" t="e">
        <v>#N/A</v>
      </c>
    </row>
    <row r="122" ht="12.75" customHeight="1">
      <c r="A122" s="70" t="s">
        <v>3958</v>
      </c>
      <c r="B122" s="70" t="s">
        <v>3958</v>
      </c>
    </row>
    <row r="123" ht="12.75" customHeight="1">
      <c r="A123" s="70" t="s">
        <v>3958</v>
      </c>
      <c r="B123" s="70" t="s">
        <v>3958</v>
      </c>
    </row>
    <row r="124" ht="12.75" customHeight="1">
      <c r="A124" s="70" t="s">
        <v>3958</v>
      </c>
      <c r="B124" s="70" t="s">
        <v>3958</v>
      </c>
    </row>
    <row r="125" ht="12.75" customHeight="1">
      <c r="A125" s="70" t="s">
        <v>3958</v>
      </c>
      <c r="B125" s="70" t="s">
        <v>3958</v>
      </c>
    </row>
    <row r="126" ht="12.75" customHeight="1">
      <c r="A126" s="70" t="s">
        <v>3958</v>
      </c>
      <c r="B126" s="70" t="s">
        <v>3958</v>
      </c>
    </row>
    <row r="127" ht="12.75" customHeight="1">
      <c r="A127" s="70" t="s">
        <v>3958</v>
      </c>
      <c r="B127" s="70" t="s">
        <v>3958</v>
      </c>
    </row>
    <row r="128" ht="12.75" customHeight="1">
      <c r="A128" s="70" t="s">
        <v>3958</v>
      </c>
      <c r="B128" s="70" t="s">
        <v>3958</v>
      </c>
    </row>
    <row r="129" ht="12.75" customHeight="1">
      <c r="A129" s="70" t="s">
        <v>3958</v>
      </c>
      <c r="B129" s="70" t="s">
        <v>3958</v>
      </c>
    </row>
    <row r="130" ht="12.75" customHeight="1">
      <c r="A130" s="70" t="s">
        <v>3958</v>
      </c>
      <c r="B130" s="70" t="s">
        <v>3958</v>
      </c>
    </row>
    <row r="131" ht="12.75" customHeight="1">
      <c r="A131" s="70" t="s">
        <v>3958</v>
      </c>
      <c r="B131" s="70" t="s">
        <v>3958</v>
      </c>
    </row>
    <row r="132" ht="12.75" customHeight="1">
      <c r="A132" s="70" t="s">
        <v>3958</v>
      </c>
      <c r="B132" s="70" t="s">
        <v>3958</v>
      </c>
    </row>
    <row r="133" ht="12.75" customHeight="1">
      <c r="A133" s="70" t="s">
        <v>3958</v>
      </c>
      <c r="B133" s="70" t="s">
        <v>3958</v>
      </c>
    </row>
    <row r="134" ht="12.75" customHeight="1">
      <c r="A134" s="70" t="s">
        <v>3958</v>
      </c>
      <c r="B134" s="70" t="s">
        <v>3958</v>
      </c>
    </row>
    <row r="135" ht="12.75" customHeight="1">
      <c r="A135" s="70" t="s">
        <v>3958</v>
      </c>
      <c r="B135" s="70" t="s">
        <v>3958</v>
      </c>
    </row>
    <row r="136" ht="12.75" customHeight="1">
      <c r="A136" s="70" t="s">
        <v>3958</v>
      </c>
      <c r="B136" s="70" t="s">
        <v>3958</v>
      </c>
    </row>
    <row r="137" ht="12.75" customHeight="1">
      <c r="A137" s="70" t="s">
        <v>3958</v>
      </c>
      <c r="B137" s="70" t="s">
        <v>3958</v>
      </c>
    </row>
    <row r="138" ht="12.75" customHeight="1">
      <c r="A138" s="70" t="s">
        <v>3958</v>
      </c>
      <c r="B138" s="70" t="s">
        <v>3958</v>
      </c>
    </row>
    <row r="139" ht="12.75" customHeight="1">
      <c r="A139" s="70" t="s">
        <v>3958</v>
      </c>
      <c r="B139" s="70" t="s">
        <v>3958</v>
      </c>
    </row>
    <row r="140" ht="12.75" customHeight="1">
      <c r="A140" s="70" t="s">
        <v>3958</v>
      </c>
      <c r="B140" s="70" t="s">
        <v>3958</v>
      </c>
    </row>
    <row r="141" ht="12.75" customHeight="1">
      <c r="A141" s="70" t="s">
        <v>3958</v>
      </c>
      <c r="B141" s="70" t="s">
        <v>3958</v>
      </c>
    </row>
    <row r="142" ht="12.75" customHeight="1">
      <c r="A142" s="70" t="s">
        <v>3958</v>
      </c>
      <c r="B142" s="70" t="s">
        <v>3958</v>
      </c>
    </row>
    <row r="143" ht="12.75" customHeight="1">
      <c r="A143" s="70" t="s">
        <v>3958</v>
      </c>
      <c r="B143" s="70" t="s">
        <v>3958</v>
      </c>
    </row>
    <row r="144" ht="12.75" customHeight="1">
      <c r="A144" s="70" t="s">
        <v>3958</v>
      </c>
      <c r="B144" s="70" t="s">
        <v>3958</v>
      </c>
    </row>
    <row r="145" ht="12.75" customHeight="1">
      <c r="A145" s="70" t="s">
        <v>3958</v>
      </c>
      <c r="B145" s="70" t="s">
        <v>3958</v>
      </c>
    </row>
    <row r="146" ht="12.75" customHeight="1">
      <c r="A146" s="70" t="s">
        <v>3958</v>
      </c>
      <c r="B146" s="70" t="s">
        <v>3958</v>
      </c>
    </row>
    <row r="147" ht="12.75" customHeight="1">
      <c r="A147" s="70" t="s">
        <v>3958</v>
      </c>
      <c r="B147" s="70" t="s">
        <v>3958</v>
      </c>
    </row>
    <row r="148" ht="12.75" customHeight="1">
      <c r="A148" s="70" t="s">
        <v>3958</v>
      </c>
      <c r="B148" s="70" t="s">
        <v>3958</v>
      </c>
    </row>
    <row r="149" ht="12.75" customHeight="1">
      <c r="A149" s="70" t="s">
        <v>3958</v>
      </c>
      <c r="B149" s="70" t="s">
        <v>3958</v>
      </c>
    </row>
    <row r="150" ht="12.75" customHeight="1">
      <c r="A150" s="70" t="s">
        <v>3958</v>
      </c>
      <c r="B150" s="70" t="s">
        <v>3958</v>
      </c>
    </row>
    <row r="151" ht="12.75" customHeight="1">
      <c r="A151" s="70" t="s">
        <v>3958</v>
      </c>
      <c r="B151" s="70" t="s">
        <v>3958</v>
      </c>
    </row>
    <row r="152" ht="12.75" customHeight="1">
      <c r="A152" s="70" t="s">
        <v>3958</v>
      </c>
      <c r="B152" s="70" t="s">
        <v>3958</v>
      </c>
    </row>
    <row r="153" ht="12.75" customHeight="1">
      <c r="A153" s="70" t="s">
        <v>3958</v>
      </c>
      <c r="B153" s="70" t="s">
        <v>3958</v>
      </c>
    </row>
    <row r="154" ht="12.75" customHeight="1">
      <c r="A154" s="70" t="s">
        <v>3958</v>
      </c>
      <c r="B154" s="70" t="s">
        <v>3958</v>
      </c>
    </row>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C$154"/>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5.13"/>
    <col customWidth="1" min="3" max="3" width="10.63"/>
    <col customWidth="1" min="4" max="4" width="18.13"/>
    <col customWidth="1" min="5" max="5" width="10.63"/>
    <col customWidth="1" min="6" max="6" width="16.38"/>
    <col customWidth="1" min="7" max="26" width="10.63"/>
  </cols>
  <sheetData>
    <row r="1" ht="12.75" customHeight="1"/>
    <row r="2" ht="12.75" customHeight="1"/>
    <row r="3" ht="12.75" customHeight="1"/>
    <row r="4" ht="12.75" customHeight="1">
      <c r="B4" s="58"/>
    </row>
    <row r="5" ht="12.75" customHeight="1"/>
    <row r="6" ht="12.75" customHeight="1"/>
    <row r="7" ht="12.75" customHeight="1">
      <c r="B7" s="83">
        <f>NOW()</f>
        <v>46153.35112</v>
      </c>
      <c r="C7" s="70" t="str">
        <f t="array" ref="C7">CELL("format",B7)</f>
        <v>#VALUE!</v>
      </c>
    </row>
    <row r="8" ht="12.75" customHeight="1">
      <c r="B8" s="104">
        <v>44124.59861111111</v>
      </c>
      <c r="C8" s="70" t="str">
        <f t="array" ref="C8">CELL("format",B8)</f>
        <v>#VALUE!</v>
      </c>
    </row>
    <row r="9" ht="12.75" customHeight="1"/>
    <row r="10" ht="12.75" customHeight="1"/>
    <row r="11" ht="12.75" customHeight="1"/>
    <row r="12" ht="12.75" customHeight="1"/>
    <row r="13" ht="12.75" customHeight="1"/>
    <row r="14" ht="12.75" customHeight="1">
      <c r="G14" s="70" t="str">
        <f>TEXT(F16,"D4")</f>
        <v>304</v>
      </c>
    </row>
    <row r="15" ht="12.75" customHeight="1"/>
    <row r="16" ht="12.75" customHeight="1">
      <c r="D16" s="83" t="s">
        <v>3959</v>
      </c>
      <c r="E16" s="70" t="str">
        <f t="array" ref="E16">AND(CELL("format",D16)="D4",RIGHT(D16,5))</f>
        <v>#VALUE!</v>
      </c>
      <c r="F16" s="83" t="str">
        <f>'Listing Details'!Z3</f>
        <v/>
      </c>
      <c r="G16" s="70" t="str">
        <f>TEXT(F16,"MM/DD/YY hh:mm AM/PM")</f>
        <v>12/30/99 12:00 AM</v>
      </c>
      <c r="H16" s="70" t="str">
        <f>RIGHT(G16,5)</f>
        <v>00 AM</v>
      </c>
      <c r="I16" s="70" t="str">
        <f>LEFT(H16,2)</f>
        <v>00</v>
      </c>
    </row>
    <row r="17" ht="12.75" customHeight="1"/>
    <row r="18" ht="12.75" customHeight="1"/>
    <row r="19" ht="12.75" customHeight="1">
      <c r="G19" s="70" t="b">
        <f>MOD(LEFT(RIGHT(TEXT(F16,"MM/DD/YY hh:mm AM/PM"),5),2),30)=0</f>
        <v>1</v>
      </c>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custom" allowBlank="1" showInputMessage="1" showErrorMessage="1" prompt="Wrong Time Format - Please use from the following: _x000a_MM/DD/YY HH:MM AM/PM" sqref="D16">
      <formula1>AND(CELL("format",D16)="D4")</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2021-07-08T11:13:00Z</dcterms:created>
</cp:coreProperties>
</file>